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80" yWindow="2220" windowWidth="38400" windowHeight="21000" tabRatio="600" firstSheet="0" activeTab="1" autoFilterDateGrouping="1"/>
  </bookViews>
  <sheets>
    <sheet xmlns:r="http://schemas.openxmlformats.org/officeDocument/2006/relationships" name="在庫" sheetId="1" state="visible" r:id="rId1"/>
    <sheet xmlns:r="http://schemas.openxmlformats.org/officeDocument/2006/relationships" name="楽天単独在庫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_ "/>
  </numFmts>
  <fonts count="12">
    <font>
      <name val="Calibri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charset val="128"/>
      <family val="3"/>
      <sz val="6"/>
      <scheme val="minor"/>
    </font>
    <font>
      <name val="Calibri"/>
      <charset val="128"/>
      <family val="2"/>
      <b val="1"/>
      <color rgb="FF000000"/>
      <sz val="11"/>
    </font>
    <font>
      <name val="Calibri"/>
      <family val="2"/>
      <color rgb="FF000000"/>
      <sz val="11"/>
      <scheme val="minor"/>
    </font>
    <font>
      <name val="MS Gothic"/>
      <charset val="128"/>
      <family val="2"/>
      <color rgb="FF000000"/>
      <sz val="11"/>
    </font>
    <font>
      <name val="Calibri"/>
      <charset val="128"/>
      <family val="2"/>
      <color rgb="FF000000"/>
      <sz val="11"/>
      <scheme val="minor"/>
    </font>
    <font>
      <name val="Calibri"/>
      <family val="2"/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CCCC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00FFFF00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32">
    <xf numFmtId="0" fontId="0" fillId="0" borderId="0" pivotButton="0" quotePrefix="0" xfId="0"/>
    <xf numFmtId="49" fontId="1" fillId="2" borderId="2" pivotButton="0" quotePrefix="0" xfId="0"/>
    <xf numFmtId="49" fontId="1" fillId="2" borderId="3" pivotButton="0" quotePrefix="0" xfId="0"/>
    <xf numFmtId="0" fontId="2" fillId="2" borderId="4" pivotButton="0" quotePrefix="0" xfId="0"/>
    <xf numFmtId="0" fontId="4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164" fontId="6" fillId="2" borderId="2" pivotButton="0" quotePrefix="0" xfId="0"/>
    <xf numFmtId="164" fontId="0" fillId="0" borderId="0" pivotButton="0" quotePrefix="0" xfId="0"/>
    <xf numFmtId="164" fontId="1" fillId="2" borderId="2" pivotButton="0" quotePrefix="0" xfId="0"/>
    <xf numFmtId="164" fontId="1" fillId="2" borderId="1" applyAlignment="1" pivotButton="0" quotePrefix="0" xfId="0">
      <alignment horizontal="left"/>
    </xf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165" fontId="10" fillId="0" borderId="0" pivotButton="0" quotePrefix="0" xfId="0"/>
    <xf numFmtId="165" fontId="0" fillId="0" borderId="0" pivotButton="0" quotePrefix="0" xfId="0"/>
    <xf numFmtId="165" fontId="7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1" fillId="2" borderId="1" applyAlignment="1" pivotButton="0" quotePrefix="0" xfId="0">
      <alignment horizontal="left"/>
    </xf>
    <xf numFmtId="164" fontId="6" fillId="2" borderId="2" pivotButton="0" quotePrefix="0" xfId="0"/>
    <xf numFmtId="164" fontId="1" fillId="2" borderId="2" pivotButton="0" quotePrefix="0" xfId="0"/>
    <xf numFmtId="165" fontId="0" fillId="0" borderId="0" pivotButton="0" quotePrefix="0" xfId="0"/>
    <xf numFmtId="165" fontId="10" fillId="0" borderId="0" pivotButton="0" quotePrefix="0" xfId="0"/>
    <xf numFmtId="165" fontId="7" fillId="0" borderId="0" pivotButton="0" quotePrefix="0" xfId="0"/>
    <xf numFmtId="0" fontId="11" fillId="0" borderId="0" pivotButton="0" quotePrefix="0" xfId="0"/>
    <xf numFmtId="49" fontId="0" fillId="0" borderId="0" pivotButton="0" quotePrefix="0" xfId="0"/>
    <xf numFmtId="0" fontId="0" fillId="6" borderId="0" pivotButton="0" quotePrefix="0" xfId="0"/>
    <xf numFmtId="0" fontId="1" fillId="2" borderId="0" pivotButton="0" quotePrefix="0" xfId="0"/>
    <xf numFmtId="0" fontId="6" fillId="2" borderId="0" pivotButton="0" quotePrefix="0" xfId="0"/>
    <xf numFmtId="0" fontId="2" fillId="2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6"/>
  <sheetViews>
    <sheetView showGridLines="0" workbookViewId="0">
      <pane ySplit="1" topLeftCell="A2" activePane="bottomLeft" state="frozen"/>
      <selection pane="bottomLeft" activeCell="B32" sqref="B32"/>
    </sheetView>
  </sheetViews>
  <sheetFormatPr baseColWidth="10" defaultColWidth="14.5" defaultRowHeight="15" customHeight="1"/>
  <cols>
    <col width="16" customWidth="1" style="19" min="1" max="1"/>
    <col width="18" customWidth="1" style="19" min="2" max="2"/>
    <col width="19.33203125" customWidth="1" min="3" max="3"/>
    <col width="18" customWidth="1" style="19" min="4" max="4"/>
    <col width="55" customWidth="1" min="5" max="5"/>
    <col width="12" customWidth="1" min="6" max="6"/>
    <col width="10" customWidth="1" min="7" max="8"/>
    <col width="13" customWidth="1" min="8" max="8"/>
    <col width="12" customWidth="1" min="9" max="9"/>
    <col width="30" customWidth="1" min="10" max="10"/>
    <col width="20" customWidth="1" min="11" max="11"/>
    <col width="30" customWidth="1" min="12" max="26"/>
  </cols>
  <sheetData>
    <row r="1" ht="13.5" customHeight="1">
      <c r="A1" s="20" t="inlineStr">
        <is>
          <t>JAN</t>
        </is>
      </c>
      <c r="B1" s="21" t="inlineStr">
        <is>
          <t>楽天商品管理番号（ASIN)</t>
        </is>
      </c>
      <c r="C1" s="1" t="inlineStr">
        <is>
          <t>商品番号</t>
        </is>
      </c>
      <c r="D1" s="22" t="inlineStr">
        <is>
          <t>SKU管理番号</t>
        </is>
      </c>
      <c r="E1" s="1" t="inlineStr">
        <is>
          <t>商品名</t>
        </is>
      </c>
      <c r="F1" s="1" t="inlineStr">
        <is>
          <t>販売価格</t>
        </is>
      </c>
      <c r="G1" s="1" t="inlineStr">
        <is>
          <t>単価</t>
        </is>
      </c>
      <c r="H1" s="2" t="inlineStr">
        <is>
          <t>在庫数</t>
        </is>
      </c>
      <c r="I1" s="3" t="inlineStr">
        <is>
          <t>合計金額</t>
        </is>
      </c>
      <c r="J1" s="5" t="inlineStr">
        <is>
          <t>JAN検証結果</t>
        </is>
      </c>
      <c r="K1" s="5" t="inlineStr">
        <is>
          <t>AmazonのJAN</t>
        </is>
      </c>
      <c r="L1" s="4" t="inlineStr">
        <is>
          <t>CSVに無い(2026-09-16 08:11:29)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3.5" customHeight="1">
      <c r="A2" s="27" t="n"/>
      <c r="B2" s="27" t="inlineStr">
        <is>
          <t>14942298s1</t>
        </is>
      </c>
      <c r="C2" s="27" t="inlineStr">
        <is>
          <t>1100</t>
        </is>
      </c>
      <c r="D2" s="27" t="inlineStr">
        <is>
          <t>14942298s1</t>
        </is>
      </c>
      <c r="E2" t="inlineStr">
        <is>
          <t>【2個セット】スクイーズ 作成キット ステーキ パキパキ ロウ ASMR おもちゃ 子供用 手作り もちもち 知育玩具 ストレス解消 DIY squishy プレゼント 人気</t>
        </is>
      </c>
      <c r="F2" t="n">
        <v>2980</v>
      </c>
      <c r="G2" t="n">
        <v>1100</v>
      </c>
      <c r="H2" t="n">
        <v>4</v>
      </c>
      <c r="I2">
        <f>SUM(G2*H2)</f>
        <v/>
      </c>
    </row>
    <row r="3" ht="13.5" customHeight="1">
      <c r="A3" s="27" t="n"/>
      <c r="B3" s="27" t="inlineStr">
        <is>
          <t>14993499s1</t>
        </is>
      </c>
      <c r="C3" s="27" t="inlineStr">
        <is>
          <t>14993499s1-3</t>
        </is>
      </c>
      <c r="D3" s="27" t="inlineStr">
        <is>
          <t>14993499s1</t>
        </is>
      </c>
      <c r="E3" t="inlineStr">
        <is>
          <t>スクイーズ もっちりバター 3個セット おもちゃ 子供用 低反発 もちもち 香り付き ストレス解消 squishy 柔らかい 人気 かわいい プレゼント</t>
        </is>
      </c>
      <c r="F3" t="n">
        <v>2980</v>
      </c>
      <c r="G3" t="n">
        <v>1122</v>
      </c>
      <c r="H3" t="n">
        <v>5</v>
      </c>
      <c r="I3">
        <f>SUM(G3*H3)</f>
        <v/>
      </c>
    </row>
    <row r="4" ht="13.5" customHeight="1">
      <c r="A4" s="27" t="inlineStr">
        <is>
          <t>3264680009754</t>
        </is>
      </c>
      <c r="B4" s="27" t="inlineStr">
        <is>
          <t>3264680009754</t>
        </is>
      </c>
      <c r="C4" s="27" t="inlineStr">
        <is>
          <t>9754/2700</t>
        </is>
      </c>
      <c r="D4" s="27" t="inlineStr">
        <is>
          <t>3264680009754</t>
        </is>
      </c>
      <c r="E4" t="inlineStr">
        <is>
          <t>Nuxe(ニュクス) プロディジューオイル 100mL ボディケア 美容 ケア</t>
        </is>
      </c>
      <c r="F4" t="n">
        <v>3980</v>
      </c>
      <c r="G4" t="n">
        <v>2700</v>
      </c>
      <c r="H4" t="n">
        <v>14</v>
      </c>
      <c r="I4">
        <f>SUM(G4*H4)</f>
        <v/>
      </c>
    </row>
    <row r="5" ht="13.5" customHeight="1">
      <c r="A5" s="27" t="inlineStr">
        <is>
          <t>3264680009761</t>
        </is>
      </c>
      <c r="B5" s="27" t="inlineStr">
        <is>
          <t>3264680009761</t>
        </is>
      </c>
      <c r="C5" s="27" t="inlineStr">
        <is>
          <t>9761,4382,9785</t>
        </is>
      </c>
      <c r="D5" s="27" t="inlineStr">
        <is>
          <t>3264680009761-a</t>
        </is>
      </c>
      <c r="E5" t="inlineStr">
        <is>
          <t>【選べる】NUXE プロディジュー オイル 50mL（定番/フローラル/ゴールド）ボディケア 美容 ケア</t>
        </is>
      </c>
      <c r="F5" t="n">
        <v>3480</v>
      </c>
      <c r="G5" t="n">
        <v>0</v>
      </c>
      <c r="H5" t="n">
        <v>3</v>
      </c>
      <c r="I5">
        <f>SUM(G5*H5)</f>
        <v/>
      </c>
    </row>
    <row r="6" ht="13.5" customHeight="1">
      <c r="A6" s="27" t="inlineStr">
        <is>
          <t>3264680009761</t>
        </is>
      </c>
      <c r="B6" s="27" t="inlineStr">
        <is>
          <t>3264680009761</t>
        </is>
      </c>
      <c r="C6" s="27" t="inlineStr">
        <is>
          <t>9761,4382,9785</t>
        </is>
      </c>
      <c r="D6" s="27" t="inlineStr">
        <is>
          <t>3264680009761-b</t>
        </is>
      </c>
      <c r="E6" t="inlineStr">
        <is>
          <t>【選べる】NUXE プロディジュー オイル 50mL（定番/フローラル/ゴールド）ボディケア 美容 ケア</t>
        </is>
      </c>
      <c r="F6" t="n">
        <v>3580</v>
      </c>
      <c r="G6" t="n">
        <v>0</v>
      </c>
      <c r="H6" t="n">
        <v>17</v>
      </c>
      <c r="I6">
        <f>SUM(G6*H6)</f>
        <v/>
      </c>
    </row>
    <row r="7" ht="13.5" customHeight="1">
      <c r="A7" s="27" t="inlineStr">
        <is>
          <t>3264680009761</t>
        </is>
      </c>
      <c r="B7" s="27" t="inlineStr">
        <is>
          <t>3264680009761</t>
        </is>
      </c>
      <c r="C7" s="27" t="inlineStr">
        <is>
          <t>9761,4382,9785</t>
        </is>
      </c>
      <c r="D7" s="27" t="inlineStr">
        <is>
          <t>3264680009761-c</t>
        </is>
      </c>
      <c r="E7" t="inlineStr">
        <is>
          <t>【選べる】NUXE プロディジュー オイル 50mL（定番/フローラル/ゴールド）ボディケア 美容 ケア</t>
        </is>
      </c>
      <c r="F7" t="n">
        <v>3980</v>
      </c>
      <c r="G7" t="n">
        <v>0</v>
      </c>
      <c r="H7" t="n">
        <v>1</v>
      </c>
      <c r="I7">
        <f>SUM(G7*H7)</f>
        <v/>
      </c>
    </row>
    <row r="8" ht="13.5" customHeight="1">
      <c r="A8" s="27" t="inlineStr">
        <is>
          <t>3264680009808</t>
        </is>
      </c>
      <c r="B8" s="27" t="inlineStr">
        <is>
          <t>3264680009808</t>
        </is>
      </c>
      <c r="C8" s="27" t="inlineStr">
        <is>
          <t>9808/2762</t>
        </is>
      </c>
      <c r="D8" s="27" t="inlineStr">
        <is>
          <t>3264680009808</t>
        </is>
      </c>
      <c r="E8" t="inlineStr">
        <is>
          <t>【並行輸入品】ニュクス プロディジュー オイル リッチ 100ml ボディケア 美容 ケア</t>
        </is>
      </c>
      <c r="F8" t="n">
        <v>4280</v>
      </c>
      <c r="G8" t="n">
        <v>2762</v>
      </c>
      <c r="H8" t="n">
        <v>14</v>
      </c>
      <c r="I8">
        <f>SUM(G8*H8)</f>
        <v/>
      </c>
    </row>
    <row r="9" ht="13.5" customHeight="1">
      <c r="A9" s="27" t="inlineStr">
        <is>
          <t>3264680015946</t>
        </is>
      </c>
      <c r="B9" s="27" t="inlineStr">
        <is>
          <t>3264680015946</t>
        </is>
      </c>
      <c r="C9" s="27" t="inlineStr">
        <is>
          <t>5946</t>
        </is>
      </c>
      <c r="D9" s="27" t="inlineStr">
        <is>
          <t>3264680015946</t>
        </is>
      </c>
      <c r="E9" t="inlineStr">
        <is>
          <t>Nuxe(ニュクス) プロディジュー フローラル オイル 100ml ボディケア 美容 ケア</t>
        </is>
      </c>
      <c r="F9" t="n">
        <v>4180</v>
      </c>
      <c r="G9" t="n">
        <v>0</v>
      </c>
      <c r="H9" t="n">
        <v>1</v>
      </c>
      <c r="I9">
        <f>SUM(G9*H9)</f>
        <v/>
      </c>
    </row>
    <row r="10" ht="13.5" customHeight="1">
      <c r="A10" s="27" t="inlineStr">
        <is>
          <t>4513574020337</t>
        </is>
      </c>
      <c r="B10" s="27" t="inlineStr">
        <is>
          <t>4513574020337</t>
        </is>
      </c>
      <c r="C10" s="27" t="inlineStr">
        <is>
          <t>0337/420</t>
        </is>
      </c>
      <c r="D10" s="27" t="inlineStr">
        <is>
          <t>4513574020337</t>
        </is>
      </c>
      <c r="E10" t="inlineStr">
        <is>
          <t>Ｖサポート スタイリングジェル スーパーハード 微香 220g×3個セット スタイリング メンズ</t>
        </is>
      </c>
      <c r="F10" t="n">
        <v>1980</v>
      </c>
      <c r="G10" t="n">
        <v>420</v>
      </c>
      <c r="H10" t="n">
        <v>10</v>
      </c>
      <c r="I10">
        <f>SUM(G10*H10)</f>
        <v/>
      </c>
    </row>
    <row r="11" ht="13.5" customHeight="1">
      <c r="A11" s="27" t="inlineStr">
        <is>
          <t>4550391011919</t>
        </is>
      </c>
      <c r="B11" s="27" t="inlineStr">
        <is>
          <t>4550391011919</t>
        </is>
      </c>
      <c r="C11" s="27" t="inlineStr">
        <is>
          <t>AST-0007</t>
        </is>
      </c>
      <c r="D11" s="27" t="inlineStr">
        <is>
          <t>4550391011919</t>
        </is>
      </c>
      <c r="E11" t="inlineStr">
        <is>
          <t>【セット品】 クーリア スペシャルもっちもちシール 6種セット キャンディツインズ みずいろうさベビー ナイトミャウ パクッとモグモグフード ハムハムエンジェル キャロットうさちゃん ボンボンドロップ ボンドロ かわいい 立体 シール ぷっくり ぷくぷく 正規品 本物 本家</t>
        </is>
      </c>
      <c r="F11" t="n">
        <v>2980</v>
      </c>
      <c r="G11" t="n">
        <v>1224</v>
      </c>
      <c r="H11" t="n">
        <v>2</v>
      </c>
      <c r="I11">
        <f>SUM(G11*H11)</f>
        <v/>
      </c>
    </row>
    <row r="12" ht="13.5" customHeight="1">
      <c r="A12" s="27" t="inlineStr">
        <is>
          <t>4550391011926</t>
        </is>
      </c>
      <c r="B12" s="27" t="inlineStr">
        <is>
          <t>4550391011926</t>
        </is>
      </c>
      <c r="C12" s="27" t="inlineStr">
        <is>
          <t>AST-0006</t>
        </is>
      </c>
      <c r="D12" s="27" t="inlineStr">
        <is>
          <t>4550391011926</t>
        </is>
      </c>
      <c r="E12" t="inlineStr">
        <is>
          <t>【セット品】 クーリア スペシャルもっちもちシール 4種セット みずいろうさベビー パクッとモグモグフード ハムハムエンジェル キャロットうさちゃん ボンボンドロップ ボンドロ かわいい 立体 シール ぷっくり ぷくぷく 正規品 本物 本家</t>
        </is>
      </c>
      <c r="F12" t="n">
        <v>1980</v>
      </c>
      <c r="G12" t="n">
        <v>816</v>
      </c>
      <c r="H12" t="n">
        <v>6</v>
      </c>
      <c r="I12">
        <f>SUM(G12*H12)</f>
        <v/>
      </c>
    </row>
    <row r="13" ht="13.5" customHeight="1">
      <c r="A13" s="27" t="inlineStr">
        <is>
          <t>4550391011940</t>
        </is>
      </c>
      <c r="B13" s="27" t="inlineStr">
        <is>
          <t>4550391011940</t>
        </is>
      </c>
      <c r="C13" s="27" t="inlineStr">
        <is>
          <t>AST-0005</t>
        </is>
      </c>
      <c r="D13" s="27" t="inlineStr">
        <is>
          <t>4550391011940</t>
        </is>
      </c>
      <c r="E13" t="inlineStr">
        <is>
          <t>【セット品】 クーリア スペシャルもっちもちシール 3種セット パクッとモグモグフード ハムハムエンジェル キャロットうさちゃん ボンボンドロップ ボンドロ かわいい 立体 シール ぷっくり ぷくぷく 正規品 本物 本家</t>
        </is>
      </c>
      <c r="F13" t="n">
        <v>1480</v>
      </c>
      <c r="G13" t="n">
        <v>612</v>
      </c>
      <c r="H13" t="n">
        <v>5</v>
      </c>
      <c r="I13">
        <f>SUM(G13*H13)</f>
        <v/>
      </c>
    </row>
    <row r="14" ht="13.5" customHeight="1">
      <c r="A14" s="27" t="inlineStr">
        <is>
          <t>4550391012053</t>
        </is>
      </c>
      <c r="B14" s="27" t="inlineStr">
        <is>
          <t>4550391012053</t>
        </is>
      </c>
      <c r="C14" s="27" t="inlineStr">
        <is>
          <t>2053,2060,2077,2084,2091/1116</t>
        </is>
      </c>
      <c r="D14" s="27" t="inlineStr">
        <is>
          <t>4550391012053</t>
        </is>
      </c>
      <c r="E14" t="inlineStr">
        <is>
          <t>【全6種セット】【正規品】クーリア キラシャカ ジュエリーシール クラウドポップタイム ミータイムホーミーズ フラッフィーコットンキャンディ ナイトミャウ キャンディツインズ きらりんエナガマーチ ボンボンドロップシール ボンドロ かわいい キラキラ 3D立体 ぷっくり</t>
        </is>
      </c>
      <c r="F14" t="n">
        <v>2980</v>
      </c>
      <c r="G14" t="n">
        <v>1116</v>
      </c>
      <c r="H14" t="n">
        <v>43</v>
      </c>
      <c r="I14">
        <f>SUM(G14*H14)</f>
        <v/>
      </c>
    </row>
    <row r="15" ht="13.5" customHeight="1">
      <c r="A15" s="27" t="inlineStr">
        <is>
          <t>4550391012121</t>
        </is>
      </c>
      <c r="B15" s="27" t="inlineStr">
        <is>
          <t>4550391012121</t>
        </is>
      </c>
      <c r="C15" s="27" t="inlineStr">
        <is>
          <t>AST-0008</t>
        </is>
      </c>
      <c r="D15" s="27" t="inlineStr">
        <is>
          <t>4550391012121</t>
        </is>
      </c>
      <c r="E15" t="inlineStr">
        <is>
          <t>【全4種セット】【正規品】 クーリア ボンボンドロップシール ちょこみん まじょねこ ういっしゅ すいーつ シール セット ボンドロ かわいい キラキラ 3D立体 ぷっくり ぷくぷく ご褒美シール 女の子 平成女子 シール帳 シール交換 収集 本物 本家 【新商品】</t>
        </is>
      </c>
      <c r="F15" t="n">
        <v>7980</v>
      </c>
      <c r="G15" t="n">
        <v>1020</v>
      </c>
      <c r="H15" t="n">
        <v>28</v>
      </c>
      <c r="I15">
        <f>SUM(G15*H15)</f>
        <v/>
      </c>
    </row>
    <row r="16" ht="13.5" customHeight="1">
      <c r="A16" s="27" t="inlineStr">
        <is>
          <t>4550391012367</t>
        </is>
      </c>
      <c r="B16" s="27" t="inlineStr">
        <is>
          <t>4550391012367</t>
        </is>
      </c>
      <c r="C16" s="27" t="inlineStr">
        <is>
          <t>2367,2459/347,157-a</t>
        </is>
      </c>
      <c r="D16" s="27" t="inlineStr">
        <is>
          <t>4550391012367</t>
        </is>
      </c>
      <c r="E16" t="inlineStr">
        <is>
          <t>【セット品】クーリア マイシールバインダー + シール台紙 セット キャンディツインズ/スター ボンドロ かわいい 立体 シール ぷっくり ぷくぷく シール交換 収集</t>
        </is>
      </c>
      <c r="F16" t="n">
        <v>1180</v>
      </c>
      <c r="G16" t="n">
        <v>504</v>
      </c>
      <c r="H16" t="n">
        <v>2</v>
      </c>
      <c r="I16">
        <f>SUM(G16*H16)</f>
        <v/>
      </c>
    </row>
    <row r="17" ht="13.5" customHeight="1">
      <c r="A17" s="27" t="inlineStr">
        <is>
          <t>4550391012374</t>
        </is>
      </c>
      <c r="B17" s="27" t="inlineStr">
        <is>
          <t>4550391012374</t>
        </is>
      </c>
      <c r="C17" s="27" t="inlineStr">
        <is>
          <t>2374,2466/347,157-a</t>
        </is>
      </c>
      <c r="D17" s="27" t="inlineStr">
        <is>
          <t>4550391012374</t>
        </is>
      </c>
      <c r="E17" t="inlineStr">
        <is>
          <t>【セット品】クーリア マイシールバインダー + シール台紙 セット キャンディツインズ ボンドロ かわいい 立体 シール ぷっくり ぷくぷく シール交換 収集</t>
        </is>
      </c>
      <c r="F17" t="n">
        <v>1180</v>
      </c>
      <c r="G17" t="n">
        <v>504</v>
      </c>
      <c r="H17" t="n">
        <v>2</v>
      </c>
      <c r="I17">
        <f>SUM(G17*H17)</f>
        <v/>
      </c>
    </row>
    <row r="18" ht="13.5" customHeight="1">
      <c r="A18" s="27" t="inlineStr">
        <is>
          <t>4550391012381</t>
        </is>
      </c>
      <c r="B18" s="27" t="inlineStr">
        <is>
          <t>4550391012381</t>
        </is>
      </c>
      <c r="C18" s="27" t="inlineStr">
        <is>
          <t>2381,2473/347,157-a</t>
        </is>
      </c>
      <c r="D18" s="27" t="inlineStr">
        <is>
          <t>4550391012381</t>
        </is>
      </c>
      <c r="E18" t="inlineStr">
        <is>
          <t>【セット品】クーリア マイシールバインダー + シール台紙 セット もふころりん/うさぎ ボンドロ かわいい 立体 シール ぷっくり ぷくぷく シール交換 収集</t>
        </is>
      </c>
      <c r="F18" t="n">
        <v>1180</v>
      </c>
      <c r="G18" t="n">
        <v>347.2</v>
      </c>
      <c r="H18" t="n">
        <v>2</v>
      </c>
      <c r="I18">
        <f>SUM(G18*H18)</f>
        <v/>
      </c>
    </row>
    <row r="19" ht="13.5" customHeight="1">
      <c r="A19" s="27" t="inlineStr">
        <is>
          <t>4550391012398</t>
        </is>
      </c>
      <c r="B19" s="27" t="inlineStr">
        <is>
          <t>4550391012398</t>
        </is>
      </c>
      <c r="C19" s="27" t="inlineStr">
        <is>
          <t>2398,2480/347,157-a</t>
        </is>
      </c>
      <c r="D19" s="27" t="inlineStr">
        <is>
          <t>4550391012398</t>
        </is>
      </c>
      <c r="E19" t="inlineStr">
        <is>
          <t>【セット品】クーリア マイシールバインダー + シール台紙 セット もふころりん/にゃんこ ボンドロ かわいい 立体 シール ぷっくり ぷくぷく シール交換 収集</t>
        </is>
      </c>
      <c r="F19" t="n">
        <v>1180</v>
      </c>
      <c r="G19" t="n">
        <v>347.2</v>
      </c>
      <c r="H19" t="n">
        <v>2</v>
      </c>
      <c r="I19">
        <f>SUM(G19*H19)</f>
        <v/>
      </c>
    </row>
    <row r="20" ht="13.5" customHeight="1">
      <c r="A20" s="27" t="inlineStr">
        <is>
          <t>4550391012404</t>
        </is>
      </c>
      <c r="B20" s="27" t="inlineStr">
        <is>
          <t>4550391012404</t>
        </is>
      </c>
      <c r="C20" s="27" t="inlineStr">
        <is>
          <t>2404,2497/347,157-a</t>
        </is>
      </c>
      <c r="D20" s="27" t="inlineStr">
        <is>
          <t>4550391012404</t>
        </is>
      </c>
      <c r="E20" t="inlineStr">
        <is>
          <t>【セット品】クーリア マイシールバインダー + シール台紙 セット エナガシロップ ボンドロ かわいい 立体 シール ぷっくり ぷくぷく シール交換 収集</t>
        </is>
      </c>
      <c r="F20" t="n">
        <v>1180</v>
      </c>
      <c r="G20" t="n">
        <v>347.2</v>
      </c>
      <c r="H20" t="n">
        <v>2</v>
      </c>
      <c r="I20">
        <f>SUM(G20*H20)</f>
        <v/>
      </c>
    </row>
    <row r="21" ht="13.5" customHeight="1">
      <c r="A21" s="27" t="inlineStr">
        <is>
          <t>4550391012411</t>
        </is>
      </c>
      <c r="B21" s="27" t="inlineStr">
        <is>
          <t>4550391012411</t>
        </is>
      </c>
      <c r="C21" s="27" t="inlineStr">
        <is>
          <t>2411,2503/347,157-a</t>
        </is>
      </c>
      <c r="D21" s="27" t="inlineStr">
        <is>
          <t>4550391012411</t>
        </is>
      </c>
      <c r="E21" t="inlineStr">
        <is>
          <t>【セット品】クーリア マイシールバインダー + シール台紙 セット シュガーミエル ボンドロ かわいい 立体 シール ぷっくり ぷくぷく シール交換 収集</t>
        </is>
      </c>
      <c r="F21" t="n">
        <v>1180</v>
      </c>
      <c r="G21" t="n">
        <v>504</v>
      </c>
      <c r="H21" t="n">
        <v>2</v>
      </c>
      <c r="I21">
        <f>SUM(G21*H21)</f>
        <v/>
      </c>
    </row>
    <row r="22" ht="13.5" customHeight="1">
      <c r="A22" s="27" t="inlineStr">
        <is>
          <t>4550391012428</t>
        </is>
      </c>
      <c r="B22" s="27" t="inlineStr">
        <is>
          <t>4550391012428</t>
        </is>
      </c>
      <c r="C22" s="27" t="inlineStr">
        <is>
          <t>2428,2510/347,157-a</t>
        </is>
      </c>
      <c r="D22" s="27" t="inlineStr">
        <is>
          <t>4550391012428</t>
        </is>
      </c>
      <c r="E22" t="inlineStr">
        <is>
          <t>【セット品】クーリア マイシールバインダー + シール台紙 セット おやすみバニー ボンドロ かわいい 立体 シール ぷっくり ぷくぷく シール交換 収集</t>
        </is>
      </c>
      <c r="F22" t="n">
        <v>1180</v>
      </c>
      <c r="G22" t="n">
        <v>347.2</v>
      </c>
      <c r="H22" t="n">
        <v>2</v>
      </c>
      <c r="I22">
        <f>SUM(G22*H22)</f>
        <v/>
      </c>
    </row>
    <row r="23" ht="13.5" customHeight="1">
      <c r="A23" s="27" t="inlineStr">
        <is>
          <t>4550391012435</t>
        </is>
      </c>
      <c r="B23" s="27" t="inlineStr">
        <is>
          <t>4550391012435</t>
        </is>
      </c>
      <c r="C23" s="27" t="inlineStr">
        <is>
          <t>2435,2527/347,157</t>
        </is>
      </c>
      <c r="D23" s="27" t="inlineStr">
        <is>
          <t>4550391012435</t>
        </is>
      </c>
      <c r="E23" t="inlineStr">
        <is>
          <t>【セット品】クーリア マイシールバインダー + シール台帳 セット クラウドポップタイム ボンドロ かわいい 立体 シール ぷっくり ぷくぷく シール交換 収集</t>
        </is>
      </c>
      <c r="F23" t="n">
        <v>1180</v>
      </c>
      <c r="G23" t="n">
        <v>347.2</v>
      </c>
      <c r="H23" t="n">
        <v>2</v>
      </c>
      <c r="I23">
        <f>SUM(G23*H23)</f>
        <v/>
      </c>
    </row>
    <row r="24" ht="13.5" customHeight="1">
      <c r="A24" s="27" t="inlineStr">
        <is>
          <t>4550391012800</t>
        </is>
      </c>
      <c r="B24" s="27" t="inlineStr">
        <is>
          <t>4550391012800</t>
        </is>
      </c>
      <c r="C24" s="27" t="inlineStr">
        <is>
          <t>2787,2800,2824/1044-a</t>
        </is>
      </c>
      <c r="D24" s="27" t="inlineStr">
        <is>
          <t>4550391012800</t>
        </is>
      </c>
      <c r="E24" t="inlineStr">
        <is>
          <t>【全3種セット】クーリア キラキラシールバインダー リボンA デイジーA ハートA シール収納 ステッカー収納 バインダー コレクトブック 推し活 トレカ収納 デコ コレクション 文房具 かわいい 女の子向け プレゼント ギフト クーリア まとめ買い</t>
        </is>
      </c>
      <c r="F24" t="n">
        <v>2980</v>
      </c>
      <c r="G24" t="n">
        <v>1044</v>
      </c>
      <c r="H24" t="n">
        <v>2</v>
      </c>
      <c r="I24">
        <f>SUM(G28*H28)</f>
        <v/>
      </c>
    </row>
    <row r="25" ht="13.5" customHeight="1">
      <c r="A25" s="27" t="inlineStr">
        <is>
          <t>4550391042821</t>
        </is>
      </c>
      <c r="B25" s="27" t="inlineStr">
        <is>
          <t>4550391042821</t>
        </is>
      </c>
      <c r="C25" s="27" t="inlineStr">
        <is>
          <t>2821,2838,2845,2852/ 1160</t>
        </is>
      </c>
      <c r="D25" s="27" t="inlineStr">
        <is>
          <t>4550391042821</t>
        </is>
      </c>
      <c r="E25" t="inlineStr">
        <is>
          <t>【セット品】クーリア しずくちゃん ボンボンドロップシール （ミニ） 4種セット 正規品 うるおいちゃん みるみるちゃん しずくの森のなかまたち ボンドロ かわいい 立体 シール ぷっくり ぷくぷく シール交換 収集 本物 本家</t>
        </is>
      </c>
      <c r="F25" t="n">
        <v>5980</v>
      </c>
      <c r="G25" t="n">
        <v>1160</v>
      </c>
      <c r="H25" t="n">
        <v>45</v>
      </c>
      <c r="I25">
        <f>SUM(G29*H29)</f>
        <v/>
      </c>
    </row>
    <row r="26" ht="13.5" customHeight="1">
      <c r="A26" s="27" t="inlineStr">
        <is>
          <t>4550391046515</t>
        </is>
      </c>
      <c r="B26" s="27" t="inlineStr">
        <is>
          <t>4550391046515</t>
        </is>
      </c>
      <c r="C26" s="27" t="inlineStr">
        <is>
          <t>AST-0011-a</t>
        </is>
      </c>
      <c r="D26" s="27" t="inlineStr">
        <is>
          <t>4550391046515</t>
        </is>
      </c>
      <c r="E26" t="inlineStr">
        <is>
          <t>【セット品】クーリア こびとづかん キラリンウォーターシール 2種セット 正規品 集合 カクレモモジリ かわいい 立体 シール ぷっくり ぷくぷく シール交換 収集 本物 本家 平成女子 女児 女子</t>
        </is>
      </c>
      <c r="F26" t="n">
        <v>2080</v>
      </c>
      <c r="G26" t="n">
        <v>638</v>
      </c>
      <c r="H26" t="n">
        <v>18</v>
      </c>
      <c r="I26">
        <f>SUM(G34*H34)</f>
        <v/>
      </c>
    </row>
    <row r="27" ht="13.5" customHeight="1">
      <c r="A27" s="27" t="inlineStr">
        <is>
          <t>4550391910564</t>
        </is>
      </c>
      <c r="B27" s="27" t="inlineStr">
        <is>
          <t>4550391910564</t>
        </is>
      </c>
      <c r="C27" s="27" t="inlineStr">
        <is>
          <t>0417,0564/440</t>
        </is>
      </c>
      <c r="D27" s="27" t="inlineStr">
        <is>
          <t>4550391910564</t>
        </is>
      </c>
      <c r="E27" t="inlineStr">
        <is>
          <t>【セット品】クーリア ボンボンドロップシール 2種セット 正規品 ゆにこん ももいろ ボンドロ かわいい 立体 シール ぷっくり ぷくぷく シール交換 収集 本物 本家</t>
        </is>
      </c>
      <c r="F27" t="n">
        <v>3980</v>
      </c>
      <c r="G27" t="n">
        <v>440</v>
      </c>
      <c r="H27" t="n">
        <v>4</v>
      </c>
      <c r="I27">
        <f>SUM(G41*H41)</f>
        <v/>
      </c>
    </row>
    <row r="28" ht="13.5" customHeight="1">
      <c r="A28" s="27" t="inlineStr">
        <is>
          <t>4550391911226</t>
        </is>
      </c>
      <c r="B28" s="27" t="inlineStr">
        <is>
          <t>4550391911226</t>
        </is>
      </c>
      <c r="C28" s="27" t="inlineStr">
        <is>
          <t>0417,0526,0564/660</t>
        </is>
      </c>
      <c r="D28" s="27" t="inlineStr">
        <is>
          <t>4550391911226</t>
        </is>
      </c>
      <c r="E28" t="inlineStr">
        <is>
          <t>【セット品】クーリア ボンボンドロップシール 3種セット 正規品 ゆにこん きぐるみ ももいろ ボンドロ かわいい 立体 シール ぷっくり ぷくぷく シール交換 収集 本物 本家</t>
        </is>
      </c>
      <c r="F28" t="n">
        <v>5980</v>
      </c>
      <c r="G28" t="n">
        <v>660</v>
      </c>
      <c r="H28" t="n">
        <v>3</v>
      </c>
      <c r="I28">
        <f>SUM(G42*H42)</f>
        <v/>
      </c>
    </row>
    <row r="29" ht="13.5" customHeight="1">
      <c r="A29" s="27" t="inlineStr">
        <is>
          <t>4550432282988</t>
        </is>
      </c>
      <c r="B29" s="27" t="inlineStr">
        <is>
          <t>4550432282988</t>
        </is>
      </c>
      <c r="C29" s="27" t="inlineStr">
        <is>
          <t>2988,2995,3008,3015,3022/4752</t>
        </is>
      </c>
      <c r="D29" s="27" t="inlineStr">
        <is>
          <t>4550432282988</t>
        </is>
      </c>
      <c r="E29" t="inlineStr">
        <is>
          <t>【セット品】ちいかわ ドロップブロックシール タイルシール 8種セット ちいかわ ハチワレ うさぎ モモンガ くりまんじゅう シーサー 着ぐるみ みんな デコシール キャラクターシール ステッカー アソートセット 文房具 手帳 ノート アルバム 立体 シール かわいい</t>
        </is>
      </c>
      <c r="F29" t="n">
        <v>7980</v>
      </c>
      <c r="G29" t="n">
        <v>594</v>
      </c>
      <c r="H29" t="n">
        <v>4</v>
      </c>
      <c r="I29">
        <f>SUM(G43*H43)</f>
        <v/>
      </c>
    </row>
    <row r="30" ht="13.5" customHeight="1">
      <c r="A30" s="27" t="inlineStr">
        <is>
          <t>4550451352129</t>
        </is>
      </c>
      <c r="B30" s="27" t="inlineStr">
        <is>
          <t>4550451352129</t>
        </is>
      </c>
      <c r="C30" s="27" t="inlineStr">
        <is>
          <t>2129,2167,2136/1815</t>
        </is>
      </c>
      <c r="D30" s="27" t="inlineStr">
        <is>
          <t>4550451352129</t>
        </is>
      </c>
      <c r="E30" t="inlineStr">
        <is>
          <t>【セット品】サンリオ コットンパフィーシール 3種セット マイメロディ クロミ シナモロール ハローキティ レオパード クラックス COTTON PUFFY ぷっくりシール デコシール 手帳デコ ノートデコ キャラクターシール 文房具 ステッカー アソートセット シール 立体 かわいい</t>
        </is>
      </c>
      <c r="F30" t="n">
        <v>4480</v>
      </c>
      <c r="G30" t="n">
        <v>605</v>
      </c>
      <c r="H30" t="n">
        <v>3</v>
      </c>
      <c r="I30">
        <f>SUM(G44*H44)</f>
        <v/>
      </c>
    </row>
    <row r="31" ht="13.5" customHeight="1">
      <c r="A31" s="27" t="inlineStr">
        <is>
          <t>4550451352129</t>
        </is>
      </c>
      <c r="B31" s="27" t="inlineStr">
        <is>
          <t>4550451352167</t>
        </is>
      </c>
      <c r="C31" s="27" t="inlineStr">
        <is>
          <t>2129,2167/1210</t>
        </is>
      </c>
      <c r="D31" s="27" t="inlineStr">
        <is>
          <t>4550451352129</t>
        </is>
      </c>
      <c r="E31" t="inlineStr">
        <is>
          <t>【セット品】サンリオ コットンパフィーシール 2種セット マイメロディ クロミ ハローキティ レオパード クラックス COTTON PUFFY ぷっくりシール デコシール 手帳デコ ノートデコ キャラクターシール 文房具 ステッカー アソートセット シール 立体 かわいい</t>
        </is>
      </c>
      <c r="F31" t="n">
        <v>3080</v>
      </c>
      <c r="G31" t="n">
        <v>605</v>
      </c>
      <c r="H31" t="n">
        <v>7</v>
      </c>
      <c r="I31">
        <f>SUM(G45*H45)</f>
        <v/>
      </c>
    </row>
    <row r="32" ht="13.5" customHeight="1">
      <c r="A32" s="27" t="inlineStr">
        <is>
          <t>4550451375821</t>
        </is>
      </c>
      <c r="B32" s="27" t="inlineStr">
        <is>
          <t>4550451375821</t>
        </is>
      </c>
      <c r="C32" s="27" t="inlineStr">
        <is>
          <t>5821,5814,6682,5791,5791/3630</t>
        </is>
      </c>
      <c r="D32" s="27" t="inlineStr">
        <is>
          <t>4550451375821</t>
        </is>
      </c>
      <c r="E32" t="inlineStr">
        <is>
          <t>【セット品】コットンパフィーシール 6種セット トイ・ストーリー スティッチ パワーパフガールズ mojojojo 実写 mojojojo ドラえもん クラックス シール ステッカー デコレーション 手帳 ノート コレクション キャラクター雑貨 まとめ買い アソート かわいい 立体 コットン</t>
        </is>
      </c>
      <c r="F32" t="n">
        <v>5980</v>
      </c>
      <c r="G32" t="n">
        <v>605</v>
      </c>
      <c r="H32" t="n">
        <v>2</v>
      </c>
      <c r="I32">
        <f>SUM(G46*H46)</f>
        <v/>
      </c>
    </row>
    <row r="33" ht="13.5" customHeight="1">
      <c r="A33" s="27" t="inlineStr">
        <is>
          <t>4562201211907</t>
        </is>
      </c>
      <c r="B33" s="27" t="inlineStr">
        <is>
          <t>4562201211907</t>
        </is>
      </c>
      <c r="C33" s="27" t="inlineStr">
        <is>
          <t>1907/19800</t>
        </is>
      </c>
      <c r="D33" s="27" t="inlineStr">
        <is>
          <t>4562201211907</t>
        </is>
      </c>
      <c r="E33" t="inlineStr">
        <is>
          <t>ショットナビ GPSゴルフナビ Shot Navi Evolve PRO エボルブプロ ブラック×レッド EVOLVE-PRO-EXR 腕時計型 距離計測 高精度GPS ゴルフウォッチ スコア管理 グリーン距離計測 ラウンド用 ゴルフ距離計 正規品 ゴルフ 測定 スコア スコア測定</t>
        </is>
      </c>
      <c r="F33" t="n">
        <v>29800</v>
      </c>
      <c r="G33" t="n">
        <v>19800</v>
      </c>
      <c r="H33" t="n">
        <v>3</v>
      </c>
      <c r="I33">
        <f>SUM(G47*H47)</f>
        <v/>
      </c>
    </row>
    <row r="34" ht="13.5" customHeight="1">
      <c r="A34" s="27" t="inlineStr">
        <is>
          <t>4571411204838</t>
        </is>
      </c>
      <c r="B34" s="27" t="inlineStr">
        <is>
          <t>4571411204838</t>
        </is>
      </c>
      <c r="C34" s="27" t="inlineStr">
        <is>
          <t>4571411204838</t>
        </is>
      </c>
      <c r="D34" s="27" t="inlineStr">
        <is>
          <t>4571411204838</t>
        </is>
      </c>
      <c r="E34" t="inlineStr">
        <is>
          <t>Anker 523 Charger Nano 3 47W ブラック A2039N11 USB-C 急速充電器 GaN PD対応 最大47W 2ポート USB充電器 Type-C 折りたたみ式 コンパクト 小型 MacBook iPad iPhone Android ノートPC タブレット対応 USB-C充電アダプター 高速充電 持ち運び Anker</t>
        </is>
      </c>
      <c r="F34" t="n">
        <v>8480</v>
      </c>
      <c r="G34" t="n">
        <v>3848</v>
      </c>
      <c r="H34" t="n">
        <v>3</v>
      </c>
      <c r="I34">
        <f>SUM(G48*H48)</f>
        <v/>
      </c>
    </row>
    <row r="35" ht="13.5" customHeight="1">
      <c r="A35" s="27" t="inlineStr">
        <is>
          <t>4571411205538</t>
        </is>
      </c>
      <c r="B35" s="27" t="inlineStr">
        <is>
          <t>4571411205538</t>
        </is>
      </c>
      <c r="C35" s="27" t="inlineStr">
        <is>
          <t>5538/2637</t>
        </is>
      </c>
      <c r="D35" s="27" t="inlineStr">
        <is>
          <t>4571411205538</t>
        </is>
      </c>
      <c r="E35" t="inlineStr">
        <is>
          <t>ANKER Anker 322 高耐久ナイロン USB-C &amp; USB-C ケーブル 0.9m ブラック×3個セット A81F5N11 PD対応 最大60W 急速充電 Type-C USB-Cケーブル 高耐久 ナイロン編み 断線防止 スマホ タブレット ノートPC Switch対応 充電コード データ転送 USB-IF認証 黒</t>
        </is>
      </c>
      <c r="F35" t="n">
        <v>4780</v>
      </c>
      <c r="G35" t="n">
        <v>2637</v>
      </c>
      <c r="H35" t="n">
        <v>2</v>
      </c>
      <c r="I35">
        <f>SUM(G49*H49)</f>
        <v/>
      </c>
    </row>
    <row r="36" ht="13.5" customHeight="1">
      <c r="A36" s="27" t="inlineStr">
        <is>
          <t>4571411208300</t>
        </is>
      </c>
      <c r="B36" s="27" t="inlineStr">
        <is>
          <t>4571411208300</t>
        </is>
      </c>
      <c r="C36" s="27" t="inlineStr">
        <is>
          <t>8300/1978</t>
        </is>
      </c>
      <c r="D36" s="27" t="inlineStr">
        <is>
          <t>4571411208300</t>
        </is>
      </c>
      <c r="E36" t="inlineStr">
        <is>
          <t>ANKER 322 USB-C &amp; USB-A ケーブル 0.9m ブラック×2個セット A81H5N11 USB2.0対応 Type-C USB-Cケーブル 高耐久 断線防止 USB-A Android スマホ タブレット モバイルバッテリー ゲーム機対応 データ転送 充電コード USB-IF認証 持ち運び 車載用 Anker</t>
        </is>
      </c>
      <c r="F36" t="n">
        <v>3980</v>
      </c>
      <c r="G36" t="n">
        <v>1978</v>
      </c>
      <c r="H36" t="n">
        <v>1</v>
      </c>
      <c r="I36">
        <f>SUM(G51*H51)</f>
        <v/>
      </c>
    </row>
    <row r="37" ht="13.5" customHeight="1">
      <c r="A37" s="27" t="inlineStr">
        <is>
          <t>4571411208324</t>
        </is>
      </c>
      <c r="B37" s="27" t="inlineStr">
        <is>
          <t>4571411208324</t>
        </is>
      </c>
      <c r="C37" s="27" t="inlineStr">
        <is>
          <t>8324/2197</t>
        </is>
      </c>
      <c r="D37" s="27" t="inlineStr">
        <is>
          <t>4571411208324</t>
        </is>
      </c>
      <c r="E37" t="inlineStr">
        <is>
          <t>Anker 322 USB-C &amp; USB-A ケーブル 1.8m ブラック×2個セット A81H6N11 USB2.0対応 Type-C USB-Cケーブル 高耐久 断線防止 USB-A Android スマホ タブレット モバイルバッテリー ゲーム機対応 データ転送 USB-IF認証 ロングケーブル 持ち運び 車載用 充電コード Anker</t>
        </is>
      </c>
      <c r="F37" t="n">
        <v>3980</v>
      </c>
      <c r="G37" t="n">
        <v>2197</v>
      </c>
      <c r="H37" t="n">
        <v>1</v>
      </c>
      <c r="I37">
        <f>SUM(G52*H52)</f>
        <v/>
      </c>
    </row>
    <row r="38" ht="13.5" customHeight="1">
      <c r="A38" s="27" t="inlineStr">
        <is>
          <t>4571411215971</t>
        </is>
      </c>
      <c r="B38" s="27" t="inlineStr">
        <is>
          <t>4571411215971</t>
        </is>
      </c>
      <c r="C38" s="27" t="inlineStr">
        <is>
          <t>5971/3297</t>
        </is>
      </c>
      <c r="D38" s="27" t="inlineStr">
        <is>
          <t>4571411215971</t>
        </is>
      </c>
      <c r="E38" t="inlineStr">
        <is>
          <t>ANKER Anker Charger (20W 2-Port) with USB-C &amp; USB-C ケーブル ブラック×2個セット B2348N11 急速充電器 USB PD対応 20W USB-C USB-A 2ポート PowerIQ コンパクト 小型 ACアダプター Type-C iPhone Android iPad スマホ タブレット 充電器 ケーブル付き PSE対応</t>
        </is>
      </c>
      <c r="F38" t="n">
        <v>5980</v>
      </c>
      <c r="G38" t="n">
        <v>3297</v>
      </c>
      <c r="H38" t="n">
        <v>1</v>
      </c>
      <c r="I38">
        <f>SUM(G53*H53)</f>
        <v/>
      </c>
    </row>
    <row r="39" ht="13.5" customHeight="1">
      <c r="A39" s="27" t="inlineStr">
        <is>
          <t>4571509303191</t>
        </is>
      </c>
      <c r="B39" s="27" t="inlineStr">
        <is>
          <t>4571509303191</t>
        </is>
      </c>
      <c r="C39" s="27" t="inlineStr">
        <is>
          <t>3191/539</t>
        </is>
      </c>
      <c r="D39" s="27" t="inlineStr">
        <is>
          <t>4571509303191</t>
        </is>
      </c>
      <c r="E39" t="inlineStr">
        <is>
          <t>ululis(ウルリス) パープル ウォーターコンク エクストラモイスト ハンドクリーム 65g 手 ケア 美容 乾燥</t>
        </is>
      </c>
      <c r="F39" t="n">
        <v>1680</v>
      </c>
      <c r="G39" t="n">
        <v>539</v>
      </c>
      <c r="H39" t="n">
        <v>4</v>
      </c>
      <c r="I39">
        <f>SUM(G54*H54)</f>
        <v/>
      </c>
    </row>
    <row r="40" ht="13.5" customHeight="1">
      <c r="A40" s="27" t="inlineStr">
        <is>
          <t>4580313723736</t>
        </is>
      </c>
      <c r="B40" s="27" t="inlineStr">
        <is>
          <t>4580313723736</t>
        </is>
      </c>
      <c r="C40" s="27" t="inlineStr">
        <is>
          <t>3736/40</t>
        </is>
      </c>
      <c r="D40" s="27" t="inlineStr">
        <is>
          <t>4580313723736-1</t>
        </is>
      </c>
      <c r="E40" t="inlineStr">
        <is>
          <t>ヴォイス マナッチ マナーズバッグ 30枚入り 犬 散歩袋 さんぽ</t>
        </is>
      </c>
      <c r="F40" t="n">
        <v>278</v>
      </c>
      <c r="G40" t="n">
        <v>40</v>
      </c>
      <c r="H40" t="n">
        <v>59</v>
      </c>
      <c r="I40">
        <f>SUM(G55*H55)</f>
        <v/>
      </c>
    </row>
    <row r="41" ht="13.5" customHeight="1">
      <c r="A41" s="27" t="inlineStr">
        <is>
          <t>4580313723736</t>
        </is>
      </c>
      <c r="B41" s="27" t="inlineStr">
        <is>
          <t>4580313723736</t>
        </is>
      </c>
      <c r="C41" s="27" t="inlineStr">
        <is>
          <t>3736/40</t>
        </is>
      </c>
      <c r="D41" s="27" t="inlineStr">
        <is>
          <t>4580313723736-2</t>
        </is>
      </c>
      <c r="E41" t="inlineStr">
        <is>
          <t>ヴォイス マナッチ マナーズバッグ 30枚入り 犬 散歩袋 さんぽ</t>
        </is>
      </c>
      <c r="F41" t="n">
        <v>1380</v>
      </c>
      <c r="G41" t="n">
        <v>40</v>
      </c>
      <c r="H41" t="n">
        <v>10</v>
      </c>
      <c r="I41">
        <f>SUM(G56*H56)</f>
        <v/>
      </c>
    </row>
    <row r="42" ht="13.5" customHeight="1">
      <c r="A42" s="27" t="inlineStr">
        <is>
          <t>4580313723736</t>
        </is>
      </c>
      <c r="B42" s="27" t="inlineStr">
        <is>
          <t>4580313723736</t>
        </is>
      </c>
      <c r="C42" s="27" t="inlineStr">
        <is>
          <t>3736/40</t>
        </is>
      </c>
      <c r="D42" s="27" t="inlineStr">
        <is>
          <t>4580313723736-3</t>
        </is>
      </c>
      <c r="E42" t="inlineStr">
        <is>
          <t>ヴォイス マナッチ マナーズバッグ 30枚入り 犬 散歩袋 さんぽ</t>
        </is>
      </c>
      <c r="F42" t="n">
        <v>9980</v>
      </c>
      <c r="G42" t="n">
        <v>40</v>
      </c>
      <c r="H42" t="n">
        <v>1</v>
      </c>
      <c r="I42">
        <f>SUM(G57*H57)</f>
        <v/>
      </c>
    </row>
    <row r="43" ht="13.5" customHeight="1">
      <c r="A43" s="27" t="inlineStr">
        <is>
          <t>4901301419859</t>
        </is>
      </c>
      <c r="B43" s="27" t="inlineStr">
        <is>
          <t>4901301419859</t>
        </is>
      </c>
      <c r="C43" s="27" t="inlineStr">
        <is>
          <t>9859/1800</t>
        </is>
      </c>
      <c r="D43" s="27" t="inlineStr">
        <is>
          <t>4901301419859</t>
        </is>
      </c>
      <c r="E43" t="inlineStr">
        <is>
          <t>花王 IROKA ホーリージャスミン 本体 540ml×2個セット 柔軟剤 部屋干し 雨の日 部屋 かろやか 香る きれい 清潔 衣類 防臭 抗菌 洗濯</t>
        </is>
      </c>
      <c r="F43" t="n">
        <v>2980</v>
      </c>
      <c r="G43" t="n">
        <v>1800</v>
      </c>
      <c r="H43" t="n">
        <v>11</v>
      </c>
      <c r="I43">
        <f>SUM(G58*H58)</f>
        <v/>
      </c>
    </row>
    <row r="44" ht="13.5" customHeight="1">
      <c r="A44" s="27" t="inlineStr">
        <is>
          <t>4901416183737</t>
        </is>
      </c>
      <c r="B44" s="27" t="inlineStr">
        <is>
          <t>4901416183737</t>
        </is>
      </c>
      <c r="C44" s="27" t="inlineStr">
        <is>
          <t>3737/3432</t>
        </is>
      </c>
      <c r="D44" s="27" t="inlineStr">
        <is>
          <t>4901416183737</t>
        </is>
      </c>
      <c r="E44" t="inlineStr">
        <is>
          <t>クラブ すっぴんパウダーC ホワイトフローラルブーケの香り 26g×3個セット 洗顔不要 フェイスパウダー ナイトパウダー つけたまま寝られる 毛穴カバー 透明感 スキンケアパウダー さらさら 保湿 ベースメイク お泊まりメイク 日本製 コスメ</t>
        </is>
      </c>
      <c r="F44" t="n">
        <v>4980</v>
      </c>
      <c r="G44" t="n">
        <v>3432</v>
      </c>
      <c r="H44" t="n">
        <v>14</v>
      </c>
      <c r="I44">
        <f>SUM(G59*H59)</f>
        <v/>
      </c>
    </row>
    <row r="45" ht="13.5" customHeight="1">
      <c r="A45" s="27" t="inlineStr">
        <is>
          <t>4901609017221</t>
        </is>
      </c>
      <c r="B45" s="27" t="inlineStr">
        <is>
          <t>4901609017221</t>
        </is>
      </c>
      <c r="C45" s="27" t="inlineStr">
        <is>
          <t>7221/1308</t>
        </is>
      </c>
      <c r="D45" s="27" t="inlineStr">
        <is>
          <t>4901609017221</t>
        </is>
      </c>
      <c r="E45" t="inlineStr">
        <is>
          <t>【2個セット】カビキラー お風呂に置くだけ防カビジェル お試しパック 本体1個＋カートリッジ2個×3セット ジョンソン 防カビ剤 浴室カビ対策 カビ予防 カビ防止 バスルーム掃除 お風呂掃除 カビ対策グッズ 置くだけ簡単 まとめ買い ストック カビ 掃除 水回り</t>
        </is>
      </c>
      <c r="F45" t="n">
        <v>4780</v>
      </c>
      <c r="G45" t="n">
        <v>1308</v>
      </c>
      <c r="H45" t="n">
        <v>2</v>
      </c>
      <c r="I45">
        <f>SUM(G60*H60)</f>
        <v/>
      </c>
    </row>
    <row r="46" ht="13.5" customHeight="1">
      <c r="A46" s="27" t="inlineStr">
        <is>
          <t>4903301377597</t>
        </is>
      </c>
      <c r="B46" s="27" t="inlineStr">
        <is>
          <t>4903301377597</t>
        </is>
      </c>
      <c r="C46" s="27" t="inlineStr">
        <is>
          <t>7597/1020</t>
        </is>
      </c>
      <c r="D46" s="27" t="inlineStr">
        <is>
          <t>4903301377597</t>
        </is>
      </c>
      <c r="E46" t="inlineStr">
        <is>
          <t>NANOXone 本体大600g＋超特大１６８０ｇ/ナノックス 洗剤 ニオイ 洗濯 洗濯洗剤 部屋干し 雨の日 部屋 きれい 清潔 衣類 静電気 防臭 抗菌 赤ちゃん ベビー 洗濯 ライオン</t>
        </is>
      </c>
      <c r="F46" t="n">
        <v>2080</v>
      </c>
      <c r="G46" t="n">
        <v>1020</v>
      </c>
      <c r="H46" t="n">
        <v>15</v>
      </c>
      <c r="I46">
        <f>SUM(G61*H61)</f>
        <v/>
      </c>
    </row>
    <row r="47" ht="13.5" customHeight="1">
      <c r="A47" s="27" t="inlineStr">
        <is>
          <t>4965858009567</t>
        </is>
      </c>
      <c r="B47" s="27" t="inlineStr">
        <is>
          <t>4965858009567</t>
        </is>
      </c>
      <c r="C47" s="27" t="inlineStr">
        <is>
          <t>9567/770</t>
        </is>
      </c>
      <c r="D47" s="27" t="inlineStr">
        <is>
          <t>4965858009567</t>
        </is>
      </c>
      <c r="E47" t="inlineStr">
        <is>
          <t>CIAOちゅ～る＆ハローキティ ラウンドベッド 【限定品】</t>
        </is>
      </c>
      <c r="F47" t="n">
        <v>2980</v>
      </c>
      <c r="G47" t="n">
        <v>770</v>
      </c>
      <c r="H47" t="n">
        <v>1</v>
      </c>
      <c r="I47">
        <f>SUM(G62*H62)</f>
        <v/>
      </c>
    </row>
    <row r="48" ht="13.5" customHeight="1">
      <c r="A48" s="27" t="inlineStr">
        <is>
          <t>4965858009581</t>
        </is>
      </c>
      <c r="B48" s="27" t="inlineStr">
        <is>
          <t>4965858009581</t>
        </is>
      </c>
      <c r="C48" s="27" t="inlineStr">
        <is>
          <t>9581/770</t>
        </is>
      </c>
      <c r="D48" s="27" t="inlineStr">
        <is>
          <t>4965858009581</t>
        </is>
      </c>
      <c r="E48" t="inlineStr">
        <is>
          <t>チャオ CIAO ちゅーる ラウンドベッド イエロー ペット用 【限定品】</t>
        </is>
      </c>
      <c r="F48" t="n">
        <v>2980</v>
      </c>
      <c r="G48" t="n">
        <v>770</v>
      </c>
      <c r="H48" t="n">
        <v>4</v>
      </c>
      <c r="I48">
        <f>SUM(G63*H63)</f>
        <v/>
      </c>
    </row>
    <row r="49" ht="13.5" customHeight="1">
      <c r="A49" s="27" t="inlineStr">
        <is>
          <t>4971710623789</t>
        </is>
      </c>
      <c r="B49" s="27" t="inlineStr">
        <is>
          <t>4971710623789</t>
        </is>
      </c>
      <c r="C49" s="27" t="inlineStr">
        <is>
          <t>3789/17050</t>
        </is>
      </c>
      <c r="D49" s="27" t="inlineStr">
        <is>
          <t>4971710623789</t>
        </is>
      </c>
      <c r="E49" t="inlineStr">
        <is>
          <t>COSME DECORTE コスメデコルテ リポソーム アドバンスト リペアセラム パープルリボン 2025 限定セット 美容液 化粧水 美肌ケア 美容 クリスマス コフレ 【数量限定】</t>
        </is>
      </c>
      <c r="F49" t="n">
        <v>22980</v>
      </c>
      <c r="G49" t="n">
        <v>17050</v>
      </c>
      <c r="H49" t="n">
        <v>44</v>
      </c>
      <c r="I49">
        <f>SUM(G64*H64)</f>
        <v/>
      </c>
    </row>
    <row r="50" ht="13.5" customHeight="1">
      <c r="A50" s="27" t="inlineStr">
        <is>
          <t>4973307685309</t>
        </is>
      </c>
      <c r="B50" s="27" t="inlineStr">
        <is>
          <t>4973307685309</t>
        </is>
      </c>
      <c r="C50" s="27" t="n"/>
      <c r="D50" s="27" t="inlineStr">
        <is>
          <t>4973307685309</t>
        </is>
      </c>
      <c r="E50" t="inlineStr">
        <is>
          <t>スケーター(Skater) 子供用 箸 箸箱セット 16.5cm 子供用 お弁当用 抗菌加工 男の子 女の子 開けやすいスライド式 日本製 竹下ぱらだいす ABS2AMAG</t>
        </is>
      </c>
      <c r="F50" t="n">
        <v>798</v>
      </c>
      <c r="G50" t="n">
        <v>110</v>
      </c>
      <c r="H50" t="n">
        <v>5</v>
      </c>
      <c r="I50">
        <f>SUM(G65*H65)</f>
        <v/>
      </c>
    </row>
    <row r="51" ht="13.5" customHeight="1">
      <c r="A51" s="27" t="inlineStr">
        <is>
          <t>4973307685354</t>
        </is>
      </c>
      <c r="B51" s="27" t="inlineStr">
        <is>
          <t>4973307685354</t>
        </is>
      </c>
      <c r="C51" s="27" t="inlineStr">
        <is>
          <t>5354/100</t>
        </is>
      </c>
      <c r="D51" s="27" t="inlineStr">
        <is>
          <t>4973307685354</t>
        </is>
      </c>
      <c r="E51" t="inlineStr">
        <is>
          <t>スケーター ランチクロス 竹下☆ぱらだいす お弁当 skater ナフキン 685354 入園 入学 日本製 給食 男の子 女の子 人気 キッズ グッズ</t>
        </is>
      </c>
      <c r="F51" t="n">
        <v>698</v>
      </c>
      <c r="G51" t="n">
        <v>110</v>
      </c>
      <c r="H51" t="n">
        <v>3</v>
      </c>
      <c r="I51">
        <f>SUM(G66*H66)</f>
        <v/>
      </c>
    </row>
    <row r="52" ht="13.5" customHeight="1">
      <c r="A52" s="27" t="inlineStr">
        <is>
          <t>4987176266804</t>
        </is>
      </c>
      <c r="B52" s="27" t="inlineStr">
        <is>
          <t>4987176266804</t>
        </is>
      </c>
      <c r="C52" s="27" t="inlineStr">
        <is>
          <t>6804/28800</t>
        </is>
      </c>
      <c r="D52" s="27" t="inlineStr">
        <is>
          <t>4987176266804</t>
        </is>
      </c>
      <c r="E52" t="inlineStr">
        <is>
          <t>ブラウン BRAUN 電気シェーバー シリーズ8 ［3枚刃 /AC100V-240V］ マットシルバー 8567CC-V アルコール洗浄システム付 シェーバーケース付 電動 髭剃り メンズ 防水設計 充電式 コードレス</t>
        </is>
      </c>
      <c r="F52" t="n">
        <v>39800</v>
      </c>
      <c r="G52" t="n">
        <v>28800</v>
      </c>
      <c r="H52" t="n">
        <v>2</v>
      </c>
      <c r="I52">
        <f>SUM(G67*H67)</f>
        <v/>
      </c>
    </row>
    <row r="53" ht="13.5" customHeight="1">
      <c r="A53" s="27" t="inlineStr">
        <is>
          <t>6941057452425</t>
        </is>
      </c>
      <c r="B53" s="27" t="inlineStr">
        <is>
          <t>6941057452425</t>
        </is>
      </c>
      <c r="C53" s="27" t="inlineStr">
        <is>
          <t>272</t>
        </is>
      </c>
      <c r="D53" s="27" t="inlineStr">
        <is>
          <t>6941057452425</t>
        </is>
      </c>
      <c r="E53" t="inlineStr">
        <is>
          <t>INTEX インテックス 子供用 浮き輪 オーシャンリーフリング 61cm プール 海 川 水遊び フロート キッズ うきわ かわいい トランスペアレント 色柄指定不可</t>
        </is>
      </c>
      <c r="F53" t="n">
        <v>999</v>
      </c>
      <c r="G53" t="n">
        <v>272</v>
      </c>
      <c r="H53" t="n">
        <v>19</v>
      </c>
      <c r="I53">
        <f>SUM(G68*H68)</f>
        <v/>
      </c>
    </row>
    <row r="54" ht="13.5" customHeight="1">
      <c r="A54" s="27" t="inlineStr">
        <is>
          <t>840064400329</t>
        </is>
      </c>
      <c r="B54" s="27" t="inlineStr">
        <is>
          <t>840064400329</t>
        </is>
      </c>
      <c r="C54" s="27" t="inlineStr">
        <is>
          <t>0329</t>
        </is>
      </c>
      <c r="D54" s="27" t="inlineStr">
        <is>
          <t>840064400329</t>
        </is>
      </c>
      <c r="E54" t="inlineStr">
        <is>
          <t>EPOS / sennheiser ワイヤレスゲーミングヘッドセット GSP 370 Xbox One ヘッドセット サラウンドサウンド RGB LED照明 ノイズアイソレーション オーバーイヤーゲームヘッドセット 調節可能なマイク付き PS4 Xbox One Nintendo Switch PC ノートパソコン用</t>
        </is>
      </c>
      <c r="F54" t="n">
        <v>17800</v>
      </c>
      <c r="G54" t="n">
        <v>5000</v>
      </c>
      <c r="H54" t="n">
        <v>1</v>
      </c>
      <c r="I54">
        <f>SUM(G69*H69)</f>
        <v/>
      </c>
    </row>
    <row r="55" ht="13.5" customHeight="1">
      <c r="A55" s="27" t="inlineStr">
        <is>
          <t>8720689024570</t>
        </is>
      </c>
      <c r="B55" s="27" t="inlineStr">
        <is>
          <t>8720689024570</t>
        </is>
      </c>
      <c r="C55" s="27" t="inlineStr">
        <is>
          <t>4570/5980</t>
        </is>
      </c>
      <c r="D55" s="27" t="inlineStr">
        <is>
          <t>8720689024570</t>
        </is>
      </c>
      <c r="E55" t="inlineStr">
        <is>
          <t>フィリップス PHILIPS 電気シェーバー X305200 ダークフォレストグリーン 3000Xシリーズ 電動 髭剃り メンズ 27枚刃 回転式 急速充電 丸洗い可 4Dフレックスヘッド</t>
        </is>
      </c>
      <c r="F55" t="n">
        <v>7980</v>
      </c>
      <c r="G55" t="n">
        <v>5980</v>
      </c>
      <c r="H55" t="n">
        <v>3</v>
      </c>
      <c r="I55">
        <f>SUM(G70*H70)</f>
        <v/>
      </c>
    </row>
    <row r="56" ht="13.5" customHeight="1">
      <c r="A56" s="27" t="inlineStr">
        <is>
          <t>6941057420004</t>
        </is>
      </c>
      <c r="B56" s="27" t="inlineStr">
        <is>
          <t>b00004ysym</t>
        </is>
      </c>
      <c r="C56" s="27" t="inlineStr">
        <is>
          <t>0004/540</t>
        </is>
      </c>
      <c r="D56" s="27" t="inlineStr">
        <is>
          <t>b00004ysym</t>
        </is>
      </c>
      <c r="E56" t="inlineStr">
        <is>
          <t>INTEX(インテックス) フィルターカートリッジ プール 除菌 水遊び 夏 浄化装置 濾過 ろ過 夏 プール用品</t>
        </is>
      </c>
      <c r="F56" t="n">
        <v>1980</v>
      </c>
      <c r="G56" t="n">
        <v>540</v>
      </c>
      <c r="H56" t="n">
        <v>7</v>
      </c>
      <c r="I56">
        <f>SUM(G71*H71)</f>
        <v/>
      </c>
      <c r="J56" t="inlineStr">
        <is>
          <t>✓ 一致（SKU）</t>
        </is>
      </c>
      <c r="K56" t="inlineStr">
        <is>
          <t>6941057420004</t>
        </is>
      </c>
    </row>
    <row r="57" ht="13.5" customHeight="1">
      <c r="A57" s="27" t="inlineStr">
        <is>
          <t>6941057420004</t>
        </is>
      </c>
      <c r="B57" s="27" t="inlineStr">
        <is>
          <t>b00004ysym-1</t>
        </is>
      </c>
      <c r="C57" s="27" t="inlineStr">
        <is>
          <t>0004/1620</t>
        </is>
      </c>
      <c r="D57" s="27" t="inlineStr">
        <is>
          <t>B00004YSYM-1</t>
        </is>
      </c>
      <c r="E57" t="inlineStr">
        <is>
          <t>INTEX インテックス フィルターカートリッジ 3個セット プール用 浄化フィルター ろ過フィルター 除菌 循環ポンプ対応 家庭用プール 水遊び 夏 プール用品 交換用フィルター</t>
        </is>
      </c>
      <c r="F57" t="n">
        <v>3980</v>
      </c>
      <c r="G57" t="n">
        <v>1620</v>
      </c>
      <c r="H57" t="n">
        <v>2</v>
      </c>
      <c r="I57">
        <f>SUM(G72*H72)</f>
        <v/>
      </c>
      <c r="J57" t="inlineStr">
        <is>
          <t>✓ 一致（SKU）</t>
        </is>
      </c>
      <c r="K57" t="inlineStr">
        <is>
          <t>6941057420004</t>
        </is>
      </c>
    </row>
    <row r="58" ht="13.5" customHeight="1">
      <c r="A58" s="27" t="inlineStr">
        <is>
          <t>4902580342142</t>
        </is>
      </c>
      <c r="B58" s="27" t="inlineStr">
        <is>
          <t>b0000acba8</t>
        </is>
      </c>
      <c r="C58" s="27" t="inlineStr">
        <is>
          <t>2142/1980-a</t>
        </is>
      </c>
      <c r="D58" s="27" t="inlineStr">
        <is>
          <t>b0000acba8</t>
        </is>
      </c>
      <c r="E58" t="inlineStr">
        <is>
          <t>maxell MFHD18CC.22P 3.5型フロッピーディスク 2HD DOS/Vフォーマット カラーミックス 22枚パック ディスク 保存 持ち歩き セキュリティー</t>
        </is>
      </c>
      <c r="F58" t="n">
        <v>3280</v>
      </c>
      <c r="G58" t="n">
        <v>1980</v>
      </c>
      <c r="H58" t="n">
        <v>10</v>
      </c>
      <c r="I58">
        <f>SUM(G73*H73)</f>
        <v/>
      </c>
      <c r="J58" t="inlineStr">
        <is>
          <t>✓ 一致（SKU）</t>
        </is>
      </c>
      <c r="K58" t="inlineStr">
        <is>
          <t>4902580342142</t>
        </is>
      </c>
    </row>
    <row r="59" ht="13.5" customHeight="1">
      <c r="A59" s="27" t="inlineStr">
        <is>
          <t>3264680009785</t>
        </is>
      </c>
      <c r="B59" s="27" t="inlineStr">
        <is>
          <t>b000o7lk1c</t>
        </is>
      </c>
      <c r="C59" s="27" t="inlineStr">
        <is>
          <t>9785</t>
        </is>
      </c>
      <c r="D59" s="27" t="inlineStr">
        <is>
          <t>b000o7lk1c</t>
        </is>
      </c>
      <c r="E59" t="inlineStr">
        <is>
          <t>Nuxe(ニュクス) プロディジュー ゴールドオイル 50mL ヘアオイル ボディオイル フェイスオイル 全身用 マルチ美容オイル 香り ドライオイル 保湿 乾燥 潤い ツヤ肌 さらさら キラキラ フレグランスオイル 魅惑の香り ギフト</t>
        </is>
      </c>
      <c r="F59" t="n">
        <v>3980</v>
      </c>
      <c r="G59" t="n">
        <v>0</v>
      </c>
      <c r="H59" t="n">
        <v>3</v>
      </c>
      <c r="I59">
        <f>SUM(G75*H75)</f>
        <v/>
      </c>
      <c r="J59" t="inlineStr">
        <is>
          <t>✓ 一致（SKU）</t>
        </is>
      </c>
      <c r="K59" t="inlineStr">
        <is>
          <t>3264680009785</t>
        </is>
      </c>
    </row>
    <row r="60" ht="13.5" customHeight="1">
      <c r="A60" s="27" t="inlineStr">
        <is>
          <t>4902424424430</t>
        </is>
      </c>
      <c r="B60" s="27" t="inlineStr">
        <is>
          <t>b000v2f0aw</t>
        </is>
      </c>
      <c r="C60" s="27" t="inlineStr">
        <is>
          <t>4430/878</t>
        </is>
      </c>
      <c r="D60" s="27" t="inlineStr">
        <is>
          <t>b000v2f0aw</t>
        </is>
      </c>
      <c r="E60" t="inlineStr">
        <is>
          <t>フマキラー 蚊取り線香 レギュラー 箱 30巻×2個セット 蚊 線香 むし 虫 虫除け</t>
        </is>
      </c>
      <c r="F60" t="n">
        <v>1980</v>
      </c>
      <c r="G60" t="n">
        <v>878</v>
      </c>
      <c r="H60" t="n">
        <v>7</v>
      </c>
      <c r="I60">
        <f>SUM(G76*H76)</f>
        <v/>
      </c>
      <c r="J60" t="inlineStr">
        <is>
          <t>✓ 一致（SKU）</t>
        </is>
      </c>
      <c r="K60" t="inlineStr">
        <is>
          <t>4902424424430</t>
        </is>
      </c>
    </row>
    <row r="61" ht="13.5" customHeight="1">
      <c r="A61" s="27" t="inlineStr">
        <is>
          <t>4987244145055</t>
        </is>
      </c>
      <c r="B61" s="27" t="inlineStr">
        <is>
          <t>b000v2fg38</t>
        </is>
      </c>
      <c r="C61" s="27" t="inlineStr">
        <is>
          <t>4987244145055-a</t>
        </is>
      </c>
      <c r="D61" s="27" t="inlineStr">
        <is>
          <t>B000V2FG38</t>
        </is>
      </c>
      <c r="E61" t="inlineStr">
        <is>
          <t>シッカロールキュア ペビーパウダー 赤ちゃん 汗疹 薬用 シッカロール</t>
        </is>
      </c>
      <c r="F61" t="n">
        <v>999</v>
      </c>
      <c r="G61" t="n">
        <v>165</v>
      </c>
      <c r="H61" t="n">
        <v>3</v>
      </c>
      <c r="I61">
        <f>SUM(G77*H77)</f>
        <v/>
      </c>
      <c r="J61" t="inlineStr">
        <is>
          <t>✓ 一致（SKU）</t>
        </is>
      </c>
      <c r="K61" t="inlineStr">
        <is>
          <t>4987244145055</t>
        </is>
      </c>
    </row>
    <row r="62" ht="13.5" customHeight="1">
      <c r="A62" s="27" t="inlineStr">
        <is>
          <t>4987244145055</t>
        </is>
      </c>
      <c r="B62" s="27" t="inlineStr">
        <is>
          <t>b000v2fg38</t>
        </is>
      </c>
      <c r="C62" s="27" t="inlineStr">
        <is>
          <t>4987244145055-a</t>
        </is>
      </c>
      <c r="D62" s="27" t="inlineStr">
        <is>
          <t>B005LKCN7C</t>
        </is>
      </c>
      <c r="E62" t="inlineStr">
        <is>
          <t>シッカロールキュア ペビーパウダー 赤ちゃん 汗疹 薬用 シッカロール</t>
        </is>
      </c>
      <c r="F62" t="n">
        <v>3980</v>
      </c>
      <c r="G62" t="n">
        <v>165</v>
      </c>
      <c r="H62" t="n">
        <v>5</v>
      </c>
      <c r="I62">
        <f>SUM(G78*H78)</f>
        <v/>
      </c>
      <c r="J62" t="inlineStr">
        <is>
          <t>✓ 一致（SKU）</t>
        </is>
      </c>
      <c r="K62" t="inlineStr">
        <is>
          <t>4987244145055</t>
        </is>
      </c>
    </row>
    <row r="63" ht="13.5" customHeight="1">
      <c r="A63" s="27" t="inlineStr">
        <is>
          <t>4987244145055</t>
        </is>
      </c>
      <c r="B63" s="27" t="inlineStr">
        <is>
          <t>b000v2fg38</t>
        </is>
      </c>
      <c r="C63" s="27" t="inlineStr">
        <is>
          <t>4987244145055-a</t>
        </is>
      </c>
      <c r="D63" s="27" t="inlineStr">
        <is>
          <t>B005LKD9DE</t>
        </is>
      </c>
      <c r="E63" t="inlineStr">
        <is>
          <t>シッカロールキュア ペビーパウダー 赤ちゃん 汗疹 薬用 シッカロール</t>
        </is>
      </c>
      <c r="F63" t="n">
        <v>2480</v>
      </c>
      <c r="G63" t="n">
        <v>165</v>
      </c>
      <c r="H63" t="n">
        <v>5</v>
      </c>
      <c r="I63">
        <f>SUM(G79*H79)</f>
        <v/>
      </c>
      <c r="J63" t="inlineStr">
        <is>
          <t>✓ 一致（商品管理番号）</t>
        </is>
      </c>
      <c r="K63" t="inlineStr">
        <is>
          <t>4987244145055</t>
        </is>
      </c>
    </row>
    <row r="64" ht="13.5" customHeight="1">
      <c r="A64" s="27" t="inlineStr">
        <is>
          <t>4987244145055</t>
        </is>
      </c>
      <c r="B64" s="27" t="inlineStr">
        <is>
          <t>b000v2fg38</t>
        </is>
      </c>
      <c r="C64" s="27" t="inlineStr">
        <is>
          <t>4987244145055-a</t>
        </is>
      </c>
      <c r="D64" s="27" t="inlineStr">
        <is>
          <t>B01MAV8BRE</t>
        </is>
      </c>
      <c r="E64" t="inlineStr">
        <is>
          <t>シッカロールキュア ペビーパウダー 赤ちゃん 汗疹 薬用 シッカロール</t>
        </is>
      </c>
      <c r="F64" t="n">
        <v>4780</v>
      </c>
      <c r="G64" t="n">
        <v>165</v>
      </c>
      <c r="H64" t="n">
        <v>5</v>
      </c>
      <c r="I64">
        <f>SUM(G80*H80)</f>
        <v/>
      </c>
      <c r="J64" t="inlineStr">
        <is>
          <t>✓ 一致（SKU）</t>
        </is>
      </c>
      <c r="K64" t="inlineStr">
        <is>
          <t>4987244145055</t>
        </is>
      </c>
    </row>
    <row r="65" ht="13.5" customHeight="1">
      <c r="A65" s="27" t="inlineStr">
        <is>
          <t>4901422152505</t>
        </is>
      </c>
      <c r="B65" s="27" t="inlineStr">
        <is>
          <t>b000vicipq</t>
        </is>
      </c>
      <c r="C65" s="27" t="inlineStr">
        <is>
          <t>2505/1112</t>
        </is>
      </c>
      <c r="D65" s="27" t="inlineStr">
        <is>
          <t>B000VICIPQ</t>
        </is>
      </c>
      <c r="E65" t="inlineStr">
        <is>
          <t>【3本セット】NEWクレラップ お徳用 22cm×50m 日本製 キッチンラップ 電子レンジ対応 食品保存 冷蔵保存 冷凍保存 作り置き 密着フィルム 家庭用ラップ キッチン用品 台所用品 消耗品 日用品 ストック まとめ買い 食材保存 キッチン消耗品 調理用品 料理 下ごしらえ 常備品</t>
        </is>
      </c>
      <c r="F65" t="n">
        <v>2780</v>
      </c>
      <c r="G65" t="n">
        <v>1112</v>
      </c>
      <c r="H65" t="n">
        <v>1</v>
      </c>
      <c r="I65">
        <f>SUM(G81*H81)</f>
        <v/>
      </c>
    </row>
    <row r="66" ht="13.5" customHeight="1">
      <c r="A66" s="27" t="inlineStr">
        <is>
          <t>4901422153502</t>
        </is>
      </c>
      <c r="B66" s="27" t="inlineStr">
        <is>
          <t>b0012vqlky</t>
        </is>
      </c>
      <c r="C66" s="27" t="inlineStr">
        <is>
          <t>3502/2634</t>
        </is>
      </c>
      <c r="D66" s="27" t="inlineStr">
        <is>
          <t>b0012vqlky</t>
        </is>
      </c>
      <c r="E66" t="inlineStr">
        <is>
          <t>NEWクレラップ お徳用 レギュラー 30cm×50m 6本セット 食品ラップ キッチンラップ 日用品 まとめ買い ストック 保存用 送料無料 保存用ラップ ラップ まとめ買い 食品保存 キッチン用品 台所用品 消耗品</t>
        </is>
      </c>
      <c r="F66" t="n">
        <v>4780</v>
      </c>
      <c r="G66" t="n">
        <v>1370</v>
      </c>
      <c r="H66" t="n">
        <v>5</v>
      </c>
      <c r="I66">
        <f>SUM(G82*H82)</f>
        <v/>
      </c>
      <c r="J66" t="inlineStr">
        <is>
          <t>✓ 一致（SKU）</t>
        </is>
      </c>
      <c r="K66" t="inlineStr">
        <is>
          <t>4901422153502</t>
        </is>
      </c>
    </row>
    <row r="67" ht="13.5" customHeight="1">
      <c r="A67" s="27" t="inlineStr">
        <is>
          <t>4901422153205</t>
        </is>
      </c>
      <c r="B67" s="27" t="inlineStr">
        <is>
          <t>b0018b5c30</t>
        </is>
      </c>
      <c r="C67" s="27" t="inlineStr">
        <is>
          <t>3205/1540</t>
        </is>
      </c>
      <c r="D67" s="27" t="inlineStr">
        <is>
          <t>b0018b5c30</t>
        </is>
      </c>
      <c r="E67" t="inlineStr">
        <is>
          <t>【8個セット】NEWクレラップ レギュラー 30cm×20m×8個セット クレラップ ラップ 食品保存ラップ キッチンラップ 保存用ラップ 電子レンジ対応 冷凍保存 食材保存 作り置き お弁当 キッチン用品 台所用品 日用品 消耗品 ストック まとめ買い 家庭用 クレハ KUREHA</t>
        </is>
      </c>
      <c r="F67" t="n">
        <v>2980</v>
      </c>
      <c r="G67" t="n">
        <v>1540</v>
      </c>
      <c r="H67" t="n">
        <v>5</v>
      </c>
      <c r="I67">
        <f>SUM(G83*H83)</f>
        <v/>
      </c>
      <c r="J67" t="inlineStr">
        <is>
          <t>✓ 一致（SKU）</t>
        </is>
      </c>
      <c r="K67" t="inlineStr">
        <is>
          <t>4901422153205</t>
        </is>
      </c>
    </row>
    <row r="68" ht="13.5" customHeight="1">
      <c r="A68" s="27" t="inlineStr">
        <is>
          <t>4901422151508</t>
        </is>
      </c>
      <c r="B68" s="27" t="inlineStr">
        <is>
          <t>b0018b8fx4</t>
        </is>
      </c>
      <c r="C68" s="27" t="inlineStr">
        <is>
          <t>1508/1544</t>
        </is>
      </c>
      <c r="D68" s="27" t="inlineStr">
        <is>
          <t>B0018B8FX4</t>
        </is>
      </c>
      <c r="E68" t="inlineStr">
        <is>
          <t>NEWクレラップ ミニ 15cm×50m×6個セット ラップ クレラップ 台所 料理</t>
        </is>
      </c>
      <c r="F68" t="n">
        <v>3080</v>
      </c>
      <c r="G68" t="n">
        <v>1544</v>
      </c>
      <c r="H68" t="n">
        <v>1</v>
      </c>
      <c r="I68">
        <f>SUM(G84*H84)</f>
        <v/>
      </c>
      <c r="J68" t="inlineStr">
        <is>
          <t>✓ 一致（SKU）</t>
        </is>
      </c>
      <c r="K68" t="inlineStr">
        <is>
          <t>4901422151508</t>
        </is>
      </c>
    </row>
    <row r="69" ht="13.5" customHeight="1">
      <c r="A69" s="27" t="inlineStr">
        <is>
          <t>4544059032330</t>
        </is>
      </c>
      <c r="B69" s="27" t="inlineStr">
        <is>
          <t>b001ai51n2</t>
        </is>
      </c>
      <c r="C69" s="27" t="inlineStr">
        <is>
          <t>2330/1220-a</t>
        </is>
      </c>
      <c r="D69" s="27" t="inlineStr">
        <is>
          <t>B001AI51N2</t>
        </is>
      </c>
      <c r="E69" t="inlineStr">
        <is>
          <t>【まとめ買い】 日本カルシウム工業 ダイエットイオン整水器 38g 4個セット 水質改善 浄水パック ペットボトル用 携帯浄水 浄水スティック カルキ除去 アルカリイオン水 日本製 節約 防災対策 水道水 美味しく【お茶パック付き】</t>
        </is>
      </c>
      <c r="F69" t="n">
        <v>2380</v>
      </c>
      <c r="G69" t="n">
        <v>1220</v>
      </c>
      <c r="H69" t="n">
        <v>0</v>
      </c>
      <c r="I69">
        <f>SUM(G85*H85)</f>
        <v/>
      </c>
    </row>
    <row r="70" ht="13.5" customHeight="1">
      <c r="A70" s="27" t="inlineStr">
        <is>
          <t>4902628241307</t>
        </is>
      </c>
      <c r="B70" s="27" t="inlineStr">
        <is>
          <t>b001v7wmlg</t>
        </is>
      </c>
      <c r="C70" s="27" t="inlineStr">
        <is>
          <t>4902628241307-2-a</t>
        </is>
      </c>
      <c r="D70" s="27" t="inlineStr">
        <is>
          <t>b001v7wmlg</t>
        </is>
      </c>
      <c r="E70" t="inlineStr">
        <is>
          <t>【2個セット】純椿油 プッシュタイプ 65mL ヘアオイル スキンオイル 保湿 乾燥対策 髪 肌 頭皮ケア ツヤ まとまり パサつき対策 天然椿油 カメリアオイル 日本製 マルチオイル 洗い流さないトリートメント スタイリングオイル しっとりケア まとめ買い 日用品</t>
        </is>
      </c>
      <c r="F70" t="n">
        <v>3480</v>
      </c>
      <c r="G70" t="n">
        <v>1540</v>
      </c>
      <c r="H70" t="n">
        <v>24</v>
      </c>
      <c r="I70">
        <f>SUM(G86*H86)</f>
        <v/>
      </c>
      <c r="J70" t="inlineStr">
        <is>
          <t>✓ 一致（SKU）</t>
        </is>
      </c>
      <c r="K70" t="inlineStr">
        <is>
          <t>4902628241307</t>
        </is>
      </c>
    </row>
    <row r="71" ht="13.5" customHeight="1">
      <c r="A71" s="27" t="inlineStr">
        <is>
          <t>4904510229912</t>
        </is>
      </c>
      <c r="B71" s="27" t="inlineStr">
        <is>
          <t>b002wgto52</t>
        </is>
      </c>
      <c r="C71" s="27" t="inlineStr">
        <is>
          <t>9912/1538-a</t>
        </is>
      </c>
      <c r="D71" s="27" t="inlineStr">
        <is>
          <t>b002wgto52</t>
        </is>
      </c>
      <c r="E71" t="inlineStr">
        <is>
          <t>ダンロップ 使い捨てゴム手袋 Sサイズ 50枚入×2個セット 合計100枚 極薄 ホワイト パウダーフリー 食品衛生対応 キッチン 掃除 介護 作業用 手袋 使い捨て手袋</t>
        </is>
      </c>
      <c r="F71" t="n">
        <v>3280</v>
      </c>
      <c r="G71" t="n">
        <v>1538</v>
      </c>
      <c r="H71" t="n">
        <v>1</v>
      </c>
      <c r="I71">
        <f>SUM(G88*H88)</f>
        <v/>
      </c>
      <c r="J71" t="inlineStr">
        <is>
          <t>✓ 一致（SKU）</t>
        </is>
      </c>
      <c r="K71" t="inlineStr">
        <is>
          <t>4904510229912</t>
        </is>
      </c>
    </row>
    <row r="72" ht="13.5" customHeight="1">
      <c r="A72" s="27" t="inlineStr">
        <is>
          <t>4987072061725</t>
        </is>
      </c>
      <c r="B72" s="27" t="inlineStr">
        <is>
          <t>b003al01iw</t>
        </is>
      </c>
      <c r="C72" s="27" t="inlineStr">
        <is>
          <t>1725/1575</t>
        </is>
      </c>
      <c r="D72" s="27" t="inlineStr">
        <is>
          <t>b003al01iw</t>
        </is>
      </c>
      <c r="E72" t="inlineStr">
        <is>
          <t>小林製薬 やわらか歯間ブラシ SS～Mサイズ お徳用 40本入×3個セット 歯 歯間 ブラシ 歯間ブラシ ケア</t>
        </is>
      </c>
      <c r="F72" t="n">
        <v>2580</v>
      </c>
      <c r="G72" t="n">
        <v>1575</v>
      </c>
      <c r="H72" t="n">
        <v>27</v>
      </c>
      <c r="I72">
        <f>SUM(G89*H89)</f>
        <v/>
      </c>
      <c r="J72" t="inlineStr">
        <is>
          <t>✓ 一致（SKU）</t>
        </is>
      </c>
      <c r="K72" t="inlineStr">
        <is>
          <t>4987072061725</t>
        </is>
      </c>
    </row>
    <row r="73" ht="13.5" customHeight="1">
      <c r="A73" s="27" t="inlineStr">
        <is>
          <t>4901422361112</t>
        </is>
      </c>
      <c r="B73" s="27" t="inlineStr">
        <is>
          <t>b003m76vj2</t>
        </is>
      </c>
      <c r="C73" s="27" t="inlineStr">
        <is>
          <t>1112/446</t>
        </is>
      </c>
      <c r="D73" s="27" t="inlineStr">
        <is>
          <t>b003m76vj2</t>
        </is>
      </c>
      <c r="E73" t="inlineStr">
        <is>
          <t>【2個セット】ダストマン○(マル) 浅型 30枚×2個セット 抗菌 水切りネット 排水口ネット 水切りゴミ袋 ストッキングタイプ 浅型排水口用 三角コーナー 生ごみ処理 キッチン シンク 水切れ抜群 細かい網目 ゴミキャッチ ヌメリ対策 清潔 衛生用品 台所用品 日用品 まとめ買い</t>
        </is>
      </c>
      <c r="F73" t="n">
        <v>1180</v>
      </c>
      <c r="G73" t="n">
        <v>446</v>
      </c>
      <c r="H73" t="n">
        <v>36</v>
      </c>
      <c r="I73">
        <f>SUM(G90*H90)</f>
        <v/>
      </c>
    </row>
    <row r="74" ht="13.5" customHeight="1">
      <c r="A74" s="27" t="inlineStr">
        <is>
          <t>4903588238772</t>
        </is>
      </c>
      <c r="B74" s="27" t="inlineStr">
        <is>
          <t>b004vk6m2a</t>
        </is>
      </c>
      <c r="C74" s="27" t="inlineStr">
        <is>
          <t>8772/550-a</t>
        </is>
      </c>
      <c r="D74" s="27" t="inlineStr">
        <is>
          <t>b004vk6m2a</t>
        </is>
      </c>
      <c r="E74" t="inlineStr">
        <is>
          <t>ペティオ (Petio) プレシャンテ スキバサミ ペット用 犬 猫 犬用 猫用 トリミング ハサミ</t>
        </is>
      </c>
      <c r="F74" t="n">
        <v>1380</v>
      </c>
      <c r="G74" t="n">
        <v>550</v>
      </c>
      <c r="H74" t="n">
        <v>9</v>
      </c>
      <c r="I74">
        <f>SUM(G91*H91)</f>
        <v/>
      </c>
      <c r="J74" t="inlineStr">
        <is>
          <t>✓ 一致（SKU）</t>
        </is>
      </c>
      <c r="K74" t="inlineStr">
        <is>
          <t>4903588238772</t>
        </is>
      </c>
    </row>
    <row r="75" ht="13.5" customHeight="1">
      <c r="A75" s="27" t="inlineStr">
        <is>
          <t>4903588238734</t>
        </is>
      </c>
      <c r="B75" s="27" t="inlineStr">
        <is>
          <t>b004vk7cyc</t>
        </is>
      </c>
      <c r="C75" s="27" t="inlineStr">
        <is>
          <t>8734/434-a</t>
        </is>
      </c>
      <c r="D75" s="27" t="inlineStr">
        <is>
          <t>b004vk7cyc</t>
        </is>
      </c>
      <c r="E75" t="inlineStr">
        <is>
          <t>ペティオ (Petio) プレシャンテ 犬用ネイルカッターハサミ式 犬用 M サイズ 犬 爪切り ケア</t>
        </is>
      </c>
      <c r="F75" t="n">
        <v>999</v>
      </c>
      <c r="G75" t="n">
        <v>434</v>
      </c>
      <c r="H75" t="n">
        <v>7</v>
      </c>
      <c r="I75">
        <f>SUM(G92*H92)</f>
        <v/>
      </c>
      <c r="J75" t="inlineStr">
        <is>
          <t>✓ 一致（SKU）</t>
        </is>
      </c>
      <c r="K75" t="inlineStr">
        <is>
          <t>4903588238734</t>
        </is>
      </c>
    </row>
    <row r="76" ht="13.5" customHeight="1">
      <c r="A76" s="27" t="inlineStr">
        <is>
          <t>4250278603472</t>
        </is>
      </c>
      <c r="B76" s="27" t="inlineStr">
        <is>
          <t>b006wtxlxq</t>
        </is>
      </c>
      <c r="C76" s="27" t="inlineStr">
        <is>
          <t>3472/5600</t>
        </is>
      </c>
      <c r="D76" s="27" t="inlineStr">
        <is>
          <t>b006wtxlxq</t>
        </is>
      </c>
      <c r="E76" t="inlineStr">
        <is>
          <t>Kaweco カヴェコ シャープペンシル スペシャル ブラック PS-05 0.5mm 正規輸入品 シャーペン</t>
        </is>
      </c>
      <c r="F76" t="n">
        <v>7150</v>
      </c>
      <c r="G76" t="n">
        <v>5600</v>
      </c>
      <c r="H76" t="n">
        <v>2</v>
      </c>
      <c r="I76">
        <f>SUM(G93*H93)</f>
        <v/>
      </c>
      <c r="J76" t="inlineStr">
        <is>
          <t>✓ 一致（SKU）</t>
        </is>
      </c>
      <c r="K76" t="inlineStr">
        <is>
          <t>4250278603472</t>
        </is>
      </c>
    </row>
    <row r="77" ht="13.5" customHeight="1">
      <c r="A77" s="27" t="inlineStr">
        <is>
          <t>4903588240669</t>
        </is>
      </c>
      <c r="B77" s="27" t="inlineStr">
        <is>
          <t>b0082mtvt4</t>
        </is>
      </c>
      <c r="C77" s="27" t="inlineStr">
        <is>
          <t>0669/1496</t>
        </is>
      </c>
      <c r="D77" s="27" t="inlineStr">
        <is>
          <t>b0082mtvt4</t>
        </is>
      </c>
      <c r="E77" t="inlineStr">
        <is>
          <t>ペティオ (Petio) プレシャンテ部分カットバリカン 犬 猫 犬用 猫用 カット バリカン</t>
        </is>
      </c>
      <c r="F77" t="n">
        <v>2980</v>
      </c>
      <c r="G77" t="n">
        <v>1496</v>
      </c>
      <c r="H77" t="n">
        <v>4</v>
      </c>
      <c r="I77">
        <f>SUM(G94*H94)</f>
        <v/>
      </c>
    </row>
    <row r="78" ht="13.5" customHeight="1">
      <c r="A78" s="27" t="inlineStr">
        <is>
          <t>4901792020916</t>
        </is>
      </c>
      <c r="B78" s="27" t="inlineStr">
        <is>
          <t>b009khwmdm</t>
        </is>
      </c>
      <c r="C78" s="27" t="inlineStr">
        <is>
          <t>0916/2418-a</t>
        </is>
      </c>
      <c r="D78" s="27" t="inlineStr">
        <is>
          <t>B009KHWMDM</t>
        </is>
      </c>
      <c r="E78" t="inlineStr">
        <is>
          <t>【2個セット】ショーワグローブ No.882 ニトリスト・タッチ 100枚入×2個セット ブルー Mサイズ 作業 作業用 衛生 食品 食事 料理 調理 掃除 清掃 園芸 メンテ メンテナンス 整備 美容 介護</t>
        </is>
      </c>
      <c r="F78" t="n">
        <v>3980</v>
      </c>
      <c r="G78" t="n">
        <v>2418</v>
      </c>
      <c r="H78" t="n">
        <v>3</v>
      </c>
      <c r="I78">
        <f>SUM(G95*H95)</f>
        <v/>
      </c>
    </row>
    <row r="79" ht="13.5" customHeight="1">
      <c r="A79" s="27" t="inlineStr">
        <is>
          <t>4901792020923</t>
        </is>
      </c>
      <c r="B79" s="27" t="inlineStr">
        <is>
          <t>b009ki3dfm</t>
        </is>
      </c>
      <c r="C79" s="27" t="inlineStr">
        <is>
          <t>0923/3246-a</t>
        </is>
      </c>
      <c r="D79" s="27" t="inlineStr">
        <is>
          <t>B009KI3DFM</t>
        </is>
      </c>
      <c r="E79" t="inlineStr">
        <is>
          <t>【2個セット】ショーワグローブ No.882 ニトリスト・タッチ Lサイズ 100枚入×2個セット ブルー ニトリル手袋 使い捨て手袋 粉なし 食品衛生対応 調理 掃除 介護 作業用 食事 料理 調理 美容 介護</t>
        </is>
      </c>
      <c r="F79" t="n">
        <v>3980</v>
      </c>
      <c r="G79" t="n">
        <v>2418</v>
      </c>
      <c r="H79" t="n">
        <v>5</v>
      </c>
      <c r="I79">
        <f>SUM(G96*H96)</f>
        <v/>
      </c>
    </row>
    <row r="80" ht="13.5" customHeight="1">
      <c r="A80" s="27" t="inlineStr">
        <is>
          <t>4901792020909</t>
        </is>
      </c>
      <c r="B80" s="27" t="inlineStr">
        <is>
          <t>b009ki64xk</t>
        </is>
      </c>
      <c r="C80" s="27" t="inlineStr">
        <is>
          <t>0909/2418-a</t>
        </is>
      </c>
      <c r="D80" s="27" t="inlineStr">
        <is>
          <t>b009ki64xk</t>
        </is>
      </c>
      <c r="E80" t="inlineStr">
        <is>
          <t>【2個セット】ショーワグローブ ニトリル手袋 No.882 ニトリスト・タッチ 100枚入×2個セット Sサイズ ブルー 粉なし 使い捨て手袋 ニトリルグローブ 食品衛生対応 調理 清掃 介護 作業用</t>
        </is>
      </c>
      <c r="F80" t="n">
        <v>3980</v>
      </c>
      <c r="G80" t="n">
        <v>2418</v>
      </c>
      <c r="H80" t="n">
        <v>1</v>
      </c>
      <c r="I80">
        <f>SUM(G97*H97)</f>
        <v/>
      </c>
      <c r="J80" t="inlineStr">
        <is>
          <t>✓ 一致（SKU）</t>
        </is>
      </c>
      <c r="K80" t="inlineStr">
        <is>
          <t>4901792020909</t>
        </is>
      </c>
    </row>
    <row r="81" ht="13.5" customHeight="1">
      <c r="A81" s="27" t="inlineStr">
        <is>
          <t>4562182770011</t>
        </is>
      </c>
      <c r="B81" s="27" t="inlineStr">
        <is>
          <t>b00b4mi244</t>
        </is>
      </c>
      <c r="C81" s="27" t="inlineStr">
        <is>
          <t>0011,3092/2501-a</t>
        </is>
      </c>
      <c r="D81" s="27" t="inlineStr">
        <is>
          <t>B00B4MI244</t>
        </is>
      </c>
      <c r="E81" t="inlineStr">
        <is>
          <t>【セット品】 mizu-Q ストロー浄水器＆日本カルシウム工業 クリスタルH2O×2 浄水セット携帯浄水器 ペットボトル用 浄水パック 日本製 防災 災害対策 非常用浄水器 アウトドア 登山 キャンプ アルカリイオン水 カルキ除去 塩素除去 水質改善 飲料水 備蓄 節約</t>
        </is>
      </c>
      <c r="F81" t="n">
        <v>4980</v>
      </c>
      <c r="G81" t="n">
        <v>2501</v>
      </c>
      <c r="H81" t="n">
        <v>5</v>
      </c>
      <c r="I81">
        <f>SUM(G98*H98)</f>
        <v/>
      </c>
      <c r="J81" t="inlineStr">
        <is>
          <t>✓ 一致（SKU）</t>
        </is>
      </c>
      <c r="K81" t="inlineStr">
        <is>
          <t>4562182770011</t>
        </is>
      </c>
    </row>
    <row r="82" ht="13.5" customHeight="1">
      <c r="A82" s="27" t="inlineStr">
        <is>
          <t>4562182770011</t>
        </is>
      </c>
      <c r="B82" s="27" t="inlineStr">
        <is>
          <t>b00b4mi244-1</t>
        </is>
      </c>
      <c r="C82" s="27" t="inlineStr">
        <is>
          <t>0011,3238/3178-a</t>
        </is>
      </c>
      <c r="D82" s="27" t="inlineStr">
        <is>
          <t>B00B4MI244-1</t>
        </is>
      </c>
      <c r="E82" t="inlineStr">
        <is>
          <t>【セット品】 mizu-Q ストロー浄水器＆日本カルシウム工業 カルシウムイオン水×2 浄水セット 浄水パック ペットボトル用 携帯浄水器 カルキ除去 水質改善 アルカリイオン水 防災 災害対策 節約 水道水 美味しく 日本製</t>
        </is>
      </c>
      <c r="F82" t="n">
        <v>6180</v>
      </c>
      <c r="G82" t="n">
        <v>3178</v>
      </c>
      <c r="H82" t="n">
        <v>5</v>
      </c>
      <c r="I82">
        <f>SUM(G99*H99)</f>
        <v/>
      </c>
      <c r="J82" t="inlineStr">
        <is>
          <t>✓ 一致（SKU）</t>
        </is>
      </c>
      <c r="K82" t="inlineStr">
        <is>
          <t>4562182770011</t>
        </is>
      </c>
    </row>
    <row r="83" ht="13.5" customHeight="1">
      <c r="A83" s="27" t="inlineStr">
        <is>
          <t>4562182770011</t>
        </is>
      </c>
      <c r="B83" s="27" t="inlineStr">
        <is>
          <t>b00b4mi244-2</t>
        </is>
      </c>
      <c r="C83" s="27" t="inlineStr">
        <is>
          <t>0011,3214/2457-a</t>
        </is>
      </c>
      <c r="D83" s="27" t="inlineStr">
        <is>
          <t>B00B4MI244-2</t>
        </is>
      </c>
      <c r="E83" t="inlineStr">
        <is>
          <t>【セット品】 mizu-Q ストロー浄水器＆日本カルシウム工業 ヘルシーウォーターEX×2 浄水セット 浄水パック ペットボトル用 携帯浄水器 カルキ除去 水質改善 アルカリイオン水 防災 災害対策 節約 水道水 美味しく 日本製</t>
        </is>
      </c>
      <c r="F83" t="n">
        <v>4980</v>
      </c>
      <c r="G83" t="n">
        <v>2457</v>
      </c>
      <c r="H83" t="n">
        <v>5</v>
      </c>
      <c r="I83">
        <f>SUM(G100*H100)</f>
        <v/>
      </c>
      <c r="J83" t="inlineStr">
        <is>
          <t>✓ 一致（SKU）</t>
        </is>
      </c>
      <c r="K83" t="inlineStr">
        <is>
          <t>4562182770011</t>
        </is>
      </c>
    </row>
    <row r="84" ht="13.5" customHeight="1">
      <c r="A84" s="27" t="inlineStr">
        <is>
          <t>4562182770011</t>
        </is>
      </c>
      <c r="B84" s="27" t="inlineStr">
        <is>
          <t>b00b4mi244-3</t>
        </is>
      </c>
      <c r="C84" s="27" t="inlineStr">
        <is>
          <t>0011,2330/2187-a</t>
        </is>
      </c>
      <c r="D84" s="27" t="inlineStr">
        <is>
          <t>B00B4MI244-3</t>
        </is>
      </c>
      <c r="E84" t="inlineStr">
        <is>
          <t>【セット品】 mizu-Q ストロー浄水器＆日本カルシウム工業 ダイエットイオン整水器×2 浄水セット 浄水パック ペットボトル用 携帯浄水器 カルキ除去 水質改善 アルカリイオン水 防災 災害対策 節約 水道水 美味しく 日本製</t>
        </is>
      </c>
      <c r="F84" t="n">
        <v>4380</v>
      </c>
      <c r="G84" t="n">
        <v>2187</v>
      </c>
      <c r="H84" t="n">
        <v>5</v>
      </c>
      <c r="I84">
        <f>SUM(G101*H101)</f>
        <v/>
      </c>
      <c r="J84" t="inlineStr">
        <is>
          <t>✓ 一致（SKU）</t>
        </is>
      </c>
      <c r="K84" t="inlineStr">
        <is>
          <t>4562182770011</t>
        </is>
      </c>
    </row>
    <row r="85" ht="13.5" customHeight="1">
      <c r="A85" s="27" t="inlineStr">
        <is>
          <t>4562182770011</t>
        </is>
      </c>
      <c r="B85" s="27" t="inlineStr">
        <is>
          <t>b00b4mi244-4</t>
        </is>
      </c>
      <c r="C85" s="27" t="inlineStr">
        <is>
          <t>0011,3153/3403-a</t>
        </is>
      </c>
      <c r="D85" s="27" t="inlineStr">
        <is>
          <t>B00B4MI244-4</t>
        </is>
      </c>
      <c r="E85" t="inlineStr">
        <is>
          <t>【セット品】 mizu-Q ストロー浄水器＆日本カルシウム工業 アルカリイオン水素水×2 浄水セット 浄水パック ペットボトル用 携帯浄水器 カルキ除去 水質改善 アルカリイオン水 防災 災害対策 節約 水道水 美味しく 日本製</t>
        </is>
      </c>
      <c r="F85" t="n">
        <v>6780</v>
      </c>
      <c r="G85" t="n">
        <v>3409</v>
      </c>
      <c r="H85" t="n">
        <v>5</v>
      </c>
      <c r="I85">
        <f>SUM(G102*H102)</f>
        <v/>
      </c>
      <c r="J85" t="inlineStr">
        <is>
          <t>✓ 一致（SKU）</t>
        </is>
      </c>
      <c r="K85" t="inlineStr">
        <is>
          <t>4562182770011</t>
        </is>
      </c>
    </row>
    <row r="86" ht="13.5" customHeight="1">
      <c r="A86" s="27" t="inlineStr">
        <is>
          <t>4562182770011</t>
        </is>
      </c>
      <c r="B86" s="27" t="inlineStr">
        <is>
          <t>b00b4mi244-5</t>
        </is>
      </c>
      <c r="C86" s="27" t="inlineStr">
        <is>
          <t>2866/4117-a</t>
        </is>
      </c>
      <c r="D86" s="27" t="inlineStr">
        <is>
          <t>B00B4MI244-5</t>
        </is>
      </c>
      <c r="E86" t="inlineStr">
        <is>
          <t>【セット品】 mizu-Q ストロー浄水器＆日本カルシウム工業 パワー水素水×2 浄水セット 浄水パック ペットボトル用 携帯浄水器 カルキ除去 水質改善 アルカリイオン水 防災 災害対策 節約 水道水 美味しく 日本製</t>
        </is>
      </c>
      <c r="F86" t="n">
        <v>8180</v>
      </c>
      <c r="G86" t="n">
        <v>4117</v>
      </c>
      <c r="H86" t="n">
        <v>5</v>
      </c>
      <c r="I86">
        <f>SUM(G103*H103)</f>
        <v/>
      </c>
      <c r="J86" t="inlineStr">
        <is>
          <t>✓ 一致（SKU）</t>
        </is>
      </c>
      <c r="K86" t="inlineStr">
        <is>
          <t>4562182770011</t>
        </is>
      </c>
    </row>
    <row r="87" ht="13.5" customHeight="1">
      <c r="A87" s="27" t="inlineStr">
        <is>
          <t>4901792020893</t>
        </is>
      </c>
      <c r="B87" s="27" t="inlineStr">
        <is>
          <t>b00bes4sdw</t>
        </is>
      </c>
      <c r="C87" s="27" t="inlineStr">
        <is>
          <t>0893/1810-a</t>
        </is>
      </c>
      <c r="D87" s="27" t="inlineStr">
        <is>
          <t>b00bes4sdw</t>
        </is>
      </c>
      <c r="E87" t="inlineStr">
        <is>
          <t>【2個セット】ショーワグローブ No.882 ニトリスト・タッチ 100枚入 ブルー SSサイズ×2個セット ニトリル手袋 使い捨て手袋 パウダーフリー 食品衛生法適合 極薄手 左右兼用 指先エンボス 作業用手袋 衛生手袋 掃除 調理 介護 清掃 園芸 毛染め 業務用 家庭用 まとめ買い</t>
        </is>
      </c>
      <c r="F87" t="n">
        <v>3480</v>
      </c>
      <c r="G87" t="n">
        <v>1810</v>
      </c>
      <c r="H87" t="n">
        <v>5</v>
      </c>
      <c r="I87">
        <f>SUM(G104*H104)</f>
        <v/>
      </c>
      <c r="J87" t="inlineStr">
        <is>
          <t>✓ 一致（SKU）</t>
        </is>
      </c>
      <c r="K87" t="inlineStr">
        <is>
          <t>4901792020893</t>
        </is>
      </c>
    </row>
    <row r="88" ht="13.5" customHeight="1">
      <c r="A88" s="27" t="inlineStr">
        <is>
          <t>4901792020930</t>
        </is>
      </c>
      <c r="B88" s="27" t="inlineStr">
        <is>
          <t>b00bes4t40</t>
        </is>
      </c>
      <c r="C88" s="27" t="inlineStr">
        <is>
          <t>0930/2418-a</t>
        </is>
      </c>
      <c r="D88" s="27" t="inlineStr">
        <is>
          <t>B00BES4T40</t>
        </is>
      </c>
      <c r="E88" t="inlineStr">
        <is>
          <t>【2個セット】ショーワグローブ ニトリル手袋 No.882 ニトリスト・タッチ LLサイズ 100枚入×2個セット ブルー 粉なし 食品衛生適合 作業用 使い捨て 手袋 ニトリルグローブ 調理 掃除 介護 美容 衛生 食品 食事 料理 清掃 園芸 メンテ メンテナンス 整備 美容</t>
        </is>
      </c>
      <c r="F88" t="n">
        <v>3980</v>
      </c>
      <c r="G88" t="n">
        <v>2418</v>
      </c>
      <c r="H88" t="n">
        <v>3</v>
      </c>
      <c r="I88">
        <f>SUM(G105*H105)</f>
        <v/>
      </c>
    </row>
    <row r="89" ht="13.5" customHeight="1">
      <c r="A89" s="27" t="inlineStr">
        <is>
          <t>4903588247439</t>
        </is>
      </c>
      <c r="B89" s="27" t="inlineStr">
        <is>
          <t>b00ihqis9y</t>
        </is>
      </c>
      <c r="C89" s="27" t="inlineStr">
        <is>
          <t>7439/833-a</t>
        </is>
      </c>
      <c r="D89" s="27" t="inlineStr">
        <is>
          <t>b00ihqis9y</t>
        </is>
      </c>
      <c r="E89" t="inlineStr">
        <is>
          <t>ペティオ (Petio) プレシャンテ 犬用ネイルカッター ストッパー付 犬用 M サイズ 犬 爪切り ケア</t>
        </is>
      </c>
      <c r="F89" t="n">
        <v>1480</v>
      </c>
      <c r="G89" t="n">
        <v>833</v>
      </c>
      <c r="H89" t="n">
        <v>0</v>
      </c>
      <c r="I89">
        <f>SUM(G106*H106)</f>
        <v/>
      </c>
      <c r="J89" t="inlineStr">
        <is>
          <t>✓ 一致（SKU）</t>
        </is>
      </c>
      <c r="K89" t="inlineStr">
        <is>
          <t>4903588247439</t>
        </is>
      </c>
    </row>
    <row r="90" ht="13.5" customHeight="1">
      <c r="A90" s="27" t="inlineStr">
        <is>
          <t>4562248604564</t>
        </is>
      </c>
      <c r="B90" s="27" t="inlineStr">
        <is>
          <t>b00jpussb4</t>
        </is>
      </c>
      <c r="C90" s="27" t="inlineStr">
        <is>
          <t>4654/3993</t>
        </is>
      </c>
      <c r="D90" s="27" t="inlineStr">
        <is>
          <t>b00jpussb4</t>
        </is>
      </c>
      <c r="E90" t="inlineStr">
        <is>
          <t>スリー THREE フローレスエシリアル フルイド ファンデーション 30mL 202 化粧 化粧品 ファンデ</t>
        </is>
      </c>
      <c r="F90" t="n">
        <v>5980</v>
      </c>
      <c r="G90" t="n">
        <v>3993</v>
      </c>
      <c r="H90" t="n">
        <v>1</v>
      </c>
      <c r="I90">
        <f>SUM(G108*H108)</f>
        <v/>
      </c>
      <c r="J90" t="inlineStr">
        <is>
          <t>✓ 一致（SKU）</t>
        </is>
      </c>
      <c r="K90" t="inlineStr">
        <is>
          <t>4562248604564</t>
        </is>
      </c>
    </row>
    <row r="91" ht="13.5" customHeight="1">
      <c r="A91" s="27" t="inlineStr">
        <is>
          <t>4901133618680</t>
        </is>
      </c>
      <c r="B91" s="27" t="inlineStr">
        <is>
          <t>b00jrnlz1o</t>
        </is>
      </c>
      <c r="C91" s="27" t="inlineStr">
        <is>
          <t>8680/1440</t>
        </is>
      </c>
      <c r="D91" s="27" t="inlineStr">
        <is>
          <t>b00jrnlz1o</t>
        </is>
      </c>
      <c r="E91" t="inlineStr">
        <is>
          <t>チャオ (CIAO) CIAO (チャオ) 焼かつおディナー ほたて貝柱入り 50g×16コ 焼かつお 猫 猫用 おやつ ゼリー ウェット キャットフード 人気</t>
        </is>
      </c>
      <c r="F91" t="n">
        <v>2480</v>
      </c>
      <c r="G91" t="n">
        <v>1440</v>
      </c>
      <c r="H91" t="n">
        <v>5</v>
      </c>
      <c r="I91">
        <f>SUM(G109*H109)</f>
        <v/>
      </c>
    </row>
    <row r="92" ht="13.5" customHeight="1">
      <c r="A92" s="27" t="inlineStr">
        <is>
          <t>4901133618703</t>
        </is>
      </c>
      <c r="B92" s="27" t="inlineStr">
        <is>
          <t>b00jrnm0ng</t>
        </is>
      </c>
      <c r="C92" s="27" t="inlineStr">
        <is>
          <t>8703/1584-a</t>
        </is>
      </c>
      <c r="D92" s="27" t="inlineStr">
        <is>
          <t>b00jrnm0ng</t>
        </is>
      </c>
      <c r="E92" t="inlineStr">
        <is>
          <t>いなば CIAO(チャオ) 焼かつおディナー 高齢猫用かつお節・ほたて貝柱入り 50g×16 キャットフード パウチ 高齢猫 猫 ウェット</t>
        </is>
      </c>
      <c r="F92" t="n">
        <v>2580</v>
      </c>
      <c r="G92" t="n">
        <v>1584</v>
      </c>
      <c r="H92" t="n">
        <v>9</v>
      </c>
      <c r="I92">
        <f>SUM(G110*H110)</f>
        <v/>
      </c>
    </row>
    <row r="93" ht="13.5" customHeight="1">
      <c r="A93" s="27" t="inlineStr">
        <is>
          <t>4901133618710</t>
        </is>
      </c>
      <c r="B93" s="27" t="inlineStr">
        <is>
          <t>b00jrnm1du</t>
        </is>
      </c>
      <c r="C93" s="27" t="inlineStr">
        <is>
          <t>4901133618710-a</t>
        </is>
      </c>
      <c r="D93" s="27" t="inlineStr">
        <is>
          <t>b00jrnm1du</t>
        </is>
      </c>
      <c r="E93" t="inlineStr">
        <is>
          <t>いなばペットフード 焼かつおディナー 子ねこ用 かつお節・ほたて貝柱入り 50g×16コ 子猫 かつお パウチ ウェット</t>
        </is>
      </c>
      <c r="F93" t="n">
        <v>2780</v>
      </c>
      <c r="G93" t="n">
        <v>1800</v>
      </c>
      <c r="H93" t="n">
        <v>2</v>
      </c>
      <c r="I93">
        <f>SUM(G111*H111)</f>
        <v/>
      </c>
      <c r="J93" t="inlineStr">
        <is>
          <t>✓ 一致（SKU）</t>
        </is>
      </c>
      <c r="K93" t="inlineStr">
        <is>
          <t>4901133618710</t>
        </is>
      </c>
    </row>
    <row r="94" ht="13.5" customHeight="1">
      <c r="A94" s="27" t="inlineStr">
        <is>
          <t>4901080281012</t>
        </is>
      </c>
      <c r="B94" s="27" t="inlineStr">
        <is>
          <t>b00layzmas</t>
        </is>
      </c>
      <c r="C94" s="27" t="inlineStr">
        <is>
          <t>1012/2211</t>
        </is>
      </c>
      <c r="D94" s="27" t="inlineStr">
        <is>
          <t>b00layzmas</t>
        </is>
      </c>
      <c r="E94" t="inlineStr">
        <is>
          <t>アース製薬 カメムシコロリ 300ml ×3個セット ニオイを出す前に一発撃退! ガーデン 害虫対策 駆除 虫 殺虫剤</t>
        </is>
      </c>
      <c r="F94" t="n">
        <v>5980</v>
      </c>
      <c r="G94" t="n">
        <v>1884</v>
      </c>
      <c r="H94" t="n">
        <v>3</v>
      </c>
      <c r="I94">
        <f>SUM(G112*H112)</f>
        <v/>
      </c>
      <c r="J94" t="inlineStr">
        <is>
          <t>✓ 一致（SKU）</t>
        </is>
      </c>
      <c r="K94" t="inlineStr">
        <is>
          <t>4901080281012</t>
        </is>
      </c>
    </row>
    <row r="95" ht="13.5" customHeight="1">
      <c r="A95" s="27" t="inlineStr">
        <is>
          <t>4901080281012</t>
        </is>
      </c>
      <c r="B95" s="27" t="inlineStr">
        <is>
          <t>b00layzmas-1</t>
        </is>
      </c>
      <c r="C95" s="27" t="inlineStr">
        <is>
          <t>1012/1474</t>
        </is>
      </c>
      <c r="D95" s="27" t="inlineStr">
        <is>
          <t>B00LAYZMAS-1</t>
        </is>
      </c>
      <c r="E95" t="inlineStr">
        <is>
          <t>【2個セット】アース製薬 カメムシコロリ 300mL×2個セット カメムシ駆除スプレー 害虫対策 カメムシ退治 殺虫スプレー 屋外用 ベランダ 玄関 窓まわり 網戸 ガーデニング 農作業前後 忌避 駆除対策 不快害虫対策 まとめ買い ストック 日用品</t>
        </is>
      </c>
      <c r="F95" t="n">
        <v>4380</v>
      </c>
      <c r="G95" t="n">
        <v>1474</v>
      </c>
      <c r="H95" t="n">
        <v>5</v>
      </c>
      <c r="I95">
        <f>SUM(G113*H113)</f>
        <v/>
      </c>
      <c r="J95" t="inlineStr">
        <is>
          <t>✓ 一致（SKU）</t>
        </is>
      </c>
      <c r="K95" t="inlineStr">
        <is>
          <t>4901080281012</t>
        </is>
      </c>
    </row>
    <row r="96" ht="13.5" customHeight="1">
      <c r="A96" s="27" t="inlineStr">
        <is>
          <t>4987072036365</t>
        </is>
      </c>
      <c r="B96" s="27" t="inlineStr">
        <is>
          <t>b00mvnscw2-3</t>
        </is>
      </c>
      <c r="C96" s="27" t="inlineStr">
        <is>
          <t>4987072036365-3-a</t>
        </is>
      </c>
      <c r="D96" s="27" t="inlineStr">
        <is>
          <t>b00mvnscw2-3</t>
        </is>
      </c>
      <c r="E96" t="inlineStr">
        <is>
          <t>【3本セット】トイレその後に フレッシュグリーン 280mL 小林製薬 消臭スプレー トイレ用 芳香剤 消臭剤 トイレ消臭 ニオイ対策 排便後 トイレ用スプレー 空間消臭 悪臭対策 さわやかな香り トイレ用品 日用品 まとめ買い ストック</t>
        </is>
      </c>
      <c r="F96" t="n">
        <v>2480</v>
      </c>
      <c r="G96" t="n">
        <v>680</v>
      </c>
      <c r="H96" t="n">
        <v>3</v>
      </c>
      <c r="I96">
        <f>SUM(G114*H114)</f>
        <v/>
      </c>
      <c r="J96" t="inlineStr">
        <is>
          <t>✓ 一致（SKU）</t>
        </is>
      </c>
      <c r="K96" t="inlineStr">
        <is>
          <t>4987072036365</t>
        </is>
      </c>
    </row>
    <row r="97" ht="13.5" customHeight="1">
      <c r="A97" s="27" t="inlineStr">
        <is>
          <t>4544059032927</t>
        </is>
      </c>
      <c r="B97" s="27" t="inlineStr">
        <is>
          <t>b00noxldh4</t>
        </is>
      </c>
      <c r="C97" s="27" t="inlineStr">
        <is>
          <t>2927/2728-a</t>
        </is>
      </c>
      <c r="D97" s="27" t="inlineStr">
        <is>
          <t>B00NOXLDH4</t>
        </is>
      </c>
      <c r="E97" t="inlineStr">
        <is>
          <t>【まとめ買い】 日本カルシウム工業 冷水筒浄水パック×4個セット 浄水パック 冷水筒用 浄水器 カルキ除去 水質改善 アルカリイオン水 日本製 節約 エコ 水道水 美味しく 防災対策 【お茶パック付き】</t>
        </is>
      </c>
      <c r="F97" t="n">
        <v>5780</v>
      </c>
      <c r="G97" t="n">
        <v>2728</v>
      </c>
      <c r="H97" t="n">
        <v>7</v>
      </c>
      <c r="I97">
        <f>SUM(G115*H115)</f>
        <v/>
      </c>
    </row>
    <row r="98" ht="13.5" customHeight="1">
      <c r="A98" s="27" t="inlineStr">
        <is>
          <t>4901080186317</t>
        </is>
      </c>
      <c r="B98" s="27" t="inlineStr">
        <is>
          <t>b00u2eyim0</t>
        </is>
      </c>
      <c r="C98" s="27" t="inlineStr">
        <is>
          <t>4901080186317-2-a</t>
        </is>
      </c>
      <c r="D98" s="27" t="inlineStr">
        <is>
          <t>b00u2eyim0</t>
        </is>
      </c>
      <c r="E98" t="inlineStr">
        <is>
          <t>【2個セット】サラテクト 虫よけスプレー 無香料 400mL×2個セット 大容量 パウダーin ベタつきにくい 虫除け アウトドア キャンプ 公園 散歩 レジャー 蚊 ブヨ マダニ トコジラミ 忌避 虫対策 屋外作業 ガーデニング 旅行 通勤 通学 夏対策 まとめ買い アース製薬</t>
        </is>
      </c>
      <c r="F98" t="n">
        <v>3180</v>
      </c>
      <c r="G98" t="n">
        <v>1522</v>
      </c>
      <c r="H98" t="n">
        <v>4</v>
      </c>
      <c r="I98">
        <f>SUM(G116*H116)</f>
        <v/>
      </c>
      <c r="J98" t="inlineStr">
        <is>
          <t>✓ 一致（SKU）</t>
        </is>
      </c>
      <c r="K98" t="inlineStr">
        <is>
          <t>4901080186317</t>
        </is>
      </c>
    </row>
    <row r="99" ht="13.5" customHeight="1">
      <c r="A99" s="27" t="inlineStr">
        <is>
          <t>4901080186317</t>
        </is>
      </c>
      <c r="B99" s="27" t="inlineStr">
        <is>
          <t>b00u2eyim0-1</t>
        </is>
      </c>
      <c r="C99" s="27" t="inlineStr">
        <is>
          <t>4901080186317-4-a</t>
        </is>
      </c>
      <c r="D99" s="27" t="inlineStr">
        <is>
          <t>B00U2EYIM0-1</t>
        </is>
      </c>
      <c r="E99" t="inlineStr">
        <is>
          <t>【4個セット】サラテクト 虫よけスプレー 無香料 400mL×4個セット 大容量 パウダーin ベタつきにくい 虫除け アウトドア キャンプ 公園 散歩 レジャー 蚊 ブヨ マダニ トコジラミ 忌避 虫対策 屋外作業 ガーデニング 旅行 通勤 通学 夏対策 まとめ買い アース製薬</t>
        </is>
      </c>
      <c r="F99" t="n">
        <v>6180</v>
      </c>
      <c r="G99" t="n">
        <v>3044</v>
      </c>
      <c r="H99" t="n">
        <v>4</v>
      </c>
      <c r="I99">
        <f>SUM(G117*H117)</f>
        <v/>
      </c>
      <c r="J99" t="inlineStr">
        <is>
          <t>✓ 一致（SKU）</t>
        </is>
      </c>
      <c r="K99" t="inlineStr">
        <is>
          <t>4901080186317</t>
        </is>
      </c>
    </row>
    <row r="100" ht="13.5" customHeight="1">
      <c r="A100" s="27" t="inlineStr">
        <is>
          <t>4532066006031</t>
        </is>
      </c>
      <c r="B100" s="27" t="inlineStr">
        <is>
          <t>b00w3axuam</t>
        </is>
      </c>
      <c r="C100" s="27" t="inlineStr">
        <is>
          <t>6031/612-a</t>
        </is>
      </c>
      <c r="D100" s="27" t="inlineStr">
        <is>
          <t>B00W3AXUAM</t>
        </is>
      </c>
      <c r="E100" t="inlineStr">
        <is>
          <t>チョイでかＨＨささみチーズ入６０ｇ×3袋 犬 犬用 おやつ ジャーキー 人気 国産 ドックフード まとめ買い</t>
        </is>
      </c>
      <c r="F100" t="n">
        <v>1480</v>
      </c>
      <c r="G100" t="n">
        <v>612</v>
      </c>
      <c r="H100" t="n">
        <v>3</v>
      </c>
      <c r="I100">
        <f>SUM(G118*H118)</f>
        <v/>
      </c>
    </row>
    <row r="101" ht="13.5" customHeight="1">
      <c r="A101" s="27" t="inlineStr">
        <is>
          <t>4992440034539</t>
        </is>
      </c>
      <c r="B101" s="27" t="inlineStr">
        <is>
          <t>b00x3e44d4</t>
        </is>
      </c>
      <c r="C101" s="27" t="inlineStr">
        <is>
          <t>4539/660</t>
        </is>
      </c>
      <c r="D101" s="27" t="inlineStr">
        <is>
          <t>b00x3e44d4</t>
        </is>
      </c>
      <c r="E101" t="inlineStr">
        <is>
          <t>歯磨撫子 重曹つるつるハミガキ 黄ばみ 重曹 白い歯 ペースト 歯磨き粉 140g ペパーミント 歯磨き ケア 口臭 口内 口臭ケア</t>
        </is>
      </c>
      <c r="F101" t="n">
        <v>1980</v>
      </c>
      <c r="G101" t="n">
        <v>660</v>
      </c>
      <c r="H101" t="n">
        <v>1</v>
      </c>
      <c r="I101">
        <f>SUM(G119*H119)</f>
        <v/>
      </c>
      <c r="J101" t="inlineStr">
        <is>
          <t>✓ 一致（SKU）</t>
        </is>
      </c>
      <c r="K101" t="inlineStr">
        <is>
          <t>4992440034539</t>
        </is>
      </c>
    </row>
    <row r="102" ht="13.5" customHeight="1">
      <c r="A102" s="27" t="inlineStr">
        <is>
          <t>4901133861444</t>
        </is>
      </c>
      <c r="B102" s="27" t="inlineStr">
        <is>
          <t>b00x555xya</t>
        </is>
      </c>
      <c r="C102" s="27" t="inlineStr">
        <is>
          <t>1420,1437/2191,2208,2208-a</t>
        </is>
      </c>
      <c r="D102" s="27" t="inlineStr">
        <is>
          <t>B00HVQ3ENQ</t>
        </is>
      </c>
      <c r="E102" t="inlineStr">
        <is>
          <t>いなば とろみ （とりささみ・野菜入り・牛肉入り） 80g 24缶セット 犬 犬用 缶詰 ウェット 国産 ドックフード 人気 大容量</t>
        </is>
      </c>
      <c r="F102" t="n">
        <v>3780</v>
      </c>
      <c r="G102" t="n">
        <v>2208</v>
      </c>
      <c r="H102" t="n">
        <v>7</v>
      </c>
      <c r="I102">
        <f>SUM(G120*H120)</f>
        <v/>
      </c>
    </row>
    <row r="103" ht="13.5" customHeight="1">
      <c r="A103" s="27" t="inlineStr">
        <is>
          <t>4901133861437</t>
        </is>
      </c>
      <c r="B103" s="27" t="inlineStr">
        <is>
          <t>b00x555xya</t>
        </is>
      </c>
      <c r="C103" s="27" t="inlineStr">
        <is>
          <t>1420,1437/2191,2208,2208-a</t>
        </is>
      </c>
      <c r="D103" s="27" t="inlineStr">
        <is>
          <t>B00HVQ3EPE</t>
        </is>
      </c>
      <c r="E103" t="inlineStr">
        <is>
          <t>いなば とろみ （とりささみ・野菜入り・牛肉入り） 80g 24缶セット 犬 犬用 缶詰 ウェット 国産 ドックフード 人気 大容量</t>
        </is>
      </c>
      <c r="F103" t="n">
        <v>3780</v>
      </c>
      <c r="G103" t="n">
        <v>2208</v>
      </c>
      <c r="H103" t="n">
        <v>4</v>
      </c>
      <c r="I103">
        <f>SUM(G121*H121)</f>
        <v/>
      </c>
    </row>
    <row r="104" ht="13.5" customHeight="1">
      <c r="A104" s="27" t="inlineStr">
        <is>
          <t>4901133861420</t>
        </is>
      </c>
      <c r="B104" s="27" t="inlineStr">
        <is>
          <t>b00x555xya</t>
        </is>
      </c>
      <c r="C104" s="27" t="inlineStr">
        <is>
          <t>1420,1437/2191,2208,2208-a</t>
        </is>
      </c>
      <c r="D104" s="27" t="inlineStr">
        <is>
          <t>B00X555XYA</t>
        </is>
      </c>
      <c r="E104" t="inlineStr">
        <is>
          <t>いなば とろみ （とりささみ・野菜入り・牛肉入り） 80g 24缶セット 犬 犬用 缶詰 ウェット 国産 ドックフード 人気 大容量</t>
        </is>
      </c>
      <c r="F104" t="n">
        <v>3780</v>
      </c>
      <c r="G104" t="n">
        <v>2208</v>
      </c>
      <c r="H104" t="n">
        <v>8</v>
      </c>
      <c r="I104">
        <f>SUM(G122*H122)</f>
        <v/>
      </c>
    </row>
    <row r="105" ht="13.5" customHeight="1">
      <c r="A105" s="27" t="inlineStr">
        <is>
          <t>4987072025581</t>
        </is>
      </c>
      <c r="B105" s="27" t="inlineStr">
        <is>
          <t>b00xj3iark</t>
        </is>
      </c>
      <c r="C105" s="27" t="inlineStr">
        <is>
          <t>5581/690</t>
        </is>
      </c>
      <c r="D105" s="27" t="inlineStr">
        <is>
          <t>b00xj3iark</t>
        </is>
      </c>
      <c r="E105" t="inlineStr">
        <is>
          <t>小林製薬 やわらか歯間ブラシ SSS-Sサイズ 20本×3個セット ゴムタイプ ワイヤー不使用 極細 歯垢除去 食べかす除去 歯周病対策 虫歯予防 口臭対策 歯ぐきケア 歯肉ケア 口腔ケア デンタルケア オーラルケア 歯間清掃 先端先細加工 狭い歯間 柔軟ブラシ 歯周ポケットケア</t>
        </is>
      </c>
      <c r="F105" t="n">
        <v>1980</v>
      </c>
      <c r="G105" t="n">
        <v>690</v>
      </c>
      <c r="H105" t="n">
        <v>5</v>
      </c>
      <c r="I105">
        <f>SUM(G123*H123)</f>
        <v/>
      </c>
      <c r="J105" t="inlineStr">
        <is>
          <t>✓ 一致（SKU）</t>
        </is>
      </c>
      <c r="K105" t="inlineStr">
        <is>
          <t>4987072025581</t>
        </is>
      </c>
    </row>
    <row r="106" ht="13.5" customHeight="1">
      <c r="A106" s="27" t="inlineStr">
        <is>
          <t>4905009678969</t>
        </is>
      </c>
      <c r="B106" s="27" t="inlineStr">
        <is>
          <t>b00xtvxexw</t>
        </is>
      </c>
      <c r="C106" s="27" t="inlineStr">
        <is>
          <t>8969/1182</t>
        </is>
      </c>
      <c r="D106" s="27" t="inlineStr">
        <is>
          <t>B00XTVXEXW</t>
        </is>
      </c>
      <c r="E106" t="inlineStr">
        <is>
          <t>【最短当日発送】カイロ ミニ 60個（10個入×6）アイリスオーヤマ ぽかぽか家族 貼らない 使い捨てカイロ 防寒 寒さ対策 冬用品 防災 備蓄 持ち運び ホッカイロ 小型 まとめ買い</t>
        </is>
      </c>
      <c r="F106" t="n">
        <v>3980</v>
      </c>
      <c r="G106" t="n">
        <v>1182</v>
      </c>
      <c r="H106" t="n">
        <v>4</v>
      </c>
      <c r="I106">
        <f>SUM(G124*H124)</f>
        <v/>
      </c>
    </row>
    <row r="107" ht="13.5" customHeight="1">
      <c r="A107" s="27" t="inlineStr">
        <is>
          <t>4901422360153</t>
        </is>
      </c>
      <c r="B107" s="27" t="inlineStr">
        <is>
          <t>b00xtyr0js</t>
        </is>
      </c>
      <c r="C107" s="27" t="inlineStr">
        <is>
          <t>0153/396</t>
        </is>
      </c>
      <c r="D107" s="27" t="inlineStr">
        <is>
          <t>b00xtyr0js</t>
        </is>
      </c>
      <c r="E107" t="inlineStr">
        <is>
          <t>クレハ ダストマン ○(マル) 20枚×2個セット スタンド 三角コーナー 水切り ゴミ袋</t>
        </is>
      </c>
      <c r="F107" t="n">
        <v>1380</v>
      </c>
      <c r="G107" t="n">
        <v>396</v>
      </c>
      <c r="H107" t="n">
        <v>4</v>
      </c>
      <c r="I107">
        <f>SUM(G125*H125)</f>
        <v/>
      </c>
      <c r="J107" t="inlineStr">
        <is>
          <t>✓ 一致（SKU）</t>
        </is>
      </c>
      <c r="K107" t="inlineStr">
        <is>
          <t>4901422360153</t>
        </is>
      </c>
    </row>
    <row r="108" ht="13.5" customHeight="1">
      <c r="A108" s="27" t="inlineStr">
        <is>
          <t>4905009678938</t>
        </is>
      </c>
      <c r="B108" s="27" t="inlineStr">
        <is>
          <t>b00xtzzlei</t>
        </is>
      </c>
      <c r="C108" s="27" t="inlineStr">
        <is>
          <t>4905009678938-2</t>
        </is>
      </c>
      <c r="D108" s="27" t="inlineStr">
        <is>
          <t>B00XTZZLEI</t>
        </is>
      </c>
      <c r="E108" t="inlineStr">
        <is>
          <t>アイリスオーヤマ カイロ レギュラー 10個入×2個セット 使い捨てカイロ 貼らないタイプ 防寒 寒さ対策 冬 防災 備蓄 ぽかぽか家族 ホッカイロ まとめ買い あったかグッズ</t>
        </is>
      </c>
      <c r="F108" t="n">
        <v>1780</v>
      </c>
      <c r="G108" t="n">
        <v>416</v>
      </c>
      <c r="H108" t="n">
        <v>15</v>
      </c>
      <c r="I108">
        <f>SUM(G126*H126)</f>
        <v/>
      </c>
      <c r="J108" t="inlineStr">
        <is>
          <t>✓ 一致（SKU）</t>
        </is>
      </c>
      <c r="K108" t="inlineStr">
        <is>
          <t>4905009678938</t>
        </is>
      </c>
    </row>
    <row r="109" ht="13.5" customHeight="1">
      <c r="A109" s="27" t="inlineStr">
        <is>
          <t>4905009678938</t>
        </is>
      </c>
      <c r="B109" s="27" t="inlineStr">
        <is>
          <t>b00xtzzlei-1</t>
        </is>
      </c>
      <c r="C109" s="27" t="inlineStr">
        <is>
          <t>4905009678938-4</t>
        </is>
      </c>
      <c r="D109" s="27" t="inlineStr">
        <is>
          <t>B00XTZZLEI-1</t>
        </is>
      </c>
      <c r="E109" t="inlineStr">
        <is>
          <t>【4個セット】アイリスオーヤマ カイロ レギュラー 10個入×4個セット 合計40枚 使い捨てカイロ 貼らないタイプ ぽかぽか家族 ホッカイロ 日本製 約16時間持続 防寒 寒さ対策 防災 備蓄 通勤 通学 アウトドア スポーツ観戦 キャンプ まとめ買い あったかグッズ</t>
        </is>
      </c>
      <c r="F109" t="n">
        <v>3480</v>
      </c>
      <c r="G109" t="n">
        <v>832</v>
      </c>
      <c r="H109" t="n">
        <v>2</v>
      </c>
      <c r="I109">
        <f>SUM(G127*H127)</f>
        <v/>
      </c>
      <c r="J109" t="inlineStr">
        <is>
          <t>✓ 一致（SKU）</t>
        </is>
      </c>
      <c r="K109" t="inlineStr">
        <is>
          <t>4905009678938</t>
        </is>
      </c>
    </row>
    <row r="110" ht="13.5" customHeight="1">
      <c r="A110" s="27" t="inlineStr">
        <is>
          <t>9000103868003</t>
        </is>
      </c>
      <c r="B110" s="27" t="inlineStr">
        <is>
          <t>b011q7trhc</t>
        </is>
      </c>
      <c r="C110" s="27" t="inlineStr">
        <is>
          <t>1133/522</t>
        </is>
      </c>
      <c r="D110" s="27" t="inlineStr">
        <is>
          <t>b011q7trhc</t>
        </is>
      </c>
      <c r="E110" t="inlineStr">
        <is>
          <t>チャオ (CIAO) 焼本かつお 高齢猫用 かつお節味 1本 6個セット 高齢猫 猫 かつお かつお節 キャットフード おやつ</t>
        </is>
      </c>
      <c r="F110" t="n">
        <v>1380</v>
      </c>
      <c r="G110" t="n">
        <v>522</v>
      </c>
      <c r="H110" t="n">
        <v>1</v>
      </c>
      <c r="I110">
        <f>SUM(G128*H128)</f>
        <v/>
      </c>
      <c r="J110" t="inlineStr">
        <is>
          <t>✓ 一致（SKU）</t>
        </is>
      </c>
      <c r="K110" t="inlineStr">
        <is>
          <t>9000103868003</t>
        </is>
      </c>
    </row>
    <row r="111" ht="13.5" customHeight="1">
      <c r="A111" s="27" t="inlineStr">
        <is>
          <t>4573234190312</t>
        </is>
      </c>
      <c r="B111" s="27" t="inlineStr">
        <is>
          <t>b014kk2b98</t>
        </is>
      </c>
      <c r="C111" s="27" t="inlineStr">
        <is>
          <t>0312/1978</t>
        </is>
      </c>
      <c r="D111" s="27" t="inlineStr">
        <is>
          <t>b014kk2b98</t>
        </is>
      </c>
      <c r="E111" t="inlineStr">
        <is>
          <t>トリコロール W stem(ダブルステム) REVIVAL ヒト幹細胞エキス配合 保湿クリーム 50g×2個セット 肌 肌ケア ケア</t>
        </is>
      </c>
      <c r="F111" t="n">
        <v>3280</v>
      </c>
      <c r="G111" t="n">
        <v>1978</v>
      </c>
      <c r="H111" t="n">
        <v>3</v>
      </c>
      <c r="I111">
        <f>SUM(G132*H132)</f>
        <v/>
      </c>
      <c r="J111" t="inlineStr">
        <is>
          <t>✓ 一致（SKU）</t>
        </is>
      </c>
      <c r="K111" t="inlineStr">
        <is>
          <t>4573234190312</t>
        </is>
      </c>
    </row>
    <row r="112" ht="13.5" customHeight="1">
      <c r="A112" s="27" t="inlineStr">
        <is>
          <t>4953103473683</t>
        </is>
      </c>
      <c r="B112" s="27" t="inlineStr">
        <is>
          <t>b016qcpnuw</t>
        </is>
      </c>
      <c r="C112" s="27" t="inlineStr">
        <is>
          <t>4953103473683-a</t>
        </is>
      </c>
      <c r="D112" s="27" t="inlineStr">
        <is>
          <t>B016QCPNUW</t>
        </is>
      </c>
      <c r="E112" t="inlineStr">
        <is>
          <t>エレコム ワイヤレス トラックボールマウス EX-G 握りの極み 6ボタン ブラック(黒) M-XT3DRBK 親指 2.4GHz 無線 34mm 玉 チルトホイール 横スクロール 減速ボタン OMRON社製スイッチ リモートワーク 在宅 テレワーク オフィス 新生活 マウス パソコン</t>
        </is>
      </c>
      <c r="F112" t="n">
        <v>4980</v>
      </c>
      <c r="G112" t="n">
        <v>2790</v>
      </c>
      <c r="H112" t="n">
        <v>26</v>
      </c>
      <c r="I112">
        <f>SUM(G133*H133)</f>
        <v/>
      </c>
    </row>
    <row r="113" ht="13.5" customHeight="1">
      <c r="A113" s="27" t="inlineStr">
        <is>
          <t>0848061036985</t>
        </is>
      </c>
      <c r="B113" s="27" t="inlineStr">
        <is>
          <t>b016xkhlck</t>
        </is>
      </c>
      <c r="C113" s="27" t="inlineStr">
        <is>
          <t>6985/3500</t>
        </is>
      </c>
      <c r="D113" s="27" t="inlineStr">
        <is>
          <t>b016xkhlck</t>
        </is>
      </c>
      <c r="E113" t="inlineStr">
        <is>
          <t>Anker SoundCore ブラック ポータブル Bluetooth5.0 スピーカー 24時間連続再生可能【デュアルドライバー / IPX5防水規格 / ワイヤレススピーカー/内蔵マイク搭載】</t>
        </is>
      </c>
      <c r="F113" t="n">
        <v>6980</v>
      </c>
      <c r="G113" t="n">
        <v>3500</v>
      </c>
      <c r="H113" t="n">
        <v>1</v>
      </c>
      <c r="I113">
        <f>SUM(G134*H134)</f>
        <v/>
      </c>
      <c r="J113" t="inlineStr">
        <is>
          <t>✓ 一致（SKU）</t>
        </is>
      </c>
      <c r="K113" t="inlineStr">
        <is>
          <t>0848061036985</t>
        </is>
      </c>
    </row>
    <row r="114" ht="13.5" customHeight="1">
      <c r="A114" s="27" t="inlineStr">
        <is>
          <t>4544059032866</t>
        </is>
      </c>
      <c r="B114" s="27" t="inlineStr">
        <is>
          <t>b0174ujypa</t>
        </is>
      </c>
      <c r="C114" s="27" t="inlineStr">
        <is>
          <t>2866/5080-a</t>
        </is>
      </c>
      <c r="D114" s="27" t="inlineStr">
        <is>
          <t>B0174UJYPA</t>
        </is>
      </c>
      <c r="E114" t="inlineStr">
        <is>
          <t>【まとめ買い】 日本カルシウム工業 パワー水素水×4個セット 水質改善 浄水パック ペットボトル用 携帯浄水器 浄水スティック カルキ除去 アルカリイオン水 日本製 節約 防災対策 水道水 美味しく【お茶パック付き】</t>
        </is>
      </c>
      <c r="F114" t="n">
        <v>9280</v>
      </c>
      <c r="G114" t="n">
        <v>5080</v>
      </c>
      <c r="H114" t="n">
        <v>4</v>
      </c>
      <c r="I114">
        <f>SUM(G135*H135)</f>
        <v/>
      </c>
    </row>
    <row r="115" ht="13.5" customHeight="1">
      <c r="A115" s="27" t="inlineStr">
        <is>
          <t>4903367092458</t>
        </is>
      </c>
      <c r="B115" s="27" t="inlineStr">
        <is>
          <t>b018rmwuhi</t>
        </is>
      </c>
      <c r="C115" s="27" t="inlineStr">
        <is>
          <t>2458/876</t>
        </is>
      </c>
      <c r="D115" s="27" t="inlineStr">
        <is>
          <t>b018rmwuhi</t>
        </is>
      </c>
      <c r="E115" t="inlineStr">
        <is>
          <t>ロケット石鹸 フラガンシア ローズ 大容量 詰替用 1500ml×2個セット 部屋干し 雨の日 部屋 かろやか 香る きれい 清潔 衣類 静電気 防臭 抗菌 赤ちゃん ベビー 洗濯 まとめ買い</t>
        </is>
      </c>
      <c r="F115" t="n">
        <v>1980</v>
      </c>
      <c r="G115" t="n">
        <v>876</v>
      </c>
      <c r="H115" t="n">
        <v>5</v>
      </c>
      <c r="I115">
        <f>SUM(G136*H136)</f>
        <v/>
      </c>
      <c r="J115" t="inlineStr">
        <is>
          <t>✓ 一致（SKU）</t>
        </is>
      </c>
      <c r="K115" t="inlineStr">
        <is>
          <t>4903367092458</t>
        </is>
      </c>
    </row>
    <row r="116" ht="13.5" customHeight="1">
      <c r="A116" s="27" t="inlineStr">
        <is>
          <t>4901417621733</t>
        </is>
      </c>
      <c r="B116" s="27" t="inlineStr">
        <is>
          <t>b019skzy3u</t>
        </is>
      </c>
      <c r="C116" s="27" t="inlineStr">
        <is>
          <t>1733/1612</t>
        </is>
      </c>
      <c r="D116" s="27" t="inlineStr">
        <is>
          <t>b019skzy3u</t>
        </is>
      </c>
      <c r="E116" t="inlineStr">
        <is>
          <t>肌美精 大人のニキビ対策 薬用 美白 クリーム 50g×2個セット ニキビケア ニキビ跡 スキンケア 角質 保湿 殺菌 消炎 ビタミンc</t>
        </is>
      </c>
      <c r="F116" t="n">
        <v>2980</v>
      </c>
      <c r="G116" t="n">
        <v>1612</v>
      </c>
      <c r="H116" t="n">
        <v>10</v>
      </c>
      <c r="I116">
        <f>SUM(G137*H137)</f>
        <v/>
      </c>
      <c r="J116" t="inlineStr">
        <is>
          <t>✓ 一致（SKU）</t>
        </is>
      </c>
      <c r="K116" t="inlineStr">
        <is>
          <t>4901417621733</t>
        </is>
      </c>
    </row>
    <row r="117" ht="13.5" customHeight="1">
      <c r="A117" s="27" t="inlineStr">
        <is>
          <t>4544059033092</t>
        </is>
      </c>
      <c r="B117" s="27" t="inlineStr">
        <is>
          <t>b01cnbx6x6</t>
        </is>
      </c>
      <c r="C117" s="27" t="inlineStr">
        <is>
          <t>3092/1848-a</t>
        </is>
      </c>
      <c r="D117" s="27" t="inlineStr">
        <is>
          <t>b01cnbx6x6</t>
        </is>
      </c>
      <c r="E117" t="inlineStr">
        <is>
          <t>【まとめ買い】 日本カルシウム工業 ペットボトル用浄水器 クリスタルH2O 4個セット 浄水パック ペットボトル用 携帯浄水器 カルキ除去 水質改善 アルカリイオン水 防災 災害対策 節約 水道水 美味しく 日本製【お茶パック付き】</t>
        </is>
      </c>
      <c r="F117" t="n">
        <v>3980</v>
      </c>
      <c r="G117" t="n">
        <v>1848</v>
      </c>
      <c r="H117" t="n">
        <v>2</v>
      </c>
      <c r="I117">
        <f>SUM(G138*H138)</f>
        <v/>
      </c>
      <c r="J117" t="inlineStr">
        <is>
          <t>✓ 一致（SKU）</t>
        </is>
      </c>
      <c r="K117" t="inlineStr">
        <is>
          <t>4544059033092</t>
        </is>
      </c>
    </row>
    <row r="118" ht="13.5" customHeight="1">
      <c r="A118" s="27" t="inlineStr">
        <is>
          <t>4936201101115</t>
        </is>
      </c>
      <c r="B118" s="27" t="inlineStr">
        <is>
          <t>b01cxmrx02</t>
        </is>
      </c>
      <c r="C118" s="27" t="inlineStr">
        <is>
          <t>1115/704-a</t>
        </is>
      </c>
      <c r="D118" s="27" t="inlineStr">
        <is>
          <t>b01cxmrx02</t>
        </is>
      </c>
      <c r="E118" t="inlineStr">
        <is>
          <t>コスメテックスローランド ロッシモイストエイド マッサージ コールドクリームN 300g メイク落とし リフトアップ 美容</t>
        </is>
      </c>
      <c r="F118" t="n">
        <v>1980</v>
      </c>
      <c r="G118" t="n">
        <v>704</v>
      </c>
      <c r="H118" t="n">
        <v>5</v>
      </c>
      <c r="I118">
        <f>SUM(G139*H139)</f>
        <v/>
      </c>
      <c r="J118" t="inlineStr">
        <is>
          <t>✓ 一致（SKU）</t>
        </is>
      </c>
      <c r="K118" t="inlineStr">
        <is>
          <t>4936201101115</t>
        </is>
      </c>
    </row>
    <row r="119" ht="13.5" customHeight="1">
      <c r="A119" s="27" t="inlineStr">
        <is>
          <t>4972547032492</t>
        </is>
      </c>
      <c r="B119" s="27" t="inlineStr">
        <is>
          <t>b01dlmhmja</t>
        </is>
      </c>
      <c r="C119" s="27" t="inlineStr">
        <is>
          <t>2492/2528</t>
        </is>
      </c>
      <c r="D119" s="27" t="inlineStr">
        <is>
          <t>b01dlmhmja</t>
        </is>
      </c>
      <c r="E119" t="inlineStr">
        <is>
          <t>ジェックス ファン専用 サーモスタット FE-101N 水槽 魚 観賞魚 温度管理</t>
        </is>
      </c>
      <c r="F119" t="n">
        <v>4480</v>
      </c>
      <c r="G119" t="n">
        <v>2528</v>
      </c>
      <c r="H119" t="n">
        <v>5</v>
      </c>
      <c r="I119">
        <f>SUM(G140*H140)</f>
        <v/>
      </c>
      <c r="J119" t="inlineStr">
        <is>
          <t>✓ 一致（SKU）</t>
        </is>
      </c>
      <c r="K119" t="inlineStr">
        <is>
          <t>4972547032492</t>
        </is>
      </c>
    </row>
    <row r="120" ht="13.5" customHeight="1">
      <c r="A120" s="27" t="inlineStr">
        <is>
          <t>4901133718533</t>
        </is>
      </c>
      <c r="B120" s="27" t="inlineStr">
        <is>
          <t>b01dlx1vza</t>
        </is>
      </c>
      <c r="C120" s="27" t="inlineStr">
        <is>
          <t>8533/918-a</t>
        </is>
      </c>
      <c r="D120" s="27" t="inlineStr">
        <is>
          <t>B01DLX1VZA</t>
        </is>
      </c>
      <c r="E120" t="inlineStr">
        <is>
          <t>いなば チャオ ちゅ～る まぐろ＆贅沢サーモン （14g×4本）×6コ 猫 猫用 国産 おやつ 液状 水分補給 キャットフード 人気 大容量 まとめ買い 猫スナック ペースト</t>
        </is>
      </c>
      <c r="F120" t="n">
        <v>1580</v>
      </c>
      <c r="G120" t="n">
        <v>918</v>
      </c>
      <c r="H120" t="n">
        <v>6</v>
      </c>
      <c r="I120">
        <f>SUM(G141*H141)</f>
        <v/>
      </c>
    </row>
    <row r="121" ht="13.5" customHeight="1">
      <c r="A121" s="27" t="inlineStr">
        <is>
          <t>4901133619380</t>
        </is>
      </c>
      <c r="B121" s="27" t="inlineStr">
        <is>
          <t>b01dlx3hso</t>
        </is>
      </c>
      <c r="C121" s="27" t="inlineStr">
        <is>
          <t>9380/1584-a</t>
        </is>
      </c>
      <c r="D121" s="27" t="inlineStr">
        <is>
          <t>b01dlx3hso</t>
        </is>
      </c>
      <c r="E121" t="inlineStr">
        <is>
          <t>いなば CIAO(チャオ) 焼ささみディナー かにかま・ほたて貝柱入り 50g×16コ 猫 猫 猫用 おやつ ウェット キャットフード 人気</t>
        </is>
      </c>
      <c r="F121" t="n">
        <v>2580</v>
      </c>
      <c r="G121" t="n">
        <v>1584</v>
      </c>
      <c r="H121" t="n">
        <v>7</v>
      </c>
      <c r="I121">
        <f>SUM(G142*H142)</f>
        <v/>
      </c>
      <c r="J121" t="inlineStr">
        <is>
          <t>✓ 一致（SKU）</t>
        </is>
      </c>
      <c r="K121" t="inlineStr">
        <is>
          <t>4901133619380</t>
        </is>
      </c>
    </row>
    <row r="122" ht="13.5" customHeight="1">
      <c r="A122" s="27" t="inlineStr">
        <is>
          <t>4580207273385</t>
        </is>
      </c>
      <c r="B122" s="27" t="inlineStr">
        <is>
          <t>b01dn6zigi</t>
        </is>
      </c>
      <c r="C122" s="27" t="inlineStr">
        <is>
          <t>3385/3320-a</t>
        </is>
      </c>
      <c r="D122" s="27" t="inlineStr">
        <is>
          <t>b01dn6zigi</t>
        </is>
      </c>
      <c r="E122" t="inlineStr">
        <is>
          <t>【2個セット】ママクック フリーズドライ ササミ 犬用 150g×2個セット 犬 犬用 おやつ ドライ フード ドライフード 高タンパク・国産素材・DFD製法｜食いつき ヘルシーおやつ</t>
        </is>
      </c>
      <c r="F122" t="n">
        <v>4980</v>
      </c>
      <c r="G122" t="n">
        <v>3320</v>
      </c>
      <c r="H122" t="n">
        <v>4</v>
      </c>
      <c r="I122">
        <f>SUM(G143*H143)</f>
        <v/>
      </c>
      <c r="J122" t="inlineStr">
        <is>
          <t>✓ 一致（SKU）</t>
        </is>
      </c>
      <c r="K122" t="inlineStr">
        <is>
          <t>4580207273385</t>
        </is>
      </c>
    </row>
    <row r="123" ht="13.5" customHeight="1">
      <c r="A123" s="27" t="inlineStr">
        <is>
          <t>4987072042779</t>
        </is>
      </c>
      <c r="B123" s="27" t="inlineStr">
        <is>
          <t>b01fqca29k</t>
        </is>
      </c>
      <c r="C123" s="27" t="inlineStr">
        <is>
          <t>2779/1547</t>
        </is>
      </c>
      <c r="D123" s="27" t="inlineStr">
        <is>
          <t>b01fqca29k</t>
        </is>
      </c>
      <c r="E123" t="inlineStr">
        <is>
          <t>小林製薬 糸ようじ スルッと入るタイプ お徳用60本×3個セット 歯 歯間 ようじ 歯ケア ケア</t>
        </is>
      </c>
      <c r="F123" t="n">
        <v>2980</v>
      </c>
      <c r="G123" t="n">
        <v>1547</v>
      </c>
      <c r="H123" t="n">
        <v>18</v>
      </c>
      <c r="I123">
        <f>SUM(G144*H144)</f>
        <v/>
      </c>
      <c r="J123" t="inlineStr">
        <is>
          <t>✓ 一致（SKU）</t>
        </is>
      </c>
      <c r="K123" t="inlineStr">
        <is>
          <t>4987072042779</t>
        </is>
      </c>
    </row>
    <row r="124" ht="13.5" customHeight="1">
      <c r="A124" s="27" t="inlineStr">
        <is>
          <t>4544059033153</t>
        </is>
      </c>
      <c r="B124" s="27" t="inlineStr">
        <is>
          <t>b01gzq2xyi</t>
        </is>
      </c>
      <c r="C124" s="27" t="inlineStr">
        <is>
          <t>3153/3652-a</t>
        </is>
      </c>
      <c r="D124" s="27" t="inlineStr">
        <is>
          <t>B01GZQ2XYI</t>
        </is>
      </c>
      <c r="E124" t="inlineStr">
        <is>
          <t>【まとめ買い】 日本カルシウム工業 アルカリイオン水素水×4個セット 浄水スティック 浄水パック ペットボトル用 携帯浄水器 水質改善 カルキ除去 アルカリイオン水 日本製 節約 防災対策 【お茶パック付き】</t>
        </is>
      </c>
      <c r="F124" t="n">
        <v>6380</v>
      </c>
      <c r="G124" t="n">
        <v>3652</v>
      </c>
      <c r="H124" t="n">
        <v>4</v>
      </c>
      <c r="I124">
        <f>SUM(G145*H145)</f>
        <v/>
      </c>
    </row>
    <row r="125" ht="13.5" customHeight="1">
      <c r="A125" s="27" t="inlineStr">
        <is>
          <t>4901133619656</t>
        </is>
      </c>
      <c r="B125" s="27" t="inlineStr">
        <is>
          <t>b01lxsdhmm</t>
        </is>
      </c>
      <c r="C125" s="27" t="inlineStr">
        <is>
          <t>9659/1584-a</t>
        </is>
      </c>
      <c r="D125" s="27" t="inlineStr">
        <is>
          <t>b01lxsdhmm</t>
        </is>
      </c>
      <c r="E125" t="inlineStr">
        <is>
          <t>【まとめ買い】いなば CIAO チャオ 焼かつおディナー 高齢猫用 ほたて貝柱入り 50g×16袋 ウェットフード キャットフード 猫用総合栄養食 シニア猫用 老猫用 やわらか パウチ 国産 ねこ用 ごはん えさ 食事 ペットフード 猫用品 猫 猫用 おやつ</t>
        </is>
      </c>
      <c r="F125" t="n">
        <v>2780</v>
      </c>
      <c r="G125" t="n">
        <v>1584</v>
      </c>
      <c r="H125" t="n">
        <v>2</v>
      </c>
      <c r="I125">
        <f>SUM(G146*H146)</f>
        <v/>
      </c>
      <c r="J125" t="inlineStr">
        <is>
          <t>✓ 一致（SKU）</t>
        </is>
      </c>
      <c r="K125" t="inlineStr">
        <is>
          <t>4901133619656</t>
        </is>
      </c>
    </row>
    <row r="126" ht="13.5" customHeight="1">
      <c r="A126" s="27" t="inlineStr">
        <is>
          <t>4905009678983</t>
        </is>
      </c>
      <c r="B126" s="27" t="inlineStr">
        <is>
          <t>b01lzqkw6a</t>
        </is>
      </c>
      <c r="C126" s="27" t="inlineStr">
        <is>
          <t>8983/1116</t>
        </is>
      </c>
      <c r="D126" s="27" t="inlineStr">
        <is>
          <t>b01lzqkw6a</t>
        </is>
      </c>
      <c r="E126" t="inlineStr">
        <is>
          <t>【まとめ買い60個】アイリスオーヤマ カイロ ミニ 10個入×6個セット ぽかぽか家族 使い捨てカイロ 貼らないタイプ 防寒 寒さ対策 冬 防災 非常用 持ち運び コンパクト ハンドウォーマー</t>
        </is>
      </c>
      <c r="F126" t="n">
        <v>3980</v>
      </c>
      <c r="G126" t="n">
        <v>1116</v>
      </c>
      <c r="H126" t="n">
        <v>3</v>
      </c>
      <c r="I126">
        <f>SUM(G147*H147)</f>
        <v/>
      </c>
      <c r="J126" t="inlineStr">
        <is>
          <t>✓ 一致（SKU）</t>
        </is>
      </c>
      <c r="K126" t="inlineStr">
        <is>
          <t>4905009678983</t>
        </is>
      </c>
    </row>
    <row r="127" ht="13.5" customHeight="1">
      <c r="A127" s="27" t="inlineStr">
        <is>
          <t>4975677046117</t>
        </is>
      </c>
      <c r="B127" s="27" t="inlineStr">
        <is>
          <t>b01m7nsmri</t>
        </is>
      </c>
      <c r="C127" s="27" t="inlineStr">
        <is>
          <t>6117/522-a</t>
        </is>
      </c>
      <c r="D127" s="27" t="inlineStr">
        <is>
          <t>b01m7nsmri</t>
        </is>
      </c>
      <c r="E127" t="inlineStr">
        <is>
          <t>ニチドウ 毛玉クリーン 60g 猫用 毛玉ケア ヘアボール対策 毛づくろい 毛玉排出 サポート 猫 おやつ ペーストタイプ キャットフード 国産 ニチドウ</t>
        </is>
      </c>
      <c r="F127" t="n">
        <v>1280</v>
      </c>
      <c r="G127" t="n">
        <v>522</v>
      </c>
      <c r="H127" t="n">
        <v>7</v>
      </c>
      <c r="I127">
        <f>SUM(G148*H148)</f>
        <v/>
      </c>
      <c r="J127" t="inlineStr">
        <is>
          <t>✓ 一致（SKU）</t>
        </is>
      </c>
      <c r="K127" t="inlineStr">
        <is>
          <t>4975677046117</t>
        </is>
      </c>
    </row>
    <row r="128" ht="13.5" customHeight="1">
      <c r="A128" s="27" t="inlineStr">
        <is>
          <t>4901080194619</t>
        </is>
      </c>
      <c r="B128" s="27" t="inlineStr">
        <is>
          <t>b01mrd6y9t</t>
        </is>
      </c>
      <c r="C128" s="27" t="inlineStr">
        <is>
          <t>4901080194619-3-a</t>
        </is>
      </c>
      <c r="D128" s="27" t="inlineStr">
        <is>
          <t>b01mrd6y9t</t>
        </is>
      </c>
      <c r="E128" t="inlineStr">
        <is>
          <t>【3個セット】アースノーマット 1プッシュ式スプレー 200回分 防除用医薬部外品 蚊取りスプレー 蚊駆除 ハエ駆除 ワンプッシュ 無香料 電気不要 電池不要 火不要 室内用 殺虫剤 虫対策 アース製薬 まとめ買い 日本製</t>
        </is>
      </c>
      <c r="F128" t="n">
        <v>3780</v>
      </c>
      <c r="G128" t="n">
        <v>2766</v>
      </c>
      <c r="H128" t="n">
        <v>15</v>
      </c>
      <c r="I128">
        <f>SUM(G149*H149)</f>
        <v/>
      </c>
      <c r="J128" t="inlineStr">
        <is>
          <t>✓ 一致（SKU）</t>
        </is>
      </c>
      <c r="K128" t="inlineStr">
        <is>
          <t>4901080194619</t>
        </is>
      </c>
    </row>
    <row r="129" ht="13.5" customHeight="1">
      <c r="A129" s="27" t="inlineStr">
        <is>
          <t>4902430720700</t>
        </is>
      </c>
      <c r="B129" s="27" t="inlineStr">
        <is>
          <t>b01mze6x6h</t>
        </is>
      </c>
      <c r="C129" s="27" t="inlineStr">
        <is>
          <t>0700/1086</t>
        </is>
      </c>
      <c r="D129" s="27" t="inlineStr">
        <is>
          <t>b01mze6x6h</t>
        </is>
      </c>
      <c r="E129" t="inlineStr">
        <is>
          <t>レノア オードリュクス アロマジュエル リラックスの香り 520ml イノセントビジュ リリー ジャスミン ベルガモット 部屋干し 雨の日 部屋 かろやか 香る きれい 清潔 衣類 静電気 防臭 抗菌 赤ちゃん ベビー 洗濯</t>
        </is>
      </c>
      <c r="F129" t="n">
        <v>1980</v>
      </c>
      <c r="G129" t="n">
        <v>1086</v>
      </c>
      <c r="H129" t="n">
        <v>8</v>
      </c>
      <c r="I129">
        <f>SUM(G150*H150)</f>
        <v/>
      </c>
      <c r="J129" t="inlineStr">
        <is>
          <t>✓ 一致（SKU）</t>
        </is>
      </c>
      <c r="K129" t="inlineStr">
        <is>
          <t>4902430720700</t>
        </is>
      </c>
    </row>
    <row r="130" ht="13.5" customHeight="1">
      <c r="A130" s="27" t="inlineStr">
        <is>
          <t>4902430720700</t>
        </is>
      </c>
      <c r="B130" s="27" t="inlineStr">
        <is>
          <t>b01mze6x6h-1</t>
        </is>
      </c>
      <c r="C130" s="27" t="inlineStr">
        <is>
          <t>0700/2172</t>
        </is>
      </c>
      <c r="D130" s="27" t="inlineStr">
        <is>
          <t>B01MZE6X6H-1</t>
        </is>
      </c>
      <c r="E130" t="inlineStr">
        <is>
          <t>Lenor レノア オードリュクス 香り付け専用ビーズ マインドフルネスシリーズ リラックス 本体 520mL×2個セット 部屋干し 雨の日 部屋 かろやか 香る きれい 清潔 衣類 静電気 防臭 抗菌 赤ちゃん ベビー 洗濯</t>
        </is>
      </c>
      <c r="F130" t="n">
        <v>2980</v>
      </c>
      <c r="G130" t="n">
        <v>2172</v>
      </c>
      <c r="H130" t="n">
        <v>2</v>
      </c>
      <c r="I130">
        <f>SUM(G151*H151)</f>
        <v/>
      </c>
      <c r="J130" t="inlineStr">
        <is>
          <t>✓ 一致（SKU）</t>
        </is>
      </c>
      <c r="K130" t="inlineStr">
        <is>
          <t>4902430720700</t>
        </is>
      </c>
    </row>
    <row r="131" ht="13.5" customHeight="1">
      <c r="A131" s="27" t="inlineStr">
        <is>
          <t>0848061064377</t>
        </is>
      </c>
      <c r="B131" s="27" t="inlineStr">
        <is>
          <t>b01n411r1a</t>
        </is>
      </c>
      <c r="C131" s="27" t="inlineStr">
        <is>
          <t>4377/1190</t>
        </is>
      </c>
      <c r="D131" s="27" t="inlineStr">
        <is>
          <t>b01n411r1a</t>
        </is>
      </c>
      <c r="E131" t="inlineStr">
        <is>
          <t>Anker PowerLine II ライトニングUSBケーブル【Apple MFi認証取得 / 超高耐久】iPhone / iPad / iPod各種対応 (1.8m ブラック)</t>
        </is>
      </c>
      <c r="F131" t="n">
        <v>2280</v>
      </c>
      <c r="G131" t="n">
        <v>1190</v>
      </c>
      <c r="H131" t="n">
        <v>3</v>
      </c>
      <c r="I131">
        <f>SUM(G152*H152)</f>
        <v/>
      </c>
      <c r="J131" t="inlineStr">
        <is>
          <t>✓ 一致（SKU）</t>
        </is>
      </c>
      <c r="K131" t="inlineStr">
        <is>
          <t>0848061064377</t>
        </is>
      </c>
    </row>
    <row r="132" ht="13.5" customHeight="1">
      <c r="A132" s="27" t="inlineStr">
        <is>
          <t>0848061034912</t>
        </is>
      </c>
      <c r="B132" s="27" t="inlineStr">
        <is>
          <t>b01navanrx</t>
        </is>
      </c>
      <c r="C132" s="27" t="inlineStr">
        <is>
          <t>2512184180/3990</t>
        </is>
      </c>
      <c r="D132" s="27" t="inlineStr">
        <is>
          <t>b01navanrx</t>
        </is>
      </c>
      <c r="E132" t="inlineStr">
        <is>
          <t>Anker Soundcore 2 (USB Type-C充電 12W Bluetooth 5 スピーカー 24時間連続再生)【完全ワイヤレスステレオ対応/強化された低音 / IPX7防水規格 / デュアルドライバー/マイク内蔵】(ブラック)</t>
        </is>
      </c>
      <c r="F132" t="n">
        <v>5980</v>
      </c>
      <c r="G132" t="n">
        <v>3990</v>
      </c>
      <c r="H132" t="n">
        <v>3</v>
      </c>
      <c r="I132">
        <f>SUM(G153*H153)</f>
        <v/>
      </c>
      <c r="J132" t="inlineStr">
        <is>
          <t>✓ 一致（SKU）</t>
        </is>
      </c>
      <c r="K132" t="inlineStr">
        <is>
          <t>0848061034912</t>
        </is>
      </c>
    </row>
    <row r="133" ht="13.5" customHeight="1">
      <c r="A133" s="27" t="inlineStr">
        <is>
          <t>4901792030380</t>
        </is>
      </c>
      <c r="B133" s="27" t="inlineStr">
        <is>
          <t>b01ncx79ta</t>
        </is>
      </c>
      <c r="C133" s="27" t="inlineStr">
        <is>
          <t>4901792030380-2-a</t>
        </is>
      </c>
      <c r="D133" s="27" t="inlineStr">
        <is>
          <t>b01ncx79ta</t>
        </is>
      </c>
      <c r="E133" t="inlineStr">
        <is>
          <t>【2個セット】ショーワグローブ ニトリスト・スーパーロング Mサイズ 50枚入×2個セット ブルー ニトリル手袋 全長40cm パウダーフリー 食品衛生法適合 耐油 左右兼用 厚手 食品加工 清掃 介護 水産加工 検査 組立作業 工場 厨房 作業用 使い捨て ロングタイプ 保護手袋</t>
        </is>
      </c>
      <c r="F133" t="n">
        <v>9980</v>
      </c>
      <c r="G133" t="n">
        <v>5404</v>
      </c>
      <c r="H133" t="n">
        <v>5</v>
      </c>
      <c r="I133">
        <f>SUM(G154*H154)</f>
        <v/>
      </c>
      <c r="J133" t="inlineStr">
        <is>
          <t>✓ 一致（SKU）</t>
        </is>
      </c>
      <c r="K133" t="inlineStr">
        <is>
          <t>4901792030380</t>
        </is>
      </c>
    </row>
    <row r="134" ht="13.5" customHeight="1">
      <c r="A134" s="27" t="inlineStr">
        <is>
          <t>4537130101797</t>
        </is>
      </c>
      <c r="B134" s="27" t="inlineStr">
        <is>
          <t>b01nguindv</t>
        </is>
      </c>
      <c r="C134" s="27" t="inlineStr">
        <is>
          <t>1797/1284</t>
        </is>
      </c>
      <c r="D134" s="27" t="inlineStr">
        <is>
          <t>b01nguindv</t>
        </is>
      </c>
      <c r="E134" t="inlineStr">
        <is>
          <t>ミヨシ石鹸 そよ風 液体せっけん 詰替 1000ml×3個セット 無添加 洗濯洗剤 ベビー 赤ちゃん 敏感肌 大容量 まとめ買い 柔軟剤不要 部屋干しOK</t>
        </is>
      </c>
      <c r="F134" t="n">
        <v>2980</v>
      </c>
      <c r="G134" t="n">
        <v>1284</v>
      </c>
      <c r="H134" t="n">
        <v>8</v>
      </c>
      <c r="I134">
        <f>SUM(G155*H155)</f>
        <v/>
      </c>
      <c r="J134" t="inlineStr">
        <is>
          <t>✓ 一致（SKU）</t>
        </is>
      </c>
      <c r="K134" t="inlineStr">
        <is>
          <t>4537130101797</t>
        </is>
      </c>
    </row>
    <row r="135" ht="13.5" customHeight="1">
      <c r="A135" s="27" t="inlineStr">
        <is>
          <t>4987072048986</t>
        </is>
      </c>
      <c r="B135" s="27" t="inlineStr">
        <is>
          <t>b06xprwsz5</t>
        </is>
      </c>
      <c r="C135" s="27" t="inlineStr">
        <is>
          <t>4987072048986-2</t>
        </is>
      </c>
      <c r="D135" s="27" t="inlineStr">
        <is>
          <t>b06xprwsz5</t>
        </is>
      </c>
      <c r="E135" t="inlineStr">
        <is>
          <t>熱さまシート ストロング 大人用 12枚×2個セット 小林製薬 冷凍庫用 強冷感 冷却シート 冷感シート 発熱対策 熱中症対策 暑さ対策 おでこ用 ジェルシート 長時間冷却 ひんやりシート 日本製 常備用</t>
        </is>
      </c>
      <c r="F135" t="n">
        <v>2180</v>
      </c>
      <c r="G135" t="n">
        <v>852</v>
      </c>
      <c r="H135" t="n">
        <v>22</v>
      </c>
      <c r="I135">
        <f>SUM(G156*H156)</f>
        <v/>
      </c>
      <c r="J135" t="inlineStr">
        <is>
          <t>✓ 一致（SKU）</t>
        </is>
      </c>
      <c r="K135" t="inlineStr">
        <is>
          <t>4987072048986</t>
        </is>
      </c>
    </row>
    <row r="136" ht="13.5" customHeight="1">
      <c r="A136" s="27" t="inlineStr">
        <is>
          <t>4987072049051</t>
        </is>
      </c>
      <c r="B136" s="27" t="inlineStr">
        <is>
          <t>b06xpt9591-3</t>
        </is>
      </c>
      <c r="C136" s="27" t="inlineStr">
        <is>
          <t>4987072049051-3-a</t>
        </is>
      </c>
      <c r="D136" s="27" t="inlineStr">
        <is>
          <t>b06xpt9591-3</t>
        </is>
      </c>
      <c r="E136" t="inlineStr">
        <is>
          <t>【3本セット】消臭元スプレー パルファム ブラン 280mL 小林製薬 消臭スプレー 芳香剤 トイレ用 ルームスプレー 部屋用 玄関 リビング 寝室 空間消臭 フレグランス 上品な香り 消臭剤 まとめ買い 送料無料</t>
        </is>
      </c>
      <c r="F136" t="n">
        <v>2480</v>
      </c>
      <c r="G136" t="n">
        <v>766</v>
      </c>
      <c r="H136" t="n">
        <v>5</v>
      </c>
      <c r="I136">
        <f>SUM(G157*H157)</f>
        <v/>
      </c>
      <c r="J136" t="inlineStr">
        <is>
          <t>✓ 一致（SKU）</t>
        </is>
      </c>
      <c r="K136" t="inlineStr">
        <is>
          <t>4987072049051</t>
        </is>
      </c>
    </row>
    <row r="137" ht="13.5" customHeight="1">
      <c r="A137" s="27" t="inlineStr">
        <is>
          <t>4961641011687</t>
        </is>
      </c>
      <c r="B137" s="27" t="inlineStr">
        <is>
          <t>b06xw4t8n4</t>
        </is>
      </c>
      <c r="C137" s="27" t="inlineStr">
        <is>
          <t>1687/1647</t>
        </is>
      </c>
      <c r="D137" s="27" t="inlineStr">
        <is>
          <t>b06xw4t8n4</t>
        </is>
      </c>
      <c r="E137" t="inlineStr">
        <is>
          <t>金星製紙 キッチンペーパー ガーゼロール 不織布 10m×3個セット ミシン目入り 使い捨てガーゼ 料理用 清潔 油切り 水切り 拭き取り キッチン衛生 やわらか 日本製</t>
        </is>
      </c>
      <c r="F137" t="n">
        <v>2980</v>
      </c>
      <c r="G137" t="n">
        <v>1647</v>
      </c>
      <c r="H137" t="n">
        <v>22</v>
      </c>
      <c r="I137">
        <f>SUM(G158*H158)</f>
        <v/>
      </c>
      <c r="J137" t="inlineStr">
        <is>
          <t>✓ 一致（SKU）</t>
        </is>
      </c>
      <c r="K137" t="inlineStr">
        <is>
          <t>4961641011687</t>
        </is>
      </c>
    </row>
    <row r="138" ht="13.5" customHeight="1">
      <c r="A138" s="27" t="inlineStr">
        <is>
          <t>3264680009761</t>
        </is>
      </c>
      <c r="B138" s="27" t="inlineStr">
        <is>
          <t>b06y13f2sg</t>
        </is>
      </c>
      <c r="C138" s="27" t="inlineStr">
        <is>
          <t>9761</t>
        </is>
      </c>
      <c r="D138" s="27" t="inlineStr">
        <is>
          <t>b06y13f2sg</t>
        </is>
      </c>
      <c r="E138" t="inlineStr">
        <is>
          <t>Nuxe(ニュクス) プロディジューオイル 50mL ヘアオイル ボディオイル フェイスオイル 全身用 マルチ美容オイル ドライオイル 保湿 乾燥 潤い ツヤ肌 さらさら まとまり フレグランスオイル 魅惑の香り ロングセラー ギフト</t>
        </is>
      </c>
      <c r="F138" t="n">
        <v>3480</v>
      </c>
      <c r="G138" t="n">
        <v>0</v>
      </c>
      <c r="H138" t="n">
        <v>0</v>
      </c>
      <c r="I138">
        <f>SUM(G159*H159)</f>
        <v/>
      </c>
    </row>
    <row r="139" ht="13.5" customHeight="1">
      <c r="A139" s="27" t="inlineStr">
        <is>
          <t>4975677039577</t>
        </is>
      </c>
      <c r="B139" s="27" t="inlineStr">
        <is>
          <t>b071w69zkt</t>
        </is>
      </c>
      <c r="C139" s="27" t="inlineStr">
        <is>
          <t>9577/1010-a</t>
        </is>
      </c>
      <c r="D139" s="27" t="inlineStr">
        <is>
          <t>b071w69zkt</t>
        </is>
      </c>
      <c r="E139" t="inlineStr">
        <is>
          <t>香り長持ちシャンプー ローズ 犬用(400ml) 犬 犬用 ケア お風呂 犬用シャンプー</t>
        </is>
      </c>
      <c r="F139" t="n">
        <v>1980</v>
      </c>
      <c r="G139" t="n">
        <v>1010</v>
      </c>
      <c r="H139" t="n">
        <v>16</v>
      </c>
      <c r="I139">
        <f>SUM(G160*H160)</f>
        <v/>
      </c>
      <c r="J139" t="inlineStr">
        <is>
          <t>✓ 一致（SKU）</t>
        </is>
      </c>
      <c r="K139" t="inlineStr">
        <is>
          <t>4975677039577</t>
        </is>
      </c>
    </row>
    <row r="140" ht="13.5" customHeight="1">
      <c r="A140" s="27" t="inlineStr">
        <is>
          <t>4987241155767</t>
        </is>
      </c>
      <c r="B140" s="27" t="inlineStr">
        <is>
          <t>b074gy15hn</t>
        </is>
      </c>
      <c r="C140" s="27" t="inlineStr">
        <is>
          <t>5767,5729/1999-a</t>
        </is>
      </c>
      <c r="D140" s="27" t="inlineStr">
        <is>
          <t>b074gy15hn</t>
        </is>
      </c>
      <c r="E140" t="inlineStr">
        <is>
          <t>【セット品】 肌ラボ 極潤 ヒアルロン酸 化粧水 本体400mL＋詰め替え170mL セット ケア 肌 肌ケア 保湿</t>
        </is>
      </c>
      <c r="F140" t="n">
        <v>3580</v>
      </c>
      <c r="G140" t="n">
        <v>1999</v>
      </c>
      <c r="H140" t="n">
        <v>2</v>
      </c>
      <c r="I140">
        <f>SUM(G162*H162)</f>
        <v/>
      </c>
      <c r="J140" t="inlineStr">
        <is>
          <t>✓ 一致（SKU）</t>
        </is>
      </c>
      <c r="K140" t="inlineStr">
        <is>
          <t>4987241155767</t>
        </is>
      </c>
    </row>
    <row r="141" ht="13.5" customHeight="1">
      <c r="A141" s="27" t="inlineStr">
        <is>
          <t>4967576316804</t>
        </is>
      </c>
      <c r="B141" s="27" t="inlineStr">
        <is>
          <t>b074p2hdpj</t>
        </is>
      </c>
      <c r="C141" s="27" t="inlineStr">
        <is>
          <t>6804/3680-a</t>
        </is>
      </c>
      <c r="D141" s="27" t="inlineStr">
        <is>
          <t>b074p2hdpj</t>
        </is>
      </c>
      <c r="E141" t="inlineStr">
        <is>
          <t>アイリスオーヤマ 電気毛布 敷き 洗える 140×80cm EHB-1408-T ブラウン ダニ 丸洗い 毛布</t>
        </is>
      </c>
      <c r="F141" t="n">
        <v>5980</v>
      </c>
      <c r="G141" t="n">
        <v>3680</v>
      </c>
      <c r="H141" t="n">
        <v>5</v>
      </c>
      <c r="I141">
        <f>SUM(G163*H163)</f>
        <v/>
      </c>
      <c r="J141" t="inlineStr">
        <is>
          <t>✓ 一致（SKU）</t>
        </is>
      </c>
      <c r="K141" t="inlineStr">
        <is>
          <t>4967576316804</t>
        </is>
      </c>
    </row>
    <row r="142" ht="13.5" customHeight="1">
      <c r="A142" s="27" t="inlineStr">
        <is>
          <t>4936201102297</t>
        </is>
      </c>
      <c r="B142" s="27" t="inlineStr">
        <is>
          <t>b074zbsyx3</t>
        </is>
      </c>
      <c r="C142" s="27" t="inlineStr">
        <is>
          <t>7773/1560-a</t>
        </is>
      </c>
      <c r="D142" s="27" t="inlineStr">
        <is>
          <t>b074zbsyx3</t>
        </is>
      </c>
      <c r="E142" t="inlineStr">
        <is>
          <t>【4個セット】ロッシ馬油ナチュラルミルクローション 485ml 大容量 馬油 保湿ローション 全身用 ボディミルク 乾燥肌 スキンケア 家族用 しっとり 無香料 日本製</t>
        </is>
      </c>
      <c r="F142" t="n">
        <v>3480</v>
      </c>
      <c r="G142" t="n">
        <v>1560</v>
      </c>
      <c r="H142" t="n">
        <v>8</v>
      </c>
      <c r="I142">
        <f>SUM(G165*H165)</f>
        <v/>
      </c>
      <c r="J142" t="inlineStr">
        <is>
          <t>✓ 一致（SKU）</t>
        </is>
      </c>
      <c r="K142" t="inlineStr">
        <is>
          <t>4936201102297</t>
        </is>
      </c>
    </row>
    <row r="143" ht="13.5" customHeight="1">
      <c r="A143" s="27" t="inlineStr">
        <is>
          <t>4902424441727</t>
        </is>
      </c>
      <c r="B143" s="27" t="inlineStr">
        <is>
          <t>b0752p9qt9</t>
        </is>
      </c>
      <c r="C143" s="27" t="inlineStr">
        <is>
          <t>1727/1052</t>
        </is>
      </c>
      <c r="D143" s="27" t="inlineStr">
        <is>
          <t>b0752p9qt9</t>
        </is>
      </c>
      <c r="E143" t="inlineStr">
        <is>
          <t>アルコール除菌 キッチン用アルコール除菌スプレー 詰め替え 720ml×2個セット 食卓 調理台の除菌 消臭 抗菌コートが1ヵ月持続 100%天然生まれ</t>
        </is>
      </c>
      <c r="F143" t="n">
        <v>1980</v>
      </c>
      <c r="G143" t="n">
        <v>1052</v>
      </c>
      <c r="H143" t="n">
        <v>2</v>
      </c>
      <c r="I143">
        <f>SUM(G166*H166)</f>
        <v/>
      </c>
      <c r="J143" t="inlineStr">
        <is>
          <t>✓ 一致（SKU）</t>
        </is>
      </c>
      <c r="K143" t="inlineStr">
        <is>
          <t>4902424441727</t>
        </is>
      </c>
    </row>
    <row r="144" ht="13.5" customHeight="1">
      <c r="A144" s="27" t="inlineStr">
        <is>
          <t>4992440036182</t>
        </is>
      </c>
      <c r="B144" s="27" t="inlineStr">
        <is>
          <t>b076vdntgg</t>
        </is>
      </c>
      <c r="C144" s="27" t="inlineStr">
        <is>
          <t>4992440036182</t>
        </is>
      </c>
      <c r="D144" s="27" t="inlineStr">
        <is>
          <t>b076vdntgg</t>
        </is>
      </c>
      <c r="E144" t="inlineStr">
        <is>
          <t>歯磨撫子 重曹すっきり洗口液 口臭ケア 毛穴撫子 マウスウォッシュ lemon 200ml 口 口臭 口臭ケア ケア</t>
        </is>
      </c>
      <c r="F144" t="n">
        <v>2280</v>
      </c>
      <c r="G144" t="n">
        <v>825</v>
      </c>
      <c r="H144" t="n">
        <v>9</v>
      </c>
      <c r="I144">
        <f>SUM(G167*H167)</f>
        <v/>
      </c>
      <c r="J144" t="inlineStr">
        <is>
          <t>✓ 一致（SKU）</t>
        </is>
      </c>
      <c r="K144" t="inlineStr">
        <is>
          <t>4992440036182</t>
        </is>
      </c>
    </row>
    <row r="145" ht="13.5" customHeight="1">
      <c r="A145" s="27" t="inlineStr">
        <is>
          <t>4560401500203</t>
        </is>
      </c>
      <c r="B145" s="27" t="inlineStr">
        <is>
          <t>b079fnj832</t>
        </is>
      </c>
      <c r="C145" s="27" t="inlineStr">
        <is>
          <t>0203/3069</t>
        </is>
      </c>
      <c r="D145" s="27" t="inlineStr">
        <is>
          <t>b079fnj832</t>
        </is>
      </c>
      <c r="E145" t="inlineStr">
        <is>
          <t>スズキ機工 LSベルハンマーゴールド スプレー420ml 潤滑剤 潤滑油 潤滑オイル 自転車 バイク チェーン 自動車</t>
        </is>
      </c>
      <c r="F145" t="n">
        <v>4380</v>
      </c>
      <c r="G145" t="n">
        <v>3069</v>
      </c>
      <c r="H145" t="n">
        <v>4</v>
      </c>
      <c r="I145">
        <f>SUM(G168*H168)</f>
        <v/>
      </c>
      <c r="J145" t="inlineStr">
        <is>
          <t>✓ 一致（SKU）</t>
        </is>
      </c>
      <c r="K145" t="inlineStr">
        <is>
          <t>4560401500203</t>
        </is>
      </c>
    </row>
    <row r="146" ht="13.5" customHeight="1">
      <c r="A146" s="27" t="inlineStr">
        <is>
          <t>4901133719011</t>
        </is>
      </c>
      <c r="B146" s="27" t="inlineStr">
        <is>
          <t>b079yplcvj</t>
        </is>
      </c>
      <c r="C146" s="27" t="inlineStr">
        <is>
          <t>659-a</t>
        </is>
      </c>
      <c r="D146" s="27" t="inlineStr">
        <is>
          <t>b079yplcvj</t>
        </is>
      </c>
      <c r="E146" t="inlineStr">
        <is>
          <t>いなば CIAO チャオ ちゅ～る 猫用おやつ まぐろ 贅沢セレクト 14g×20本 猫 猫用 国産 無添加 液状スナック おやつ キャットフード 人気 大容量</t>
        </is>
      </c>
      <c r="F146" t="n">
        <v>999</v>
      </c>
      <c r="G146" t="n">
        <v>659</v>
      </c>
      <c r="H146" t="n">
        <v>22</v>
      </c>
      <c r="I146">
        <f>SUM(G170*H170)</f>
        <v/>
      </c>
      <c r="J146" t="inlineStr">
        <is>
          <t>✓ 一致（SKU）</t>
        </is>
      </c>
      <c r="K146" t="inlineStr">
        <is>
          <t>4901133719011</t>
        </is>
      </c>
    </row>
    <row r="147" ht="13.5" customHeight="1">
      <c r="A147" s="27" t="inlineStr">
        <is>
          <t>4989409084070</t>
        </is>
      </c>
      <c r="B147" s="27" t="inlineStr">
        <is>
          <t>b07b9c6fzv</t>
        </is>
      </c>
      <c r="C147" s="27" t="inlineStr">
        <is>
          <t>4070/1311-a</t>
        </is>
      </c>
      <c r="D147" s="27" t="inlineStr">
        <is>
          <t>b07b9c6fzv</t>
        </is>
      </c>
      <c r="E147" t="inlineStr">
        <is>
          <t>アイメディア(Aimedia) 風呂水ポンプまとめてキレイ 3回分×3個セット 風呂洗剤 洗濯機 風呂水 給水ポンプ ホース 洗浄剤 ヌメリ フィルター</t>
        </is>
      </c>
      <c r="F147" t="n">
        <v>3980</v>
      </c>
      <c r="G147" t="n">
        <v>1311</v>
      </c>
      <c r="H147" t="n">
        <v>1</v>
      </c>
      <c r="I147">
        <f>SUM(G172*H172)</f>
        <v/>
      </c>
      <c r="J147" t="inlineStr">
        <is>
          <t>✓ 一致（SKU）</t>
        </is>
      </c>
      <c r="K147" t="inlineStr">
        <is>
          <t>4989409084070</t>
        </is>
      </c>
    </row>
    <row r="148" ht="13.5" customHeight="1">
      <c r="A148" s="27" t="inlineStr">
        <is>
          <t>4582300930752</t>
        </is>
      </c>
      <c r="B148" s="27" t="inlineStr">
        <is>
          <t>b07bgstt34</t>
        </is>
      </c>
      <c r="C148" s="27" t="inlineStr">
        <is>
          <t>4582300930752-2-a</t>
        </is>
      </c>
      <c r="D148" s="27" t="inlineStr">
        <is>
          <t>b07bgstt34</t>
        </is>
      </c>
      <c r="E148" t="inlineStr">
        <is>
          <t>【2個セット】グレイシアハイジーン ニトリルグローブ XS GH-01 125枚入×2個セット ニトリル手袋 パウダーフリー ラテックスフリー 食品衛生法適合 使い捨て手袋 左右兼用 耐油 耐薬品 指先グリップ加工 食品調理 介護 清掃 検査 精密作業 衛生管理 コーンフラワーブルー</t>
        </is>
      </c>
      <c r="F148" t="n">
        <v>4780</v>
      </c>
      <c r="G148" t="n">
        <v>3026</v>
      </c>
      <c r="H148" t="n">
        <v>4</v>
      </c>
      <c r="I148">
        <f>SUM(G173*H173)</f>
        <v/>
      </c>
      <c r="J148" t="inlineStr">
        <is>
          <t>✓ 一致（SKU）</t>
        </is>
      </c>
      <c r="K148" t="inlineStr">
        <is>
          <t>4582300930752</t>
        </is>
      </c>
    </row>
    <row r="149" ht="13.5" customHeight="1">
      <c r="A149" s="27" t="inlineStr">
        <is>
          <t>4901301362803</t>
        </is>
      </c>
      <c r="B149" s="27" t="inlineStr">
        <is>
          <t>b07f6j8kx1</t>
        </is>
      </c>
      <c r="C149" s="27" t="inlineStr">
        <is>
          <t>2803/1089-a</t>
        </is>
      </c>
      <c r="D149" s="27" t="inlineStr">
        <is>
          <t>b07f6j8kx1</t>
        </is>
      </c>
      <c r="E149" t="inlineStr">
        <is>
          <t>キュキュット 食器用洗剤 粉末 グレープフルーツの香り 食洗機用 クエン酸効果 詰め替え 550g×3個 洗剤 除菌 消臭</t>
        </is>
      </c>
      <c r="F149" t="n">
        <v>2980</v>
      </c>
      <c r="G149" t="n">
        <v>1089</v>
      </c>
      <c r="H149" t="n">
        <v>16</v>
      </c>
      <c r="I149">
        <f>SUM(G175*H175)</f>
        <v/>
      </c>
      <c r="J149" t="inlineStr">
        <is>
          <t>✓ 一致（SKU）</t>
        </is>
      </c>
      <c r="K149" t="inlineStr">
        <is>
          <t>4901301362803</t>
        </is>
      </c>
    </row>
    <row r="150" ht="13.5" customHeight="1">
      <c r="A150" s="27" t="inlineStr">
        <is>
          <t>4906456646488</t>
        </is>
      </c>
      <c r="B150" s="27" t="inlineStr">
        <is>
          <t>b07fs56gbx</t>
        </is>
      </c>
      <c r="C150" s="27" t="inlineStr">
        <is>
          <t>6488/268</t>
        </is>
      </c>
      <c r="D150" s="27" t="inlineStr">
        <is>
          <t>b07fs56gbx</t>
        </is>
      </c>
      <c r="E150" t="inlineStr">
        <is>
          <t>マルカン ミニマルフード ビタシロップ 5ml×10本 MR-70</t>
        </is>
      </c>
      <c r="F150" t="n">
        <v>648</v>
      </c>
      <c r="G150" t="n">
        <v>268</v>
      </c>
      <c r="H150" t="n">
        <v>1</v>
      </c>
      <c r="I150">
        <f>SUM(G176*H176)</f>
        <v/>
      </c>
      <c r="J150" t="inlineStr">
        <is>
          <t>✓ 一致（SKU）</t>
        </is>
      </c>
      <c r="K150" t="inlineStr">
        <is>
          <t>4906456646488</t>
        </is>
      </c>
    </row>
    <row r="151" ht="13.5" customHeight="1">
      <c r="A151" s="27" t="inlineStr">
        <is>
          <t>4903588575266</t>
        </is>
      </c>
      <c r="B151" s="27" t="inlineStr">
        <is>
          <t>b07gvmh1bb</t>
        </is>
      </c>
      <c r="C151" s="27" t="inlineStr">
        <is>
          <t>418-a</t>
        </is>
      </c>
      <c r="D151" s="27" t="inlineStr">
        <is>
          <t>b07gvmh1bb</t>
        </is>
      </c>
      <c r="E151" t="inlineStr">
        <is>
          <t>アドメイト (ADD. MATE) リールリードアドバンス Mサイズ ブルー 犬 犬用 散歩</t>
        </is>
      </c>
      <c r="F151" t="n">
        <v>1980</v>
      </c>
      <c r="G151" t="n">
        <v>418</v>
      </c>
      <c r="H151" t="n">
        <v>2</v>
      </c>
      <c r="I151">
        <f>SUM(G177*H177)</f>
        <v/>
      </c>
      <c r="J151" t="inlineStr">
        <is>
          <t>✓ 一致（SKU）</t>
        </is>
      </c>
      <c r="K151" t="inlineStr">
        <is>
          <t>4903588575266</t>
        </is>
      </c>
    </row>
    <row r="152" ht="13.5" customHeight="1">
      <c r="A152" s="27" t="inlineStr">
        <is>
          <t>4967576383813</t>
        </is>
      </c>
      <c r="B152" s="27" t="inlineStr">
        <is>
          <t>b07hjl9zgh</t>
        </is>
      </c>
      <c r="C152" s="27" t="inlineStr">
        <is>
          <t>3813/4680-a</t>
        </is>
      </c>
      <c r="D152" s="27" t="inlineStr">
        <is>
          <t>b07hjl9zgh</t>
        </is>
      </c>
      <c r="E152" t="inlineStr">
        <is>
          <t>アイリスオーヤマ 電気毛布 敷き 洗える 60×120cm EBK-1206-ZR レッド ダニ退治 ダニ 防寒 冬</t>
        </is>
      </c>
      <c r="F152" t="n">
        <v>5480</v>
      </c>
      <c r="G152" t="n">
        <v>4680</v>
      </c>
      <c r="H152" t="n">
        <v>2</v>
      </c>
      <c r="I152">
        <f>SUM(G179*H179)</f>
        <v/>
      </c>
    </row>
    <row r="153" ht="13.5" customHeight="1">
      <c r="A153" s="27" t="inlineStr">
        <is>
          <t>6902395691075</t>
        </is>
      </c>
      <c r="B153" s="27" t="inlineStr">
        <is>
          <t>b07l3syz5m</t>
        </is>
      </c>
      <c r="C153" s="27" t="inlineStr">
        <is>
          <t>6902395691075-a</t>
        </is>
      </c>
      <c r="D153" s="27" t="inlineStr">
        <is>
          <t>b07l3syz5m</t>
        </is>
      </c>
      <c r="E153" t="inlineStr">
        <is>
          <t>メイベリン リップ シャインコンパルジョン SPK21 チェリーピンク ツヤ 口紅 リップ</t>
        </is>
      </c>
      <c r="F153" t="n">
        <v>1480</v>
      </c>
      <c r="G153" t="n">
        <v>660</v>
      </c>
      <c r="H153" t="n">
        <v>25</v>
      </c>
      <c r="I153">
        <f>SUM(G181*H181)</f>
        <v/>
      </c>
      <c r="J153" t="inlineStr">
        <is>
          <t>✓ 一致（SKU）</t>
        </is>
      </c>
      <c r="K153" t="inlineStr">
        <is>
          <t>6902395691075</t>
        </is>
      </c>
    </row>
    <row r="154" ht="13.5" customHeight="1">
      <c r="A154" s="27" t="inlineStr">
        <is>
          <t>4906156801873</t>
        </is>
      </c>
      <c r="B154" s="27" t="inlineStr">
        <is>
          <t>b07n33gjl9-3</t>
        </is>
      </c>
      <c r="C154" s="27" t="inlineStr">
        <is>
          <t>4906156801873-3-a</t>
        </is>
      </c>
      <c r="D154" s="27" t="inlineStr">
        <is>
          <t>b07n33gjl9-3</t>
        </is>
      </c>
      <c r="E154" t="inlineStr">
        <is>
          <t>【3個セット】ミューズ メン 薬用ボディ用せっけん 135g×3 MUSE メンズ 固形石鹸 薬用石鹸 固形せっけん 男性用 ボディソープ 体臭 汗臭 ニオイ対策 殺菌 消臭 ハッカ油 医薬部外品 日本製 在庫限り 廃盤品 生産終了 デオドラント ボディケア まとめ買い</t>
        </is>
      </c>
      <c r="F154" t="n">
        <v>2480</v>
      </c>
      <c r="G154" t="n">
        <v>1248</v>
      </c>
      <c r="H154" t="n">
        <v>8</v>
      </c>
      <c r="I154">
        <f>SUM(G182*H182)</f>
        <v/>
      </c>
      <c r="J154" t="inlineStr">
        <is>
          <t>✓ 一致（SKU）</t>
        </is>
      </c>
      <c r="K154" t="inlineStr">
        <is>
          <t>4906156801873</t>
        </is>
      </c>
    </row>
    <row r="155" ht="13.5" customHeight="1">
      <c r="A155" s="27" t="inlineStr">
        <is>
          <t>4973167385487</t>
        </is>
      </c>
      <c r="B155" s="27" t="inlineStr">
        <is>
          <t>b07npnrnbc</t>
        </is>
      </c>
      <c r="C155" s="27" t="inlineStr">
        <is>
          <t>5487/2970-a</t>
        </is>
      </c>
      <c r="D155" s="27" t="inlineStr">
        <is>
          <t>b07npnrnbc</t>
        </is>
      </c>
      <c r="E155" t="inlineStr">
        <is>
          <t>KATE ケイト ナチュラル ジェル プロテクションエキスパート 30グラム×3個セット 化粧下地 SPF50+/PA+++</t>
        </is>
      </c>
      <c r="F155" t="n">
        <v>4280</v>
      </c>
      <c r="G155" t="n">
        <v>2970</v>
      </c>
      <c r="H155" t="n">
        <v>0</v>
      </c>
      <c r="I155">
        <f>SUM(G183*H183)</f>
        <v/>
      </c>
      <c r="J155" t="inlineStr">
        <is>
          <t>✓ 一致（SKU）</t>
        </is>
      </c>
      <c r="K155" t="inlineStr">
        <is>
          <t>4973167385487</t>
        </is>
      </c>
    </row>
    <row r="156" ht="13.5" customHeight="1">
      <c r="A156" s="27" t="inlineStr">
        <is>
          <t>6941057416106</t>
        </is>
      </c>
      <c r="B156" s="27" t="inlineStr">
        <is>
          <t>b07q5846pr</t>
        </is>
      </c>
      <c r="C156" s="27" t="inlineStr">
        <is>
          <t>6106/1429</t>
        </is>
      </c>
      <c r="D156" s="27" t="inlineStr">
        <is>
          <t>b07q5846pr</t>
        </is>
      </c>
      <c r="E156" t="inlineStr">
        <is>
          <t>INTEX(インテックス) 空気入れ ポンプ AC エレクトリックポンプ 100V 66639 [日本正規品] 浮き輪 プール ボール</t>
        </is>
      </c>
      <c r="F156" t="n">
        <v>2480</v>
      </c>
      <c r="G156" t="n">
        <v>1429</v>
      </c>
      <c r="H156" t="n">
        <v>2</v>
      </c>
      <c r="I156">
        <f>SUM(G184*H184)</f>
        <v/>
      </c>
      <c r="J156" t="inlineStr">
        <is>
          <t>✓ 一致（SKU）</t>
        </is>
      </c>
      <c r="K156" t="inlineStr">
        <is>
          <t>6941057416106</t>
        </is>
      </c>
    </row>
    <row r="157" ht="13.5" customHeight="1">
      <c r="A157" s="27" t="inlineStr">
        <is>
          <t>0035585751764</t>
        </is>
      </c>
      <c r="B157" s="27" t="inlineStr">
        <is>
          <t>b07q6ncpzs</t>
        </is>
      </c>
      <c r="C157" s="27" t="inlineStr">
        <is>
          <t>1764/660-a</t>
        </is>
      </c>
      <c r="D157" s="27" t="inlineStr">
        <is>
          <t>b07q6ncpzs</t>
        </is>
      </c>
      <c r="E157" t="inlineStr">
        <is>
          <t>コングジャパン コングキャットヤーニマルズオレンジ 猫 猫用 おもちゃ ボール</t>
        </is>
      </c>
      <c r="F157" t="n">
        <v>1780</v>
      </c>
      <c r="G157" t="n">
        <v>660</v>
      </c>
      <c r="H157" t="n">
        <v>5</v>
      </c>
      <c r="I157">
        <f>SUM(G185*H185)</f>
        <v/>
      </c>
      <c r="J157" t="inlineStr">
        <is>
          <t>✓ 一致（SKU）</t>
        </is>
      </c>
      <c r="K157" t="inlineStr">
        <is>
          <t>0035585751764</t>
        </is>
      </c>
    </row>
    <row r="158" ht="13.5" customHeight="1">
      <c r="A158" s="27" t="inlineStr">
        <is>
          <t>4544059033214</t>
        </is>
      </c>
      <c r="B158" s="27" t="inlineStr">
        <is>
          <t>b07q6pwrkm</t>
        </is>
      </c>
      <c r="C158" s="27" t="inlineStr">
        <is>
          <t>3214/1760-a</t>
        </is>
      </c>
      <c r="D158" s="27" t="inlineStr">
        <is>
          <t>B07Q6PWRKM</t>
        </is>
      </c>
      <c r="E158" t="inlineStr">
        <is>
          <t>【4個セット】日本カルシウム工業 ヘルシーウォーターEX 38g×4個セット ペットボトル用 浄水パック 携帯浄水器 カルキ除去 水質改善 アルカリイオン水 ミネラル水 浄水 水道水 飲料水 防災グッズ 災害対策 非常用 アウトドア キャンプ 節約 日本製 お茶パック付 まとめ買い</t>
        </is>
      </c>
      <c r="F158" t="n">
        <v>4580</v>
      </c>
      <c r="G158" t="n">
        <v>1760</v>
      </c>
      <c r="H158" t="n">
        <v>7</v>
      </c>
      <c r="I158">
        <f>SUM(G186*H186)</f>
        <v/>
      </c>
    </row>
    <row r="159" ht="13.5" customHeight="1">
      <c r="A159" s="27" t="inlineStr">
        <is>
          <t>4902430818414</t>
        </is>
      </c>
      <c r="B159" s="27" t="inlineStr">
        <is>
          <t>b07qlxgty9</t>
        </is>
      </c>
      <c r="C159" s="27" t="inlineStr">
        <is>
          <t>8414/528-a</t>
        </is>
      </c>
      <c r="D159" s="27" t="inlineStr">
        <is>
          <t>b07qlxgty9</t>
        </is>
      </c>
      <c r="E159" t="inlineStr">
        <is>
          <t>ファブリーズ 消臭芳香剤 トイレ用 ブルー・シャボン 6mL×2個 トイレ 消臭 芳香剤 まとめ買い</t>
        </is>
      </c>
      <c r="F159" t="n">
        <v>1980</v>
      </c>
      <c r="G159" t="n">
        <v>528</v>
      </c>
      <c r="H159" t="n">
        <v>10</v>
      </c>
      <c r="I159">
        <f>SUM(G188*H188)</f>
        <v/>
      </c>
      <c r="J159" t="inlineStr">
        <is>
          <t>✓ 一致（SKU）</t>
        </is>
      </c>
      <c r="K159" t="inlineStr">
        <is>
          <t>4902430818414</t>
        </is>
      </c>
    </row>
    <row r="160" ht="13.5" customHeight="1">
      <c r="A160" s="27" t="inlineStr">
        <is>
          <t>4987241162130</t>
        </is>
      </c>
      <c r="B160" s="27" t="inlineStr">
        <is>
          <t>b07sqfg1yg</t>
        </is>
      </c>
      <c r="C160" s="27" t="inlineStr">
        <is>
          <t>2130/1641</t>
        </is>
      </c>
      <c r="D160" s="27" t="inlineStr">
        <is>
          <t>b07sqfg1yg</t>
        </is>
      </c>
      <c r="E160" t="inlineStr">
        <is>
          <t>スキンアクア(SKIN AQUA) トーンアップUVエッセンスミントグリーン 80g×3個セット 透明感アップ カラーコントロールUV 日焼け止め SPF50+ PA++++ 化粧下地</t>
        </is>
      </c>
      <c r="F160" t="n">
        <v>2980</v>
      </c>
      <c r="G160" t="n">
        <v>1641</v>
      </c>
      <c r="H160" t="n">
        <v>5</v>
      </c>
      <c r="I160">
        <f>SUM(G189*H189)</f>
        <v/>
      </c>
      <c r="J160" t="inlineStr">
        <is>
          <t>✓ 一致（SKU）</t>
        </is>
      </c>
      <c r="K160" t="inlineStr">
        <is>
          <t>4987241162130</t>
        </is>
      </c>
    </row>
    <row r="161" ht="13.5" customHeight="1">
      <c r="A161" s="27" t="inlineStr">
        <is>
          <t>0848061014365</t>
        </is>
      </c>
      <c r="B161" s="27" t="inlineStr">
        <is>
          <t>b07st84pf5</t>
        </is>
      </c>
      <c r="C161" s="27" t="inlineStr">
        <is>
          <t>4365/990</t>
        </is>
      </c>
      <c r="D161" s="27" t="inlineStr">
        <is>
          <t>b07st84pf5</t>
        </is>
      </c>
      <c r="E161" t="inlineStr">
        <is>
          <t>Anker USB3.0 ウルトラスリム 4ポートハブ USB ハブ 60cm ブラック ケーブル 5Gbps高速転送 バスパワー 軽量 コンパクト MacBook/iMac/Surface Pro 等 ノートPC 他対応 USBハブ テレワーク リモート 在宅勤務</t>
        </is>
      </c>
      <c r="F161" t="n">
        <v>1980</v>
      </c>
      <c r="G161" t="n">
        <v>990</v>
      </c>
      <c r="H161" t="n">
        <v>2</v>
      </c>
      <c r="I161">
        <f>SUM(G190*H190)</f>
        <v/>
      </c>
      <c r="J161" t="inlineStr">
        <is>
          <t>✓ 一致（SKU）</t>
        </is>
      </c>
      <c r="K161" t="inlineStr">
        <is>
          <t>0848061014365</t>
        </is>
      </c>
    </row>
    <row r="162" ht="13.5" customHeight="1">
      <c r="A162" s="27" t="inlineStr">
        <is>
          <t>4901872973590</t>
        </is>
      </c>
      <c r="B162" s="27" t="inlineStr">
        <is>
          <t>b07tr6ft6t</t>
        </is>
      </c>
      <c r="C162" s="27" t="inlineStr">
        <is>
          <t>3590/1099</t>
        </is>
      </c>
      <c r="D162" s="27" t="inlineStr">
        <is>
          <t>b07tr6ft6t</t>
        </is>
      </c>
      <c r="E162" t="inlineStr">
        <is>
          <t>資生堂 インテグレート プロフィニッシュリキッド オークル10 30mL ファンデーション リキッドファンデーション ベースメイク 毛穴カバー くずれにくい ツヤ肌 自然な仕上がり カバー力 化粧下地併用 メイクアップ オークル SPF配合 化粧品 コスメ 資生堂ファンデーション</t>
        </is>
      </c>
      <c r="F162" t="n">
        <v>2180</v>
      </c>
      <c r="G162" t="n">
        <v>1099</v>
      </c>
      <c r="H162" t="n">
        <v>29</v>
      </c>
      <c r="I162">
        <f>SUM(G191*H191)</f>
        <v/>
      </c>
      <c r="J162" t="inlineStr">
        <is>
          <t>✓ 一致（SKU）</t>
        </is>
      </c>
      <c r="K162" t="inlineStr">
        <is>
          <t>4901872973590</t>
        </is>
      </c>
    </row>
    <row r="163" ht="13.5" customHeight="1">
      <c r="A163" s="27" t="inlineStr">
        <is>
          <t>4901301370204</t>
        </is>
      </c>
      <c r="B163" s="27" t="inlineStr">
        <is>
          <t>b07vmrwjmh-3</t>
        </is>
      </c>
      <c r="C163" s="27" t="inlineStr">
        <is>
          <t>0204/2154-a</t>
        </is>
      </c>
      <c r="D163" s="27" t="inlineStr">
        <is>
          <t>b07vmrwjmh-3</t>
        </is>
      </c>
      <c r="E163" t="inlineStr">
        <is>
          <t>【3個セット】ニベア プレミアムボディミルク ホワイトニング 190g 医薬部外品 美白ケア 保湿ケア 乾燥対策 うるおいケア 角質ケア シミ予防対策 ボディスキンケア 薬用ボディミルク 花王 NIVEA まとめ買い 全身保湿ケア 高保湿ケア しっとり保湿肌ケア デイリー保湿ケア</t>
        </is>
      </c>
      <c r="F163" t="n">
        <v>4980</v>
      </c>
      <c r="G163" t="n">
        <v>2154</v>
      </c>
      <c r="H163" t="n">
        <v>4</v>
      </c>
      <c r="I163">
        <f>SUM(G192*H192)</f>
        <v/>
      </c>
      <c r="J163" t="inlineStr">
        <is>
          <t>✓ 一致（SKU）</t>
        </is>
      </c>
      <c r="K163" t="inlineStr">
        <is>
          <t>4901301370204</t>
        </is>
      </c>
    </row>
    <row r="164" ht="13.5" customHeight="1">
      <c r="A164" s="27" t="inlineStr">
        <is>
          <t>4902430886369</t>
        </is>
      </c>
      <c r="B164" s="27" t="inlineStr">
        <is>
          <t>b07vv4cmrb</t>
        </is>
      </c>
      <c r="C164" s="27" t="inlineStr">
        <is>
          <t>6369,1632</t>
        </is>
      </c>
      <c r="D164" s="27" t="inlineStr">
        <is>
          <t>b07vv4cmrb</t>
        </is>
      </c>
      <c r="E164" t="inlineStr">
        <is>
          <t>【2個セット】PANTENE パンテーン エフォートレス クイックリペアカプセル ヴィタミルク 90ml×2 洗い流さないトリートメント ヘアミルク ダメージ補修 パサつき うねり 広がり 集中補修 サラサラ しっとり アウトバス ヘアケア 美容乳液 トリートメント 保湿 艶髪</t>
        </is>
      </c>
      <c r="F164" t="n">
        <v>2980</v>
      </c>
      <c r="G164" t="n">
        <v>1632</v>
      </c>
      <c r="H164" t="n">
        <v>10</v>
      </c>
      <c r="I164">
        <f>SUM(G193*H193)</f>
        <v/>
      </c>
      <c r="J164" t="inlineStr">
        <is>
          <t>✓ 一致（SKU）</t>
        </is>
      </c>
      <c r="K164" t="inlineStr">
        <is>
          <t>4902430886369</t>
        </is>
      </c>
    </row>
    <row r="165" ht="13.5" customHeight="1">
      <c r="A165" s="27" t="inlineStr">
        <is>
          <t>4901080686411</t>
        </is>
      </c>
      <c r="B165" s="27" t="inlineStr">
        <is>
          <t>b07w34d7gh</t>
        </is>
      </c>
      <c r="C165" s="27" t="inlineStr">
        <is>
          <t>6411/1740-a</t>
        </is>
      </c>
      <c r="D165" s="27" t="inlineStr">
        <is>
          <t>b07w34d7gh</t>
        </is>
      </c>
      <c r="E165" t="inlineStr">
        <is>
          <t>らくハピ いれるだけバブルーン トイレボウル 180g×6 トイレ 掃除 洗浄剤</t>
        </is>
      </c>
      <c r="F165" t="n">
        <v>2980</v>
      </c>
      <c r="G165" t="n">
        <v>1740</v>
      </c>
      <c r="H165" t="n">
        <v>14</v>
      </c>
      <c r="I165">
        <f>SUM(G194*H194)</f>
        <v/>
      </c>
      <c r="J165" t="inlineStr">
        <is>
          <t>✓ 一致（SKU）</t>
        </is>
      </c>
      <c r="K165" t="inlineStr">
        <is>
          <t>4901080686411</t>
        </is>
      </c>
    </row>
    <row r="166" ht="13.5" customHeight="1">
      <c r="A166" s="27" t="inlineStr">
        <is>
          <t>4901080686411</t>
        </is>
      </c>
      <c r="B166" s="27" t="inlineStr">
        <is>
          <t>b07w34d7gh-4</t>
        </is>
      </c>
      <c r="C166" s="27" t="inlineStr">
        <is>
          <t>4901080686411-4-a</t>
        </is>
      </c>
      <c r="D166" s="27" t="inlineStr">
        <is>
          <t>B07W34D7GH-4</t>
        </is>
      </c>
      <c r="E166" t="inlineStr">
        <is>
          <t>【4個セット】らくハピ いれるだけバブルーン トイレボウル 180g×4個セット トイレ洗浄剤 発泡洗浄 泡洗浄 トイレ掃除 便器洗浄 便器クリーナー 黒ずみ対策 汚れ落とし 除菌 消臭 トイレクリーナー 洗浄剤 トイレ用洗剤 掃除用品 日用品 まとめ買い アース製薬</t>
        </is>
      </c>
      <c r="F166" t="n">
        <v>1980</v>
      </c>
      <c r="G166" t="n">
        <v>1160</v>
      </c>
      <c r="H166" t="n">
        <v>2</v>
      </c>
      <c r="I166">
        <f>SUM(G195*H195)</f>
        <v/>
      </c>
      <c r="J166" t="inlineStr">
        <is>
          <t>✓ 一致（SKU）</t>
        </is>
      </c>
      <c r="K166" t="inlineStr">
        <is>
          <t>4901080686411</t>
        </is>
      </c>
    </row>
    <row r="167" ht="13.5" customHeight="1">
      <c r="A167" s="27" t="inlineStr">
        <is>
          <t>4544059026216</t>
        </is>
      </c>
      <c r="B167" s="27" t="inlineStr">
        <is>
          <t>b07w752w8x</t>
        </is>
      </c>
      <c r="C167" s="27" t="inlineStr">
        <is>
          <t>6216/711-a</t>
        </is>
      </c>
      <c r="D167" s="27" t="inlineStr">
        <is>
          <t>b07w752w8x</t>
        </is>
      </c>
      <c r="E167" t="inlineStr">
        <is>
          <t>つるつる 美肌の湯 2個入り×3個 お風呂 入浴剤 美肌 温泉 アトピー 冷え性 リウマチ 神経痛</t>
        </is>
      </c>
      <c r="F167" t="n">
        <v>1480</v>
      </c>
      <c r="G167" t="n">
        <v>711</v>
      </c>
      <c r="H167" t="n">
        <v>8</v>
      </c>
      <c r="I167">
        <f>SUM(G196*H196)</f>
        <v/>
      </c>
      <c r="J167" t="inlineStr">
        <is>
          <t>✓ 一致（SKU）</t>
        </is>
      </c>
      <c r="K167" t="inlineStr">
        <is>
          <t>4544059026216</t>
        </is>
      </c>
    </row>
    <row r="168" ht="13.5" customHeight="1">
      <c r="A168" s="27" t="inlineStr">
        <is>
          <t>4540790177934</t>
        </is>
      </c>
      <c r="B168" s="27" t="inlineStr">
        <is>
          <t>b07yc7gs5k</t>
        </is>
      </c>
      <c r="C168" s="27" t="inlineStr">
        <is>
          <t>4540790177934-a</t>
        </is>
      </c>
      <c r="D168" s="27" t="inlineStr">
        <is>
          <t>b07yc7gs5k</t>
        </is>
      </c>
      <c r="E168" t="inlineStr">
        <is>
          <t>ヤーマン 洗顔ブラシ ミーゼ mys? クレンズリフト ピンク MS70P 洗顔 リフトケア 美容</t>
        </is>
      </c>
      <c r="F168" t="n">
        <v>9980</v>
      </c>
      <c r="G168" t="n">
        <v>9100</v>
      </c>
      <c r="H168" t="n">
        <v>10</v>
      </c>
      <c r="I168">
        <f>SUM(G197*H197)</f>
        <v/>
      </c>
      <c r="J168" t="inlineStr">
        <is>
          <t>✓ 一致（SKU）</t>
        </is>
      </c>
      <c r="K168" t="inlineStr">
        <is>
          <t>4540790177934</t>
        </is>
      </c>
    </row>
    <row r="169" ht="13.5" customHeight="1">
      <c r="A169" s="27" t="inlineStr">
        <is>
          <t>4540790177835</t>
        </is>
      </c>
      <c r="B169" s="27" t="inlineStr">
        <is>
          <t>b07yc8cj3y</t>
        </is>
      </c>
      <c r="C169" s="27" t="inlineStr">
        <is>
          <t>7835/8000-a</t>
        </is>
      </c>
      <c r="D169" s="27" t="inlineStr">
        <is>
          <t>B07YC8CJ3Y</t>
        </is>
      </c>
      <c r="E169" t="inlineStr">
        <is>
          <t>ヤーマン 洗顔ブラシ ミーゼ mys? クレンズリフト ローズ MS70R 洗顔 リフトケア 美容</t>
        </is>
      </c>
      <c r="F169" t="n">
        <v>11980</v>
      </c>
      <c r="G169" t="n">
        <v>8000</v>
      </c>
      <c r="H169" t="n">
        <v>16</v>
      </c>
      <c r="I169">
        <f>SUM(G198*H198)</f>
        <v/>
      </c>
    </row>
    <row r="170" ht="13.5" customHeight="1">
      <c r="A170" s="27" t="inlineStr">
        <is>
          <t>0194644141165</t>
        </is>
      </c>
      <c r="B170" s="27" t="inlineStr">
        <is>
          <t>b07znfr6bf</t>
        </is>
      </c>
      <c r="C170" s="27" t="inlineStr">
        <is>
          <t>1165/3190</t>
        </is>
      </c>
      <c r="D170" s="27" t="inlineStr">
        <is>
          <t>b07znfr6bf</t>
        </is>
      </c>
      <c r="E170" t="inlineStr">
        <is>
          <t>Anker PowerPort Atom III Slim (Four Ports) ブラック 65W 4ポート USB-C 充電器 PowerIQ3.0搭載, PD対応 GaN(窒素ガリウム)採用 iPhone/iPad/iPod/MacBook Air/その他USB-C機器対応</t>
        </is>
      </c>
      <c r="F170" t="n">
        <v>6980</v>
      </c>
      <c r="G170" t="n">
        <v>3190</v>
      </c>
      <c r="H170" t="n">
        <v>3</v>
      </c>
      <c r="I170">
        <f>SUM(G199*H199)</f>
        <v/>
      </c>
      <c r="J170" t="inlineStr">
        <is>
          <t>✓ 一致（SKU）</t>
        </is>
      </c>
      <c r="K170" t="inlineStr">
        <is>
          <t>0194644141165</t>
        </is>
      </c>
    </row>
    <row r="171" ht="13.5" customHeight="1">
      <c r="A171" s="27" t="inlineStr">
        <is>
          <t>4512063130403</t>
        </is>
      </c>
      <c r="B171" s="27" t="inlineStr">
        <is>
          <t>b0812dyt68</t>
        </is>
      </c>
      <c r="C171" s="27" t="inlineStr">
        <is>
          <t>0403/474-a</t>
        </is>
      </c>
      <c r="D171" s="27" t="inlineStr">
        <is>
          <t>b0812dyt68</t>
        </is>
      </c>
      <c r="E171" t="inlineStr">
        <is>
          <t>トーラス 小動物の知恵 脱臭食 30ml 糞尿臭を消すサプリメント 国産 糞便臭 うんち オシッコ 臭い 消臭 サプリメン うさぎ モルモット ハムスター チンチラ フェレット リス 小動物 液体 日本製</t>
        </is>
      </c>
      <c r="F171" t="n">
        <v>1280</v>
      </c>
      <c r="G171" t="n">
        <v>474</v>
      </c>
      <c r="H171" t="n">
        <v>4</v>
      </c>
      <c r="I171">
        <f>SUM(G200*H200)</f>
        <v/>
      </c>
      <c r="J171" t="inlineStr">
        <is>
          <t>✓ 一致（SKU）</t>
        </is>
      </c>
      <c r="K171" t="inlineStr">
        <is>
          <t>4512063130403</t>
        </is>
      </c>
    </row>
    <row r="172" ht="13.5" customHeight="1">
      <c r="A172" s="27" t="inlineStr">
        <is>
          <t>4988659446157</t>
        </is>
      </c>
      <c r="B172" s="27" t="inlineStr">
        <is>
          <t>b0842r98vl</t>
        </is>
      </c>
      <c r="C172" s="27" t="inlineStr">
        <is>
          <t>6157/10679</t>
        </is>
      </c>
      <c r="D172" s="27" t="inlineStr">
        <is>
          <t>b0842r98vl</t>
        </is>
      </c>
      <c r="E172" t="inlineStr">
        <is>
          <t>PSHOTOKUZEI PCA所得税 ソフトウェア ソフト アプリケーション アプリ 業務 税申告 税金 税 申告 法定調書 システム</t>
        </is>
      </c>
      <c r="F172" t="n">
        <v>15800</v>
      </c>
      <c r="G172" t="n">
        <v>10679</v>
      </c>
      <c r="H172" t="n">
        <v>1</v>
      </c>
      <c r="I172">
        <f>SUM(G201*H201)</f>
        <v/>
      </c>
      <c r="J172" t="inlineStr">
        <is>
          <t>✓ 一致（SKU）</t>
        </is>
      </c>
      <c r="K172" t="inlineStr">
        <is>
          <t>4988659446157</t>
        </is>
      </c>
    </row>
    <row r="173" ht="13.5" customHeight="1">
      <c r="A173" s="27" t="inlineStr">
        <is>
          <t>4995296905480</t>
        </is>
      </c>
      <c r="B173" s="27" t="inlineStr">
        <is>
          <t>b0844gsppp</t>
        </is>
      </c>
      <c r="C173" s="27" t="inlineStr">
        <is>
          <t>5480/1650-a</t>
        </is>
      </c>
      <c r="D173" s="27" t="inlineStr">
        <is>
          <t>B0844GSPPP</t>
        </is>
      </c>
      <c r="E173" t="inlineStr">
        <is>
          <t>帝人フロンティア 3D着圧サポーター 女性用レギンス 1枚入り ブラックM レギンス 日本製 シェイプアップ 股関節負担軽減 運動 サポーター</t>
        </is>
      </c>
      <c r="F173" t="n">
        <v>4980</v>
      </c>
      <c r="G173" t="n">
        <v>1650</v>
      </c>
      <c r="H173" t="n">
        <v>5</v>
      </c>
      <c r="I173">
        <f>SUM(G202*H202)</f>
        <v/>
      </c>
    </row>
    <row r="174" ht="13.5" customHeight="1">
      <c r="A174" s="27" t="inlineStr">
        <is>
          <t>4995296905510</t>
        </is>
      </c>
      <c r="B174" s="27" t="inlineStr">
        <is>
          <t>b0844pnth7</t>
        </is>
      </c>
      <c r="C174" s="27" t="inlineStr">
        <is>
          <t>5510/1650-a</t>
        </is>
      </c>
      <c r="D174" s="27" t="inlineStr">
        <is>
          <t>b0844pnth7</t>
        </is>
      </c>
      <c r="E174" t="inlineStr">
        <is>
          <t>帝人フロンティア 3D着圧サポーター 男性用レギンス 1枚入り ブラックM レギンス 日本製 シェイプアップ 股関節負担軽減 運動 サポーター</t>
        </is>
      </c>
      <c r="F174" t="n">
        <v>4980</v>
      </c>
      <c r="G174" t="n">
        <v>1650</v>
      </c>
      <c r="H174" t="n">
        <v>2</v>
      </c>
      <c r="I174">
        <f>SUM(G203*H203)</f>
        <v/>
      </c>
      <c r="J174" t="inlineStr">
        <is>
          <t>✓ 一致（SKU）</t>
        </is>
      </c>
      <c r="K174" t="inlineStr">
        <is>
          <t>4995296905510</t>
        </is>
      </c>
    </row>
    <row r="175" ht="13.5" customHeight="1">
      <c r="A175" s="27" t="inlineStr">
        <is>
          <t>4995296905497</t>
        </is>
      </c>
      <c r="B175" s="27" t="inlineStr">
        <is>
          <t>b0844wfl3f</t>
        </is>
      </c>
      <c r="C175" s="27" t="inlineStr">
        <is>
          <t>5497/1650-a</t>
        </is>
      </c>
      <c r="D175" s="27" t="inlineStr">
        <is>
          <t>B0844WFL3F</t>
        </is>
      </c>
      <c r="E175" t="inlineStr">
        <is>
          <t>帝人フロンティア 3D着圧サポーター 女性用レギンス 1枚入り ブラックL レギンス 日本製 シェイプアップ 股関節負担軽減 運動 サポーター</t>
        </is>
      </c>
      <c r="F175" t="n">
        <v>4980</v>
      </c>
      <c r="G175" t="n">
        <v>1650</v>
      </c>
      <c r="H175" t="n">
        <v>5</v>
      </c>
      <c r="I175">
        <f>SUM(G204*H204)</f>
        <v/>
      </c>
    </row>
    <row r="176" ht="13.5" customHeight="1">
      <c r="A176" s="27" t="inlineStr">
        <is>
          <t>4901080023414</t>
        </is>
      </c>
      <c r="B176" s="27" t="inlineStr">
        <is>
          <t>b084rvttlr</t>
        </is>
      </c>
      <c r="C176" s="27" t="inlineStr">
        <is>
          <t>4901080023414-2-a</t>
        </is>
      </c>
      <c r="D176" s="27" t="inlineStr">
        <is>
          <t>b084rvttlr</t>
        </is>
      </c>
      <c r="E176" t="inlineStr">
        <is>
          <t>【2個セット】アース製薬 サラテクト シート 20枚入×2個セット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F176" t="n">
        <v>1780</v>
      </c>
      <c r="G176" t="n">
        <v>730</v>
      </c>
      <c r="H176" t="n">
        <v>7</v>
      </c>
      <c r="I176">
        <f>SUM(G205*H205)</f>
        <v/>
      </c>
      <c r="J176" t="inlineStr">
        <is>
          <t>✓ 一致（SKU）</t>
        </is>
      </c>
      <c r="K176" t="inlineStr">
        <is>
          <t>4901080023414</t>
        </is>
      </c>
    </row>
    <row r="177" ht="13.5" customHeight="1">
      <c r="A177" s="27" t="inlineStr">
        <is>
          <t>4901080023414</t>
        </is>
      </c>
      <c r="B177" s="27" t="inlineStr">
        <is>
          <t>b084rvttlr-1</t>
        </is>
      </c>
      <c r="C177" s="27" t="inlineStr">
        <is>
          <t>3414/2190-a</t>
        </is>
      </c>
      <c r="D177" s="27" t="inlineStr">
        <is>
          <t>B084RVTTLR-1</t>
        </is>
      </c>
      <c r="E177" t="inlineStr">
        <is>
          <t>【6個セット】アース製薬 サラテクト シート 20枚入×6個セット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F177" t="n">
        <v>3980</v>
      </c>
      <c r="G177" t="n">
        <v>2190</v>
      </c>
      <c r="H177" t="n">
        <v>4</v>
      </c>
      <c r="I177">
        <f>SUM(G206*H206)</f>
        <v/>
      </c>
      <c r="J177" t="inlineStr">
        <is>
          <t>✓ 一致（SKU）</t>
        </is>
      </c>
      <c r="K177" t="inlineStr">
        <is>
          <t>4901080023414</t>
        </is>
      </c>
    </row>
    <row r="178" ht="13.5" customHeight="1">
      <c r="A178" s="27" t="inlineStr">
        <is>
          <t>4903588262180</t>
        </is>
      </c>
      <c r="B178" s="27" t="inlineStr">
        <is>
          <t>b0851vtm89-1</t>
        </is>
      </c>
      <c r="C178" s="27" t="inlineStr">
        <is>
          <t>2180,2197/143,99-a</t>
        </is>
      </c>
      <c r="D178" s="27" t="inlineStr">
        <is>
          <t>b0851vtm89-1</t>
        </is>
      </c>
      <c r="E178" t="inlineStr">
        <is>
          <t>ペティオ (Petio) ハッピークリーン 犬・猫ペット臭さ 消臭&amp;除菌EX 本体+詰め替えセット</t>
        </is>
      </c>
      <c r="F178" t="n">
        <v>1480</v>
      </c>
      <c r="G178" t="n">
        <v>242</v>
      </c>
      <c r="H178" t="n">
        <v>9</v>
      </c>
      <c r="I178">
        <f>SUM(G207*H207)</f>
        <v/>
      </c>
      <c r="J178" t="inlineStr">
        <is>
          <t>✓ 一致（SKU）</t>
        </is>
      </c>
      <c r="K178" t="inlineStr">
        <is>
          <t>4903588262180</t>
        </is>
      </c>
    </row>
    <row r="179" ht="13.5" customHeight="1">
      <c r="A179" s="27" t="inlineStr">
        <is>
          <t>4901301381965</t>
        </is>
      </c>
      <c r="B179" s="27" t="inlineStr">
        <is>
          <t>b085p2f2v8</t>
        </is>
      </c>
      <c r="C179" s="27" t="inlineStr">
        <is>
          <t>1965</t>
        </is>
      </c>
      <c r="D179" s="27" t="inlineStr">
        <is>
          <t>b085p2f2v8</t>
        </is>
      </c>
      <c r="E179" t="inlineStr">
        <is>
          <t>ソフィーナiP ベースケア セラム 土台美容液 リフレッシュタイプ 本体(90g) 花王 化粧品 肌 肌ケア ケア</t>
        </is>
      </c>
      <c r="F179" t="n">
        <v>5980</v>
      </c>
      <c r="G179" t="n">
        <v>0</v>
      </c>
      <c r="H179" t="n">
        <v>2</v>
      </c>
      <c r="I179">
        <f>SUM(G209*H209)</f>
        <v/>
      </c>
      <c r="J179" t="inlineStr">
        <is>
          <t>✓ 一致（SKU）</t>
        </is>
      </c>
      <c r="K179" t="inlineStr">
        <is>
          <t>4901301381965</t>
        </is>
      </c>
    </row>
    <row r="180" ht="13.5" customHeight="1">
      <c r="A180" s="27" t="inlineStr">
        <is>
          <t>0840080511207</t>
        </is>
      </c>
      <c r="B180" s="27" t="inlineStr">
        <is>
          <t>b085wv8664</t>
        </is>
      </c>
      <c r="C180" s="27" t="inlineStr">
        <is>
          <t>1207/5980</t>
        </is>
      </c>
      <c r="D180" s="27" t="inlineStr">
        <is>
          <t>b085wv8664</t>
        </is>
      </c>
      <c r="E180" t="inlineStr">
        <is>
          <t>Echo Buds (エコーバッズ) 第2世代 - アクティブ ノイズキャンセリング 付き完全 ワイヤレスイヤホン with Alexa｜グレーシャーホワイト イヤホン Bluetooth</t>
        </is>
      </c>
      <c r="F180" t="n">
        <v>9980</v>
      </c>
      <c r="G180" t="n">
        <v>5980</v>
      </c>
      <c r="H180" t="n">
        <v>3</v>
      </c>
      <c r="I180">
        <f>SUM(G210*H210)</f>
        <v/>
      </c>
      <c r="J180" t="inlineStr">
        <is>
          <t>✓ 一致（SKU）</t>
        </is>
      </c>
      <c r="K180" t="inlineStr">
        <is>
          <t>0840080511207</t>
        </is>
      </c>
    </row>
    <row r="181" ht="13.5" customHeight="1">
      <c r="A181" s="27" t="inlineStr">
        <is>
          <t>3264680024382</t>
        </is>
      </c>
      <c r="B181" s="27" t="inlineStr">
        <is>
          <t>b0866fcr7t</t>
        </is>
      </c>
      <c r="C181" s="27" t="inlineStr">
        <is>
          <t>4382</t>
        </is>
      </c>
      <c r="D181" s="27" t="inlineStr">
        <is>
          <t>b0866fcr7t</t>
        </is>
      </c>
      <c r="E181" t="inlineStr">
        <is>
          <t>Nuxe(ニュクス) プロディジュー フローラル オイル 50ml ヘア ボディ フェイス 全身用 マルチ 香り 保湿 乾燥 潤い ツヤ肌 さらさら まとまり フレグランス ギフト フローラル</t>
        </is>
      </c>
      <c r="F181" t="n">
        <v>3580</v>
      </c>
      <c r="G181" t="n">
        <v>0</v>
      </c>
      <c r="H181" t="n">
        <v>15</v>
      </c>
      <c r="I181">
        <f>SUM(G211*H211)</f>
        <v/>
      </c>
      <c r="J181" t="inlineStr">
        <is>
          <t>✓ 一致（SKU）</t>
        </is>
      </c>
      <c r="K181" t="inlineStr">
        <is>
          <t>3264680024382</t>
        </is>
      </c>
    </row>
    <row r="182" ht="13.5" customHeight="1">
      <c r="A182" s="27" t="inlineStr">
        <is>
          <t>4544059033238</t>
        </is>
      </c>
      <c r="B182" s="27" t="inlineStr">
        <is>
          <t>b0867jpktd</t>
        </is>
      </c>
      <c r="C182" s="27" t="inlineStr">
        <is>
          <t>3238/2216-a</t>
        </is>
      </c>
      <c r="D182" s="27" t="inlineStr">
        <is>
          <t>b0867jpktd</t>
        </is>
      </c>
      <c r="E182" t="inlineStr">
        <is>
          <t>【4個セット】日本カルシウム工業 カルシウムイオン水 38g×4個セット 浄水パック ペットボトル用 携帯浄水器 カルキ除去 水質改善 アルカリイオン水 防災 災害対策 節約 水道水 浄水用品 飲料水 浄水グッズ アウトドア キャンプ 非常用 日本製 お茶パック付き</t>
        </is>
      </c>
      <c r="F182" t="n">
        <v>4980</v>
      </c>
      <c r="G182" t="n">
        <v>2216</v>
      </c>
      <c r="H182" t="n">
        <v>5</v>
      </c>
      <c r="I182">
        <f>SUM(G212*H212)</f>
        <v/>
      </c>
    </row>
    <row r="183" ht="13.5" customHeight="1">
      <c r="A183" s="27" t="inlineStr">
        <is>
          <t>4901548603080</t>
        </is>
      </c>
      <c r="B183" s="27" t="inlineStr">
        <is>
          <t>b086q1mhhp</t>
        </is>
      </c>
      <c r="C183" s="27" t="inlineStr">
        <is>
          <t>3080/1167-a</t>
        </is>
      </c>
      <c r="D183" s="27" t="inlineStr">
        <is>
          <t>b086q1mhhp</t>
        </is>
      </c>
      <c r="E183" t="inlineStr">
        <is>
          <t>【3個セット】小林製薬 熱中対策 シャツクール 冷感ストロング 100ml 衣類用冷感スプレー 冷却スプレー ひんやり 消臭 汗対策 通勤 通学 スポーツ 屋外作業 暑さ対策 夏用品 まとめ買い</t>
        </is>
      </c>
      <c r="F183" t="n">
        <v>2980</v>
      </c>
      <c r="G183" t="n">
        <v>1167</v>
      </c>
      <c r="H183" t="n">
        <v>3</v>
      </c>
      <c r="I183">
        <f>SUM(G213*H213)</f>
        <v/>
      </c>
      <c r="J183" t="inlineStr">
        <is>
          <t>✓ 一致（SKU）</t>
        </is>
      </c>
      <c r="K183" t="inlineStr">
        <is>
          <t>4901548603080</t>
        </is>
      </c>
    </row>
    <row r="184" ht="13.5" customHeight="1">
      <c r="A184" s="27" t="inlineStr">
        <is>
          <t>4901548603080</t>
        </is>
      </c>
      <c r="B184" s="27" t="inlineStr">
        <is>
          <t>b086q1mhhp-1</t>
        </is>
      </c>
      <c r="C184" s="27" t="inlineStr">
        <is>
          <t>3080,4421/690-a</t>
        </is>
      </c>
      <c r="D184" s="27" t="inlineStr">
        <is>
          <t>B086Q1MHHP-1</t>
        </is>
      </c>
      <c r="E184" t="inlineStr">
        <is>
          <t>小林製薬 熱中対策 シャツクール 冷感ストロング 本体100ml+詰め替え250ml セット衣類にスプレーするだけ 汗をかくとひんやり続く 冷感スプレー</t>
        </is>
      </c>
      <c r="F184" t="n">
        <v>2480</v>
      </c>
      <c r="G184" t="n">
        <v>690</v>
      </c>
      <c r="H184" t="n">
        <v>4</v>
      </c>
      <c r="I184">
        <f>SUM(G214*H214)</f>
        <v/>
      </c>
      <c r="J184" t="inlineStr">
        <is>
          <t>✓ 一致（SKU）</t>
        </is>
      </c>
      <c r="K184" t="inlineStr">
        <is>
          <t>4901548603080</t>
        </is>
      </c>
    </row>
    <row r="185" ht="13.5" customHeight="1">
      <c r="A185" s="27" t="inlineStr">
        <is>
          <t>4971710396478</t>
        </is>
      </c>
      <c r="B185" s="27" t="inlineStr">
        <is>
          <t>b086sndmbv</t>
        </is>
      </c>
      <c r="C185" s="27" t="inlineStr">
        <is>
          <t>6478/1140</t>
        </is>
      </c>
      <c r="D185" s="27" t="inlineStr">
        <is>
          <t>b086sndmbv</t>
        </is>
      </c>
      <c r="E185" t="inlineStr">
        <is>
          <t>コーセーコスメポート フォーチュン リップイルミネイト 5.5ml×2個セット リップ美容液 リップケア 唇ケア 保湿 うるおい 透明感 グロス 下地 乾燥対策 KOSE FORTUNE</t>
        </is>
      </c>
      <c r="F185" t="n">
        <v>1980</v>
      </c>
      <c r="G185" t="n">
        <v>1140</v>
      </c>
      <c r="H185" t="n">
        <v>5</v>
      </c>
      <c r="I185">
        <f>SUM(G215*H215)</f>
        <v/>
      </c>
      <c r="J185" t="inlineStr">
        <is>
          <t>✓ 一致（SKU）</t>
        </is>
      </c>
      <c r="K185" t="inlineStr">
        <is>
          <t>4971710396478</t>
        </is>
      </c>
    </row>
    <row r="186" ht="13.5" customHeight="1">
      <c r="A186" s="27" t="inlineStr">
        <is>
          <t>4971710396485</t>
        </is>
      </c>
      <c r="B186" s="27" t="inlineStr">
        <is>
          <t>b086snzlfb</t>
        </is>
      </c>
      <c r="C186" s="27" t="inlineStr">
        <is>
          <t>6485/1140</t>
        </is>
      </c>
      <c r="D186" s="27" t="inlineStr">
        <is>
          <t>b086snzlfb</t>
        </is>
      </c>
      <c r="E186" t="inlineStr">
        <is>
          <t>コーセー フォーチュン リップスターダム 5.5ml ×2個セット【正規品】リップ美容液 唇ケア 保湿 ツヤ ピンクリップ 乾燥対策 うるおい 口紅下地 KOSE FORTUNE</t>
        </is>
      </c>
      <c r="F186" t="n">
        <v>1980</v>
      </c>
      <c r="G186" t="n">
        <v>1140</v>
      </c>
      <c r="H186" t="n">
        <v>5</v>
      </c>
      <c r="I186">
        <f>SUM(G216*H216)</f>
        <v/>
      </c>
      <c r="J186" t="inlineStr">
        <is>
          <t>✓ 一致（SKU）</t>
        </is>
      </c>
      <c r="K186" t="inlineStr">
        <is>
          <t>4971710396485</t>
        </is>
      </c>
    </row>
    <row r="187" ht="13.5" customHeight="1">
      <c r="A187" s="27" t="inlineStr">
        <is>
          <t>4903588262715</t>
        </is>
      </c>
      <c r="B187" s="27" t="inlineStr">
        <is>
          <t>b087lzdd59</t>
        </is>
      </c>
      <c r="C187" s="27" t="inlineStr">
        <is>
          <t>5036/1273</t>
        </is>
      </c>
      <c r="D187" s="27" t="inlineStr">
        <is>
          <t>B087LZDD59</t>
        </is>
      </c>
      <c r="E187" t="inlineStr">
        <is>
          <t>ペティオ (Petio) Self Trimmer コードレスバリカン 犬・猫用 ディテール ホワイト 散髪 トリミング バリカン お手入れ カット</t>
        </is>
      </c>
      <c r="F187" t="n">
        <v>2780</v>
      </c>
      <c r="G187" t="n">
        <v>1273</v>
      </c>
      <c r="H187" t="n">
        <v>10</v>
      </c>
      <c r="I187">
        <f>SUM(G219*H219)</f>
        <v/>
      </c>
      <c r="J187" t="inlineStr">
        <is>
          <t>✓ 一致（SKU）</t>
        </is>
      </c>
      <c r="K187" t="inlineStr">
        <is>
          <t>4903588262715</t>
        </is>
      </c>
    </row>
    <row r="188" ht="13.5" customHeight="1">
      <c r="A188" s="27" t="inlineStr">
        <is>
          <t>0194644143206</t>
        </is>
      </c>
      <c r="B188" s="27" t="inlineStr">
        <is>
          <t>b087tb7ym7</t>
        </is>
      </c>
      <c r="C188" s="27" t="inlineStr">
        <is>
          <t>3206/4490</t>
        </is>
      </c>
      <c r="D188" s="27" t="inlineStr">
        <is>
          <t>b087tb7ym7</t>
        </is>
      </c>
      <c r="E188" t="inlineStr">
        <is>
          <t>Anker PowerExpand 8-in-1 USB-C PD 10Gbps データ ハブ 100W USB Power Delivery 対応 USB-Cポート 4K (60Hz) 出力対応 HDMIポート 10Gbps 高速データ転送 USB-Cポート USB-Aポート 1Gbps イーサネット microSD&amp;SDカード スロット搭載 MacBook Pro iPad Pro対応</t>
        </is>
      </c>
      <c r="F188" t="n">
        <v>12280</v>
      </c>
      <c r="G188" t="n">
        <v>4490</v>
      </c>
      <c r="H188" t="n">
        <v>10</v>
      </c>
      <c r="I188">
        <f>SUM(G220*H220)</f>
        <v/>
      </c>
      <c r="J188" t="inlineStr">
        <is>
          <t>✓ 一致（SKU）</t>
        </is>
      </c>
      <c r="K188" t="inlineStr">
        <is>
          <t>0194644143206</t>
        </is>
      </c>
    </row>
    <row r="189" ht="13.5" customHeight="1">
      <c r="A189" s="27" t="inlineStr">
        <is>
          <t>4901301370174</t>
        </is>
      </c>
      <c r="B189" s="27" t="inlineStr">
        <is>
          <t>b08bscmwln</t>
        </is>
      </c>
      <c r="C189" s="27" t="inlineStr">
        <is>
          <t>0174/1267</t>
        </is>
      </c>
      <c r="D189" s="27" t="inlineStr">
        <is>
          <t>b08bscmwln</t>
        </is>
      </c>
      <c r="E189" t="inlineStr">
        <is>
          <t>ニベア ロイヤルブルー ボディミルク 美容ケア 200g 〔医薬部外品〕【乾燥によってくすみがちな肌に】 ロイヤルブルーガーデンの香り</t>
        </is>
      </c>
      <c r="F189" t="n">
        <v>2580</v>
      </c>
      <c r="G189" t="n">
        <v>1267</v>
      </c>
      <c r="H189" t="n">
        <v>6</v>
      </c>
      <c r="I189">
        <f>SUM(G222*H222)</f>
        <v/>
      </c>
      <c r="J189" t="inlineStr">
        <is>
          <t>✓ 一致（SKU）</t>
        </is>
      </c>
      <c r="K189" t="inlineStr">
        <is>
          <t>4901301370174</t>
        </is>
      </c>
    </row>
    <row r="190" ht="13.5" customHeight="1">
      <c r="A190" s="27" t="inlineStr">
        <is>
          <t>4902522676489</t>
        </is>
      </c>
      <c r="B190" s="27" t="inlineStr">
        <is>
          <t>b08cbn98hd</t>
        </is>
      </c>
      <c r="C190" s="27" t="inlineStr">
        <is>
          <t>6489/748-a</t>
        </is>
      </c>
      <c r="D190" s="27" t="inlineStr">
        <is>
          <t>b08cbn98hd</t>
        </is>
      </c>
      <c r="E190" t="inlineStr">
        <is>
          <t>着圧レギンス スリムウォーク ビューアクティ (Beau-Acty) スタイルキープ レギンス ブラック M 着圧 レギンス ヨガ スポーツ</t>
        </is>
      </c>
      <c r="F190" t="n">
        <v>3280</v>
      </c>
      <c r="G190" t="n">
        <v>748</v>
      </c>
      <c r="H190" t="n">
        <v>10</v>
      </c>
      <c r="I190">
        <f>SUM(G225*H225)</f>
        <v/>
      </c>
      <c r="J190" t="inlineStr">
        <is>
          <t>✓ 一致（SKU）</t>
        </is>
      </c>
      <c r="K190" t="inlineStr">
        <is>
          <t>4902522676489</t>
        </is>
      </c>
    </row>
    <row r="191" ht="13.5" customHeight="1">
      <c r="A191" s="27" t="inlineStr">
        <is>
          <t>4897039351632</t>
        </is>
      </c>
      <c r="B191" s="27" t="inlineStr">
        <is>
          <t>b08f2zf5cv</t>
        </is>
      </c>
      <c r="C191" s="27" t="inlineStr">
        <is>
          <t>1632/2499</t>
        </is>
      </c>
      <c r="D191" s="27" t="inlineStr">
        <is>
          <t>b08f2zf5cv</t>
        </is>
      </c>
      <c r="E191" t="inlineStr">
        <is>
          <t>ジョーゼン(Jozen) ダートマックスカム 1/24スケールラジコン ジープラングラー ルビコン ラジコン ジープ ラングラー</t>
        </is>
      </c>
      <c r="F191" t="n">
        <v>6480</v>
      </c>
      <c r="G191" t="n">
        <v>2499</v>
      </c>
      <c r="H191" t="n">
        <v>0</v>
      </c>
      <c r="I191">
        <f>SUM(G226*H226)</f>
        <v/>
      </c>
      <c r="J191" t="inlineStr">
        <is>
          <t>✓ 一致（SKU）</t>
        </is>
      </c>
      <c r="K191" t="inlineStr">
        <is>
          <t>4897039351632</t>
        </is>
      </c>
    </row>
    <row r="192" ht="13.5" customHeight="1">
      <c r="A192" s="27" t="inlineStr">
        <is>
          <t>4571263111902</t>
        </is>
      </c>
      <c r="B192" s="27" t="inlineStr">
        <is>
          <t>b08f5bdmfl</t>
        </is>
      </c>
      <c r="C192" s="27" t="inlineStr">
        <is>
          <t>1902/657-a</t>
        </is>
      </c>
      <c r="D192" s="27" t="inlineStr">
        <is>
          <t>b08f5bdmfl</t>
        </is>
      </c>
      <c r="E192" t="inlineStr">
        <is>
          <t>リッツ リバイバル うるおい玉 EGF 6回分 フリーズドライ 美容液 無添加 無香料 エイジングケア ケア</t>
        </is>
      </c>
      <c r="F192" t="n">
        <v>1480</v>
      </c>
      <c r="G192" t="n">
        <v>657</v>
      </c>
      <c r="H192" t="n">
        <v>5</v>
      </c>
      <c r="I192">
        <f>SUM(G227*H227)</f>
        <v/>
      </c>
      <c r="J192" t="inlineStr">
        <is>
          <t>✓ 一致（SKU）</t>
        </is>
      </c>
      <c r="K192" t="inlineStr">
        <is>
          <t>4571263111902</t>
        </is>
      </c>
    </row>
    <row r="193" ht="13.5" customHeight="1">
      <c r="A193" s="27" t="inlineStr">
        <is>
          <t>4571263111902</t>
        </is>
      </c>
      <c r="B193" s="27" t="inlineStr">
        <is>
          <t>b08f5bdmfl-1</t>
        </is>
      </c>
      <c r="C193" s="27" t="inlineStr">
        <is>
          <t>1902/1314-a</t>
        </is>
      </c>
      <c r="D193" s="27" t="inlineStr">
        <is>
          <t>B08F5BDMFL-1</t>
        </is>
      </c>
      <c r="E193" t="inlineStr">
        <is>
          <t>リッツ リバイバル うるおい玉 EGF 6回分×2個セット フリーズドライ 美容液 無添加 無香料 エイジングケア ケア</t>
        </is>
      </c>
      <c r="F193" t="n">
        <v>2480</v>
      </c>
      <c r="G193" t="n">
        <v>1314</v>
      </c>
      <c r="H193" t="n">
        <v>1</v>
      </c>
      <c r="I193">
        <f>SUM(G228*H228)</f>
        <v/>
      </c>
      <c r="J193" t="inlineStr">
        <is>
          <t>✓ 一致（SKU）</t>
        </is>
      </c>
      <c r="K193" t="inlineStr">
        <is>
          <t>4571263111902</t>
        </is>
      </c>
    </row>
    <row r="194" ht="13.5" customHeight="1">
      <c r="A194" s="27" t="inlineStr">
        <is>
          <t>4571263111773</t>
        </is>
      </c>
      <c r="B194" s="27" t="inlineStr">
        <is>
          <t>b08f5bq5yd</t>
        </is>
      </c>
      <c r="C194" s="27" t="inlineStr">
        <is>
          <t>4571263111773</t>
        </is>
      </c>
      <c r="D194" s="27" t="inlineStr">
        <is>
          <t>b08f5bq5yd</t>
        </is>
      </c>
      <c r="E194" t="inlineStr">
        <is>
          <t>リッツ リバイバル オーバーナイトセラム 夜用美容液 20g EGF 植物幹細胞 保湿 ハリ 弾力 エイジングケア ナイトセラム 無添加 アロマの香り LITS スキンケア 乾燥対策 うるおい 角質ケア 夜間集中ケア フェイスセラム</t>
        </is>
      </c>
      <c r="F194" t="n">
        <v>2980</v>
      </c>
      <c r="G194" t="n">
        <v>1738</v>
      </c>
      <c r="H194" t="n">
        <v>17</v>
      </c>
      <c r="I194">
        <f>SUM(G229*H229)</f>
        <v/>
      </c>
      <c r="J194" t="inlineStr">
        <is>
          <t>✓ 一致（SKU）</t>
        </is>
      </c>
      <c r="K194" t="inlineStr">
        <is>
          <t>4571263111773</t>
        </is>
      </c>
    </row>
    <row r="195" ht="13.5" customHeight="1">
      <c r="A195" s="27" t="inlineStr">
        <is>
          <t>4904740633077</t>
        </is>
      </c>
      <c r="B195" s="27" t="inlineStr">
        <is>
          <t>b08gkwglsg</t>
        </is>
      </c>
      <c r="C195" s="27" t="inlineStr">
        <is>
          <t>0809,0823</t>
        </is>
      </c>
      <c r="D195" s="27" t="inlineStr">
        <is>
          <t>b08gkwglsg</t>
        </is>
      </c>
      <c r="E195" t="inlineStr">
        <is>
          <t>さらさ 無添加 植物由来の成分入り 洗濯洗剤 ジェルボール 3D 本体 14個 + 詰め替え 特大 26個 (約2倍) セット販売 液体 詰替 衣料用洗剤 液体洗剤 しっかり洗浄 植物由来成分 赤ちゃん すすぎ1回 ペット アロマの香り つめかえ用 P&amp;G 送料無料</t>
        </is>
      </c>
      <c r="F195" t="n">
        <v>19320</v>
      </c>
      <c r="G195" t="n">
        <v>0</v>
      </c>
      <c r="H195" t="n">
        <v>1</v>
      </c>
      <c r="I195">
        <f>SUM(G230*H230)</f>
        <v/>
      </c>
      <c r="J195" t="inlineStr">
        <is>
          <t>✓ 一致（SKU）</t>
        </is>
      </c>
      <c r="K195" t="inlineStr">
        <is>
          <t>4904740633077</t>
        </is>
      </c>
    </row>
    <row r="196" ht="13.5" customHeight="1">
      <c r="A196" s="27" t="inlineStr">
        <is>
          <t>4902430898768</t>
        </is>
      </c>
      <c r="B196" s="27" t="inlineStr">
        <is>
          <t>b08gp5xftt</t>
        </is>
      </c>
      <c r="C196" s="27" t="inlineStr">
        <is>
          <t>8768/3771</t>
        </is>
      </c>
      <c r="D196" s="27" t="inlineStr">
        <is>
          <t>b08gp5xftt</t>
        </is>
      </c>
      <c r="E196" t="inlineStr">
        <is>
          <t>ブラウン シェーバー 替刃 シリーズ5 F/C52B-b ブラック 髭剃り メンズ ひげ 髭</t>
        </is>
      </c>
      <c r="F196" t="n">
        <v>5280</v>
      </c>
      <c r="G196" t="n">
        <v>3771</v>
      </c>
      <c r="H196" t="n">
        <v>0</v>
      </c>
      <c r="I196">
        <f>SUM(G231*H231)</f>
        <v/>
      </c>
      <c r="J196" t="inlineStr">
        <is>
          <t>✓ 一致（SKU）</t>
        </is>
      </c>
      <c r="K196" t="inlineStr">
        <is>
          <t>4902430898768</t>
        </is>
      </c>
    </row>
    <row r="197" ht="13.5" customHeight="1">
      <c r="A197" s="27" t="inlineStr">
        <is>
          <t>4936201103591</t>
        </is>
      </c>
      <c r="B197" s="27" t="inlineStr">
        <is>
          <t>b08hsy677v</t>
        </is>
      </c>
      <c r="C197" s="27" t="inlineStr">
        <is>
          <t>3591/886-a</t>
        </is>
      </c>
      <c r="D197" s="27" t="inlineStr">
        <is>
          <t>B08HSY677V-1</t>
        </is>
      </c>
      <c r="E197" t="inlineStr">
        <is>
          <t>ラテボタニカル クレンズジェル 300ml 化粧 化粧品 クレンジング メイク落とし</t>
        </is>
      </c>
      <c r="F197" t="n">
        <v>1980</v>
      </c>
      <c r="G197" t="n">
        <v>886</v>
      </c>
      <c r="H197" t="n">
        <v>4</v>
      </c>
      <c r="I197">
        <f>SUM(G232*H232)</f>
        <v/>
      </c>
      <c r="J197" t="inlineStr">
        <is>
          <t>✓ 一致（SKU）</t>
        </is>
      </c>
      <c r="K197" t="inlineStr">
        <is>
          <t>4936201103591</t>
        </is>
      </c>
    </row>
    <row r="198" ht="13.5" customHeight="1">
      <c r="A198" s="27" t="inlineStr">
        <is>
          <t>4936201103591</t>
        </is>
      </c>
      <c r="B198" s="27" t="inlineStr">
        <is>
          <t>b08hsy677v</t>
        </is>
      </c>
      <c r="C198" s="27" t="inlineStr">
        <is>
          <t>3591/886-a</t>
        </is>
      </c>
      <c r="D198" s="27" t="inlineStr">
        <is>
          <t>B08HSY677V-2</t>
        </is>
      </c>
      <c r="E198" t="inlineStr">
        <is>
          <t>ラテボタニカル クレンズジェル 300ml 化粧 化粧品 クレンジング メイク落とし</t>
        </is>
      </c>
      <c r="F198" t="n">
        <v>3480</v>
      </c>
      <c r="G198" t="n">
        <v>886</v>
      </c>
      <c r="H198" t="n">
        <v>3</v>
      </c>
      <c r="I198">
        <f>SUM(G233*H233)</f>
        <v/>
      </c>
      <c r="J198" t="inlineStr">
        <is>
          <t>✓ 一致（SKU）</t>
        </is>
      </c>
      <c r="K198" t="inlineStr">
        <is>
          <t>4936201103591</t>
        </is>
      </c>
    </row>
    <row r="199" ht="13.5" customHeight="1">
      <c r="A199" s="27" t="inlineStr">
        <is>
          <t>0689342230995</t>
        </is>
      </c>
      <c r="B199" s="27" t="inlineStr">
        <is>
          <t>b08j1ndtz7</t>
        </is>
      </c>
      <c r="C199" s="27" t="inlineStr">
        <is>
          <t>0995-a</t>
        </is>
      </c>
      <c r="D199" s="27" t="inlineStr">
        <is>
          <t>b08j1ndtz7</t>
        </is>
      </c>
      <c r="E199" t="inlineStr">
        <is>
          <t>HP 有線ゲームヘッドフォン ブラック Xbox One ヘッドセット サラウンドサウンド RGB LED照明 ノイズアイソレーション オーバーイヤーゲームヘッドセット 調節可能なマイク付き PS4 Xbox One Nintendo Switch PC ノートパソコン用</t>
        </is>
      </c>
      <c r="F199" t="n">
        <v>9980</v>
      </c>
      <c r="G199" t="n">
        <v>0</v>
      </c>
      <c r="H199" t="n">
        <v>1</v>
      </c>
      <c r="I199">
        <f>SUM(G234*H234)</f>
        <v/>
      </c>
      <c r="J199" t="inlineStr">
        <is>
          <t>✓ 一致（SKU）</t>
        </is>
      </c>
      <c r="K199" t="inlineStr">
        <is>
          <t>0689342230995</t>
        </is>
      </c>
    </row>
    <row r="200" ht="13.5" customHeight="1">
      <c r="A200" s="27" t="inlineStr">
        <is>
          <t>4580171667401</t>
        </is>
      </c>
      <c r="B200" s="27" t="inlineStr">
        <is>
          <t>b08kw4by71</t>
        </is>
      </c>
      <c r="C200" s="27" t="inlineStr">
        <is>
          <t>7401/438</t>
        </is>
      </c>
      <c r="D200" s="27" t="inlineStr">
        <is>
          <t>b08kw4by71</t>
        </is>
      </c>
      <c r="E200" t="inlineStr">
        <is>
          <t>パラドゥ ParaDo スタイリングマスカラ RD 褒められバーガンディ マスカラ 化粧 化粧品 撥水</t>
        </is>
      </c>
      <c r="F200" t="n">
        <v>1780</v>
      </c>
      <c r="G200" t="n">
        <v>438</v>
      </c>
      <c r="H200" t="n">
        <v>3</v>
      </c>
      <c r="I200">
        <f>SUM(G235*H235)</f>
        <v/>
      </c>
      <c r="J200" t="inlineStr">
        <is>
          <t>✓ 一致（SKU）</t>
        </is>
      </c>
      <c r="K200" t="inlineStr">
        <is>
          <t>4580171667401</t>
        </is>
      </c>
    </row>
    <row r="201" ht="13.5" customHeight="1">
      <c r="A201" s="27" t="inlineStr">
        <is>
          <t>4953685201155</t>
        </is>
      </c>
      <c r="B201" s="27" t="inlineStr">
        <is>
          <t>b08lgjljsk</t>
        </is>
      </c>
      <c r="C201" s="27" t="inlineStr">
        <is>
          <t>1155/1136</t>
        </is>
      </c>
      <c r="D201" s="27" t="inlineStr">
        <is>
          <t>b08lgjljsk</t>
        </is>
      </c>
      <c r="E201" t="inlineStr">
        <is>
          <t>何も入れないささみだけのたまの伝説 70g ×8個セット 猫 猫用 国産 おやつ 缶詰 キャットフード 人気 大容量 まとめ買い</t>
        </is>
      </c>
      <c r="F201" t="n">
        <v>1980</v>
      </c>
      <c r="G201" t="n">
        <v>1136</v>
      </c>
      <c r="H201" t="n">
        <v>22</v>
      </c>
      <c r="I201">
        <f>SUM(G236*H236)</f>
        <v/>
      </c>
      <c r="J201" t="inlineStr">
        <is>
          <t>✓ 一致（SKU）</t>
        </is>
      </c>
      <c r="K201" t="inlineStr">
        <is>
          <t>4953685201155</t>
        </is>
      </c>
    </row>
    <row r="202" ht="13.5" customHeight="1">
      <c r="A202" s="27" t="inlineStr">
        <is>
          <t>4589967505330</t>
        </is>
      </c>
      <c r="B202" s="27" t="inlineStr">
        <is>
          <t>b08lh2tj1l</t>
        </is>
      </c>
      <c r="C202" s="27" t="inlineStr">
        <is>
          <t>5330/5630</t>
        </is>
      </c>
      <c r="D202" s="27" t="inlineStr">
        <is>
          <t>b08lh2tj1l</t>
        </is>
      </c>
      <c r="E202" t="inlineStr">
        <is>
          <t>Razer Kishi for iPhone モバイル コントローラー iOS RZ06-03360100-R3M1 折りたたみ 持ち運び</t>
        </is>
      </c>
      <c r="F202" t="n">
        <v>15980</v>
      </c>
      <c r="G202" t="n">
        <v>5630</v>
      </c>
      <c r="H202" t="n">
        <v>1</v>
      </c>
      <c r="I202">
        <f>SUM(G237*H237)</f>
        <v/>
      </c>
      <c r="J202" t="inlineStr">
        <is>
          <t>✓ 一致（SKU）</t>
        </is>
      </c>
      <c r="K202" t="inlineStr">
        <is>
          <t>4589967505330</t>
        </is>
      </c>
    </row>
    <row r="203" ht="13.5" customHeight="1">
      <c r="A203" s="27" t="inlineStr">
        <is>
          <t>4901301388544</t>
        </is>
      </c>
      <c r="B203" s="27" t="inlineStr">
        <is>
          <t>b08m3st1rj</t>
        </is>
      </c>
      <c r="C203" s="27" t="inlineStr">
        <is>
          <t>8544/1292</t>
        </is>
      </c>
      <c r="D203" s="27" t="inlineStr">
        <is>
          <t>b08m3st1rj</t>
        </is>
      </c>
      <c r="E203" t="inlineStr">
        <is>
          <t>リセッシュ除菌EX デオドラントパワー 香りが残らないタイプ つめかえ用 680ml×2個セット 消臭芳香剤 液体 消臭スプレー</t>
        </is>
      </c>
      <c r="F203" t="n">
        <v>2480</v>
      </c>
      <c r="G203" t="n">
        <v>1292</v>
      </c>
      <c r="H203" t="n">
        <v>6</v>
      </c>
      <c r="I203">
        <f>SUM(G238*H238)</f>
        <v/>
      </c>
      <c r="J203" t="inlineStr">
        <is>
          <t>✓ 一致（SKU）</t>
        </is>
      </c>
      <c r="K203" t="inlineStr">
        <is>
          <t>4901301388544</t>
        </is>
      </c>
    </row>
    <row r="204" ht="13.5" customHeight="1">
      <c r="A204" s="27" t="inlineStr">
        <is>
          <t>4901080024619</t>
        </is>
      </c>
      <c r="B204" s="27" t="inlineStr">
        <is>
          <t>b08rdrw831</t>
        </is>
      </c>
      <c r="C204" s="27" t="inlineStr">
        <is>
          <t>4619/1596</t>
        </is>
      </c>
      <c r="D204" s="27" t="inlineStr">
        <is>
          <t>b08rdrw831</t>
        </is>
      </c>
      <c r="E204" t="inlineStr">
        <is>
          <t>【2個セット】アース製薬 ダニがホイホイ 3枚入×2個セット ダニ捕りシート ダニ対策 ダニ取り ダニ捕獲シート 誘引剤配合 粘着シート 殺虫成分不使用 布団 ベッド マットレス ソファ カーペット ハウスダスト対策 約3ヵ月持続 日本製</t>
        </is>
      </c>
      <c r="F204" t="n">
        <v>1780</v>
      </c>
      <c r="G204" t="n">
        <v>1596</v>
      </c>
      <c r="H204" t="n">
        <v>3</v>
      </c>
      <c r="I204">
        <f>SUM(G239*H239)</f>
        <v/>
      </c>
      <c r="J204" t="inlineStr">
        <is>
          <t>✓ 一致（SKU）</t>
        </is>
      </c>
      <c r="K204" t="inlineStr">
        <is>
          <t>4901080024619</t>
        </is>
      </c>
    </row>
    <row r="205" ht="13.5" customHeight="1">
      <c r="A205" s="27" t="inlineStr">
        <is>
          <t>4902407024787</t>
        </is>
      </c>
      <c r="B205" s="27" t="inlineStr">
        <is>
          <t>b08vn5jgjx</t>
        </is>
      </c>
      <c r="C205" s="27" t="inlineStr">
        <is>
          <t>4787/878</t>
        </is>
      </c>
      <c r="D205" s="27" t="inlineStr">
        <is>
          <t>b08vn5jgjx</t>
        </is>
      </c>
      <c r="E205" t="inlineStr">
        <is>
          <t>【2個セット】アイスノン 極冷えタオル ピンク 2個セット 冷感タオル ひんやりタオル 首掛けタオル 冷却タオル 熱中症対策 暑さ対策 猛暑対策 スポーツ アウトドア 通勤 通学 屋外作業 レディース 女性向け クールタオル 夏用品</t>
        </is>
      </c>
      <c r="F205" t="n">
        <v>1980</v>
      </c>
      <c r="G205" t="n">
        <v>878</v>
      </c>
      <c r="H205" t="n">
        <v>12</v>
      </c>
      <c r="I205">
        <f>SUM(G240*H240)</f>
        <v/>
      </c>
      <c r="J205" t="inlineStr">
        <is>
          <t>✓ 一致（SKU）</t>
        </is>
      </c>
      <c r="K205" t="inlineStr">
        <is>
          <t>4902407024787</t>
        </is>
      </c>
    </row>
    <row r="206" ht="13.5" customHeight="1">
      <c r="A206" s="27" t="inlineStr">
        <is>
          <t>4972547926692</t>
        </is>
      </c>
      <c r="B206" s="27" t="inlineStr">
        <is>
          <t>b08w2yp4wk</t>
        </is>
      </c>
      <c r="C206" s="27" t="inlineStr">
        <is>
          <t>6692/980-a</t>
        </is>
      </c>
      <c r="D206" s="27" t="inlineStr">
        <is>
          <t>b08w2yp4wk</t>
        </is>
      </c>
      <c r="E206" t="inlineStr">
        <is>
          <t>GEX ピュアクリスタル プチ 犬用 給水器 800mL 小型犬用 静音 フィルター式給水器 活性炭フィルター付 抗菌 ろ過 循環式 自動給水器 チワワ トイプードル 清潔 ホワイト</t>
        </is>
      </c>
      <c r="F206" t="n">
        <v>2480</v>
      </c>
      <c r="G206" t="n">
        <v>980</v>
      </c>
      <c r="H206" t="n">
        <v>7</v>
      </c>
      <c r="I206">
        <f>SUM(G241*H241)</f>
        <v/>
      </c>
      <c r="J206" t="inlineStr">
        <is>
          <t>✓ 一致（SKU）</t>
        </is>
      </c>
      <c r="K206" t="inlineStr">
        <is>
          <t>4972547926692</t>
        </is>
      </c>
    </row>
    <row r="207" ht="13.5" customHeight="1">
      <c r="A207" s="27" t="inlineStr">
        <is>
          <t>4987241168446</t>
        </is>
      </c>
      <c r="B207" s="27" t="inlineStr">
        <is>
          <t>b08wshptwz</t>
        </is>
      </c>
      <c r="C207" s="27" t="inlineStr">
        <is>
          <t>2691-a</t>
        </is>
      </c>
      <c r="D207" s="27" t="inlineStr">
        <is>
          <t>b08wshptwz</t>
        </is>
      </c>
      <c r="E207" t="inlineStr">
        <is>
          <t>【セット品】肌ラボ 白潤プレミアム 化粧水170ml ＋ 乳液140ml ＋ クリーム50g 3点セット 化粧 ケア 肌 肌ケア 保湿</t>
        </is>
      </c>
      <c r="F207" t="n">
        <v>5480</v>
      </c>
      <c r="G207" t="n">
        <v>2691</v>
      </c>
      <c r="H207" t="n">
        <v>2</v>
      </c>
      <c r="I207">
        <f>SUM(G242*H242)</f>
        <v/>
      </c>
      <c r="J207" t="inlineStr">
        <is>
          <t>✓ 一致（SKU）</t>
        </is>
      </c>
      <c r="K207" t="inlineStr">
        <is>
          <t>4987241168446</t>
        </is>
      </c>
    </row>
    <row r="208" ht="13.5" customHeight="1">
      <c r="A208" s="27" t="inlineStr">
        <is>
          <t>4987241168446</t>
        </is>
      </c>
      <c r="B208" s="27" t="inlineStr">
        <is>
          <t>b08wshptwz-1</t>
        </is>
      </c>
      <c r="C208" s="27" t="inlineStr">
        <is>
          <t>8446/2283-a</t>
        </is>
      </c>
      <c r="D208" s="27" t="inlineStr">
        <is>
          <t>B08WSHPTWZ-1</t>
        </is>
      </c>
      <c r="E208" t="inlineStr">
        <is>
          <t>肌ラボ 白潤プレミアム薬用浸透美白化粧水 170ml×3 化粧 ケア 肌 肌ケア 保湿</t>
        </is>
      </c>
      <c r="F208" t="n">
        <v>3980</v>
      </c>
      <c r="G208" t="n">
        <v>2283</v>
      </c>
      <c r="H208" t="n">
        <v>1</v>
      </c>
      <c r="I208">
        <f>SUM(G243*H243)</f>
        <v/>
      </c>
      <c r="J208" t="inlineStr">
        <is>
          <t>✓ 一致（SKU）</t>
        </is>
      </c>
      <c r="K208" t="inlineStr">
        <is>
          <t>4987241168446</t>
        </is>
      </c>
    </row>
    <row r="209" ht="13.5" customHeight="1">
      <c r="A209" s="27" t="inlineStr">
        <is>
          <t>4987241168453</t>
        </is>
      </c>
      <c r="B209" s="27" t="inlineStr">
        <is>
          <t>b08wshqwl8</t>
        </is>
      </c>
      <c r="C209" s="27" t="inlineStr">
        <is>
          <t>4987241168453-2-a</t>
        </is>
      </c>
      <c r="D209" s="27" t="inlineStr">
        <is>
          <t>B08WSHQWL8</t>
        </is>
      </c>
      <c r="E209" t="inlineStr">
        <is>
          <t>【2個セット】肌ラボ 白潤プレミアム 薬用浸透美白クリーム 50g×2個 医薬部外品 薬用クリーム フェイスクリーム 美白クリーム シミ対策 メラニン対策 保湿クリーム スキンケア フェイスケア うるおい 乾燥対策 美容クリーム ロート製薬 ハダラボ まとめ買い</t>
        </is>
      </c>
      <c r="F209" t="n">
        <v>4280</v>
      </c>
      <c r="G209" t="n">
        <v>2600</v>
      </c>
      <c r="H209" t="n">
        <v>3</v>
      </c>
      <c r="I209">
        <f>SUM(G244*H244)</f>
        <v/>
      </c>
    </row>
    <row r="210" ht="13.5" customHeight="1">
      <c r="A210" s="27" t="inlineStr">
        <is>
          <t>4987072060674</t>
        </is>
      </c>
      <c r="B210" s="27" t="inlineStr">
        <is>
          <t>b08x2gkrbk</t>
        </is>
      </c>
      <c r="C210" s="27" t="inlineStr">
        <is>
          <t>4987072060674-2</t>
        </is>
      </c>
      <c r="D210" s="27" t="inlineStr">
        <is>
          <t>b08x2gkrbk</t>
        </is>
      </c>
      <c r="E210" t="inlineStr">
        <is>
          <t>【2個セット】ハウメル 知覚過敏ケア ペースト 薬用ハミガキ 100g×2個セット 薬用歯みがき 知覚過敏 歯磨き粉 歯周病予防 むし歯予防 口臭予防 口腔ケア オーラルケア デンタルケア 歯ぐきケア 歯垢除去 歯石沈着予防 薬用ハミガキ 医薬部外品 まとめ買い</t>
        </is>
      </c>
      <c r="F210" t="n">
        <v>1980</v>
      </c>
      <c r="G210" t="n">
        <v>898</v>
      </c>
      <c r="H210" t="n">
        <v>20</v>
      </c>
      <c r="I210">
        <f>SUM(G245*H245)</f>
        <v/>
      </c>
      <c r="J210" t="inlineStr">
        <is>
          <t>✓ 一致（SKU）</t>
        </is>
      </c>
      <c r="K210" t="inlineStr">
        <is>
          <t>4987072060674</t>
        </is>
      </c>
    </row>
    <row r="211" ht="13.5" customHeight="1">
      <c r="A211" s="27" t="inlineStr">
        <is>
          <t>4571138555268</t>
        </is>
      </c>
      <c r="B211" s="27" t="inlineStr">
        <is>
          <t>b08xylwxs6</t>
        </is>
      </c>
      <c r="C211" s="27" t="inlineStr">
        <is>
          <t>5268/1094</t>
        </is>
      </c>
      <c r="D211" s="27" t="inlineStr">
        <is>
          <t>b08xylwxs6</t>
        </is>
      </c>
      <c r="E211" t="inlineStr">
        <is>
          <t>ブレーンコスモス ブライトセルＣ 20g×2個セット 肌 肌ケア ケア</t>
        </is>
      </c>
      <c r="F211" t="n">
        <v>2480</v>
      </c>
      <c r="G211" t="n">
        <v>1094</v>
      </c>
      <c r="H211" t="n">
        <v>10</v>
      </c>
      <c r="I211">
        <f>SUM(G246*H246)</f>
        <v/>
      </c>
    </row>
    <row r="212" ht="13.5" customHeight="1">
      <c r="A212" s="27" t="inlineStr">
        <is>
          <t>4901301388902</t>
        </is>
      </c>
      <c r="B212" s="27" t="inlineStr">
        <is>
          <t>b08y95lnr1-2</t>
        </is>
      </c>
      <c r="C212" s="27" t="inlineStr">
        <is>
          <t>8902/1900-a</t>
        </is>
      </c>
      <c r="D212" s="27" t="inlineStr">
        <is>
          <t>b08y95lnr1-2</t>
        </is>
      </c>
      <c r="E212" t="inlineStr">
        <is>
          <t>【2個セット】ニベア クレンジングオイル ビューティースキン 195mL×2本 メイク落とし クレンジング 毛穴 角栓 ウォータープルーフ まつエクOK 濡れた手OK 美容オイル配合 保湿 W洗顔前 スキンケア 花王 NIVEA 送料無料</t>
        </is>
      </c>
      <c r="F212" t="n">
        <v>2980</v>
      </c>
      <c r="G212" t="n">
        <v>1900</v>
      </c>
      <c r="H212" t="n">
        <v>5</v>
      </c>
      <c r="I212">
        <f>SUM(G247*H247)</f>
        <v/>
      </c>
      <c r="J212" t="inlineStr">
        <is>
          <t>✓ 一致（SKU）</t>
        </is>
      </c>
      <c r="K212" t="inlineStr">
        <is>
          <t>4901301388902</t>
        </is>
      </c>
    </row>
    <row r="213" ht="13.5" customHeight="1">
      <c r="A213" s="27" t="inlineStr">
        <is>
          <t>4901301388919</t>
        </is>
      </c>
      <c r="B213" s="27" t="inlineStr">
        <is>
          <t>b08y95skcr-2</t>
        </is>
      </c>
      <c r="C213" s="27" t="inlineStr">
        <is>
          <t>4901301388919-2</t>
        </is>
      </c>
      <c r="D213" s="27" t="inlineStr">
        <is>
          <t>b08y95skcr-2</t>
        </is>
      </c>
      <c r="E213" t="inlineStr">
        <is>
          <t>【2個セット】ニベア クレンジングオイル ビューティースキン つめかえ用 170mL×2個セット 詰め替え メイク落とし クレンジングオイル 毛穴 角栓 ウォータープルーフ まつエクOK 濡れた手OK 美容オイル配合 保湿 花王 NIVEA まとめ買い</t>
        </is>
      </c>
      <c r="F213" t="n">
        <v>2980</v>
      </c>
      <c r="G213" t="n">
        <v>1463</v>
      </c>
      <c r="H213" t="n">
        <v>7</v>
      </c>
      <c r="I213">
        <f>SUM(G248*H248)</f>
        <v/>
      </c>
      <c r="J213" t="inlineStr">
        <is>
          <t>✓ 一致（SKU）</t>
        </is>
      </c>
      <c r="K213" t="inlineStr">
        <is>
          <t>4901301388919</t>
        </is>
      </c>
    </row>
    <row r="214" ht="13.5" customHeight="1">
      <c r="A214" s="27" t="inlineStr">
        <is>
          <t>4936201105878</t>
        </is>
      </c>
      <c r="B214" s="27" t="inlineStr">
        <is>
          <t>b092dqrjkb</t>
        </is>
      </c>
      <c r="C214" s="27" t="inlineStr">
        <is>
          <t>4936201105878-4-a</t>
        </is>
      </c>
      <c r="D214" s="27" t="inlineStr">
        <is>
          <t>b092dqrjkb</t>
        </is>
      </c>
      <c r="E214" t="inlineStr">
        <is>
          <t>【4個セット】コスメテックスローランド 浪蘭堂 ハッカミスト 薬用和ハッカ 水ミスト 250mL×4個セット 日本製 薬用化粧水 冷感ミスト 保湿 清涼感 ひんやり 和種薄荷油配合 ミスト化粧水 スプレータイプ 顔 ボディ スキンケア 暑さ対策 夏用 クールミスト まとめ買い</t>
        </is>
      </c>
      <c r="F214" t="n">
        <v>3280</v>
      </c>
      <c r="G214" t="n">
        <v>1892</v>
      </c>
      <c r="H214" t="n">
        <v>5</v>
      </c>
      <c r="I214">
        <f>SUM(G249*H249)</f>
        <v/>
      </c>
      <c r="J214" t="inlineStr">
        <is>
          <t>✓ 一致（SKU）</t>
        </is>
      </c>
      <c r="K214" t="inlineStr">
        <is>
          <t>4936201105878</t>
        </is>
      </c>
    </row>
    <row r="215" ht="13.5" customHeight="1">
      <c r="A215" s="27" t="inlineStr">
        <is>
          <t>0194644145262</t>
        </is>
      </c>
      <c r="B215" s="27" t="inlineStr">
        <is>
          <t>b093l5cmmt</t>
        </is>
      </c>
      <c r="C215" s="27" t="inlineStr">
        <is>
          <t>5286/1390</t>
        </is>
      </c>
      <c r="D215" s="27" t="inlineStr">
        <is>
          <t>B093L53HM4</t>
        </is>
      </c>
      <c r="E215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215" t="n">
        <v>2980</v>
      </c>
      <c r="G215" t="n">
        <v>1390</v>
      </c>
      <c r="H215" t="n">
        <v>2</v>
      </c>
      <c r="I215">
        <f>SUM(G250*H250)</f>
        <v/>
      </c>
      <c r="J215" t="inlineStr">
        <is>
          <t>✓ 一致（SKU）</t>
        </is>
      </c>
      <c r="K215" t="inlineStr">
        <is>
          <t>0194644145262</t>
        </is>
      </c>
    </row>
    <row r="216" ht="13.5" customHeight="1">
      <c r="A216" s="27" t="inlineStr">
        <is>
          <t>0194644145286</t>
        </is>
      </c>
      <c r="B216" s="27" t="inlineStr">
        <is>
          <t>b093l5cmmt</t>
        </is>
      </c>
      <c r="C216" s="27" t="inlineStr">
        <is>
          <t>5286/1390</t>
        </is>
      </c>
      <c r="D216" s="27" t="inlineStr">
        <is>
          <t>B093L5CMMT</t>
        </is>
      </c>
      <c r="E216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216" t="n">
        <v>2980</v>
      </c>
      <c r="G216" t="n">
        <v>1390</v>
      </c>
      <c r="H216" t="n">
        <v>0</v>
      </c>
      <c r="I216">
        <f>SUM(G251*H251)</f>
        <v/>
      </c>
      <c r="J216" t="inlineStr">
        <is>
          <t>✓ 一致（SKU）</t>
        </is>
      </c>
      <c r="K216" t="inlineStr">
        <is>
          <t>0194644145286</t>
        </is>
      </c>
    </row>
    <row r="217" ht="13.5" customHeight="1">
      <c r="A217" s="27" t="inlineStr">
        <is>
          <t>0194644145248</t>
        </is>
      </c>
      <c r="B217" s="27" t="inlineStr">
        <is>
          <t>b093l5cmmt</t>
        </is>
      </c>
      <c r="C217" s="27" t="inlineStr">
        <is>
          <t>5286/1390</t>
        </is>
      </c>
      <c r="D217" s="27" t="inlineStr">
        <is>
          <t>B093L5CQ6H</t>
        </is>
      </c>
      <c r="E217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217" t="n">
        <v>2980</v>
      </c>
      <c r="G217" t="n">
        <v>1390</v>
      </c>
      <c r="H217" t="n">
        <v>5</v>
      </c>
      <c r="I217">
        <f>SUM(G252*H252)</f>
        <v/>
      </c>
      <c r="J217" t="inlineStr">
        <is>
          <t>✓ 一致（SKU）</t>
        </is>
      </c>
      <c r="K217" t="inlineStr">
        <is>
          <t>0194644145248</t>
        </is>
      </c>
    </row>
    <row r="218" ht="13.5" customHeight="1">
      <c r="A218" s="27" t="inlineStr">
        <is>
          <t>0194644145255</t>
        </is>
      </c>
      <c r="B218" s="27" t="inlineStr">
        <is>
          <t>b093l5cmmt</t>
        </is>
      </c>
      <c r="C218" s="27" t="inlineStr">
        <is>
          <t>5286/1390</t>
        </is>
      </c>
      <c r="D218" s="27" t="inlineStr">
        <is>
          <t>B093L6MJKJ</t>
        </is>
      </c>
      <c r="E218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218" t="n">
        <v>2980</v>
      </c>
      <c r="G218" t="n">
        <v>1390</v>
      </c>
      <c r="H218" t="n">
        <v>4</v>
      </c>
      <c r="I218">
        <f>SUM(G253*H253)</f>
        <v/>
      </c>
      <c r="J218" t="inlineStr">
        <is>
          <t>✓ 一致（SKU）</t>
        </is>
      </c>
      <c r="K218" t="inlineStr">
        <is>
          <t>0194644145255</t>
        </is>
      </c>
    </row>
    <row r="219" ht="13.5" customHeight="1">
      <c r="A219" s="27" t="inlineStr">
        <is>
          <t>0194644084677</t>
        </is>
      </c>
      <c r="B219" s="27" t="inlineStr">
        <is>
          <t>b093l5cmmt</t>
        </is>
      </c>
      <c r="C219" s="27" t="inlineStr">
        <is>
          <t>5286/1390</t>
        </is>
      </c>
      <c r="D219" s="27" t="inlineStr">
        <is>
          <t>B09FXWZK98</t>
        </is>
      </c>
      <c r="E219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219" t="n">
        <v>2980</v>
      </c>
      <c r="G219" t="n">
        <v>1390</v>
      </c>
      <c r="H219" t="n">
        <v>5</v>
      </c>
      <c r="I219">
        <f>SUM(G254*H254)</f>
        <v/>
      </c>
      <c r="J219" t="inlineStr">
        <is>
          <t>✓ 一致（SKU）</t>
        </is>
      </c>
      <c r="K219" t="inlineStr">
        <is>
          <t>0194644084677</t>
        </is>
      </c>
    </row>
    <row r="220" ht="13.5" customHeight="1">
      <c r="A220" s="27" t="inlineStr">
        <is>
          <t>0194644084691</t>
        </is>
      </c>
      <c r="B220" s="27" t="inlineStr">
        <is>
          <t>b093l5cmmt</t>
        </is>
      </c>
      <c r="C220" s="27" t="inlineStr">
        <is>
          <t>5286/1390</t>
        </is>
      </c>
      <c r="D220" s="27" t="inlineStr">
        <is>
          <t>B09FXXKNKZ</t>
        </is>
      </c>
      <c r="E220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220" t="n">
        <v>2980</v>
      </c>
      <c r="G220" t="n">
        <v>1390</v>
      </c>
      <c r="H220" t="n">
        <v>4</v>
      </c>
      <c r="I220">
        <f>SUM(G255*H255)</f>
        <v/>
      </c>
      <c r="J220" t="inlineStr">
        <is>
          <t>✓ 一致（SKU）</t>
        </is>
      </c>
      <c r="K220" t="inlineStr">
        <is>
          <t>0194644084691</t>
        </is>
      </c>
    </row>
    <row r="221" ht="13.5" customHeight="1">
      <c r="A221" s="27" t="inlineStr">
        <is>
          <t>0194644145262</t>
        </is>
      </c>
      <c r="B221" s="27" t="inlineStr">
        <is>
          <t>b093l5cmmt-1</t>
        </is>
      </c>
      <c r="C221" s="27" t="inlineStr">
        <is>
          <t>5286/2780</t>
        </is>
      </c>
      <c r="D221" s="27" t="inlineStr">
        <is>
          <t>B093L53HM4-1</t>
        </is>
      </c>
      <c r="E221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221" t="n">
        <v>5780</v>
      </c>
      <c r="G221" t="n">
        <v>2780</v>
      </c>
      <c r="H221" t="n">
        <v>5</v>
      </c>
      <c r="I221">
        <f>SUM(G256*H256)</f>
        <v/>
      </c>
      <c r="J221" t="inlineStr">
        <is>
          <t>✓ 一致（SKU）</t>
        </is>
      </c>
      <c r="K221" t="inlineStr">
        <is>
          <t>0194644145262</t>
        </is>
      </c>
    </row>
    <row r="222" ht="13.5" customHeight="1">
      <c r="A222" s="27" t="inlineStr">
        <is>
          <t>0194644145286</t>
        </is>
      </c>
      <c r="B222" s="27" t="inlineStr">
        <is>
          <t>b093l5cmmt-1</t>
        </is>
      </c>
      <c r="C222" s="27" t="inlineStr">
        <is>
          <t>5286/2780</t>
        </is>
      </c>
      <c r="D222" s="27" t="inlineStr">
        <is>
          <t>B093L5CMMT-1</t>
        </is>
      </c>
      <c r="E222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222" t="n">
        <v>5780</v>
      </c>
      <c r="G222" t="n">
        <v>2780</v>
      </c>
      <c r="H222" t="n">
        <v>5</v>
      </c>
      <c r="I222">
        <f>SUM(G257*H257)</f>
        <v/>
      </c>
      <c r="J222" t="inlineStr">
        <is>
          <t>✓ 一致（SKU）</t>
        </is>
      </c>
      <c r="K222" t="inlineStr">
        <is>
          <t>0194644145286</t>
        </is>
      </c>
    </row>
    <row r="223" ht="13.5" customHeight="1">
      <c r="A223" s="27" t="inlineStr">
        <is>
          <t>0194644145248</t>
        </is>
      </c>
      <c r="B223" s="27" t="inlineStr">
        <is>
          <t>b093l5cmmt-1</t>
        </is>
      </c>
      <c r="C223" s="27" t="inlineStr">
        <is>
          <t>5286/2780</t>
        </is>
      </c>
      <c r="D223" s="27" t="inlineStr">
        <is>
          <t>B093L5CQ6H-1</t>
        </is>
      </c>
      <c r="E223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223" t="n">
        <v>5780</v>
      </c>
      <c r="G223" t="n">
        <v>2780</v>
      </c>
      <c r="H223" t="n">
        <v>5</v>
      </c>
      <c r="I223">
        <f>SUM(G258*H258)</f>
        <v/>
      </c>
      <c r="J223" t="inlineStr">
        <is>
          <t>✓ 一致（SKU）</t>
        </is>
      </c>
      <c r="K223" t="inlineStr">
        <is>
          <t>0194644145248</t>
        </is>
      </c>
    </row>
    <row r="224" ht="13.5" customHeight="1">
      <c r="A224" s="27" t="inlineStr">
        <is>
          <t>0194644145255</t>
        </is>
      </c>
      <c r="B224" s="27" t="inlineStr">
        <is>
          <t>b093l5cmmt-1</t>
        </is>
      </c>
      <c r="C224" s="27" t="inlineStr">
        <is>
          <t>5286/2780</t>
        </is>
      </c>
      <c r="D224" s="27" t="inlineStr">
        <is>
          <t>B093L6MJKJ-1</t>
        </is>
      </c>
      <c r="E224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224" t="n">
        <v>5780</v>
      </c>
      <c r="G224" t="n">
        <v>2780</v>
      </c>
      <c r="H224" t="n">
        <v>5</v>
      </c>
      <c r="I224">
        <f>SUM(G259*H259)</f>
        <v/>
      </c>
      <c r="J224" t="inlineStr">
        <is>
          <t>✓ 一致（SKU）</t>
        </is>
      </c>
      <c r="K224" t="inlineStr">
        <is>
          <t>0194644145255</t>
        </is>
      </c>
    </row>
    <row r="225" ht="13.5" customHeight="1">
      <c r="A225" s="27" t="inlineStr">
        <is>
          <t>0194644084677</t>
        </is>
      </c>
      <c r="B225" s="27" t="inlineStr">
        <is>
          <t>b093l5cmmt-1</t>
        </is>
      </c>
      <c r="C225" s="27" t="inlineStr">
        <is>
          <t>5286/2780</t>
        </is>
      </c>
      <c r="D225" s="27" t="inlineStr">
        <is>
          <t>B09FXWZK98-1</t>
        </is>
      </c>
      <c r="E225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225" t="n">
        <v>5780</v>
      </c>
      <c r="G225" t="n">
        <v>2780</v>
      </c>
      <c r="H225" t="n">
        <v>5</v>
      </c>
      <c r="I225">
        <f>SUM(G260*H260)</f>
        <v/>
      </c>
      <c r="J225" t="inlineStr">
        <is>
          <t>✓ 一致（SKU）</t>
        </is>
      </c>
      <c r="K225" t="inlineStr">
        <is>
          <t>0194644084677</t>
        </is>
      </c>
    </row>
    <row r="226" ht="13.5" customHeight="1">
      <c r="A226" s="27" t="inlineStr">
        <is>
          <t>0194644084691</t>
        </is>
      </c>
      <c r="B226" s="27" t="inlineStr">
        <is>
          <t>b093l5cmmt-1</t>
        </is>
      </c>
      <c r="C226" s="27" t="inlineStr">
        <is>
          <t>5286/2780</t>
        </is>
      </c>
      <c r="D226" s="27" t="inlineStr">
        <is>
          <t>B09FXXKNKZ-1</t>
        </is>
      </c>
      <c r="E226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226" t="n">
        <v>5780</v>
      </c>
      <c r="G226" t="n">
        <v>2780</v>
      </c>
      <c r="H226" t="n">
        <v>5</v>
      </c>
      <c r="I226">
        <f>SUM(G261*H261)</f>
        <v/>
      </c>
      <c r="J226" t="inlineStr">
        <is>
          <t>✓ 一致（SKU）</t>
        </is>
      </c>
      <c r="K226" t="inlineStr">
        <is>
          <t>0194644084691</t>
        </is>
      </c>
    </row>
    <row r="227" ht="13.5" customHeight="1">
      <c r="A227" s="27" t="inlineStr">
        <is>
          <t>0194644145316</t>
        </is>
      </c>
      <c r="B227" s="27" t="inlineStr">
        <is>
          <t>b093lnhzq2</t>
        </is>
      </c>
      <c r="C227" s="27" t="inlineStr">
        <is>
          <t>5309/1290</t>
        </is>
      </c>
      <c r="D227" s="27" t="inlineStr">
        <is>
          <t>B093L6298K</t>
        </is>
      </c>
      <c r="E227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227" t="n">
        <v>2780</v>
      </c>
      <c r="G227" t="n">
        <v>1290</v>
      </c>
      <c r="H227" t="n">
        <v>5</v>
      </c>
      <c r="I227">
        <f>SUM(G262*H262)</f>
        <v/>
      </c>
      <c r="J227" t="inlineStr">
        <is>
          <t>✓ 一致（SKU）</t>
        </is>
      </c>
      <c r="K227" t="inlineStr">
        <is>
          <t>0194644145316</t>
        </is>
      </c>
    </row>
    <row r="228" ht="13.5" customHeight="1">
      <c r="A228" s="27" t="inlineStr">
        <is>
          <t>0194644145293</t>
        </is>
      </c>
      <c r="B228" s="27" t="inlineStr">
        <is>
          <t>b093lnhzq2</t>
        </is>
      </c>
      <c r="C228" s="27" t="inlineStr">
        <is>
          <t>5309/1290</t>
        </is>
      </c>
      <c r="D228" s="27" t="inlineStr">
        <is>
          <t>B093L81YVZ</t>
        </is>
      </c>
      <c r="E228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228" t="n">
        <v>2780</v>
      </c>
      <c r="G228" t="n">
        <v>1290</v>
      </c>
      <c r="H228" t="n">
        <v>5</v>
      </c>
      <c r="I228">
        <f>SUM(G263*H263)</f>
        <v/>
      </c>
      <c r="J228" t="inlineStr">
        <is>
          <t>✓ 一致（SKU）</t>
        </is>
      </c>
      <c r="K228" t="inlineStr">
        <is>
          <t>0194644145293</t>
        </is>
      </c>
    </row>
    <row r="229" ht="13.5" customHeight="1">
      <c r="A229" s="27" t="inlineStr">
        <is>
          <t>0194644145279</t>
        </is>
      </c>
      <c r="B229" s="27" t="inlineStr">
        <is>
          <t>b093lnhzq2</t>
        </is>
      </c>
      <c r="C229" s="27" t="inlineStr">
        <is>
          <t>5309/1290</t>
        </is>
      </c>
      <c r="D229" s="27" t="inlineStr">
        <is>
          <t>B093L878QZ</t>
        </is>
      </c>
      <c r="E229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229" t="n">
        <v>2780</v>
      </c>
      <c r="G229" t="n">
        <v>1290</v>
      </c>
      <c r="H229" t="n">
        <v>5</v>
      </c>
      <c r="I229">
        <f>SUM(G264*H264)</f>
        <v/>
      </c>
      <c r="J229" t="inlineStr">
        <is>
          <t>✓ 一致（SKU）</t>
        </is>
      </c>
      <c r="K229" t="inlineStr">
        <is>
          <t>0194644145279</t>
        </is>
      </c>
    </row>
    <row r="230" ht="13.5" customHeight="1">
      <c r="A230" s="27" t="inlineStr">
        <is>
          <t>0194644145309</t>
        </is>
      </c>
      <c r="B230" s="27" t="inlineStr">
        <is>
          <t>b093lnhzq2</t>
        </is>
      </c>
      <c r="C230" s="27" t="inlineStr">
        <is>
          <t>5309/1290</t>
        </is>
      </c>
      <c r="D230" s="27" t="inlineStr">
        <is>
          <t>B093LNHZQ2</t>
        </is>
      </c>
      <c r="E230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230" t="n">
        <v>2780</v>
      </c>
      <c r="G230" t="n">
        <v>1290</v>
      </c>
      <c r="H230" t="n">
        <v>5</v>
      </c>
      <c r="I230">
        <f>SUM(G265*H265)</f>
        <v/>
      </c>
      <c r="J230" t="inlineStr">
        <is>
          <t>✓ 一致（SKU）</t>
        </is>
      </c>
      <c r="K230" t="inlineStr">
        <is>
          <t>0194644145309</t>
        </is>
      </c>
    </row>
    <row r="231" ht="13.5" customHeight="1">
      <c r="A231" s="27" t="inlineStr">
        <is>
          <t>0194644084738</t>
        </is>
      </c>
      <c r="B231" s="27" t="inlineStr">
        <is>
          <t>b093lnhzq2</t>
        </is>
      </c>
      <c r="C231" s="27" t="inlineStr">
        <is>
          <t>5309/1290</t>
        </is>
      </c>
      <c r="D231" s="27" t="inlineStr">
        <is>
          <t>B09G2XJQG2</t>
        </is>
      </c>
      <c r="E231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231" t="n">
        <v>2780</v>
      </c>
      <c r="G231" t="n">
        <v>1290</v>
      </c>
      <c r="H231" t="n">
        <v>5</v>
      </c>
      <c r="I231">
        <f>SUM(G266*H266)</f>
        <v/>
      </c>
      <c r="J231" t="inlineStr">
        <is>
          <t>✓ 一致（SKU）</t>
        </is>
      </c>
      <c r="K231" t="inlineStr">
        <is>
          <t>0194644084738</t>
        </is>
      </c>
    </row>
    <row r="232" ht="13.5" customHeight="1">
      <c r="A232" s="27" t="inlineStr">
        <is>
          <t>0194644084721</t>
        </is>
      </c>
      <c r="B232" s="27" t="inlineStr">
        <is>
          <t>b093lnhzq2</t>
        </is>
      </c>
      <c r="C232" s="27" t="inlineStr">
        <is>
          <t>5309/1290</t>
        </is>
      </c>
      <c r="D232" s="27" t="inlineStr">
        <is>
          <t>B09G2XKXFF</t>
        </is>
      </c>
      <c r="E23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232" t="n">
        <v>2780</v>
      </c>
      <c r="G232" t="n">
        <v>1290</v>
      </c>
      <c r="H232" t="n">
        <v>5</v>
      </c>
      <c r="I232">
        <f>SUM(G267*H267)</f>
        <v/>
      </c>
      <c r="J232" t="inlineStr">
        <is>
          <t>✓ 一致（SKU）</t>
        </is>
      </c>
      <c r="K232" t="inlineStr">
        <is>
          <t>0194644084721</t>
        </is>
      </c>
    </row>
    <row r="233" ht="13.5" customHeight="1">
      <c r="A233" s="27" t="inlineStr">
        <is>
          <t>0194644084745</t>
        </is>
      </c>
      <c r="B233" s="27" t="inlineStr">
        <is>
          <t>b093lnhzq2</t>
        </is>
      </c>
      <c r="C233" s="27" t="inlineStr">
        <is>
          <t>5309/1290</t>
        </is>
      </c>
      <c r="D233" s="27" t="inlineStr">
        <is>
          <t>B09G2YH53K</t>
        </is>
      </c>
      <c r="E23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233" t="n">
        <v>2780</v>
      </c>
      <c r="G233" t="n">
        <v>1290</v>
      </c>
      <c r="H233" t="n">
        <v>5</v>
      </c>
      <c r="I233">
        <f>SUM(G268*H268)</f>
        <v/>
      </c>
      <c r="J233" t="inlineStr">
        <is>
          <t>✓ 一致（SKU）</t>
        </is>
      </c>
      <c r="K233" t="inlineStr">
        <is>
          <t>0194644084745</t>
        </is>
      </c>
    </row>
    <row r="234" ht="13.5" customHeight="1">
      <c r="A234" s="27" t="inlineStr">
        <is>
          <t>0194644145316</t>
        </is>
      </c>
      <c r="B234" s="27" t="inlineStr">
        <is>
          <t>b093lnhzq2-1</t>
        </is>
      </c>
      <c r="C234" s="27" t="inlineStr">
        <is>
          <t>5309/2580</t>
        </is>
      </c>
      <c r="D234" s="27" t="inlineStr">
        <is>
          <t>B093L6298K-1</t>
        </is>
      </c>
      <c r="E234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234" t="n">
        <v>3980</v>
      </c>
      <c r="G234" t="n">
        <v>2580</v>
      </c>
      <c r="H234" t="n">
        <v>4</v>
      </c>
      <c r="I234">
        <f>SUM(G269*H269)</f>
        <v/>
      </c>
      <c r="J234" t="inlineStr">
        <is>
          <t>✓ 一致（SKU）</t>
        </is>
      </c>
      <c r="K234" t="inlineStr">
        <is>
          <t>0194644145316</t>
        </is>
      </c>
    </row>
    <row r="235" ht="13.5" customHeight="1">
      <c r="A235" s="27" t="inlineStr">
        <is>
          <t>0194644145293</t>
        </is>
      </c>
      <c r="B235" s="27" t="inlineStr">
        <is>
          <t>b093lnhzq2-1</t>
        </is>
      </c>
      <c r="C235" s="27" t="inlineStr">
        <is>
          <t>5309/2580</t>
        </is>
      </c>
      <c r="D235" s="27" t="inlineStr">
        <is>
          <t>B093L81YVZ-1</t>
        </is>
      </c>
      <c r="E235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235" t="n">
        <v>3980</v>
      </c>
      <c r="G235" t="n">
        <v>2580</v>
      </c>
      <c r="H235" t="n">
        <v>4</v>
      </c>
      <c r="I235">
        <f>SUM(G270*H270)</f>
        <v/>
      </c>
      <c r="J235" t="inlineStr">
        <is>
          <t>✓ 一致（SKU）</t>
        </is>
      </c>
      <c r="K235" t="inlineStr">
        <is>
          <t>0194644145293</t>
        </is>
      </c>
    </row>
    <row r="236" ht="13.5" customHeight="1">
      <c r="A236" s="27" t="inlineStr">
        <is>
          <t>0194644145279</t>
        </is>
      </c>
      <c r="B236" s="27" t="inlineStr">
        <is>
          <t>b093lnhzq2-1</t>
        </is>
      </c>
      <c r="C236" s="27" t="inlineStr">
        <is>
          <t>5309/2580</t>
        </is>
      </c>
      <c r="D236" s="27" t="inlineStr">
        <is>
          <t>B093L878QZ-1</t>
        </is>
      </c>
      <c r="E236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236" t="n">
        <v>3980</v>
      </c>
      <c r="G236" t="n">
        <v>2580</v>
      </c>
      <c r="H236" t="n">
        <v>3</v>
      </c>
      <c r="I236">
        <f>SUM(G271*H271)</f>
        <v/>
      </c>
      <c r="J236" t="inlineStr">
        <is>
          <t>✓ 一致（SKU）</t>
        </is>
      </c>
      <c r="K236" t="inlineStr">
        <is>
          <t>0194644145279</t>
        </is>
      </c>
    </row>
    <row r="237" ht="13.5" customHeight="1">
      <c r="A237" s="27" t="inlineStr">
        <is>
          <t>0194644145309</t>
        </is>
      </c>
      <c r="B237" s="27" t="inlineStr">
        <is>
          <t>b093lnhzq2-1</t>
        </is>
      </c>
      <c r="C237" s="27" t="inlineStr">
        <is>
          <t>5309/2580</t>
        </is>
      </c>
      <c r="D237" s="27" t="inlineStr">
        <is>
          <t>B093LNHZQ2-1</t>
        </is>
      </c>
      <c r="E237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237" t="n">
        <v>3980</v>
      </c>
      <c r="G237" t="n">
        <v>2580</v>
      </c>
      <c r="H237" t="n">
        <v>4</v>
      </c>
      <c r="I237">
        <f>SUM(G272*H272)</f>
        <v/>
      </c>
      <c r="J237" t="inlineStr">
        <is>
          <t>✓ 一致（SKU）</t>
        </is>
      </c>
      <c r="K237" t="inlineStr">
        <is>
          <t>0194644145309</t>
        </is>
      </c>
    </row>
    <row r="238" ht="13.5" customHeight="1">
      <c r="A238" s="27" t="inlineStr">
        <is>
          <t>0194644084738</t>
        </is>
      </c>
      <c r="B238" s="27" t="inlineStr">
        <is>
          <t>b093lnhzq2-1</t>
        </is>
      </c>
      <c r="C238" s="27" t="inlineStr">
        <is>
          <t>5309/2580</t>
        </is>
      </c>
      <c r="D238" s="27" t="inlineStr">
        <is>
          <t>B09G2XJQG2-1</t>
        </is>
      </c>
      <c r="E238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238" t="n">
        <v>3980</v>
      </c>
      <c r="G238" t="n">
        <v>2580</v>
      </c>
      <c r="H238" t="n">
        <v>3</v>
      </c>
      <c r="I238">
        <f>SUM(G273*H273)</f>
        <v/>
      </c>
      <c r="J238" t="inlineStr">
        <is>
          <t>✓ 一致（SKU）</t>
        </is>
      </c>
      <c r="K238" t="inlineStr">
        <is>
          <t>0194644084738</t>
        </is>
      </c>
    </row>
    <row r="239" ht="13.5" customHeight="1">
      <c r="A239" s="27" t="inlineStr">
        <is>
          <t>0194644084721</t>
        </is>
      </c>
      <c r="B239" s="27" t="inlineStr">
        <is>
          <t>b093lnhzq2-1</t>
        </is>
      </c>
      <c r="C239" s="27" t="inlineStr">
        <is>
          <t>5309/2580</t>
        </is>
      </c>
      <c r="D239" s="27" t="inlineStr">
        <is>
          <t>B09G2XKXFF-1</t>
        </is>
      </c>
      <c r="E239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239" t="n">
        <v>3980</v>
      </c>
      <c r="G239" t="n">
        <v>2580</v>
      </c>
      <c r="H239" t="n">
        <v>3</v>
      </c>
      <c r="I239">
        <f>SUM(G274*H274)</f>
        <v/>
      </c>
      <c r="J239" t="inlineStr">
        <is>
          <t>✓ 一致（SKU）</t>
        </is>
      </c>
      <c r="K239" t="inlineStr">
        <is>
          <t>0194644084721</t>
        </is>
      </c>
    </row>
    <row r="240" ht="13.5" customHeight="1">
      <c r="A240" s="27" t="inlineStr">
        <is>
          <t>0194644084745</t>
        </is>
      </c>
      <c r="B240" s="27" t="inlineStr">
        <is>
          <t>b093lnhzq2-1</t>
        </is>
      </c>
      <c r="C240" s="27" t="inlineStr">
        <is>
          <t>5309/2580</t>
        </is>
      </c>
      <c r="D240" s="27" t="inlineStr">
        <is>
          <t>B09G2YH53K-1</t>
        </is>
      </c>
      <c r="E240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240" t="n">
        <v>3980</v>
      </c>
      <c r="G240" t="n">
        <v>2580</v>
      </c>
      <c r="H240" t="n">
        <v>4</v>
      </c>
      <c r="I240">
        <f>SUM(G275*H275)</f>
        <v/>
      </c>
      <c r="J240" t="inlineStr">
        <is>
          <t>✓ 一致（SKU）</t>
        </is>
      </c>
      <c r="K240" t="inlineStr">
        <is>
          <t>0194644084745</t>
        </is>
      </c>
    </row>
    <row r="241" ht="13.5" customHeight="1">
      <c r="A241" s="27" t="inlineStr">
        <is>
          <t>4580295033632</t>
        </is>
      </c>
      <c r="B241" s="27" t="inlineStr">
        <is>
          <t>b09871bcr4</t>
        </is>
      </c>
      <c r="C241" s="27" t="inlineStr">
        <is>
          <t>3649,3632/1188</t>
        </is>
      </c>
      <c r="D241" s="27" t="inlineStr">
        <is>
          <t>B0986W9XVZ</t>
        </is>
      </c>
      <c r="E241" t="inlineStr">
        <is>
          <t>タイムシークレット ミネラルエッセンス BB SPF25 PA++ 12g ナチュラルオークル/ミディアムオークル ファンデーション ファンデ</t>
        </is>
      </c>
      <c r="F241" t="n">
        <v>2480</v>
      </c>
      <c r="G241" t="n">
        <v>1188</v>
      </c>
      <c r="H241" t="n">
        <v>7</v>
      </c>
      <c r="I241">
        <f>SUM(G276*H276)</f>
        <v/>
      </c>
    </row>
    <row r="242" ht="13.5" customHeight="1">
      <c r="A242" s="27" t="inlineStr">
        <is>
          <t>4580295033649</t>
        </is>
      </c>
      <c r="B242" s="27" t="inlineStr">
        <is>
          <t>b09871bcr4</t>
        </is>
      </c>
      <c r="C242" s="27" t="inlineStr">
        <is>
          <t>3649,3632/1188</t>
        </is>
      </c>
      <c r="D242" s="27" t="inlineStr">
        <is>
          <t>B09871BCR4</t>
        </is>
      </c>
      <c r="E242" t="inlineStr">
        <is>
          <t>タイムシークレット ミネラルエッセンス BB SPF25 PA++ 12g ナチュラルオークル/ミディアムオークル ファンデーション ファンデ</t>
        </is>
      </c>
      <c r="F242" t="n">
        <v>2480</v>
      </c>
      <c r="G242" t="n">
        <v>1188</v>
      </c>
      <c r="H242" t="n">
        <v>0</v>
      </c>
      <c r="I242">
        <f>SUM(G277*H277)</f>
        <v/>
      </c>
    </row>
    <row r="243" ht="13.5" customHeight="1">
      <c r="A243" s="27" t="inlineStr">
        <is>
          <t>4902430644723</t>
        </is>
      </c>
      <c r="B243" s="27" t="inlineStr">
        <is>
          <t>b098mh987h</t>
        </is>
      </c>
      <c r="C243" s="27" t="inlineStr">
        <is>
          <t>4723/294</t>
        </is>
      </c>
      <c r="D243" s="27" t="inlineStr">
        <is>
          <t>b098mh987h</t>
        </is>
      </c>
      <c r="E243" t="inlineStr">
        <is>
          <t>ファブリーズ おそうじエイド ハウスダストをまとめて固めるスプレー 洗いたてのリネンの香り 370ml 本体 除菌 P&amp;Gジャパン スプレー</t>
        </is>
      </c>
      <c r="F243" t="n">
        <v>1180</v>
      </c>
      <c r="G243" t="n">
        <v>294</v>
      </c>
      <c r="H243" t="n">
        <v>111</v>
      </c>
      <c r="I243">
        <f>SUM(G278*H278)</f>
        <v/>
      </c>
      <c r="J243" t="inlineStr">
        <is>
          <t>✓ 一致（SKU）</t>
        </is>
      </c>
      <c r="K243" t="inlineStr">
        <is>
          <t>4902430644723</t>
        </is>
      </c>
    </row>
    <row r="244" ht="13.5" customHeight="1">
      <c r="A244" s="27" t="inlineStr">
        <is>
          <t>4902430644723</t>
        </is>
      </c>
      <c r="B244" s="27" t="inlineStr">
        <is>
          <t>b098mh987h-1</t>
        </is>
      </c>
      <c r="C244" s="27" t="inlineStr">
        <is>
          <t>4723/1425</t>
        </is>
      </c>
      <c r="D244" s="27" t="inlineStr">
        <is>
          <t>B098MH987H-1</t>
        </is>
      </c>
      <c r="E244" t="inlineStr">
        <is>
          <t>【5個セット】ファブリーズ おそうじエイド ハウスダストをまとめて固めるスプレー 洗いたてのリネンの香り 本体 370mL×5個セット P&amp;G ハウスダスト対策 ダニ 花粉 PM2.5 ペットの毛 掃除用スプレー 布製品 カーペット ソファ 除菌 清掃用品 日用品 まとめ買い ストック</t>
        </is>
      </c>
      <c r="F244" t="n">
        <v>3980</v>
      </c>
      <c r="G244" t="n">
        <v>1425</v>
      </c>
      <c r="H244" t="n">
        <v>5</v>
      </c>
      <c r="I244">
        <f>SUM(G279*H279)</f>
        <v/>
      </c>
      <c r="J244" t="inlineStr">
        <is>
          <t>✓ 一致（SKU）</t>
        </is>
      </c>
      <c r="K244" t="inlineStr">
        <is>
          <t>4902430644723</t>
        </is>
      </c>
    </row>
    <row r="245" ht="13.5" customHeight="1">
      <c r="A245" s="27" t="inlineStr">
        <is>
          <t>4902430645041</t>
        </is>
      </c>
      <c r="B245" s="27" t="inlineStr">
        <is>
          <t>b098mjm99x</t>
        </is>
      </c>
      <c r="C245" s="27" t="inlineStr">
        <is>
          <t>5041/285</t>
        </is>
      </c>
      <c r="D245" s="27" t="inlineStr">
        <is>
          <t>b098mjm99x</t>
        </is>
      </c>
      <c r="E245" t="inlineStr">
        <is>
          <t>ファブリーズ おそうじエイド ハウスダストをまとめて固めるスプレー 香料無添加 370ml 本体 除菌 P&amp;Gジャパン スプレー</t>
        </is>
      </c>
      <c r="F245" t="n">
        <v>1280</v>
      </c>
      <c r="G245" t="n">
        <v>285</v>
      </c>
      <c r="H245" t="n">
        <v>110</v>
      </c>
      <c r="I245">
        <f>SUM(G280*H280)</f>
        <v/>
      </c>
      <c r="J245" t="inlineStr">
        <is>
          <t>✓ 一致（SKU）</t>
        </is>
      </c>
      <c r="K245" t="inlineStr">
        <is>
          <t>4902430645041</t>
        </is>
      </c>
    </row>
    <row r="246" ht="13.5" customHeight="1">
      <c r="A246" s="27" t="inlineStr">
        <is>
          <t>4902430645041</t>
        </is>
      </c>
      <c r="B246" s="27" t="inlineStr">
        <is>
          <t>b098mjm99x-1</t>
        </is>
      </c>
      <c r="C246" s="27" t="inlineStr">
        <is>
          <t>5041,4914/533</t>
        </is>
      </c>
      <c r="D246" s="27" t="inlineStr">
        <is>
          <t>b098mjm99x-1</t>
        </is>
      </c>
      <c r="E246" t="inlineStr">
        <is>
          <t>【セット品】 ファブリーズ おそうじエイド ハウスダストをまとめて固めるスプレー 無香料 本体370ml+詰替320mlセット 除菌 ハウスダスト対策 布製品 ソファ カーペット ふとん 寝具 室内 清潔 掃除 お手入れ スプレータイプ 本体+詰替 セット P&amp;G</t>
        </is>
      </c>
      <c r="F246" t="n">
        <v>1980</v>
      </c>
      <c r="G246" t="n">
        <v>533</v>
      </c>
      <c r="H246" t="n">
        <v>5</v>
      </c>
      <c r="I246">
        <f>SUM(G281*H281)</f>
        <v/>
      </c>
      <c r="J246" t="inlineStr">
        <is>
          <t>✓ 一致（SKU）</t>
        </is>
      </c>
      <c r="K246" t="inlineStr">
        <is>
          <t>4902430645041</t>
        </is>
      </c>
    </row>
    <row r="247" ht="13.5" customHeight="1">
      <c r="A247" s="27" t="inlineStr">
        <is>
          <t>4902430645041</t>
        </is>
      </c>
      <c r="B247" s="27" t="inlineStr">
        <is>
          <t>b098mjm99x-2</t>
        </is>
      </c>
      <c r="C247" s="27" t="inlineStr">
        <is>
          <t>5041/1425</t>
        </is>
      </c>
      <c r="D247" s="27" t="inlineStr">
        <is>
          <t>B098MJM99X-2</t>
        </is>
      </c>
      <c r="E247" t="inlineStr">
        <is>
          <t>【5個セット】ファブリーズ おそうじエイド ハウスダストをまとめて固めるスプレー 香料無添加 本体 370mL×5個セット P&amp;G 掃除用スプレー ハウスダスト対策 ダニのフン 花粉 ホコリ対策 無香料 清掃用品 掃除グッズ 家庭用 大容量 まとめ買い ストック 日用品</t>
        </is>
      </c>
      <c r="F247" t="n">
        <v>3980</v>
      </c>
      <c r="G247" t="n">
        <v>1425</v>
      </c>
      <c r="H247" t="n">
        <v>5</v>
      </c>
      <c r="I247">
        <f>SUM(G282*H282)</f>
        <v/>
      </c>
      <c r="J247" t="inlineStr">
        <is>
          <t>✓ 一致（SKU）</t>
        </is>
      </c>
      <c r="K247" t="inlineStr">
        <is>
          <t>4902430645041</t>
        </is>
      </c>
    </row>
    <row r="248" ht="13.5" customHeight="1">
      <c r="A248" s="27" t="inlineStr">
        <is>
          <t>4902430645027</t>
        </is>
      </c>
      <c r="B248" s="27" t="inlineStr">
        <is>
          <t>b098qfn95n</t>
        </is>
      </c>
      <c r="C248" s="27" t="inlineStr">
        <is>
          <t>5027/220</t>
        </is>
      </c>
      <c r="D248" s="27" t="inlineStr">
        <is>
          <t>b098qfn95n</t>
        </is>
      </c>
      <c r="E248" t="inlineStr">
        <is>
          <t>ファブリーズ おそうじエイド ハウスダストをまとめて固めるスプレー 洗い立てリネンの香り つめかえ 320ml 除菌 P&amp;Gジャパン スプレー</t>
        </is>
      </c>
      <c r="F248" t="n">
        <v>999</v>
      </c>
      <c r="G248" t="n">
        <v>220</v>
      </c>
      <c r="H248" t="n">
        <v>34</v>
      </c>
      <c r="I248">
        <f>SUM(G283*H283)</f>
        <v/>
      </c>
      <c r="J248" t="inlineStr">
        <is>
          <t>✓ 一致（SKU）</t>
        </is>
      </c>
      <c r="K248" t="inlineStr">
        <is>
          <t>4902430645027</t>
        </is>
      </c>
    </row>
    <row r="249" ht="13.5" customHeight="1">
      <c r="A249" s="27" t="inlineStr">
        <is>
          <t>4902430644914</t>
        </is>
      </c>
      <c r="B249" s="27" t="inlineStr">
        <is>
          <t>b098qhm24d</t>
        </is>
      </c>
      <c r="C249" s="27" t="inlineStr">
        <is>
          <t>4914/250</t>
        </is>
      </c>
      <c r="D249" s="27" t="inlineStr">
        <is>
          <t>b098qhm24d</t>
        </is>
      </c>
      <c r="E249" t="inlineStr">
        <is>
          <t>ファブリーズ おそうじエイド ハウスダストをまとめて固めるスプレー 香料無添加 つめかえ 320ml 除菌 P&amp;Gジャパン スプレー</t>
        </is>
      </c>
      <c r="F249" t="n">
        <v>999</v>
      </c>
      <c r="G249" t="n">
        <v>250</v>
      </c>
      <c r="H249" t="n">
        <v>76</v>
      </c>
      <c r="I249">
        <f>SUM(G284*H284)</f>
        <v/>
      </c>
      <c r="J249" t="inlineStr">
        <is>
          <t>✓ 一致（SKU）</t>
        </is>
      </c>
      <c r="K249" t="inlineStr">
        <is>
          <t>4902430644914</t>
        </is>
      </c>
    </row>
    <row r="250" ht="13.5" customHeight="1">
      <c r="A250" s="27" t="inlineStr">
        <is>
          <t>4902430644914</t>
        </is>
      </c>
      <c r="B250" s="27" t="inlineStr">
        <is>
          <t>b098qhm24d-3</t>
        </is>
      </c>
      <c r="C250" s="27" t="inlineStr">
        <is>
          <t>4902430644914-3</t>
        </is>
      </c>
      <c r="D250" s="27" t="inlineStr">
        <is>
          <t>B098QHM24D-3</t>
        </is>
      </c>
      <c r="E250" t="inlineStr">
        <is>
          <t>【3個セット】ファブリーズ おそうじエイド ハウスダストをまとめて固めるスプレー 香料無添加 詰め替え 320mL×3袋セット ハウスダスト 花粉 PM2.5 ペットの毛 ホコリ 布団 カーペット ソファ 消臭 除菌 掃除 詰替用 P&amp;G</t>
        </is>
      </c>
      <c r="F250" t="n">
        <v>2480</v>
      </c>
      <c r="G250" t="n">
        <v>750</v>
      </c>
      <c r="H250" t="n">
        <v>5</v>
      </c>
      <c r="I250">
        <f>SUM(G285*H285)</f>
        <v/>
      </c>
      <c r="J250" t="inlineStr">
        <is>
          <t>✓ 一致（SKU）</t>
        </is>
      </c>
      <c r="K250" t="inlineStr">
        <is>
          <t>4902430644914</t>
        </is>
      </c>
    </row>
    <row r="251" ht="13.5" customHeight="1">
      <c r="A251" s="27" t="inlineStr">
        <is>
          <t>0840080535111</t>
        </is>
      </c>
      <c r="B251" s="27" t="inlineStr">
        <is>
          <t>b09b2rlplv</t>
        </is>
      </c>
      <c r="C251" s="27" t="inlineStr">
        <is>
          <t>7480</t>
        </is>
      </c>
      <c r="D251" s="27" t="inlineStr">
        <is>
          <t>B09B2PF8S4</t>
        </is>
      </c>
      <c r="E251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F251" t="n">
        <v>10980</v>
      </c>
      <c r="G251" t="n">
        <v>7480</v>
      </c>
      <c r="H251" t="n">
        <v>8</v>
      </c>
      <c r="I251">
        <f>SUM(G286*H286)</f>
        <v/>
      </c>
    </row>
    <row r="252" ht="13.5" customHeight="1">
      <c r="A252" s="27" t="inlineStr">
        <is>
          <t>0840080537337</t>
        </is>
      </c>
      <c r="B252" s="27" t="inlineStr">
        <is>
          <t>b09b2rlplv</t>
        </is>
      </c>
      <c r="C252" s="27" t="inlineStr">
        <is>
          <t>7480</t>
        </is>
      </c>
      <c r="D252" s="27" t="inlineStr">
        <is>
          <t>B09B2RLPLV</t>
        </is>
      </c>
      <c r="E252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F252" t="n">
        <v>10980</v>
      </c>
      <c r="G252" t="n">
        <v>7480</v>
      </c>
      <c r="H252" t="n">
        <v>8</v>
      </c>
      <c r="I252">
        <f>SUM(G287*H287)</f>
        <v/>
      </c>
    </row>
    <row r="253" ht="13.5" customHeight="1">
      <c r="A253" s="27" t="inlineStr">
        <is>
          <t>0840080525952</t>
        </is>
      </c>
      <c r="B253" s="27" t="inlineStr">
        <is>
          <t>b09b2rlplv</t>
        </is>
      </c>
      <c r="C253" s="27" t="inlineStr">
        <is>
          <t>7480</t>
        </is>
      </c>
      <c r="D253" s="27" t="inlineStr">
        <is>
          <t>B09B2T3QBN</t>
        </is>
      </c>
      <c r="E253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F253" t="n">
        <v>10980</v>
      </c>
      <c r="G253" t="n">
        <v>7480</v>
      </c>
      <c r="H253" t="n">
        <v>9</v>
      </c>
      <c r="I253">
        <f>SUM(G288*H288)</f>
        <v/>
      </c>
    </row>
    <row r="254" ht="13.5" customHeight="1">
      <c r="A254" s="27" t="inlineStr">
        <is>
          <t>4983771103322</t>
        </is>
      </c>
      <c r="B254" s="27" t="inlineStr">
        <is>
          <t>b09c1ph1wz</t>
        </is>
      </c>
      <c r="C254" s="27" t="inlineStr">
        <is>
          <t>3322/3900-a</t>
        </is>
      </c>
      <c r="D254" s="27" t="inlineStr">
        <is>
          <t>b09c1ph1wz</t>
        </is>
      </c>
      <c r="E254" t="inlineStr">
        <is>
          <t>山善 YAMAZEN 電気毛布 電気敷毛布 130×80cm 丸洗い可能 ダニ退治機能 温度調節機能 ホワイト×ベージュ YMS-16 ダニ 丸洗い 毛布</t>
        </is>
      </c>
      <c r="F254" t="n">
        <v>5980</v>
      </c>
      <c r="G254" t="n">
        <v>3900</v>
      </c>
      <c r="H254" t="n">
        <v>1</v>
      </c>
      <c r="I254">
        <f>SUM(G289*H289)</f>
        <v/>
      </c>
      <c r="J254" t="inlineStr">
        <is>
          <t>✓ 一致（SKU）</t>
        </is>
      </c>
      <c r="K254" t="inlineStr">
        <is>
          <t>4983771103322</t>
        </is>
      </c>
    </row>
    <row r="255" ht="13.5" customHeight="1">
      <c r="A255" s="27" t="inlineStr">
        <is>
          <t>4987241171491</t>
        </is>
      </c>
      <c r="B255" s="27" t="inlineStr">
        <is>
          <t>b09c73x1l2</t>
        </is>
      </c>
      <c r="C255" s="27" t="inlineStr">
        <is>
          <t>1491/1718-a</t>
        </is>
      </c>
      <c r="D255" s="27" t="inlineStr">
        <is>
          <t>b09c73x1l2</t>
        </is>
      </c>
      <c r="E255" t="inlineStr">
        <is>
          <t>ロート製薬 50の恵 養潤液 プレミアム 詰め替え 200ml×2個セット しわ 肌 肌ケア ケア まとめ買い</t>
        </is>
      </c>
      <c r="F255" t="n">
        <v>2380</v>
      </c>
      <c r="G255" t="n">
        <v>1718</v>
      </c>
      <c r="H255" t="n">
        <v>4</v>
      </c>
      <c r="I255">
        <f>SUM(G290*H290)</f>
        <v/>
      </c>
      <c r="J255" t="inlineStr">
        <is>
          <t>✓ 一致（SKU）</t>
        </is>
      </c>
      <c r="K255" t="inlineStr">
        <is>
          <t>4987241171491</t>
        </is>
      </c>
    </row>
    <row r="256" ht="13.5" customHeight="1">
      <c r="A256" s="27" t="inlineStr">
        <is>
          <t>4987241171286</t>
        </is>
      </c>
      <c r="B256" s="27" t="inlineStr">
        <is>
          <t>b09c7n8clj</t>
        </is>
      </c>
      <c r="C256" s="27" t="inlineStr">
        <is>
          <t>1286/2262-a</t>
        </is>
      </c>
      <c r="D256" s="27" t="inlineStr">
        <is>
          <t>B09C7N8CLJ</t>
        </is>
      </c>
      <c r="E256" t="inlineStr">
        <is>
          <t>肌ラボ 極潤 薬用ハリ乳液140ml×3個セット 化粧 ケア 肌 肌ケア 保湿</t>
        </is>
      </c>
      <c r="F256" t="n">
        <v>3980</v>
      </c>
      <c r="G256" t="n">
        <v>2262</v>
      </c>
      <c r="H256" t="n">
        <v>4</v>
      </c>
      <c r="I256">
        <f>SUM(G293*H293)</f>
        <v/>
      </c>
    </row>
    <row r="257" ht="13.5" customHeight="1">
      <c r="A257" s="27" t="inlineStr">
        <is>
          <t>4987241171484</t>
        </is>
      </c>
      <c r="B257" s="27" t="inlineStr">
        <is>
          <t>b09c7pdggm</t>
        </is>
      </c>
      <c r="C257" s="27" t="inlineStr">
        <is>
          <t>1484,1491/1914-a</t>
        </is>
      </c>
      <c r="D257" s="27" t="inlineStr">
        <is>
          <t>b09c7pdggm</t>
        </is>
      </c>
      <c r="E257" t="inlineStr">
        <is>
          <t>ロート製薬 50の恵 養潤液 プレミアム 本体 230ml ＋ 詰替 200ml セット しわ 肌 肌ケア ケア</t>
        </is>
      </c>
      <c r="F257" t="n">
        <v>3480</v>
      </c>
      <c r="G257" t="n">
        <v>1914</v>
      </c>
      <c r="H257" t="n">
        <v>4</v>
      </c>
      <c r="I257">
        <f>SUM(G294*H294)</f>
        <v/>
      </c>
      <c r="J257" t="inlineStr">
        <is>
          <t>✓ 一致（SKU）</t>
        </is>
      </c>
      <c r="K257" t="inlineStr">
        <is>
          <t>4987241171484</t>
        </is>
      </c>
    </row>
    <row r="258" ht="13.5" customHeight="1">
      <c r="A258" s="27" t="inlineStr">
        <is>
          <t>4987241171484</t>
        </is>
      </c>
      <c r="B258" s="27" t="inlineStr">
        <is>
          <t>b09c7pdggm-1</t>
        </is>
      </c>
      <c r="C258" s="27" t="inlineStr">
        <is>
          <t>1484/2110-a</t>
        </is>
      </c>
      <c r="D258" s="27" t="inlineStr">
        <is>
          <t>B09C7PDGGM-1</t>
        </is>
      </c>
      <c r="E258" t="inlineStr">
        <is>
          <t>ロート製薬 50の恵 養潤液 プレミアム 本体 230ml×2個セット しわ 肌 肌ケア ケア まとめ買い</t>
        </is>
      </c>
      <c r="F258" t="n">
        <v>3980</v>
      </c>
      <c r="G258" t="n">
        <v>2110</v>
      </c>
      <c r="H258" t="n">
        <v>2</v>
      </c>
      <c r="I258">
        <f>SUM(G295*H295)</f>
        <v/>
      </c>
      <c r="J258" t="inlineStr">
        <is>
          <t>✓ 一致（SKU）</t>
        </is>
      </c>
      <c r="K258" t="inlineStr">
        <is>
          <t>4987241171484</t>
        </is>
      </c>
    </row>
    <row r="259" ht="13.5" customHeight="1">
      <c r="A259" s="27" t="inlineStr">
        <is>
          <t>4987241171323</t>
        </is>
      </c>
      <c r="B259" s="27" t="inlineStr">
        <is>
          <t>b09c86l9jt</t>
        </is>
      </c>
      <c r="C259" s="27" t="inlineStr">
        <is>
          <t>1323,5774/2061-a</t>
        </is>
      </c>
      <c r="D259" s="27" t="inlineStr">
        <is>
          <t>b09c86l9jt</t>
        </is>
      </c>
      <c r="E259" t="inlineStr">
        <is>
          <t>【セット品】肌ラボ 極潤 ハリパーフェクトゲル＋パーフェクトゲル セット 各100g ゲル 保湿 肌ケア 肌 ケア エイジング</t>
        </is>
      </c>
      <c r="F259" t="n">
        <v>3980</v>
      </c>
      <c r="G259" t="n">
        <v>2061</v>
      </c>
      <c r="H259" t="n">
        <v>4</v>
      </c>
      <c r="I259">
        <f>SUM(G296*H296)</f>
        <v/>
      </c>
      <c r="J259" t="inlineStr">
        <is>
          <t>✓ 一致（SKU）</t>
        </is>
      </c>
      <c r="K259" t="inlineStr">
        <is>
          <t>4987241171323</t>
        </is>
      </c>
    </row>
    <row r="260" ht="13.5" customHeight="1">
      <c r="A260" s="27" t="inlineStr">
        <is>
          <t>4987241171323</t>
        </is>
      </c>
      <c r="B260" s="27" t="inlineStr">
        <is>
          <t>b09c86l9jt-1</t>
        </is>
      </c>
      <c r="C260" s="27" t="inlineStr">
        <is>
          <t>4987241171323-2-a</t>
        </is>
      </c>
      <c r="D260" s="27" t="inlineStr">
        <is>
          <t>B09C86L9JT-1</t>
        </is>
      </c>
      <c r="E260" t="inlineStr">
        <is>
          <t>肌ラボ 極潤 ハリパーフェクトゲル 100g×2個セット 高機能オールインワンゲル 無香料 保湿 スキンケア エイジングケア オールインワンジェル 化粧水 美容液 乳液 クリーム パック フェイスケア 乾燥対策 潤い ハリ 弾力 保湿ゲル 高保湿 基礎化粧品 時短ケア まとめ買い</t>
        </is>
      </c>
      <c r="F260" t="n">
        <v>3980</v>
      </c>
      <c r="G260" t="n">
        <v>2134</v>
      </c>
      <c r="H260" t="n">
        <v>10</v>
      </c>
      <c r="I260">
        <f>SUM(G297*H297)</f>
        <v/>
      </c>
      <c r="J260" t="inlineStr">
        <is>
          <t>✓ 一致（SKU）</t>
        </is>
      </c>
      <c r="K260" t="inlineStr">
        <is>
          <t>4987241171323</t>
        </is>
      </c>
    </row>
    <row r="261" ht="13.5" customHeight="1">
      <c r="A261" s="27" t="inlineStr">
        <is>
          <t>4987176032454</t>
        </is>
      </c>
      <c r="B261" s="27" t="inlineStr">
        <is>
          <t>b09dc7q6kl-1</t>
        </is>
      </c>
      <c r="C261" s="27" t="inlineStr">
        <is>
          <t>2454/6000</t>
        </is>
      </c>
      <c r="D261" s="27" t="inlineStr">
        <is>
          <t>B09DC7Q6KL-1</t>
        </is>
      </c>
      <c r="E261" t="inlineStr">
        <is>
          <t>【2個セット】ジレット フュージョン 電動タイプ 替刃 8コ入×2セット 合計16個 Gillette 髭剃り カミソリ 替え刃 シェーバー メンズシェービング 深剃り 剃刀 刃交換 ヒゲ剃り 男性用 カミソリ替刃 スキンガード 剃り味長持ち まとめ買い ストック 正規品 メンズ 男性 男</t>
        </is>
      </c>
      <c r="F261" t="n">
        <v>8980</v>
      </c>
      <c r="G261" t="n">
        <v>6000</v>
      </c>
      <c r="H261" t="n">
        <v>4</v>
      </c>
      <c r="I261">
        <f>SUM(G299*H299)</f>
        <v/>
      </c>
      <c r="J261" t="inlineStr">
        <is>
          <t>✓ 一致（SKU）</t>
        </is>
      </c>
      <c r="K261" t="inlineStr">
        <is>
          <t>4987176032454</t>
        </is>
      </c>
    </row>
    <row r="262" ht="13.5" customHeight="1">
      <c r="A262" s="27" t="inlineStr">
        <is>
          <t>4961310157685</t>
        </is>
      </c>
      <c r="B262" s="27" t="inlineStr">
        <is>
          <t>b09dl6dc59</t>
        </is>
      </c>
      <c r="C262" s="27" t="inlineStr">
        <is>
          <t>4961310157685</t>
        </is>
      </c>
      <c r="D262" s="27" t="inlineStr">
        <is>
          <t>b09dl6dc59</t>
        </is>
      </c>
      <c r="E262" t="inlineStr">
        <is>
          <t>オーディオテクニカ AT2020GM コンデンサーマイク XLR 動画配信 宅録 ポッドキャスト 実況 DTM ゲーミング ゲーム 【国内正規品】ガンメタリック</t>
        </is>
      </c>
      <c r="F262" t="n">
        <v>16480</v>
      </c>
      <c r="G262" t="n">
        <v>9980</v>
      </c>
      <c r="H262" t="n">
        <v>8</v>
      </c>
      <c r="I262">
        <f>SUM(G300*H300)</f>
        <v/>
      </c>
      <c r="J262" t="inlineStr">
        <is>
          <t>✓ 一致（SKU）</t>
        </is>
      </c>
      <c r="K262" t="inlineStr">
        <is>
          <t>4961310157685</t>
        </is>
      </c>
    </row>
    <row r="263" ht="13.5" customHeight="1">
      <c r="A263" s="27" t="inlineStr">
        <is>
          <t>4571390307698</t>
        </is>
      </c>
      <c r="B263" s="27" t="inlineStr">
        <is>
          <t>b09gvt2ls1</t>
        </is>
      </c>
      <c r="C263" s="27" t="inlineStr">
        <is>
          <t>4571390307698</t>
        </is>
      </c>
      <c r="D263" s="27" t="inlineStr">
        <is>
          <t>B09GVT2LS1</t>
        </is>
      </c>
      <c r="E263" t="inlineStr">
        <is>
          <t>ソウイジャパン 本格コーヒー生豆焙煎機 SOUYI コーヒー焙煎機(微調整機能付き) SY-121N コーヒー コンパクト 家庭用</t>
        </is>
      </c>
      <c r="F263" t="n">
        <v>23980</v>
      </c>
      <c r="G263" t="n">
        <v>16700</v>
      </c>
      <c r="H263" t="n">
        <v>6</v>
      </c>
      <c r="I263">
        <f>SUM(G301*H301)</f>
        <v/>
      </c>
    </row>
    <row r="264" ht="13.5" customHeight="1">
      <c r="A264" s="27" t="inlineStr">
        <is>
          <t>4550207690475</t>
        </is>
      </c>
      <c r="B264" s="27" t="inlineStr">
        <is>
          <t>b09jbyt2cz</t>
        </is>
      </c>
      <c r="C264" s="27" t="inlineStr">
        <is>
          <t>0475/1285</t>
        </is>
      </c>
      <c r="D264" s="27" t="inlineStr">
        <is>
          <t>b09jbyt2cz</t>
        </is>
      </c>
      <c r="E264" t="inlineStr">
        <is>
          <t>Speedo スピード Mariner Pro マリナープロ SE02201 ブルー スイミングゴーグル フィットネスゴーグル 水泳用ゴーグル UVカット 曇り止め 調節可能ノーズブリッジ シリコーンストラップ プール ジム 水中ウォーキング アクアエクササイズ ユニセックス ONE SIZE</t>
        </is>
      </c>
      <c r="F264" t="n">
        <v>2980</v>
      </c>
      <c r="G264" t="n">
        <v>1285</v>
      </c>
      <c r="H264" t="n">
        <v>8</v>
      </c>
      <c r="I264">
        <f>SUM(G302*H302)</f>
        <v/>
      </c>
      <c r="J264" t="inlineStr">
        <is>
          <t>✓ 一致（SKU）</t>
        </is>
      </c>
      <c r="K264" t="inlineStr">
        <is>
          <t>4550207690475</t>
        </is>
      </c>
    </row>
    <row r="265" ht="13.5" customHeight="1">
      <c r="A265" s="27" t="inlineStr">
        <is>
          <t>4985115970492</t>
        </is>
      </c>
      <c r="B265" s="27" t="inlineStr">
        <is>
          <t>b09l7qd1hp</t>
        </is>
      </c>
      <c r="C265" s="27" t="inlineStr">
        <is>
          <t>0492/4980-a</t>
        </is>
      </c>
      <c r="D265" s="27" t="inlineStr">
        <is>
          <t>b09l7qd1hp</t>
        </is>
      </c>
      <c r="E265" t="inlineStr">
        <is>
          <t>M-GAMING USBマイクロフォン Thronmax ROSA EDITION ピンク MG-M4R 動画配信 宅録 ポッドキャスト 実況 DTM ゲーミング ゲーム</t>
        </is>
      </c>
      <c r="F265" t="n">
        <v>10980</v>
      </c>
      <c r="G265" t="n">
        <v>4980</v>
      </c>
      <c r="H265" t="n">
        <v>5</v>
      </c>
      <c r="I265">
        <f>SUM(G303*H303)</f>
        <v/>
      </c>
      <c r="J265" t="inlineStr">
        <is>
          <t>✓ 一致（SKU）</t>
        </is>
      </c>
      <c r="K265" t="inlineStr">
        <is>
          <t>4985115970492</t>
        </is>
      </c>
    </row>
    <row r="266" ht="13.5" customHeight="1">
      <c r="A266" s="27" t="inlineStr">
        <is>
          <t>4589596693569</t>
        </is>
      </c>
      <c r="B266" s="27" t="inlineStr">
        <is>
          <t>b09lqp2343</t>
        </is>
      </c>
      <c r="C266" s="27" t="inlineStr">
        <is>
          <t>3569/981-a</t>
        </is>
      </c>
      <c r="D266" s="27" t="inlineStr">
        <is>
          <t>b09lqp2343</t>
        </is>
      </c>
      <c r="E266" t="inlineStr">
        <is>
          <t>熱冷却シート 16枚×3個セット 大人 子供 兼用 熱さましシート 発熱対策 ひんやりシート 冷却ジェルシート 長時間 日本製</t>
        </is>
      </c>
      <c r="F266" t="n">
        <v>2480</v>
      </c>
      <c r="G266" t="n">
        <v>981</v>
      </c>
      <c r="H266" t="n">
        <v>9</v>
      </c>
      <c r="I266">
        <f>SUM(G304*H304)</f>
        <v/>
      </c>
      <c r="J266" t="inlineStr">
        <is>
          <t>✓ 一致（SKU）</t>
        </is>
      </c>
      <c r="K266" t="inlineStr">
        <is>
          <t>4589596693569</t>
        </is>
      </c>
    </row>
    <row r="267" ht="13.5" customHeight="1">
      <c r="A267" s="27" t="inlineStr">
        <is>
          <t>4901008314679</t>
        </is>
      </c>
      <c r="B267" s="27" t="inlineStr">
        <is>
          <t>b09ltnc8bs</t>
        </is>
      </c>
      <c r="C267" s="27" t="inlineStr">
        <is>
          <t>4679/328</t>
        </is>
      </c>
      <c r="D267" s="27" t="inlineStr">
        <is>
          <t>b09ltnc8bs</t>
        </is>
      </c>
      <c r="E267" t="inlineStr">
        <is>
          <t>CANMAKE キャンメイク プランプリップケアスクラブ 03 みかんイエロー 角質ケア 保湿 唇</t>
        </is>
      </c>
      <c r="F267" t="n">
        <v>999</v>
      </c>
      <c r="G267" t="n">
        <v>328</v>
      </c>
      <c r="H267" t="n">
        <v>2</v>
      </c>
      <c r="I267">
        <f>SUM(G305*H305)</f>
        <v/>
      </c>
      <c r="J267" t="inlineStr">
        <is>
          <t>✓ 一致（SKU）</t>
        </is>
      </c>
      <c r="K267" t="inlineStr">
        <is>
          <t>4901008314679</t>
        </is>
      </c>
    </row>
    <row r="268" ht="13.5" customHeight="1">
      <c r="A268" s="27" t="inlineStr">
        <is>
          <t>0078332582495</t>
        </is>
      </c>
      <c r="B268" s="27" t="inlineStr">
        <is>
          <t>b09mj5g5z7</t>
        </is>
      </c>
      <c r="C268" s="27" t="inlineStr">
        <is>
          <t>4949,2495/7500</t>
        </is>
      </c>
      <c r="D268" s="27" t="inlineStr">
        <is>
          <t>B09MJ4L9NG</t>
        </is>
      </c>
      <c r="E268" t="inlineStr">
        <is>
          <t>SkyPAD Glass 3.0 XL ゲーミング マウスパッド クラウド ロゴ付き ブラック ホワイト プロフェッショナル大型マウスマット 400 x 500mm 精度と速度が向上した特殊なガラス表面</t>
        </is>
      </c>
      <c r="F268" t="n">
        <v>16500</v>
      </c>
      <c r="G268" t="n">
        <v>7500</v>
      </c>
      <c r="H268" t="n">
        <v>2</v>
      </c>
      <c r="I268">
        <f>SUM(G306*H306)</f>
        <v/>
      </c>
    </row>
    <row r="269" ht="13.5" customHeight="1">
      <c r="A269" s="27" t="inlineStr">
        <is>
          <t>0783325824949</t>
        </is>
      </c>
      <c r="B269" s="27" t="inlineStr">
        <is>
          <t>b09mj5g5z7</t>
        </is>
      </c>
      <c r="C269" s="27" t="inlineStr">
        <is>
          <t>4949,2495/7500</t>
        </is>
      </c>
      <c r="D269" s="27" t="inlineStr">
        <is>
          <t>B09MJ5G5Z7</t>
        </is>
      </c>
      <c r="E269" t="inlineStr">
        <is>
          <t>SkyPAD Glass 3.0 XL ゲーミング マウスパッド クラウド ロゴ付き ブラック ホワイト プロフェッショナル大型マウスマット 400 x 500mm 精度と速度が向上した特殊なガラス表面</t>
        </is>
      </c>
      <c r="F269" t="n">
        <v>16500</v>
      </c>
      <c r="G269" t="n">
        <v>7500</v>
      </c>
      <c r="H269" t="n">
        <v>0</v>
      </c>
      <c r="I269">
        <f>SUM(G307*H307)</f>
        <v/>
      </c>
    </row>
    <row r="270" ht="13.5" customHeight="1">
      <c r="A270" s="27" t="inlineStr">
        <is>
          <t>4987241173242</t>
        </is>
      </c>
      <c r="B270" s="27" t="inlineStr">
        <is>
          <t>b09py4134y</t>
        </is>
      </c>
      <c r="C270" s="27" t="inlineStr">
        <is>
          <t>3242/2935</t>
        </is>
      </c>
      <c r="D270" s="27" t="inlineStr">
        <is>
          <t>b09py4134y</t>
        </is>
      </c>
      <c r="E270" t="inlineStr">
        <is>
          <t>メラノCC ディープクリア酵素洗顔 130g×5個セット 酵素洗顔 洗顔フォーム 毛穴ケア ビタミンC配合 酵素配合 クレイ配合 角栓 黒ずみ 毛穴汚れ くすみ対策 透明感 うるおい洗顔 柑橘系 日本製 ロート製薬 まとめ買い</t>
        </is>
      </c>
      <c r="F270" t="n">
        <v>3980</v>
      </c>
      <c r="G270" t="n">
        <v>2935</v>
      </c>
      <c r="H270" t="n">
        <v>12</v>
      </c>
      <c r="I270">
        <f>SUM(G308*H308)</f>
        <v/>
      </c>
      <c r="J270" t="inlineStr">
        <is>
          <t>✓ 一致（SKU）</t>
        </is>
      </c>
      <c r="K270" t="inlineStr">
        <is>
          <t>4987241173242</t>
        </is>
      </c>
    </row>
    <row r="271" ht="13.5" customHeight="1">
      <c r="A271" s="27" t="inlineStr">
        <is>
          <t>4901070761005</t>
        </is>
      </c>
      <c r="B271" s="27" t="inlineStr">
        <is>
          <t>b09qpnzlss</t>
        </is>
      </c>
      <c r="C271" s="27" t="inlineStr">
        <is>
          <t>1005/1348</t>
        </is>
      </c>
      <c r="D271" s="27" t="inlineStr">
        <is>
          <t>b09qpnzlss</t>
        </is>
      </c>
      <c r="E271" t="inlineStr">
        <is>
          <t>ファミリー ニトリルゴム 極うす手 M ホワイト 50枚×2個セット 内側粉なし 使い捨て手袋 左右両用タイプ 調理 掃除 ガーデニング 介護 毛染め DIY ニトリル手袋 使い捨て</t>
        </is>
      </c>
      <c r="F271" t="n">
        <v>2480</v>
      </c>
      <c r="G271" t="n">
        <v>1348</v>
      </c>
      <c r="H271" t="n">
        <v>12</v>
      </c>
      <c r="I271">
        <f>SUM(G309*H309)</f>
        <v/>
      </c>
      <c r="J271" t="inlineStr">
        <is>
          <t>✓ 一致（SKU）</t>
        </is>
      </c>
      <c r="K271" t="inlineStr">
        <is>
          <t>4901070761005</t>
        </is>
      </c>
    </row>
    <row r="272" ht="13.5" customHeight="1">
      <c r="A272" s="27" t="inlineStr">
        <is>
          <t>4580632116547</t>
        </is>
      </c>
      <c r="B272" s="27" t="inlineStr">
        <is>
          <t>b09rk5ks2j</t>
        </is>
      </c>
      <c r="C272" s="27" t="inlineStr">
        <is>
          <t>6547/435-a</t>
        </is>
      </c>
      <c r="D272" s="27" t="inlineStr">
        <is>
          <t>b09rk5ks2j</t>
        </is>
      </c>
      <c r="E272" t="inlineStr">
        <is>
          <t>Diane(ダイアン) 【携帯用】 ドライシャンプー (水のいらないシャンプー) フレッシュマンゴー&amp;ムスクの香り ダイアン パーフェクトビューティー 40g 女性 レディース 頭皮スッキリ ボリューム感 リフレッシュ ニオイ スタイリング フレグランス 持ち運び アウトドア みずなし</t>
        </is>
      </c>
      <c r="F272" t="n">
        <v>1380</v>
      </c>
      <c r="G272" t="n">
        <v>435</v>
      </c>
      <c r="H272" t="n">
        <v>4</v>
      </c>
      <c r="I272">
        <f>SUM(G310*H310)</f>
        <v/>
      </c>
      <c r="J272" t="inlineStr">
        <is>
          <t>✓ 一致（SKU）</t>
        </is>
      </c>
      <c r="K272" t="inlineStr">
        <is>
          <t>4580632116547</t>
        </is>
      </c>
    </row>
    <row r="273" ht="13.5" customHeight="1">
      <c r="A273" s="27" t="inlineStr">
        <is>
          <t>4994527925600</t>
        </is>
      </c>
      <c r="B273" s="27" t="inlineStr">
        <is>
          <t>b09rmsry66</t>
        </is>
      </c>
      <c r="C273" s="27" t="inlineStr">
        <is>
          <t>5600,5709/168-a</t>
        </is>
      </c>
      <c r="D273" s="27" t="inlineStr">
        <is>
          <t>b09rmsry66</t>
        </is>
      </c>
      <c r="E273" t="inlineStr">
        <is>
          <t>ジョイペット 犬用 シャンプー リンスインシャンプー 本体350mL+詰替280mL セット JOYPET アミノリンスインシャンプー 犬 シャンプー ペットシャンプー 低刺激 消臭 被毛ケア 泡立ち お手入れ まとめ買い</t>
        </is>
      </c>
      <c r="F273" t="n">
        <v>2480</v>
      </c>
      <c r="G273" t="n">
        <v>168</v>
      </c>
      <c r="H273" t="n">
        <v>4</v>
      </c>
      <c r="I273">
        <f>SUM(G311*H311)</f>
        <v/>
      </c>
      <c r="J273" t="inlineStr">
        <is>
          <t>✓ 一致（SKU）</t>
        </is>
      </c>
      <c r="K273" t="inlineStr">
        <is>
          <t>4994527925600</t>
        </is>
      </c>
    </row>
    <row r="274" ht="13.5" customHeight="1">
      <c r="A274" s="27" t="inlineStr">
        <is>
          <t>4902424447835</t>
        </is>
      </c>
      <c r="B274" s="27" t="inlineStr">
        <is>
          <t>b09st434d7</t>
        </is>
      </c>
      <c r="C274" s="27" t="inlineStr">
        <is>
          <t>7835/347-a</t>
        </is>
      </c>
      <c r="D274" s="27" t="inlineStr">
        <is>
          <t>b09st434d7</t>
        </is>
      </c>
      <c r="E274" t="inlineStr">
        <is>
          <t>フマキラー(Fumakilla) お部屋の虫キラー 1発ジェット 虫 殺虫剤 コバエ ユズリカ ハチ ガ アブ アリ カメムシ ムカデ クモ</t>
        </is>
      </c>
      <c r="F274" t="n">
        <v>1280</v>
      </c>
      <c r="G274" t="n">
        <v>347</v>
      </c>
      <c r="H274" t="n">
        <v>26</v>
      </c>
      <c r="I274">
        <f>SUM(G312*H312)</f>
        <v/>
      </c>
      <c r="J274" t="inlineStr">
        <is>
          <t>✓ 一致（SKU）</t>
        </is>
      </c>
      <c r="K274" t="inlineStr">
        <is>
          <t>4902424447835</t>
        </is>
      </c>
    </row>
    <row r="275" ht="13.5" customHeight="1">
      <c r="A275" s="27" t="inlineStr">
        <is>
          <t>4902407024916</t>
        </is>
      </c>
      <c r="B275" s="27" t="inlineStr">
        <is>
          <t>b09tdkbh5f</t>
        </is>
      </c>
      <c r="C275" s="27" t="inlineStr">
        <is>
          <t>SET-4916-5050-a</t>
        </is>
      </c>
      <c r="D275" s="27" t="inlineStr">
        <is>
          <t>b09tdkbh5f</t>
        </is>
      </c>
      <c r="E275" t="inlineStr">
        <is>
          <t>アイスノン シャツミスト ICE KING 本体300ml＋詰替280ml セット 冷感スプレー 衣類用 消臭 除菌 瞬間冷却 熱中症対策 暑さ対策 通勤 通学 スポーツ 白元アース</t>
        </is>
      </c>
      <c r="F275" t="n">
        <v>2980</v>
      </c>
      <c r="G275" t="n">
        <v>1270</v>
      </c>
      <c r="H275" t="n">
        <v>16</v>
      </c>
      <c r="I275">
        <f>SUM(G313*H313)</f>
        <v/>
      </c>
      <c r="J275" t="inlineStr">
        <is>
          <t>✓ 一致（SKU）</t>
        </is>
      </c>
      <c r="K275" t="inlineStr">
        <is>
          <t>4902407024916</t>
        </is>
      </c>
    </row>
    <row r="276" ht="13.5" customHeight="1">
      <c r="A276" s="27" t="inlineStr">
        <is>
          <t>4902407024916</t>
        </is>
      </c>
      <c r="B276" s="27" t="inlineStr">
        <is>
          <t>b09tdkbh5f-1</t>
        </is>
      </c>
      <c r="C276" s="27" t="inlineStr">
        <is>
          <t>4902407024916-2-a</t>
        </is>
      </c>
      <c r="D276" s="27" t="inlineStr">
        <is>
          <t>B09TDKBH5F-1</t>
        </is>
      </c>
      <c r="E276" t="inlineStr">
        <is>
          <t>アイスノン シャツミスト ICE KING 300ml×2個セット 衣類用冷感スプレー 超冷感 極冷 クールスプレー 暑さ対策 熱中対策 消臭 除菌 ミントの香り 冷感ミスト 通勤 通学 屋外作業 スポーツ アウトドア 夏対策 ひんやり 日本製</t>
        </is>
      </c>
      <c r="F276" t="n">
        <v>2480</v>
      </c>
      <c r="G276" t="n">
        <v>1188</v>
      </c>
      <c r="H276" t="n">
        <v>4</v>
      </c>
      <c r="I276">
        <f>SUM(G314*H314)</f>
        <v/>
      </c>
      <c r="J276" t="inlineStr">
        <is>
          <t>✓ 一致（SKU）</t>
        </is>
      </c>
      <c r="K276" t="inlineStr">
        <is>
          <t>4902407024916</t>
        </is>
      </c>
    </row>
    <row r="277" ht="13.5" customHeight="1">
      <c r="A277" s="27" t="inlineStr">
        <is>
          <t>4902407024985</t>
        </is>
      </c>
      <c r="B277" s="27" t="inlineStr">
        <is>
          <t>b09tdl4t6v</t>
        </is>
      </c>
      <c r="C277" s="27" t="inlineStr">
        <is>
          <t>4985/725</t>
        </is>
      </c>
      <c r="D277" s="27" t="inlineStr">
        <is>
          <t>b09tdl4t6v</t>
        </is>
      </c>
      <c r="E277" t="inlineStr">
        <is>
          <t>アイスノン やわらかフィット すみっコぐらし 氷枕 大人用 白元アース 暑さ対策 熱中症対策 対策</t>
        </is>
      </c>
      <c r="F277" t="n">
        <v>1980</v>
      </c>
      <c r="G277" t="n">
        <v>725</v>
      </c>
      <c r="H277" t="n">
        <v>12</v>
      </c>
      <c r="I277">
        <f>SUM(G315*H315)</f>
        <v/>
      </c>
      <c r="J277" t="inlineStr">
        <is>
          <t>✓ 一致（SKU）</t>
        </is>
      </c>
      <c r="K277" t="inlineStr">
        <is>
          <t>4902407024985</t>
        </is>
      </c>
    </row>
    <row r="278" ht="13.5" customHeight="1">
      <c r="A278" s="27" t="inlineStr">
        <is>
          <t>8720689000390</t>
        </is>
      </c>
      <c r="B278" s="27" t="inlineStr">
        <is>
          <t>b09tpstjlv</t>
        </is>
      </c>
      <c r="C278" s="27" t="inlineStr">
        <is>
          <t>6980-a</t>
        </is>
      </c>
      <c r="D278" s="27" t="inlineStr">
        <is>
          <t>b09tpstjlv</t>
        </is>
      </c>
      <c r="E278" t="inlineStr">
        <is>
          <t>フィリップス 5000シリーズ S5445/03 ブラック 電動シェーバー 電動 髭剃り メンズ 27枚刃 回転式 お風呂剃り 丸洗い可 360-Dフレックスヘッド</t>
        </is>
      </c>
      <c r="F278" t="n">
        <v>9580</v>
      </c>
      <c r="G278" t="n">
        <v>6980</v>
      </c>
      <c r="H278" t="n">
        <v>5</v>
      </c>
      <c r="I278">
        <f>SUM(G316*H316)</f>
        <v/>
      </c>
      <c r="J278" t="inlineStr">
        <is>
          <t>✓ 一致（SKU）</t>
        </is>
      </c>
      <c r="K278" t="inlineStr">
        <is>
          <t>8720689000390</t>
        </is>
      </c>
    </row>
    <row r="279" ht="13.5" customHeight="1">
      <c r="A279" s="27" t="inlineStr">
        <is>
          <t>4903320160439</t>
        </is>
      </c>
      <c r="B279" s="27" t="inlineStr">
        <is>
          <t>b09w8n2jh2</t>
        </is>
      </c>
      <c r="C279" s="27" t="inlineStr">
        <is>
          <t>0439/2300-a</t>
        </is>
      </c>
      <c r="D279" s="27" t="inlineStr">
        <is>
          <t>b09w8n2jh2</t>
        </is>
      </c>
      <c r="E279" t="inlineStr">
        <is>
          <t>レック バルサン ダニ捕りシート ダニーノ (24枚入) 捕獲したダニごと捨てる ダニ シート 捕獲</t>
        </is>
      </c>
      <c r="F279" t="n">
        <v>4580</v>
      </c>
      <c r="G279" t="n">
        <v>2300</v>
      </c>
      <c r="H279" t="n">
        <v>13</v>
      </c>
      <c r="I279">
        <f>SUM(G317*H317)</f>
        <v/>
      </c>
      <c r="J279" t="inlineStr">
        <is>
          <t>✓ 一致（SKU）</t>
        </is>
      </c>
      <c r="K279" t="inlineStr">
        <is>
          <t>4903320160439</t>
        </is>
      </c>
    </row>
    <row r="280" ht="13.5" customHeight="1">
      <c r="A280" s="27" t="inlineStr">
        <is>
          <t>0195166205809</t>
        </is>
      </c>
      <c r="B280" s="27" t="inlineStr">
        <is>
          <t>b09wwsx3gb</t>
        </is>
      </c>
      <c r="C280" s="27" t="inlineStr">
        <is>
          <t>5809/13050-a</t>
        </is>
      </c>
      <c r="D280" s="27" t="inlineStr">
        <is>
          <t>b09wwsx3gb</t>
        </is>
      </c>
      <c r="E280" t="inlineStr">
        <is>
          <t>ハズブロ(HASBRO) スター・ウォーズ ブラックシリーズ ダース・ベイダー プレミアム エレクトロニックヘルメット F8103 スター・ウォーズ:オビ=ワン・ケノービロールプレイアイテム 電動</t>
        </is>
      </c>
      <c r="F280" t="n">
        <v>39800</v>
      </c>
      <c r="G280" t="n">
        <v>13050</v>
      </c>
      <c r="H280" t="n">
        <v>0</v>
      </c>
      <c r="I280">
        <f>SUM(G318*H318)</f>
        <v/>
      </c>
    </row>
    <row r="281" ht="13.5" customHeight="1">
      <c r="A281" s="27" t="inlineStr">
        <is>
          <t>4573177597704</t>
        </is>
      </c>
      <c r="B281" s="27" t="inlineStr">
        <is>
          <t>b09wxwcrp4</t>
        </is>
      </c>
      <c r="C281" s="27" t="inlineStr">
        <is>
          <t>7704/895</t>
        </is>
      </c>
      <c r="D281" s="27" t="inlineStr">
        <is>
          <t>b09wxwcrp4</t>
        </is>
      </c>
      <c r="E281" t="inlineStr">
        <is>
          <t>レック(LEC) 熱中レスキュー 激冷えくん ボディクールシート 鬼クールタイプ (20枚ｘ2P) ×5個セット メントールでひんやり冷感</t>
        </is>
      </c>
      <c r="F281" t="n">
        <v>2480</v>
      </c>
      <c r="G281" t="n">
        <v>895</v>
      </c>
      <c r="H281" t="n">
        <v>4</v>
      </c>
      <c r="I281">
        <f>SUM(G319*H319)</f>
        <v/>
      </c>
      <c r="J281" t="inlineStr">
        <is>
          <t>✓ 一致（SKU）</t>
        </is>
      </c>
      <c r="K281" t="inlineStr">
        <is>
          <t>4573177597704</t>
        </is>
      </c>
    </row>
    <row r="282" ht="13.5" customHeight="1">
      <c r="A282" s="27" t="inlineStr">
        <is>
          <t>4582521683475</t>
        </is>
      </c>
      <c r="B282" s="27" t="inlineStr">
        <is>
          <t>b09xglsws2</t>
        </is>
      </c>
      <c r="C282" s="27" t="inlineStr">
        <is>
          <t>3475/1460</t>
        </is>
      </c>
      <c r="D282" s="27" t="inlineStr">
        <is>
          <t>B09XGLSWS2</t>
        </is>
      </c>
      <c r="E282" t="inlineStr">
        <is>
          <t>YOLU ヨル シャンプー トリートメント セット 詰め替え 2点セット リラックスナイトリペア ダメージケア ケア スリークナイトケア処方</t>
        </is>
      </c>
      <c r="F282" t="n">
        <v>2480</v>
      </c>
      <c r="G282" t="n">
        <v>1460</v>
      </c>
      <c r="H282" t="n">
        <v>4</v>
      </c>
      <c r="I282">
        <f>SUM(G320*H320)</f>
        <v/>
      </c>
      <c r="J282" t="inlineStr">
        <is>
          <t>✓ 一致（SKU）</t>
        </is>
      </c>
      <c r="K282" t="inlineStr">
        <is>
          <t>4582521683475</t>
        </is>
      </c>
    </row>
    <row r="283" ht="13.5" customHeight="1">
      <c r="A283" s="27" t="inlineStr">
        <is>
          <t>4582521683475</t>
        </is>
      </c>
      <c r="B283" s="27" t="inlineStr">
        <is>
          <t>b09xglsws2-1</t>
        </is>
      </c>
      <c r="C283" s="27" t="inlineStr">
        <is>
          <t>3475/730</t>
        </is>
      </c>
      <c r="D283" s="27" t="inlineStr">
        <is>
          <t>B09XGLSWS2-1</t>
        </is>
      </c>
      <c r="E283" t="inlineStr">
        <is>
          <t>YOLU ヨル シャンプー 詰め替え リラックスナイトリペア ダメージケア ケア スリークナイトケア処方</t>
        </is>
      </c>
      <c r="F283" t="n">
        <v>1480</v>
      </c>
      <c r="G283" t="n">
        <v>730</v>
      </c>
      <c r="H283" t="n">
        <v>17</v>
      </c>
      <c r="I283">
        <f>SUM(G321*H321)</f>
        <v/>
      </c>
      <c r="J283" t="inlineStr">
        <is>
          <t>✓ 一致（SKU）</t>
        </is>
      </c>
      <c r="K283" t="inlineStr">
        <is>
          <t>4582521683475</t>
        </is>
      </c>
    </row>
    <row r="284" ht="13.5" customHeight="1">
      <c r="A284" s="27" t="inlineStr">
        <is>
          <t>4970501032724</t>
        </is>
      </c>
      <c r="B284" s="27" t="inlineStr">
        <is>
          <t>b09xxsmk31</t>
        </is>
      </c>
      <c r="C284" s="27" t="inlineStr">
        <is>
          <t>2724/1026-a</t>
        </is>
      </c>
      <c r="D284" s="27" t="inlineStr">
        <is>
          <t>b09xxsmk31</t>
        </is>
      </c>
      <c r="E284" t="inlineStr">
        <is>
          <t>【6個セット】デビフ 鶏肉＆さつまいも 150g×6個セット 犬用ウェットフード ドッグフード 国産 成犬用 総合栄養食 鶏肉 野菜入り さつまいも入り 缶詰 おかず トッピング ごはん ペットフード 愛犬 ご褒美 食事サポート ストック まとめ買い d.b.f 犬 犬用 おやつ</t>
        </is>
      </c>
      <c r="F284" t="n">
        <v>2980</v>
      </c>
      <c r="G284" t="n">
        <v>1026</v>
      </c>
      <c r="H284" t="n">
        <v>4</v>
      </c>
      <c r="I284">
        <f>SUM(G322*H322)</f>
        <v/>
      </c>
      <c r="J284" t="inlineStr">
        <is>
          <t>✓ 一致（SKU）</t>
        </is>
      </c>
      <c r="K284" t="inlineStr">
        <is>
          <t>4970501032724</t>
        </is>
      </c>
    </row>
    <row r="285" ht="13.5" customHeight="1">
      <c r="A285" s="27" t="inlineStr">
        <is>
          <t>4994527917308</t>
        </is>
      </c>
      <c r="B285" s="27" t="inlineStr">
        <is>
          <t>b09z2v4w29</t>
        </is>
      </c>
      <c r="C285" s="27" t="inlineStr">
        <is>
          <t>4994527917308-a</t>
        </is>
      </c>
      <c r="D285" s="27" t="inlineStr">
        <is>
          <t>b09z2v4w29</t>
        </is>
      </c>
      <c r="E285" t="inlineStr">
        <is>
          <t>アース・バイオケミカル スタミノール 子いぬ・子ねこ用 100g サプリ</t>
        </is>
      </c>
      <c r="F285" t="n">
        <v>1980</v>
      </c>
      <c r="G285" t="n">
        <v>1010</v>
      </c>
      <c r="H285" t="n">
        <v>4</v>
      </c>
      <c r="I285">
        <f>SUM(G325*H325)</f>
        <v/>
      </c>
      <c r="J285" t="inlineStr">
        <is>
          <t>✓ 一致（SKU）</t>
        </is>
      </c>
      <c r="K285" t="inlineStr">
        <is>
          <t>4994527917308</t>
        </is>
      </c>
    </row>
    <row r="286" ht="13.5" customHeight="1">
      <c r="A286" s="27" t="inlineStr">
        <is>
          <t>0840268981389</t>
        </is>
      </c>
      <c r="B286" s="27" t="inlineStr">
        <is>
          <t>b09zx764zl</t>
        </is>
      </c>
      <c r="C286" s="27" t="inlineStr">
        <is>
          <t>2034,1389,6508,7410/2980</t>
        </is>
      </c>
      <c r="D286" s="27" t="inlineStr">
        <is>
          <t>B09WX3PJ3X</t>
        </is>
      </c>
      <c r="E286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F286" t="n">
        <v>5280</v>
      </c>
      <c r="G286" t="n">
        <v>2980</v>
      </c>
      <c r="H286" t="n">
        <v>0</v>
      </c>
      <c r="I286">
        <f>SUM(G326*H326)</f>
        <v/>
      </c>
    </row>
    <row r="287" ht="13.5" customHeight="1">
      <c r="A287" s="27" t="inlineStr">
        <is>
          <t>0840268966508</t>
        </is>
      </c>
      <c r="B287" s="27" t="inlineStr">
        <is>
          <t>b09zx764zl</t>
        </is>
      </c>
      <c r="C287" s="27" t="inlineStr">
        <is>
          <t>2034,1389,6508,7410/2980</t>
        </is>
      </c>
      <c r="D287" s="27" t="inlineStr">
        <is>
          <t>B09ZX3BJQV</t>
        </is>
      </c>
      <c r="E287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F287" t="n">
        <v>5480</v>
      </c>
      <c r="G287" t="n">
        <v>2980</v>
      </c>
      <c r="H287" t="n">
        <v>0</v>
      </c>
      <c r="I287">
        <f>SUM(G327*H327)</f>
        <v/>
      </c>
      <c r="J287" t="inlineStr">
        <is>
          <t>✓ 一致（SKU）</t>
        </is>
      </c>
      <c r="K287" t="inlineStr">
        <is>
          <t>0840268966508</t>
        </is>
      </c>
    </row>
    <row r="288" ht="13.5" customHeight="1">
      <c r="A288" s="27" t="inlineStr">
        <is>
          <t>0840268982034</t>
        </is>
      </c>
      <c r="B288" s="27" t="inlineStr">
        <is>
          <t>b09zx764zl</t>
        </is>
      </c>
      <c r="C288" s="27" t="inlineStr">
        <is>
          <t>2034,1389,6508,7410/2980</t>
        </is>
      </c>
      <c r="D288" s="27" t="inlineStr">
        <is>
          <t>B09ZX764ZL</t>
        </is>
      </c>
      <c r="E288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F288" t="n">
        <v>5280</v>
      </c>
      <c r="G288" t="n">
        <v>2980</v>
      </c>
      <c r="H288" t="n">
        <v>0</v>
      </c>
      <c r="I288">
        <f>SUM(G328*H328)</f>
        <v/>
      </c>
    </row>
    <row r="289" ht="13.5" customHeight="1">
      <c r="A289" s="27" t="inlineStr">
        <is>
          <t>0840268997410</t>
        </is>
      </c>
      <c r="B289" s="27" t="inlineStr">
        <is>
          <t>b09zx764zl</t>
        </is>
      </c>
      <c r="C289" s="27" t="inlineStr">
        <is>
          <t>2034,1389,6508,7410/2980</t>
        </is>
      </c>
      <c r="D289" s="27" t="inlineStr">
        <is>
          <t>B09ZXFLZ74</t>
        </is>
      </c>
      <c r="E289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F289" t="n">
        <v>5280</v>
      </c>
      <c r="G289" t="n">
        <v>2980</v>
      </c>
      <c r="H289" t="n">
        <v>0</v>
      </c>
      <c r="I289">
        <f>SUM(G329*H329)</f>
        <v/>
      </c>
    </row>
    <row r="290" ht="13.5" customHeight="1">
      <c r="A290" s="27" t="inlineStr">
        <is>
          <t>4976558003588</t>
        </is>
      </c>
      <c r="B290" s="27" t="inlineStr">
        <is>
          <t>b0b3xh69v8</t>
        </is>
      </c>
      <c r="C290" s="27" t="inlineStr">
        <is>
          <t>3588/844-a</t>
        </is>
      </c>
      <c r="D290" s="27" t="inlineStr">
        <is>
          <t>b0b3xh69v8</t>
        </is>
      </c>
      <c r="E290" t="inlineStr">
        <is>
          <t>【6個セット】和みのうるうる 水綿棒 50本入×6個セット 日本製 水綿棒 ウェット綿棒 個包装 耳掃除 耳ケア 綿棒 水含浸タイプ 清潔 衛生 使い捨て 携帯用 持ち運び便利 旅行 外出先 日用品 まとめ買い ストック</t>
        </is>
      </c>
      <c r="F290" t="n">
        <v>1980</v>
      </c>
      <c r="G290" t="n">
        <v>844</v>
      </c>
      <c r="H290" t="n">
        <v>2</v>
      </c>
      <c r="I290">
        <f>SUM(G330*H330)</f>
        <v/>
      </c>
      <c r="J290" t="inlineStr">
        <is>
          <t>✓ 一致（SKU）</t>
        </is>
      </c>
      <c r="K290" t="inlineStr">
        <is>
          <t>4976558003588</t>
        </is>
      </c>
    </row>
    <row r="291" ht="13.5" customHeight="1">
      <c r="A291" s="27" t="inlineStr">
        <is>
          <t>0194644104542</t>
        </is>
      </c>
      <c r="B291" s="27" t="inlineStr">
        <is>
          <t>b0b4h3d98m</t>
        </is>
      </c>
      <c r="C291" s="27" t="inlineStr">
        <is>
          <t>0194644104542</t>
        </is>
      </c>
      <c r="D291" s="27" t="inlineStr">
        <is>
          <t>b0b4h3d98m</t>
        </is>
      </c>
      <c r="E291" t="inlineStr">
        <is>
          <t>Anker 622 Magnetic Battery MagGo ブラック アップグレード版 マグネット式ワイヤレス充電対応 5000mAh コンパクト モバイルバッテリー マグネット式 ワイヤレス出力 (7.5W) USB-Cポート入出力 PSE技術基準適合 iPhone</t>
        </is>
      </c>
      <c r="F291" t="n">
        <v>7980</v>
      </c>
      <c r="G291" t="n">
        <v>3490</v>
      </c>
      <c r="H291" t="n">
        <v>6</v>
      </c>
      <c r="I291">
        <f>SUM(G331*H331)</f>
        <v/>
      </c>
      <c r="J291" t="inlineStr">
        <is>
          <t>✓ 一致（SKU）</t>
        </is>
      </c>
      <c r="K291" t="inlineStr">
        <is>
          <t>0194644104542</t>
        </is>
      </c>
    </row>
    <row r="292" ht="13.5" customHeight="1">
      <c r="A292" s="27" t="inlineStr">
        <is>
          <t>8720689003278</t>
        </is>
      </c>
      <c r="B292" s="27" t="inlineStr">
        <is>
          <t>b0b6j14csv</t>
        </is>
      </c>
      <c r="C292" s="27" t="inlineStr">
        <is>
          <t>3278/18800-a</t>
        </is>
      </c>
      <c r="D292" s="27" t="inlineStr">
        <is>
          <t>B0B6J14CSV</t>
        </is>
      </c>
      <c r="E292" t="inlineStr">
        <is>
          <t>フィリップス 9000シリーズ 電動 髭剃り メンズ 72枚刃 回転式 お風呂剃り 丸洗い可 電動シェーバー 電気シェーバー 360-D フレックスヘッド S9696/31 PHILIPS ブラック 深剃り シェービング 回転刃 肌の負担低減 切れ味 ヒゲ密度感知システム コードレス洗浄</t>
        </is>
      </c>
      <c r="F292" t="n">
        <v>24980</v>
      </c>
      <c r="G292" t="n">
        <v>18800</v>
      </c>
      <c r="H292" t="n">
        <v>11</v>
      </c>
      <c r="I292">
        <f>SUM(G332*H332)</f>
        <v/>
      </c>
    </row>
    <row r="293" ht="13.5" customHeight="1">
      <c r="A293" s="27" t="inlineStr">
        <is>
          <t>4902806121476</t>
        </is>
      </c>
      <c r="B293" s="27" t="inlineStr">
        <is>
          <t>b0b7gz7p5h</t>
        </is>
      </c>
      <c r="C293" s="27" t="inlineStr">
        <is>
          <t>1476/990</t>
        </is>
      </c>
      <c r="D293" s="27" t="inlineStr">
        <is>
          <t>b0b7gz7p5h</t>
        </is>
      </c>
      <c r="E293" t="inlineStr">
        <is>
          <t>Bifesta(ビフェスタ) クレンジングバーム ブライトアップ [ くすみケア 摩擦レス ] メイク落とし 洗顔 角質ケア マッサージ 保湿ケア</t>
        </is>
      </c>
      <c r="F293" t="n">
        <v>1980</v>
      </c>
      <c r="G293" t="n">
        <v>990</v>
      </c>
      <c r="H293" t="n">
        <v>2</v>
      </c>
      <c r="I293">
        <f>SUM(G333*H333)</f>
        <v/>
      </c>
      <c r="J293" t="inlineStr">
        <is>
          <t>✓ 一致（SKU）</t>
        </is>
      </c>
      <c r="K293" t="inlineStr">
        <is>
          <t>4902806121476</t>
        </is>
      </c>
    </row>
    <row r="294" ht="13.5" customHeight="1">
      <c r="A294" s="27" t="inlineStr">
        <is>
          <t>4580679800331</t>
        </is>
      </c>
      <c r="B294" s="27" t="inlineStr">
        <is>
          <t>b0b7wm5n8n</t>
        </is>
      </c>
      <c r="C294" s="27" t="inlineStr">
        <is>
          <t>0331/438-a</t>
        </is>
      </c>
      <c r="D294" s="27" t="inlineStr">
        <is>
          <t>b0b7wm5n8n</t>
        </is>
      </c>
      <c r="E294" t="inlineStr">
        <is>
          <t>オーシャントリコ シークレットメイク BBクリーム カバー 30グラム×2個セット 化粧 下地 化粧下地 ケア 肌 肌ケア</t>
        </is>
      </c>
      <c r="F294" t="n">
        <v>1980</v>
      </c>
      <c r="G294" t="n">
        <v>438</v>
      </c>
      <c r="H294" t="n">
        <v>9</v>
      </c>
      <c r="I294">
        <f>SUM(G334*H334)</f>
        <v/>
      </c>
      <c r="J294" t="inlineStr">
        <is>
          <t>✓ 一致（SKU）</t>
        </is>
      </c>
      <c r="K294" t="inlineStr">
        <is>
          <t>4580679800331</t>
        </is>
      </c>
    </row>
    <row r="295" ht="13.5" customHeight="1">
      <c r="A295" s="27" t="inlineStr">
        <is>
          <t>4580679800331</t>
        </is>
      </c>
      <c r="B295" s="27" t="inlineStr">
        <is>
          <t>b0b7wm5n8n-1</t>
        </is>
      </c>
      <c r="C295" s="27" t="inlineStr">
        <is>
          <t>0331/438-a</t>
        </is>
      </c>
      <c r="D295" s="27" t="inlineStr">
        <is>
          <t>B0B7WM5N8N-1</t>
        </is>
      </c>
      <c r="E295" t="inlineStr">
        <is>
          <t>オーシャントリコ シークレットメイク BBクリーム カバー 30グラム×3個セット 化粧 下地 化粧下地 ケア 肌 肌ケア</t>
        </is>
      </c>
      <c r="F295" t="n">
        <v>2880</v>
      </c>
      <c r="G295" t="n">
        <v>438</v>
      </c>
      <c r="H295" t="n">
        <v>10</v>
      </c>
      <c r="I295">
        <f>SUM(G335*H335)</f>
        <v/>
      </c>
      <c r="J295" t="inlineStr">
        <is>
          <t>✓ 一致（SKU）</t>
        </is>
      </c>
      <c r="K295" t="inlineStr">
        <is>
          <t>4580679800331</t>
        </is>
      </c>
    </row>
    <row r="296" ht="13.5" customHeight="1">
      <c r="A296" s="27" t="inlineStr">
        <is>
          <t>4580679800324</t>
        </is>
      </c>
      <c r="B296" s="27" t="inlineStr">
        <is>
          <t>b0b7wq9y46</t>
        </is>
      </c>
      <c r="C296" s="27" t="inlineStr">
        <is>
          <t>4580679800324-a</t>
        </is>
      </c>
      <c r="D296" s="27" t="inlineStr">
        <is>
          <t>b0b7wq9y46</t>
        </is>
      </c>
      <c r="E296" t="inlineStr">
        <is>
          <t>オーシャントリコ シークレットメイク BBクリーム ナチュラル 30グラム 化粧 下地 化粧下地 ケア 肌 肌ケア</t>
        </is>
      </c>
      <c r="F296" t="n">
        <v>1280</v>
      </c>
      <c r="G296" t="n">
        <v>219</v>
      </c>
      <c r="H296" t="n">
        <v>5</v>
      </c>
      <c r="I296">
        <f>SUM(G336*H336)</f>
        <v/>
      </c>
      <c r="J296" t="inlineStr">
        <is>
          <t>✓ 一致（SKU）</t>
        </is>
      </c>
      <c r="K296" t="inlineStr">
        <is>
          <t>4580679800324</t>
        </is>
      </c>
    </row>
    <row r="297" ht="13.5" customHeight="1">
      <c r="A297" s="27" t="inlineStr">
        <is>
          <t>4580679800324</t>
        </is>
      </c>
      <c r="B297" s="27" t="inlineStr">
        <is>
          <t>b0b7wq9y46-1</t>
        </is>
      </c>
      <c r="C297" s="27" t="inlineStr">
        <is>
          <t>4580679800324-a</t>
        </is>
      </c>
      <c r="D297" s="27" t="inlineStr">
        <is>
          <t>B0B7WQ9Y46-1</t>
        </is>
      </c>
      <c r="E297" t="inlineStr">
        <is>
          <t>【2個セット】オーシャントリコ シークレットメイク BBクリーム ナチュラル 30g×2本 メンズBBクリーム メンズコスメ 化粧下地 ファンデーション 青ひげ クマ ニキビ跡 毛穴 色ムラ テカリ 皮脂 保湿 肌補正 メンズ 化粧 化粧品 男性用 ベースメイク スキンケア まとめ買い</t>
        </is>
      </c>
      <c r="F297" t="n">
        <v>1980</v>
      </c>
      <c r="G297" t="n">
        <v>438</v>
      </c>
      <c r="H297" t="n">
        <v>9</v>
      </c>
      <c r="I297">
        <f>SUM(G337*H337)</f>
        <v/>
      </c>
      <c r="J297" t="inlineStr">
        <is>
          <t>✓ 一致（SKU）</t>
        </is>
      </c>
      <c r="K297" t="inlineStr">
        <is>
          <t>4580679800324</t>
        </is>
      </c>
    </row>
    <row r="298" ht="13.5" customHeight="1">
      <c r="A298" s="27" t="inlineStr">
        <is>
          <t>4580679800324</t>
        </is>
      </c>
      <c r="B298" s="27" t="inlineStr">
        <is>
          <t>b0b7wq9y46-2</t>
        </is>
      </c>
      <c r="C298" s="27" t="inlineStr">
        <is>
          <t>0324,0331/438-a</t>
        </is>
      </c>
      <c r="D298" s="27" t="inlineStr">
        <is>
          <t>B0B7WQ9Y46-2</t>
        </is>
      </c>
      <c r="E298" t="inlineStr">
        <is>
          <t>オーシャントリコ シークレットメイク BBクリーム ナチュラル カバー 30g 2本セット BBクリーム メンズ 化粧下地 ファンデーション SPF25 PA+++ 毛穴 クマ 青ひげ ニキビ跡 カバー 肌補正 メンズコスメ OCEAN TRICO</t>
        </is>
      </c>
      <c r="F298" t="n">
        <v>1980</v>
      </c>
      <c r="G298" t="n">
        <v>438</v>
      </c>
      <c r="H298" t="n">
        <v>10</v>
      </c>
      <c r="I298">
        <f>SUM(G338*H338)</f>
        <v/>
      </c>
      <c r="J298" t="inlineStr">
        <is>
          <t>✓ 一致（SKU）</t>
        </is>
      </c>
      <c r="K298" t="inlineStr">
        <is>
          <t>4580679800324</t>
        </is>
      </c>
    </row>
    <row r="299" ht="13.5" customHeight="1">
      <c r="A299" s="27" t="inlineStr">
        <is>
          <t>8710103994459</t>
        </is>
      </c>
      <c r="B299" s="27" t="inlineStr">
        <is>
          <t>b0b9wr58ry</t>
        </is>
      </c>
      <c r="C299" s="27" t="inlineStr">
        <is>
          <t>4459/6630-a</t>
        </is>
      </c>
      <c r="D299" s="27" t="inlineStr">
        <is>
          <t>b0b9wr58ry</t>
        </is>
      </c>
      <c r="E299" t="inlineStr">
        <is>
          <t>フィリップス ソニッケアー プロテクトクリーン HX6803/72 ライトブルー 電動歯ブラシ 音波歯ブラシ 音波水流 過圧防止センサー 充電式 歯垢除去 歯ぐきケア 口腔ケア オーラルケア 歯磨き 歯周ケア ブラシ交換お知らせ機能 海外対応 AC100-240V Philips Sonicare</t>
        </is>
      </c>
      <c r="F299" t="n">
        <v>9480</v>
      </c>
      <c r="G299" t="n">
        <v>6630</v>
      </c>
      <c r="H299" t="n">
        <v>6</v>
      </c>
      <c r="I299">
        <f>SUM(G339*H339)</f>
        <v/>
      </c>
      <c r="J299" t="inlineStr">
        <is>
          <t>✓ 一致（SKU）</t>
        </is>
      </c>
      <c r="K299" t="inlineStr">
        <is>
          <t>8710103994459</t>
        </is>
      </c>
    </row>
    <row r="300" ht="13.5" customHeight="1">
      <c r="A300" s="27" t="inlineStr">
        <is>
          <t>0194644108953</t>
        </is>
      </c>
      <c r="B300" s="27" t="inlineStr">
        <is>
          <t>b0bb1pfcs3</t>
        </is>
      </c>
      <c r="C300" s="27" t="inlineStr">
        <is>
          <t>251218/10490</t>
        </is>
      </c>
      <c r="D300" s="27" t="inlineStr">
        <is>
          <t>b0bb1pfcs3</t>
        </is>
      </c>
      <c r="E300" t="inlineStr">
        <is>
          <t>Anker Soundcore Liberty 4 ワイヤレスイヤホン Bluetooth 5.3 ミッドナイトブラック 完全ワイヤレスイヤホン ウルトラノイズキャンセリング 2.0 3Dオーディオ ワイヤレス充電 マルチポイント接続 外音取り込み 最大28時間再生 ハイレゾ IPX4防水規格 ヘルスモニタリング</t>
        </is>
      </c>
      <c r="F300" t="n">
        <v>14980</v>
      </c>
      <c r="G300" t="n">
        <v>10490</v>
      </c>
      <c r="H300" t="n">
        <v>15</v>
      </c>
      <c r="I300">
        <f>SUM(G340*H340)</f>
        <v/>
      </c>
    </row>
    <row r="301" ht="13.5" customHeight="1">
      <c r="A301" s="27" t="inlineStr">
        <is>
          <t>4973167078723</t>
        </is>
      </c>
      <c r="B301" s="27" t="inlineStr">
        <is>
          <t>b0bbgw4k9w</t>
        </is>
      </c>
      <c r="C301" s="27" t="inlineStr">
        <is>
          <t>8723/768-a</t>
        </is>
      </c>
      <c r="D301" s="27" t="inlineStr">
        <is>
          <t>b0bbgw4k9w</t>
        </is>
      </c>
      <c r="E301" t="inlineStr">
        <is>
          <t>KATE(ケイト)ピンポイントカラースナイパー GN コンシーラー ペンシル型</t>
        </is>
      </c>
      <c r="F301" t="n">
        <v>1680</v>
      </c>
      <c r="G301" t="n">
        <v>768</v>
      </c>
      <c r="H301" t="n">
        <v>2</v>
      </c>
      <c r="I301">
        <f>SUM(G341*H341)</f>
        <v/>
      </c>
      <c r="J301" t="inlineStr">
        <is>
          <t>✓ 一致（SKU）</t>
        </is>
      </c>
      <c r="K301" t="inlineStr">
        <is>
          <t>4973167078723</t>
        </is>
      </c>
    </row>
    <row r="302" ht="13.5" customHeight="1">
      <c r="A302" s="27" t="inlineStr">
        <is>
          <t>4976558003564</t>
        </is>
      </c>
      <c r="B302" s="27" t="inlineStr">
        <is>
          <t>b0bd42lkyk</t>
        </is>
      </c>
      <c r="C302" s="27" t="inlineStr">
        <is>
          <t>3564/605</t>
        </is>
      </c>
      <c r="D302" s="27" t="inlineStr">
        <is>
          <t>b0bd42lkyk</t>
        </is>
      </c>
      <c r="E302" t="inlineStr">
        <is>
          <t>匠のAG+抗菌耳かき綿棒 50本入×5個セット 綿棒 ケア 耳掃除 個包装</t>
        </is>
      </c>
      <c r="F302" t="n">
        <v>1980</v>
      </c>
      <c r="G302" t="n">
        <v>605</v>
      </c>
      <c r="H302" t="n">
        <v>3</v>
      </c>
      <c r="I302">
        <f>SUM(G342*H342)</f>
        <v/>
      </c>
      <c r="J302" t="inlineStr">
        <is>
          <t>✓ 一致（SKU）</t>
        </is>
      </c>
      <c r="K302" t="inlineStr">
        <is>
          <t>4976558003564</t>
        </is>
      </c>
    </row>
    <row r="303" ht="13.5" customHeight="1">
      <c r="A303" s="27" t="inlineStr">
        <is>
          <t>4976558003557</t>
        </is>
      </c>
      <c r="B303" s="27" t="inlineStr">
        <is>
          <t>b0bd43nw2j</t>
        </is>
      </c>
      <c r="C303" s="27" t="inlineStr">
        <is>
          <t>3557/924-a</t>
        </is>
      </c>
      <c r="D303" s="27" t="inlineStr">
        <is>
          <t>b0bd43nw2j</t>
        </is>
      </c>
      <c r="E303" t="inlineStr">
        <is>
          <t>【5個セット】極みのAg+抗菌綿棒 紙の個包装 100本入×5個セット 個包装綿棒 抗菌綿棒 日本製 Ag+銀イオン配合 耳掃除 耳ケア 衛生用品 携帯用 使い捨て 紙軸 メイク直し 化粧直し ベビー 介護 旅行 出張 防災備蓄 アメニティ 業務用 家庭用 大容量 まとめ買い 清潔 個別包装</t>
        </is>
      </c>
      <c r="F303" t="n">
        <v>2480</v>
      </c>
      <c r="G303" t="n">
        <v>924</v>
      </c>
      <c r="H303" t="n">
        <v>4</v>
      </c>
      <c r="I303">
        <f>SUM(G343*H343)</f>
        <v/>
      </c>
      <c r="J303" t="inlineStr">
        <is>
          <t>✓ 一致（SKU）</t>
        </is>
      </c>
      <c r="K303" t="inlineStr">
        <is>
          <t>4976558003557</t>
        </is>
      </c>
    </row>
    <row r="304" ht="13.5" customHeight="1">
      <c r="A304" s="27" t="inlineStr">
        <is>
          <t>4936201107261</t>
        </is>
      </c>
      <c r="B304" s="27" t="inlineStr">
        <is>
          <t>b0bfc89kyf</t>
        </is>
      </c>
      <c r="C304" s="27" t="inlineStr">
        <is>
          <t>7261/438-a</t>
        </is>
      </c>
      <c r="D304" s="27" t="inlineStr">
        <is>
          <t>b0bfc89kyf</t>
        </is>
      </c>
      <c r="E304" t="inlineStr">
        <is>
          <t>コスメテックスローランド 柑橘王子 薬用メラノサーチクリーム【医薬部外品】180mL 薬用 クリーム メンズ</t>
        </is>
      </c>
      <c r="F304" t="n">
        <v>1980</v>
      </c>
      <c r="G304" t="n">
        <v>438</v>
      </c>
      <c r="H304" t="n">
        <v>8</v>
      </c>
      <c r="I304">
        <f>SUM(G344*H344)</f>
        <v/>
      </c>
      <c r="J304" t="inlineStr">
        <is>
          <t>✓ 一致（SKU）</t>
        </is>
      </c>
      <c r="K304" t="inlineStr">
        <is>
          <t>4936201107261</t>
        </is>
      </c>
    </row>
    <row r="305" ht="13.5" customHeight="1">
      <c r="A305" s="27" t="inlineStr">
        <is>
          <t>4936201106424</t>
        </is>
      </c>
      <c r="B305" s="27" t="inlineStr">
        <is>
          <t>b0bgs64g46</t>
        </is>
      </c>
      <c r="C305" s="27" t="inlineStr">
        <is>
          <t>6424/1654</t>
        </is>
      </c>
      <c r="D305" s="27" t="inlineStr">
        <is>
          <t>b0bgs64g46</t>
        </is>
      </c>
      <c r="E305" t="inlineStr">
        <is>
          <t>コスメテックスローランド 柑橘王子 ピーリングジェルSP 230ml×2本 ピーリングジェル 角質ケア 毛穴ケア 洗顔 角質除去 さっぱり</t>
        </is>
      </c>
      <c r="F305" t="n">
        <v>2780</v>
      </c>
      <c r="G305" t="n">
        <v>1654</v>
      </c>
      <c r="H305" t="n">
        <v>2</v>
      </c>
      <c r="I305">
        <f>SUM(G345*H345)</f>
        <v/>
      </c>
    </row>
    <row r="306" ht="13.5" customHeight="1">
      <c r="A306" s="27" t="inlineStr">
        <is>
          <t>4901080589514</t>
        </is>
      </c>
      <c r="B306" s="27" t="inlineStr">
        <is>
          <t>b0bhdcqnd4</t>
        </is>
      </c>
      <c r="C306" s="27" t="inlineStr">
        <is>
          <t>4901080589514-a</t>
        </is>
      </c>
      <c r="D306" s="27" t="inlineStr">
        <is>
          <t>b0bhdcqnd4</t>
        </is>
      </c>
      <c r="E306" t="inlineStr">
        <is>
          <t>ONPO(温泡) 炭酸 入浴剤 [80錠入] 詰め合わせ (森・ゆず・桃・ローズ) 血行促進 肩のこり 腰痛 緩和 医薬部外品 入浴剤 お風呂 リラックス 疲労</t>
        </is>
      </c>
      <c r="F306" t="n">
        <v>4480</v>
      </c>
      <c r="G306" t="n">
        <v>2198</v>
      </c>
      <c r="H306" t="n">
        <v>12</v>
      </c>
      <c r="I306">
        <f>SUM(G346*H346)</f>
        <v/>
      </c>
      <c r="J306" t="inlineStr">
        <is>
          <t>✓ 一致（SKU）</t>
        </is>
      </c>
      <c r="K306" t="inlineStr">
        <is>
          <t>4901080589514</t>
        </is>
      </c>
    </row>
    <row r="307" ht="13.5" customHeight="1">
      <c r="A307" s="27" t="inlineStr">
        <is>
          <t>4904710434345</t>
        </is>
      </c>
      <c r="B307" s="27" t="inlineStr">
        <is>
          <t>b0bj93nj2k</t>
        </is>
      </c>
      <c r="C307" s="27" t="inlineStr">
        <is>
          <t>4904710434345</t>
        </is>
      </c>
      <c r="D307" s="27" t="inlineStr">
        <is>
          <t>B0BJ93NJ2K</t>
        </is>
      </c>
      <c r="E307" t="inlineStr">
        <is>
          <t>タイガー 5.5合炊き 可変W圧力IHジャー炊飯器 炊きたて ご泡火炊き JPI-S100-KT ブラック 国産</t>
        </is>
      </c>
      <c r="F307" t="n">
        <v>39800</v>
      </c>
      <c r="G307" t="n">
        <v>34800</v>
      </c>
      <c r="H307" t="n">
        <v>2</v>
      </c>
      <c r="I307">
        <f>SUM(G347*H347)</f>
        <v/>
      </c>
    </row>
    <row r="308" ht="13.5" customHeight="1">
      <c r="A308" s="27" t="inlineStr">
        <is>
          <t>0194644114398</t>
        </is>
      </c>
      <c r="B308" s="27" t="inlineStr">
        <is>
          <t>b0bjcqcq7z</t>
        </is>
      </c>
      <c r="C308" s="27" t="inlineStr">
        <is>
          <t>4398/2345</t>
        </is>
      </c>
      <c r="D308" s="27" t="inlineStr">
        <is>
          <t>b0bjcqcq7z</t>
        </is>
      </c>
      <c r="E308" t="inlineStr">
        <is>
          <t>Anker Eufy Security SmartTrack Card 紛失防止タグ Apple 探す対応 iPhone用 スマートタグ カード型 薄型 財布用 忘れ物防止 盗難防止 置き忘れ防止 Bluetooth トラッカー 探し物 スマホを探す GPS 財布 紛失対策 軽量 コンパクト ユーフィ AirTag代用 持ち物管理 ブラック</t>
        </is>
      </c>
      <c r="F308" t="n">
        <v>3980</v>
      </c>
      <c r="G308" t="n">
        <v>2345</v>
      </c>
      <c r="H308" t="n">
        <v>1</v>
      </c>
      <c r="I308">
        <f>SUM(G348*H348)</f>
        <v/>
      </c>
      <c r="J308" t="inlineStr">
        <is>
          <t>✓ 一致（SKU）</t>
        </is>
      </c>
      <c r="K308" t="inlineStr">
        <is>
          <t>0194644114398</t>
        </is>
      </c>
    </row>
    <row r="309" ht="13.5" customHeight="1">
      <c r="A309" s="27" t="inlineStr">
        <is>
          <t>0194644114398</t>
        </is>
      </c>
      <c r="B309" s="27" t="inlineStr">
        <is>
          <t>b0bjcqcq7z-1</t>
        </is>
      </c>
      <c r="C309" s="27" t="inlineStr">
        <is>
          <t>4398/4690</t>
        </is>
      </c>
      <c r="D309" s="27" t="inlineStr">
        <is>
          <t>B0BJCQCQ7Z-1</t>
        </is>
      </c>
      <c r="E309" t="inlineStr">
        <is>
          <t>Anker Eufy Security SmartTrack Card 2枚セット 紛失防止タグ Apple 探す対応 iPhone用 スマートタグ カード型 薄型 財布用 忘れ物防止 盗難防止 置き忘れ防止 Bluetooth トラッカー 探し物 スマホを探す 財布 紛失対策 軽量 コンパクト AirTag代用 持ち物管理 ブラック</t>
        </is>
      </c>
      <c r="F309" t="n">
        <v>9480</v>
      </c>
      <c r="G309" t="n">
        <v>4690</v>
      </c>
      <c r="H309" t="n">
        <v>6</v>
      </c>
      <c r="I309">
        <f>SUM(G349*H349)</f>
        <v/>
      </c>
      <c r="J309" t="inlineStr">
        <is>
          <t>✓ 一致（SKU）</t>
        </is>
      </c>
      <c r="K309" t="inlineStr">
        <is>
          <t>0194644114398</t>
        </is>
      </c>
    </row>
    <row r="310" ht="13.5" customHeight="1">
      <c r="A310" s="27" t="inlineStr">
        <is>
          <t>4906456577140</t>
        </is>
      </c>
      <c r="B310" s="27" t="inlineStr">
        <is>
          <t>b0bjtktp1s</t>
        </is>
      </c>
      <c r="C310" s="27" t="inlineStr">
        <is>
          <t>7140/550-a</t>
        </is>
      </c>
      <c r="D310" s="27" t="inlineStr">
        <is>
          <t>b0bjtktp1s</t>
        </is>
      </c>
      <c r="E310" t="inlineStr">
        <is>
          <t>抗菌セレブにゃんこ毛布 猫 猫用 猫用毛布 抗菌 あったか</t>
        </is>
      </c>
      <c r="F310" t="n">
        <v>1480</v>
      </c>
      <c r="G310" t="n">
        <v>550</v>
      </c>
      <c r="H310" t="n">
        <v>19</v>
      </c>
      <c r="I310">
        <f>SUM(G350*H350)</f>
        <v/>
      </c>
      <c r="J310" t="inlineStr">
        <is>
          <t>✓ 一致（SKU）</t>
        </is>
      </c>
      <c r="K310" t="inlineStr">
        <is>
          <t>4906456577140</t>
        </is>
      </c>
    </row>
    <row r="311" ht="13.5" customHeight="1">
      <c r="A311" s="27" t="inlineStr">
        <is>
          <t>4906456577201</t>
        </is>
      </c>
      <c r="B311" s="27" t="inlineStr">
        <is>
          <t>b0bjtpyt7x</t>
        </is>
      </c>
      <c r="C311" s="27" t="inlineStr">
        <is>
          <t>7201/774-a</t>
        </is>
      </c>
      <c r="D311" s="27" t="inlineStr">
        <is>
          <t>b0bjtpyt7x</t>
        </is>
      </c>
      <c r="E311" t="inlineStr">
        <is>
          <t>マルカン 蓄熱着る毛布 S 犬 犬用 毛布 節電</t>
        </is>
      </c>
      <c r="F311" t="n">
        <v>1580</v>
      </c>
      <c r="G311" t="n">
        <v>774</v>
      </c>
      <c r="H311" t="n">
        <v>11</v>
      </c>
      <c r="I311">
        <f>SUM(G351*H351)</f>
        <v/>
      </c>
      <c r="J311" t="inlineStr">
        <is>
          <t>✓ 一致（SKU）</t>
        </is>
      </c>
      <c r="K311" t="inlineStr">
        <is>
          <t>4906456577201</t>
        </is>
      </c>
    </row>
    <row r="312" ht="13.5" customHeight="1">
      <c r="A312" s="27" t="inlineStr">
        <is>
          <t>4906456577218</t>
        </is>
      </c>
      <c r="B312" s="27" t="inlineStr">
        <is>
          <t>b0bjtwbxvp</t>
        </is>
      </c>
      <c r="C312" s="27" t="inlineStr">
        <is>
          <t>7218/774-a</t>
        </is>
      </c>
      <c r="D312" s="27" t="inlineStr">
        <is>
          <t>b0bjtwbxvp</t>
        </is>
      </c>
      <c r="E312" t="inlineStr">
        <is>
          <t>マルカン 蓄熱着る毛布 M 犬 犬用 毛布 節電</t>
        </is>
      </c>
      <c r="F312" t="n">
        <v>1580</v>
      </c>
      <c r="G312" t="n">
        <v>774</v>
      </c>
      <c r="H312" t="n">
        <v>15</v>
      </c>
      <c r="I312">
        <f>SUM(G352*H352)</f>
        <v/>
      </c>
      <c r="J312" t="inlineStr">
        <is>
          <t>✓ 一致（SKU）</t>
        </is>
      </c>
      <c r="K312" t="inlineStr">
        <is>
          <t>4906456577218</t>
        </is>
      </c>
    </row>
    <row r="313" ht="13.5" customHeight="1">
      <c r="A313" s="27" t="inlineStr">
        <is>
          <t>4901422361211</t>
        </is>
      </c>
      <c r="B313" s="27" t="inlineStr">
        <is>
          <t>b0bjvwq6lg</t>
        </is>
      </c>
      <c r="C313" s="27" t="inlineStr">
        <is>
          <t>1211/439</t>
        </is>
      </c>
      <c r="D313" s="27" t="inlineStr">
        <is>
          <t>b0bjvwq6lg</t>
        </is>
      </c>
      <c r="E313" t="inlineStr">
        <is>
          <t>ダストマン 兼用 30枚×3個セット スタンド 三角コーナー 水切り ゴミ袋</t>
        </is>
      </c>
      <c r="F313" t="n">
        <v>1280</v>
      </c>
      <c r="G313" t="n">
        <v>439</v>
      </c>
      <c r="H313" t="n">
        <v>2</v>
      </c>
      <c r="I313">
        <f>SUM(G353*H353)</f>
        <v/>
      </c>
    </row>
    <row r="314" ht="13.5" customHeight="1">
      <c r="A314" s="27" t="inlineStr">
        <is>
          <t>4580632115106</t>
        </is>
      </c>
      <c r="B314" s="27" t="inlineStr">
        <is>
          <t>b0bkspc5sk</t>
        </is>
      </c>
      <c r="C314" s="27" t="inlineStr">
        <is>
          <t>4580632115106-a</t>
        </is>
      </c>
      <c r="D314" s="27" t="inlineStr">
        <is>
          <t>b0bkspc5sk</t>
        </is>
      </c>
      <c r="E314" t="inlineStr">
        <is>
          <t>Diane Be True(ダイアン ビートゥルー) ボディミルク [グリーン&amp;ムスクの香り] リラックス リッチモイスチャー 本体 400ml 無添加 ミルク 保湿 ケア</t>
        </is>
      </c>
      <c r="F314" t="n">
        <v>1980</v>
      </c>
      <c r="G314" t="n">
        <v>990</v>
      </c>
      <c r="H314" t="n">
        <v>10</v>
      </c>
      <c r="I314">
        <f>SUM(G354*H354)</f>
        <v/>
      </c>
      <c r="J314" t="inlineStr">
        <is>
          <t>✓ 一致（SKU）</t>
        </is>
      </c>
      <c r="K314" t="inlineStr">
        <is>
          <t>4580632115106</t>
        </is>
      </c>
    </row>
    <row r="315" ht="13.5" customHeight="1">
      <c r="A315" s="27" t="inlineStr">
        <is>
          <t>8806173478880</t>
        </is>
      </c>
      <c r="B315" s="27" t="inlineStr">
        <is>
          <t>b0bl26m3s6</t>
        </is>
      </c>
      <c r="C315" s="27" t="inlineStr">
        <is>
          <t>8880/1287</t>
        </is>
      </c>
      <c r="D315" s="27" t="inlineStr">
        <is>
          <t>b0bl26m3s6</t>
        </is>
      </c>
      <c r="E315" t="inlineStr">
        <is>
          <t>【正規品】Nature Republic (ネイチャーリパブリック) マイルド&amp;モイスチャーアロエビッグトナー 500ml 大容量 菌活化粧水 とろみテクスチャー</t>
        </is>
      </c>
      <c r="F315" t="n">
        <v>2980</v>
      </c>
      <c r="G315" t="n">
        <v>1287</v>
      </c>
      <c r="H315" t="n">
        <v>77</v>
      </c>
      <c r="I315">
        <f>SUM(G356*H356)</f>
        <v/>
      </c>
    </row>
    <row r="316" ht="13.5" customHeight="1">
      <c r="A316" s="27" t="inlineStr">
        <is>
          <t>8720689010948.0</t>
        </is>
      </c>
      <c r="B316" s="27" t="inlineStr">
        <is>
          <t>b0blghwbvt</t>
        </is>
      </c>
      <c r="C316" s="27" t="inlineStr">
        <is>
          <t>21800-a</t>
        </is>
      </c>
      <c r="D316" s="27" t="inlineStr">
        <is>
          <t>B0BLGHWBVT</t>
        </is>
      </c>
      <c r="E316" t="inlineStr">
        <is>
          <t>フィリップス 9000シリーズ 電動 髭剃り メンズ 72枚刃 回転式 お風呂剃り 丸洗い可 電動シェーバー 電気シェーバー 洗浄機付き 360-D フレックスヘッド S9696/50 PHILIPS ブラック 深剃り シェービング 回転刃 肌の負担低減 切れ味 ヒゲ密度感知システム コードレス洗浄</t>
        </is>
      </c>
      <c r="F316" t="n">
        <v>29980</v>
      </c>
      <c r="G316" t="n">
        <v>21800</v>
      </c>
      <c r="H316" t="n">
        <v>10</v>
      </c>
      <c r="I316">
        <f>SUM(G360*H360)</f>
        <v/>
      </c>
    </row>
    <row r="317" ht="13.5" customHeight="1">
      <c r="A317" s="27" t="inlineStr">
        <is>
          <t>0840268945213</t>
        </is>
      </c>
      <c r="B317" s="27" t="inlineStr">
        <is>
          <t>b0bls11y97</t>
        </is>
      </c>
      <c r="C317" s="27" t="inlineStr">
        <is>
          <t>4852/5990</t>
        </is>
      </c>
      <c r="D317" s="27" t="inlineStr">
        <is>
          <t>B09HSP95NG</t>
        </is>
      </c>
      <c r="E317" t="inlineStr">
        <is>
          <t>アマゾン Ring Stick Up Cam Battery (リング スティックアップカム バッテリーモデル) カメラ 防犯 監視カメラ セキュリティーカメラ</t>
        </is>
      </c>
      <c r="F317" t="n">
        <v>9980</v>
      </c>
      <c r="G317" t="n">
        <v>5990</v>
      </c>
      <c r="H317" t="n">
        <v>3</v>
      </c>
      <c r="I317">
        <f>SUM(G361*H361)</f>
        <v/>
      </c>
      <c r="J317" t="inlineStr">
        <is>
          <t>✓ 一致（SKU）</t>
        </is>
      </c>
      <c r="K317" t="inlineStr">
        <is>
          <t>0840268945213</t>
        </is>
      </c>
    </row>
    <row r="318" ht="13.5" customHeight="1">
      <c r="A318" s="27" t="inlineStr">
        <is>
          <t>0840268991722</t>
        </is>
      </c>
      <c r="B318" s="27" t="inlineStr">
        <is>
          <t>b0bls11y97</t>
        </is>
      </c>
      <c r="C318" s="27" t="inlineStr">
        <is>
          <t>4852/5990</t>
        </is>
      </c>
      <c r="D318" s="27" t="inlineStr">
        <is>
          <t>B0BLS11Y97</t>
        </is>
      </c>
      <c r="E318" t="inlineStr">
        <is>
          <t>アマゾン Ring Stick Up Cam Battery (リング スティックアップカム バッテリーモデル) カメラ 防犯 監視カメラ セキュリティーカメラ</t>
        </is>
      </c>
      <c r="F318" t="n">
        <v>9980</v>
      </c>
      <c r="G318" t="n">
        <v>5990</v>
      </c>
      <c r="H318" t="n">
        <v>3</v>
      </c>
      <c r="I318">
        <f>SUM(G362*H362)</f>
        <v/>
      </c>
      <c r="J318" t="inlineStr">
        <is>
          <t>✓ 一致（SKU）</t>
        </is>
      </c>
      <c r="K318" t="inlineStr">
        <is>
          <t>0840268991722</t>
        </is>
      </c>
    </row>
    <row r="319" ht="13.5" customHeight="1">
      <c r="A319" s="27" t="inlineStr">
        <is>
          <t>4562201211877</t>
        </is>
      </c>
      <c r="B319" s="27" t="inlineStr">
        <is>
          <t>b0bls3hvdz</t>
        </is>
      </c>
      <c r="C319" s="27" t="inlineStr">
        <is>
          <t>1877/23979</t>
        </is>
      </c>
      <c r="D319" s="27" t="inlineStr">
        <is>
          <t>b0bls3hvdz</t>
        </is>
      </c>
      <c r="E319" t="inlineStr">
        <is>
          <t>ShotNavi Evolve PRO(ショットナビ) ブラック 大画面カラー液晶 最新GPSチップ「M10」 ゴルフ</t>
        </is>
      </c>
      <c r="F319" t="n">
        <v>32980</v>
      </c>
      <c r="G319" t="n">
        <v>19800</v>
      </c>
      <c r="H319" t="n">
        <v>3</v>
      </c>
      <c r="I319">
        <f>SUM(G363*H363)</f>
        <v/>
      </c>
      <c r="J319" t="inlineStr">
        <is>
          <t>✓ 一致（SKU）</t>
        </is>
      </c>
      <c r="K319" t="inlineStr">
        <is>
          <t>4562201211877</t>
        </is>
      </c>
    </row>
    <row r="320" ht="13.5" customHeight="1">
      <c r="A320" s="27" t="inlineStr">
        <is>
          <t>4895252500868</t>
        </is>
      </c>
      <c r="B320" s="27" t="inlineStr">
        <is>
          <t>b0bls9fnwh</t>
        </is>
      </c>
      <c r="C320" s="27" t="inlineStr">
        <is>
          <t>0868/10990</t>
        </is>
      </c>
      <c r="D320" s="27" t="inlineStr">
        <is>
          <t>b0bls9fnwh</t>
        </is>
      </c>
      <c r="E320" t="inlineStr">
        <is>
          <t>TP-Link WiFi ルーター 無線LAN WiFi6 11AX AX6000 4804 + 1148Mbps 2.5Gbps Archer AX80/A 縦型 縦型 IPv6 IPoE VPN OneMesh 対応</t>
        </is>
      </c>
      <c r="F320" t="n">
        <v>15480</v>
      </c>
      <c r="G320" t="n">
        <v>10990</v>
      </c>
      <c r="H320" t="n">
        <v>5</v>
      </c>
      <c r="I320">
        <f>SUM(G364*H364)</f>
        <v/>
      </c>
      <c r="J320" t="inlineStr">
        <is>
          <t>✓ 一致（SKU）</t>
        </is>
      </c>
      <c r="K320" t="inlineStr">
        <is>
          <t>4895252500868</t>
        </is>
      </c>
    </row>
    <row r="321" ht="13.5" customHeight="1">
      <c r="A321" s="27" t="inlineStr">
        <is>
          <t>9000326168003</t>
        </is>
      </c>
      <c r="B321" s="27" t="inlineStr">
        <is>
          <t>b0bltqq367</t>
        </is>
      </c>
      <c r="C321" s="27" t="inlineStr">
        <is>
          <t>4901133415722-6</t>
        </is>
      </c>
      <c r="D321" s="27" t="inlineStr">
        <is>
          <t>b0bltqq367</t>
        </is>
      </c>
      <c r="E321" s="12" t="inlineStr">
        <is>
          <t>いなば チャオ(CIAO)ちゅ～るごはん とりささみ 総合栄養食 14g×4P ６袋セット 猫 猫用 おやつ 国産 液状 キャットフード 人気 グレインフリー</t>
        </is>
      </c>
      <c r="F321" t="n">
        <v>1780</v>
      </c>
      <c r="G321" t="n">
        <v>970</v>
      </c>
      <c r="H321" t="n">
        <v>9</v>
      </c>
      <c r="I321">
        <f>SUM(G365*H365)</f>
        <v/>
      </c>
      <c r="J321" t="inlineStr">
        <is>
          <t>✓ 一致（SKU）</t>
        </is>
      </c>
      <c r="K321" t="inlineStr">
        <is>
          <t>9000326168003</t>
        </is>
      </c>
    </row>
    <row r="322" ht="13.5" customHeight="1">
      <c r="A322" s="27" t="inlineStr">
        <is>
          <t>4901133458033</t>
        </is>
      </c>
      <c r="B322" s="27" t="inlineStr">
        <is>
          <t>b0blvdxqgy</t>
        </is>
      </c>
      <c r="C322" s="27" t="inlineStr">
        <is>
          <t>8033/768</t>
        </is>
      </c>
      <c r="D322" s="27" t="inlineStr">
        <is>
          <t>b0blvdxqgy</t>
        </is>
      </c>
      <c r="E322" t="inlineStr">
        <is>
          <t>いなば CIAO ちゅ～るごはん まぐろ 14g×4本 6袋セット 猫 猫用 国産 総合栄養食 おやつ 液状 キャットフード 人気 大容量 まとめ買い 水分補給</t>
        </is>
      </c>
      <c r="F322" t="n">
        <v>1580</v>
      </c>
      <c r="G322" t="n">
        <v>768</v>
      </c>
      <c r="H322" t="n">
        <v>5</v>
      </c>
      <c r="I322">
        <f>SUM(G366*H366)</f>
        <v/>
      </c>
      <c r="J322" t="inlineStr">
        <is>
          <t>✓ 一致（SKU）</t>
        </is>
      </c>
      <c r="K322" t="inlineStr">
        <is>
          <t>4901133458033</t>
        </is>
      </c>
    </row>
    <row r="323" ht="13.5" customHeight="1">
      <c r="A323" s="27" t="inlineStr">
        <is>
          <t>4936201104024</t>
        </is>
      </c>
      <c r="B323" s="27" t="inlineStr">
        <is>
          <t>b0blxz3csd</t>
        </is>
      </c>
      <c r="C323" s="27" t="inlineStr">
        <is>
          <t>4024/2130-a</t>
        </is>
      </c>
      <c r="D323" s="27" t="inlineStr">
        <is>
          <t>b0blxz3csd</t>
        </is>
      </c>
      <c r="E323" t="inlineStr">
        <is>
          <t>コスメテックスローランド エアリー&amp;イージー グロッシーヘアワックス100g×3個セット ヘア セット スタイリング ヘアセット</t>
        </is>
      </c>
      <c r="F323" t="n">
        <v>3780</v>
      </c>
      <c r="G323" t="n">
        <v>2130</v>
      </c>
      <c r="H323" t="n">
        <v>5</v>
      </c>
      <c r="I323">
        <f>SUM(G367*H367)</f>
        <v/>
      </c>
      <c r="J323" t="inlineStr">
        <is>
          <t>✓ 一致（SKU）</t>
        </is>
      </c>
      <c r="K323" t="inlineStr">
        <is>
          <t>4936201104024</t>
        </is>
      </c>
    </row>
    <row r="324" ht="13.5" customHeight="1">
      <c r="A324" s="27" t="inlineStr">
        <is>
          <t>4901792044578</t>
        </is>
      </c>
      <c r="B324" s="27" t="inlineStr">
        <is>
          <t>b0bmz5whhh</t>
        </is>
      </c>
      <c r="C324" s="27" t="inlineStr">
        <is>
          <t>4578/2194</t>
        </is>
      </c>
      <c r="D324" s="27" t="inlineStr">
        <is>
          <t>b0bmz5whhh</t>
        </is>
      </c>
      <c r="E324" t="inlineStr">
        <is>
          <t>【2個セット】ショーワグローブ ナイスハンド きれいな手 つかいきりグローブ ニトリルゴム 50枚入×2個セット ピンク Sサイズ 作業 作業用 衛生 食品 食事 料理 調理 掃除 清掃 園芸 メンテ メンテナンス 整備 美容 介護</t>
        </is>
      </c>
      <c r="F324" t="n">
        <v>3480</v>
      </c>
      <c r="G324" t="n">
        <v>2194</v>
      </c>
      <c r="H324" t="n">
        <v>18</v>
      </c>
      <c r="I324">
        <f>SUM(G368*H368)</f>
        <v/>
      </c>
      <c r="J324" t="inlineStr">
        <is>
          <t>✓ 一致（SKU）</t>
        </is>
      </c>
      <c r="K324" t="inlineStr">
        <is>
          <t>4901792044578</t>
        </is>
      </c>
    </row>
    <row r="325" ht="13.5" customHeight="1">
      <c r="A325" s="27" t="inlineStr">
        <is>
          <t>4901792044585</t>
        </is>
      </c>
      <c r="B325" s="27" t="inlineStr">
        <is>
          <t>b0bmz7ccxd</t>
        </is>
      </c>
      <c r="C325" s="27" t="inlineStr">
        <is>
          <t>4585/2194</t>
        </is>
      </c>
      <c r="D325" s="27" t="inlineStr">
        <is>
          <t>B0BMZ7CCXD</t>
        </is>
      </c>
      <c r="E325" t="inlineStr">
        <is>
          <t>【2個セット】ショーワグローブ ナイスハンド きれいな手 つかいきりグローブ ニトリルゴム 50枚入×2個セット ピンク Mサイズ 作業 作業用 衛生 食品 食事 料理 調理 掃除 清掃 園芸 メンテ メンテナンス 整備 美容 介護</t>
        </is>
      </c>
      <c r="F325" t="n">
        <v>3480</v>
      </c>
      <c r="G325" t="n">
        <v>2194</v>
      </c>
      <c r="H325" t="n">
        <v>25</v>
      </c>
      <c r="I325">
        <f>SUM(G369*H369)</f>
        <v/>
      </c>
    </row>
    <row r="326" ht="13.5" customHeight="1">
      <c r="A326" s="27" t="inlineStr">
        <is>
          <t>4901792044592</t>
        </is>
      </c>
      <c r="B326" s="27" t="inlineStr">
        <is>
          <t>b0bmz8mk97</t>
        </is>
      </c>
      <c r="C326" s="27" t="inlineStr">
        <is>
          <t>4585/2194</t>
        </is>
      </c>
      <c r="D326" s="27" t="inlineStr">
        <is>
          <t>B0BMZ8MK97</t>
        </is>
      </c>
      <c r="E326" t="inlineStr">
        <is>
          <t>【2個セット】ショーワグローブ ナイスハンド きれいな手 つかいきりグローブ ニトリルゴム 50枚入×2個 ピンク Lサイズ 使い捨て手袋 ニトリル手袋 ゴム手袋 粉なし 左右兼用 食品衛生対応 調理用 掃除 作業用 キッチン 清掃 園芸 介護 美容 毛染め DIY 業務用 まとめ買い</t>
        </is>
      </c>
      <c r="F326" t="n">
        <v>3480</v>
      </c>
      <c r="G326" t="n">
        <v>2194</v>
      </c>
      <c r="H326" t="n">
        <v>20</v>
      </c>
      <c r="I326">
        <f>SUM(G370*H370)</f>
        <v/>
      </c>
    </row>
    <row r="327" ht="13.5" customHeight="1">
      <c r="A327" s="27" t="inlineStr">
        <is>
          <t>0194644121297</t>
        </is>
      </c>
      <c r="B327" s="27" t="inlineStr">
        <is>
          <t>b0bqmsxfp7</t>
        </is>
      </c>
      <c r="C327" s="27" t="inlineStr">
        <is>
          <t>0194644121297</t>
        </is>
      </c>
      <c r="D327" s="27" t="inlineStr">
        <is>
          <t>b0bqmsxfp7</t>
        </is>
      </c>
      <c r="E327" t="inlineStr">
        <is>
          <t>Anker 332 USB-C ハブ (5-in-1) 100W USB PD対応 4K HDMIポート5Gbps 高速データ転送 USB-C/USB-Aポート搭載</t>
        </is>
      </c>
      <c r="F327" t="n">
        <v>3980</v>
      </c>
      <c r="G327" t="n">
        <v>2190</v>
      </c>
      <c r="H327" t="n">
        <v>11</v>
      </c>
      <c r="I327">
        <f>SUM(G371*H371)</f>
        <v/>
      </c>
      <c r="J327" t="inlineStr">
        <is>
          <t>✓ 一致（SKU）</t>
        </is>
      </c>
      <c r="K327" t="inlineStr">
        <is>
          <t>0194644121297</t>
        </is>
      </c>
    </row>
    <row r="328" ht="13.5" customHeight="1">
      <c r="A328" s="27" t="inlineStr">
        <is>
          <t>4902111772523</t>
        </is>
      </c>
      <c r="B328" s="27" t="inlineStr">
        <is>
          <t>b0bqt8pr1d</t>
        </is>
      </c>
      <c r="C328" s="27" t="inlineStr">
        <is>
          <t>2523/1998</t>
        </is>
      </c>
      <c r="D328" s="27" t="inlineStr">
        <is>
          <t>B0BQT8PR1D</t>
        </is>
      </c>
      <c r="E328" t="inlineStr">
        <is>
          <t>【2個セット】NEXXUS ネクサス スムースアンドマネージャブル ヘアマスク トリートメント 本体 220g×2個セット うねりケア くせ毛ケア ダメージ補修 集中補修 保湿 パサつき 広がり まとまり ツヤ髪 サロン品質 美容室品質 ヘアケア ヘアパック 洗い流す 毛先ケア 乾燥対策</t>
        </is>
      </c>
      <c r="F328" t="n">
        <v>3980</v>
      </c>
      <c r="G328" t="n">
        <v>1998</v>
      </c>
      <c r="H328" t="n">
        <v>68</v>
      </c>
      <c r="I328">
        <f>SUM(G372*H372)</f>
        <v/>
      </c>
    </row>
    <row r="329" ht="13.5" customHeight="1">
      <c r="A329" s="27" t="inlineStr">
        <is>
          <t>4902111772554</t>
        </is>
      </c>
      <c r="B329" s="27" t="inlineStr">
        <is>
          <t>b0bqtg4wsq</t>
        </is>
      </c>
      <c r="C329" s="27" t="inlineStr">
        <is>
          <t>2554/1608</t>
        </is>
      </c>
      <c r="D329" s="27" t="inlineStr">
        <is>
          <t>B0BQTG4WSQ</t>
        </is>
      </c>
      <c r="E329" t="inlineStr">
        <is>
          <t>NEXXUS スムースアンドマネージャブル コンディショナー(トリートメント) 詰め替え用 350g×3個セット ケア ヘアケア ネクサス うねりケア</t>
        </is>
      </c>
      <c r="F329" t="n">
        <v>2780</v>
      </c>
      <c r="G329" t="n">
        <v>1608</v>
      </c>
      <c r="H329" t="n">
        <v>8</v>
      </c>
      <c r="I329">
        <f>SUM(G373*H373)</f>
        <v/>
      </c>
    </row>
    <row r="330" ht="13.5" customHeight="1">
      <c r="A330" s="27" t="inlineStr">
        <is>
          <t>4902111772479</t>
        </is>
      </c>
      <c r="B330" s="27" t="inlineStr">
        <is>
          <t>b0bqtg8vt7</t>
        </is>
      </c>
      <c r="C330" s="27" t="inlineStr">
        <is>
          <t>2479/1612</t>
        </is>
      </c>
      <c r="D330" s="27" t="inlineStr">
        <is>
          <t>b0bqtg8vt7</t>
        </is>
      </c>
      <c r="E330" t="inlineStr">
        <is>
          <t>NEXXUS(ネクサス) インテンスダメージリペア シャンプー 詰め替え用 350g×2個セット ケア ヘアケア</t>
        </is>
      </c>
      <c r="F330" t="n">
        <v>2580</v>
      </c>
      <c r="G330" t="n">
        <v>1612</v>
      </c>
      <c r="H330" t="n">
        <v>6</v>
      </c>
      <c r="I330">
        <f>SUM(G374*H374)</f>
        <v/>
      </c>
      <c r="J330" t="inlineStr">
        <is>
          <t>✓ 一致（SKU）</t>
        </is>
      </c>
      <c r="K330" t="inlineStr">
        <is>
          <t>4902111772479</t>
        </is>
      </c>
    </row>
    <row r="331" ht="13.5" customHeight="1">
      <c r="A331" s="27" t="inlineStr">
        <is>
          <t>4902111772479</t>
        </is>
      </c>
      <c r="B331" s="27" t="inlineStr">
        <is>
          <t>b0bqtg8vt7-1</t>
        </is>
      </c>
      <c r="C331" s="27" t="inlineStr">
        <is>
          <t>2479/2418</t>
        </is>
      </c>
      <c r="D331" s="27" t="inlineStr">
        <is>
          <t>B0BQTG8VT7-1</t>
        </is>
      </c>
      <c r="E331" t="inlineStr">
        <is>
          <t>NEXXUS(ネクサス) インテンスダメージリペア シャンプー 詰め替え用 350g×3個セット ケア ヘアケア</t>
        </is>
      </c>
      <c r="F331" t="n">
        <v>3580</v>
      </c>
      <c r="G331" t="n">
        <v>2418</v>
      </c>
      <c r="H331" t="n">
        <v>19</v>
      </c>
      <c r="I331">
        <f>SUM(G375*H375)</f>
        <v/>
      </c>
      <c r="J331" t="inlineStr">
        <is>
          <t>✓ 一致（SKU）</t>
        </is>
      </c>
      <c r="K331" t="inlineStr">
        <is>
          <t>4902111772479</t>
        </is>
      </c>
    </row>
    <row r="332" ht="13.5" customHeight="1">
      <c r="A332" s="27" t="inlineStr">
        <is>
          <t>4902111772509</t>
        </is>
      </c>
      <c r="B332" s="27" t="inlineStr">
        <is>
          <t>b0bqth3gg9</t>
        </is>
      </c>
      <c r="C332" s="27" t="inlineStr">
        <is>
          <t>2509/1534</t>
        </is>
      </c>
      <c r="D332" s="27" t="inlineStr">
        <is>
          <t>B0BQTH3GG9</t>
        </is>
      </c>
      <c r="E332" t="inlineStr">
        <is>
          <t>NEXXUS スムースアンドマネージャブル シャンプー 440g ２本セット ポンプ ケア ヘアケア ネクサス うねりケア</t>
        </is>
      </c>
      <c r="F332" t="n">
        <v>3980</v>
      </c>
      <c r="G332" t="n">
        <v>1534</v>
      </c>
      <c r="H332" t="n">
        <v>6</v>
      </c>
      <c r="I332">
        <f>SUM(G376*H376)</f>
        <v/>
      </c>
    </row>
    <row r="333" ht="13.5" customHeight="1">
      <c r="A333" s="27" t="inlineStr">
        <is>
          <t>4902111772431</t>
        </is>
      </c>
      <c r="B333" s="27" t="inlineStr">
        <is>
          <t>b0bqtp6fl5</t>
        </is>
      </c>
      <c r="C333" s="27" t="inlineStr">
        <is>
          <t>2431/1534</t>
        </is>
      </c>
      <c r="D333" s="27" t="inlineStr">
        <is>
          <t>B0BQTP6FL5</t>
        </is>
      </c>
      <c r="E333" t="inlineStr">
        <is>
          <t>NEXXUS インテンスダメージリペア シャンプー ポンプ 440g×2個セット ケア ヘアケア ネクサス うねりケア</t>
        </is>
      </c>
      <c r="F333" t="n">
        <v>3980</v>
      </c>
      <c r="G333" t="n">
        <v>1534</v>
      </c>
      <c r="H333" t="n">
        <v>7</v>
      </c>
      <c r="I333">
        <f>SUM(G377*H377)</f>
        <v/>
      </c>
    </row>
    <row r="334" ht="13.5" customHeight="1">
      <c r="A334" s="27" t="inlineStr">
        <is>
          <t>4902111772516</t>
        </is>
      </c>
      <c r="B334" s="27" t="inlineStr">
        <is>
          <t>b0bqtsq4t8</t>
        </is>
      </c>
      <c r="C334" s="27" t="inlineStr">
        <is>
          <t>SET-2509-2516</t>
        </is>
      </c>
      <c r="D334" s="27" t="inlineStr">
        <is>
          <t>b0bqtsq4t8</t>
        </is>
      </c>
      <c r="E334" t="inlineStr">
        <is>
          <t>【セット品】NEXXUS スムースアンドマネージャブル シャンプー＆コンディショナー 各440g ２本セット ポンプ ケア ヘアケア ネクサス うねりケア</t>
        </is>
      </c>
      <c r="F334" t="n">
        <v>3980</v>
      </c>
      <c r="G334" t="n">
        <v>1534</v>
      </c>
      <c r="H334" t="n">
        <v>14</v>
      </c>
      <c r="I334">
        <f>SUM(G378*H378)</f>
        <v/>
      </c>
      <c r="J334" t="inlineStr">
        <is>
          <t>✓ 一致（SKU）</t>
        </is>
      </c>
      <c r="K334" t="inlineStr">
        <is>
          <t>4902111772516</t>
        </is>
      </c>
    </row>
    <row r="335" ht="13.5" customHeight="1">
      <c r="A335" s="27" t="inlineStr">
        <is>
          <t>4902111772448</t>
        </is>
      </c>
      <c r="B335" s="27" t="inlineStr">
        <is>
          <t>b0bqtwtpp8</t>
        </is>
      </c>
      <c r="C335" s="27" t="inlineStr">
        <is>
          <t>2448/1998</t>
        </is>
      </c>
      <c r="D335" s="27" t="inlineStr">
        <is>
          <t>B0BQTWTPP8</t>
        </is>
      </c>
      <c r="E335" t="inlineStr">
        <is>
          <t>NEXXUS インテンスダメージリペア トリートメント ポンプ 440g×2個セット ケア ヘアケア ネクサス うねりケア</t>
        </is>
      </c>
      <c r="F335" t="n">
        <v>3980</v>
      </c>
      <c r="G335" t="n">
        <v>1998</v>
      </c>
      <c r="H335" t="n">
        <v>2</v>
      </c>
      <c r="I335">
        <f>SUM(G379*H379)</f>
        <v/>
      </c>
    </row>
    <row r="336" ht="13.5" customHeight="1">
      <c r="A336" s="27" t="inlineStr">
        <is>
          <t>4902111772530</t>
        </is>
      </c>
      <c r="B336" s="27" t="inlineStr">
        <is>
          <t>b0bqv2x83n</t>
        </is>
      </c>
      <c r="C336" s="27" t="inlineStr">
        <is>
          <t>2530/1988</t>
        </is>
      </c>
      <c r="D336" s="27" t="inlineStr">
        <is>
          <t>B0BQV2X83N</t>
        </is>
      </c>
      <c r="E336" t="inlineStr">
        <is>
          <t>NEXXUS スムースアンドマネージャブル 洗い流さないトリートメントオイル ヘアオイル 本体 100ml×2個セット ケア ヘアケア ネクサス うねりケア</t>
        </is>
      </c>
      <c r="F336" t="n">
        <v>3980</v>
      </c>
      <c r="G336" t="n">
        <v>1644</v>
      </c>
      <c r="H336" t="n">
        <v>31</v>
      </c>
      <c r="I336">
        <f>SUM(G380*H380)</f>
        <v/>
      </c>
    </row>
    <row r="337" ht="13.5" customHeight="1">
      <c r="A337" s="27" t="inlineStr">
        <is>
          <t>8720689004589</t>
        </is>
      </c>
      <c r="B337" s="27" t="inlineStr">
        <is>
          <t>b0bsfhf9jq</t>
        </is>
      </c>
      <c r="C337" s="27" t="inlineStr">
        <is>
          <t>8720689004589-a</t>
        </is>
      </c>
      <c r="D337" s="27" t="inlineStr">
        <is>
          <t>B0BSFHF9JQ</t>
        </is>
      </c>
      <c r="E337" t="inlineStr">
        <is>
          <t>フィリップス 5000Xシリーズ X5007/00 ブラック 電動 髭剃り メンズ 27枚刃 回転式 お風呂剃り 丸洗い可 電動シェーバー 電気シェーバー マイクロビーズコーティング 360-Dフレックスヘッド</t>
        </is>
      </c>
      <c r="F337" t="n">
        <v>10980</v>
      </c>
      <c r="G337" t="n">
        <v>8480</v>
      </c>
      <c r="H337" t="n">
        <v>0</v>
      </c>
      <c r="I337">
        <f>SUM(G381*H381)</f>
        <v/>
      </c>
    </row>
    <row r="338" ht="13.5" customHeight="1">
      <c r="A338" s="27" t="inlineStr">
        <is>
          <t>4550516474971</t>
        </is>
      </c>
      <c r="B338" s="27" t="inlineStr">
        <is>
          <t>b0bsgb956y</t>
        </is>
      </c>
      <c r="C338" s="27" t="inlineStr">
        <is>
          <t>4971/1534</t>
        </is>
      </c>
      <c r="D338" s="27" t="inlineStr">
        <is>
          <t>B0BSGB956Y</t>
        </is>
      </c>
      <c r="E338" t="inlineStr">
        <is>
          <t>エージーデオ24 デオドラントボディミルク 無香性 180ml×2個セット 匂い 匂いケア ニオイケア ケア ニオイ</t>
        </is>
      </c>
      <c r="F338" t="n">
        <v>2780</v>
      </c>
      <c r="G338" t="n">
        <v>1534</v>
      </c>
      <c r="H338" t="n">
        <v>7</v>
      </c>
      <c r="I338">
        <f>SUM(G382*H382)</f>
        <v/>
      </c>
    </row>
    <row r="339" ht="13.5" customHeight="1">
      <c r="A339" s="27" t="inlineStr">
        <is>
          <t>4550516474988</t>
        </is>
      </c>
      <c r="B339" s="27" t="inlineStr">
        <is>
          <t>b0bsgcdmp7</t>
        </is>
      </c>
      <c r="C339" s="27" t="inlineStr">
        <is>
          <t>4988/1534</t>
        </is>
      </c>
      <c r="D339" s="27" t="inlineStr">
        <is>
          <t>B0BSGCDMP7</t>
        </is>
      </c>
      <c r="E339" t="inlineStr">
        <is>
          <t>エージーデオ24 デオドラントボディミルク フローラルブーケ 180ml×2個セット 匂い 匂いケア ニオイケア ケア ニオイ</t>
        </is>
      </c>
      <c r="F339" t="n">
        <v>2780</v>
      </c>
      <c r="G339" t="n">
        <v>1534</v>
      </c>
      <c r="H339" t="n">
        <v>30</v>
      </c>
      <c r="I339">
        <f>SUM(G383*H383)</f>
        <v/>
      </c>
    </row>
    <row r="340" ht="13.5" customHeight="1">
      <c r="A340" s="27" t="inlineStr">
        <is>
          <t>4550516474995</t>
        </is>
      </c>
      <c r="B340" s="27" t="inlineStr">
        <is>
          <t>b0bsgcftgz</t>
        </is>
      </c>
      <c r="C340" s="27" t="inlineStr">
        <is>
          <t>4995/1534-a</t>
        </is>
      </c>
      <c r="D340" s="27" t="inlineStr">
        <is>
          <t>b0bsgcftgz</t>
        </is>
      </c>
      <c r="E340" t="inlineStr">
        <is>
          <t>エージーデオ24 デオドラントボディミルク ヴァンミニョン 180ml×2個セット AGデオ24 ボディクリーム 制汗 デオドラント 保湿 汗 ニオイ対策 ワキ 足 全身 医薬部外品</t>
        </is>
      </c>
      <c r="F340" t="n">
        <v>2780</v>
      </c>
      <c r="G340" t="n">
        <v>1534</v>
      </c>
      <c r="H340" t="n">
        <v>31</v>
      </c>
      <c r="I340">
        <f>SUM(G384*H384)</f>
        <v/>
      </c>
      <c r="J340" t="inlineStr">
        <is>
          <t>✓ 一致（SKU）</t>
        </is>
      </c>
      <c r="K340" t="inlineStr">
        <is>
          <t>4550516474995</t>
        </is>
      </c>
    </row>
    <row r="341" ht="13.5" customHeight="1">
      <c r="A341" s="27" t="inlineStr">
        <is>
          <t>4901080080318</t>
        </is>
      </c>
      <c r="B341" s="27" t="inlineStr">
        <is>
          <t>b0bsl8s15z</t>
        </is>
      </c>
      <c r="C341" s="27" t="inlineStr">
        <is>
          <t>0318/1412</t>
        </is>
      </c>
      <c r="D341" s="27" t="inlineStr">
        <is>
          <t>b0bsl8s15z</t>
        </is>
      </c>
      <c r="E341" t="inlineStr">
        <is>
          <t>アース製薬 らくハピ スキマワイパー 取替え用防カビシート 5枚入×4個セット 防カビ 除菌 消臭 ホコリガード 汚れ除去 エアコン掃除 エアコン清掃 吹出口掃除 送風口掃除 カビ臭対策 エアコン内部クリーニング ウエットシート 無香性 交換用 清潔維持 エアコンの防カビ</t>
        </is>
      </c>
      <c r="F341" t="n">
        <v>2480</v>
      </c>
      <c r="G341" t="n">
        <v>1412</v>
      </c>
      <c r="H341" t="n">
        <v>4</v>
      </c>
      <c r="I341">
        <f>SUM(G385*H385)</f>
        <v/>
      </c>
      <c r="J341" t="inlineStr">
        <is>
          <t>✓ 一致（SKU）</t>
        </is>
      </c>
      <c r="K341" t="inlineStr">
        <is>
          <t>4901080080318</t>
        </is>
      </c>
    </row>
    <row r="342" ht="13.5" customHeight="1">
      <c r="A342" s="27" t="inlineStr">
        <is>
          <t>4909978145538</t>
        </is>
      </c>
      <c r="B342" s="27" t="inlineStr">
        <is>
          <t>b0bthtbcrn</t>
        </is>
      </c>
      <c r="C342" s="27" t="inlineStr">
        <is>
          <t>5538</t>
        </is>
      </c>
      <c r="D342" s="27" t="inlineStr">
        <is>
          <t>b0bthtbcrn</t>
        </is>
      </c>
      <c r="E342" t="inlineStr">
        <is>
          <t>資生堂 HAKU ハク メラノフォーカスEV 45g 本体 医薬部外品 美容液 薬用美白美容液 スキンケア 美白ケア シミ予防 そばかす予防 保湿ケア 透明感 うるおい 肌荒れ予防 フェイスケア 基礎化粧品 薬用美容液 資生堂スキンケア</t>
        </is>
      </c>
      <c r="F342" t="n">
        <v>9180</v>
      </c>
      <c r="G342" t="n">
        <v>0</v>
      </c>
      <c r="H342" t="n">
        <v>8</v>
      </c>
      <c r="I342">
        <f>SUM(G386*H386)</f>
        <v/>
      </c>
      <c r="J342" t="inlineStr">
        <is>
          <t>✓ 一致（SKU）</t>
        </is>
      </c>
      <c r="K342" t="inlineStr">
        <is>
          <t>4909978145538</t>
        </is>
      </c>
    </row>
    <row r="343" ht="13.5" customHeight="1">
      <c r="A343" s="27" t="inlineStr">
        <is>
          <t>4902111774169</t>
        </is>
      </c>
      <c r="B343" s="27" t="inlineStr">
        <is>
          <t>b0bv96m8b5</t>
        </is>
      </c>
      <c r="C343" s="27" t="inlineStr">
        <is>
          <t>4169/498-a</t>
        </is>
      </c>
      <c r="D343" s="27" t="inlineStr">
        <is>
          <t>b0bv96m8b5</t>
        </is>
      </c>
      <c r="E343" t="inlineStr">
        <is>
          <t>LUX(ラックス) バスグロウ トリートメント 本体 490g うねり ケア</t>
        </is>
      </c>
      <c r="F343" t="n">
        <v>1380</v>
      </c>
      <c r="G343" t="n">
        <v>498</v>
      </c>
      <c r="H343" t="n">
        <v>5</v>
      </c>
      <c r="I343">
        <f>SUM(G388*H388)</f>
        <v/>
      </c>
      <c r="J343" t="inlineStr">
        <is>
          <t>✓ 一致（SKU）</t>
        </is>
      </c>
      <c r="K343" t="inlineStr">
        <is>
          <t>4902111774169</t>
        </is>
      </c>
    </row>
    <row r="344" ht="13.5" customHeight="1">
      <c r="A344" s="27" t="inlineStr">
        <is>
          <t>4901133458101.0</t>
        </is>
      </c>
      <c r="B344" s="27" t="inlineStr">
        <is>
          <t>b0bw9bdd5k</t>
        </is>
      </c>
      <c r="C344" s="27" t="inlineStr">
        <is>
          <t>8101/396</t>
        </is>
      </c>
      <c r="D344" s="27" t="inlineStr">
        <is>
          <t>B0BW9BDD5K</t>
        </is>
      </c>
      <c r="E344" t="inlineStr">
        <is>
          <t>チャオ (CIAO) ちゅ～るごはん かつおバラエティ 14g×20本 猫 猫用 国産 総合栄養食 おやつ 液状 キャットフード 人気 大容量</t>
        </is>
      </c>
      <c r="F344" t="n">
        <v>1380</v>
      </c>
      <c r="G344" t="n">
        <v>396</v>
      </c>
      <c r="H344" t="n">
        <v>9</v>
      </c>
      <c r="I344">
        <f>SUM(G389*H389)</f>
        <v/>
      </c>
    </row>
    <row r="345" ht="13.5" customHeight="1">
      <c r="A345" s="27" t="inlineStr">
        <is>
          <t>4901080068712</t>
        </is>
      </c>
      <c r="B345" s="27" t="inlineStr">
        <is>
          <t>b0bwdnysh3</t>
        </is>
      </c>
      <c r="C345" s="27" t="inlineStr">
        <is>
          <t>4901080068712-3</t>
        </is>
      </c>
      <c r="D345" s="27" t="inlineStr">
        <is>
          <t>b0bwdnysh3</t>
        </is>
      </c>
      <c r="E345" t="inlineStr">
        <is>
          <t>アース製薬 マモルームエッセンス 虫よけパール 180日用 やわらかいクリーンムスク 500g×3個セット 天然精油配合 消臭 虫よけ 置き型 大容量 ユスリカ対策 化学合成殺虫成分不使用 玄関 リビング 寝室 室内 芳香剤 ムスクの香り 長期間持続 クリーン空間 ニオイ対策</t>
        </is>
      </c>
      <c r="F345" t="n">
        <v>2580</v>
      </c>
      <c r="G345" t="n">
        <v>1272</v>
      </c>
      <c r="H345" t="n">
        <v>7</v>
      </c>
      <c r="I345">
        <f>SUM(G391*H391)</f>
        <v/>
      </c>
      <c r="J345" t="inlineStr">
        <is>
          <t>✓ 一致（SKU）</t>
        </is>
      </c>
      <c r="K345" t="inlineStr">
        <is>
          <t>4901080068712</t>
        </is>
      </c>
    </row>
    <row r="346" ht="13.5" customHeight="1">
      <c r="A346" s="27" t="inlineStr">
        <is>
          <t>4901080068712</t>
        </is>
      </c>
      <c r="B346" s="27" t="inlineStr">
        <is>
          <t>b0bwdnysh3-1</t>
        </is>
      </c>
      <c r="C346" s="27" t="inlineStr">
        <is>
          <t>AST-0004-8712,9115,9118-a</t>
        </is>
      </c>
      <c r="D346" s="27" t="inlineStr">
        <is>
          <t>B0BWDNYSH3-1</t>
        </is>
      </c>
      <c r="E346" t="inlineStr">
        <is>
          <t>アース製薬 マモルームエッセンス 虫よけパール 180日用 500g 3種セット やわらかいクリーンムスク すっきりハッカ 澄んだレモン 天然精油配合 ユスリカ対策 消臭 芳香剤 置き型 大容量 虫対策 室内用 玄関用 リビング 寝室 クローゼット トイレ 長期間持続 防虫対策 香り付</t>
        </is>
      </c>
      <c r="F346" t="n">
        <v>2580</v>
      </c>
      <c r="G346" t="n">
        <v>1272</v>
      </c>
      <c r="H346" t="n">
        <v>7</v>
      </c>
      <c r="I346">
        <f>SUM(G392*H392)</f>
        <v/>
      </c>
      <c r="J346" t="inlineStr">
        <is>
          <t>✓ 一致（SKU）</t>
        </is>
      </c>
      <c r="K346" t="inlineStr">
        <is>
          <t>4901080068712</t>
        </is>
      </c>
    </row>
    <row r="347" ht="13.5" customHeight="1">
      <c r="A347" s="27" t="inlineStr">
        <is>
          <t>4933691975677</t>
        </is>
      </c>
      <c r="B347" s="27" t="inlineStr">
        <is>
          <t>b0bx2c1yfr</t>
        </is>
      </c>
      <c r="C347" s="27" t="inlineStr">
        <is>
          <t>5677/2112-a</t>
        </is>
      </c>
      <c r="D347" s="27" t="inlineStr">
        <is>
          <t>b0bx2c1yfr</t>
        </is>
      </c>
      <c r="E347" t="inlineStr">
        <is>
          <t>【2個セット】取っ手付き ゴミ袋 LLサイズ 乳白 ポリ袋 300枚×2箱セット 600枚 高密度ポリエチレン 53×29.5×14.5cm 大容量 手さげ袋 ごみ袋 まとめ買い 業務用 家庭用 キッチン用 トイレ用 洗面所用 収納用 使い捨て袋 収納整理 コンパクトボックス 省スペース設計</t>
        </is>
      </c>
      <c r="F347" t="n">
        <v>5480</v>
      </c>
      <c r="G347" t="n">
        <v>2112</v>
      </c>
      <c r="H347" t="n">
        <v>5</v>
      </c>
      <c r="I347">
        <f>SUM(G393*H393)</f>
        <v/>
      </c>
      <c r="J347" t="inlineStr">
        <is>
          <t>✓ 一致（SKU）</t>
        </is>
      </c>
      <c r="K347" t="inlineStr">
        <is>
          <t>4933691975677</t>
        </is>
      </c>
    </row>
    <row r="348" ht="13.5" customHeight="1">
      <c r="A348" s="27" t="inlineStr">
        <is>
          <t>4902407025050</t>
        </is>
      </c>
      <c r="B348" s="27" t="inlineStr">
        <is>
          <t>b0bx43t8hq</t>
        </is>
      </c>
      <c r="C348" s="27" t="inlineStr">
        <is>
          <t>4902407025050-a</t>
        </is>
      </c>
      <c r="D348" s="27" t="inlineStr">
        <is>
          <t>B0BX43T8HQ</t>
        </is>
      </c>
      <c r="E348" t="inlineStr">
        <is>
          <t>アイスノン シャツミスト ICE KING 詰め替え280ml×3個セット 冷感スプレー 衣類用 消臭 除菌 熱中症対策 暑さ対策 通勤 通学 スポーツ アウトドア 白元アース</t>
        </is>
      </c>
      <c r="F348" t="n">
        <v>2980</v>
      </c>
      <c r="G348" t="n">
        <v>1725</v>
      </c>
      <c r="H348" t="n">
        <v>26</v>
      </c>
      <c r="I348">
        <f>SUM(G394*H394)</f>
        <v/>
      </c>
    </row>
    <row r="349" ht="13.5" customHeight="1">
      <c r="A349" s="27" t="inlineStr">
        <is>
          <t>4903301344254</t>
        </is>
      </c>
      <c r="B349" s="27" t="inlineStr">
        <is>
          <t>b0bxbplt8t</t>
        </is>
      </c>
      <c r="C349" s="27" t="inlineStr">
        <is>
          <t>358-a</t>
        </is>
      </c>
      <c r="D349" s="27" t="inlineStr">
        <is>
          <t>B0BXBPLT8T</t>
        </is>
      </c>
      <c r="E349" t="inlineStr">
        <is>
          <t>【セット品】ライオン ソフラン エアリス プールサイド 本体480ml＋詰め替え810mlセット 柔軟剤 部屋干し 防臭 抗菌 静電気防止 ネモフィラ ウォーターリリーの香り 洗濯 衣類ケア 赤ちゃん ベビー服対応 詰替え 大容量 ソフランAiris</t>
        </is>
      </c>
      <c r="F349" t="n">
        <v>3480</v>
      </c>
      <c r="G349" t="n">
        <v>358</v>
      </c>
      <c r="H349" t="n">
        <v>1</v>
      </c>
      <c r="I349">
        <f>SUM(G396*H396)</f>
        <v/>
      </c>
      <c r="J349" t="inlineStr">
        <is>
          <t>✓ 一致（SKU）</t>
        </is>
      </c>
      <c r="K349" t="inlineStr">
        <is>
          <t>4903301344254</t>
        </is>
      </c>
    </row>
    <row r="350" ht="13.5" customHeight="1">
      <c r="A350" s="27" t="inlineStr">
        <is>
          <t>4903301344254</t>
        </is>
      </c>
      <c r="B350" s="27" t="inlineStr">
        <is>
          <t>b0bxbplt8t-1</t>
        </is>
      </c>
      <c r="C350" s="27" t="inlineStr">
        <is>
          <t>4254/358-a</t>
        </is>
      </c>
      <c r="D350" s="27" t="inlineStr">
        <is>
          <t>b0bxbplt8t-1</t>
        </is>
      </c>
      <c r="E350" t="inlineStr">
        <is>
          <t>ソフラン エアリス プールサイド (ネモフィラ＆ウォーターリリーの香り) 柔軟剤 本体 480ml×2個セット 部屋干し 雨の日 部屋 かろやか 香る きれい 清潔 衣類 静電気 防臭 抗菌 赤ちゃん ベビー ネモフィラ ウォーターリリー 洗濯 ライオン</t>
        </is>
      </c>
      <c r="F350" t="n">
        <v>2280</v>
      </c>
      <c r="G350" t="n">
        <v>358</v>
      </c>
      <c r="H350" t="n">
        <v>32</v>
      </c>
      <c r="I350">
        <f>SUM(G397*H397)</f>
        <v/>
      </c>
      <c r="J350" t="inlineStr">
        <is>
          <t>✓ 一致（SKU）</t>
        </is>
      </c>
      <c r="K350" t="inlineStr">
        <is>
          <t>4903301344254</t>
        </is>
      </c>
    </row>
    <row r="351" ht="13.5" customHeight="1">
      <c r="A351" s="27" t="inlineStr">
        <is>
          <t>4903301344193</t>
        </is>
      </c>
      <c r="B351" s="27" t="inlineStr">
        <is>
          <t>b0bxbq71wb-1</t>
        </is>
      </c>
      <c r="C351" s="27" t="inlineStr">
        <is>
          <t>4903301344193-2-a</t>
        </is>
      </c>
      <c r="D351" s="27" t="inlineStr">
        <is>
          <t>B0BXBQ71WB-1</t>
        </is>
      </c>
      <c r="E351" t="inlineStr">
        <is>
          <t>ソフラン エアリス バルコニー 本体 480ml×2個セット 部屋干し 雨の日 部屋 かろやか 香る きれい 清潔 衣類 静電気 防臭 抗菌 赤ちゃん ベビー ネクタリン フリージア 洗濯 ライオン</t>
        </is>
      </c>
      <c r="F351" t="n">
        <v>2280</v>
      </c>
      <c r="G351" t="n">
        <v>358</v>
      </c>
      <c r="H351" t="n">
        <v>5</v>
      </c>
      <c r="I351">
        <f>SUM(G398*H398)</f>
        <v/>
      </c>
      <c r="J351" t="inlineStr">
        <is>
          <t>✓ 一致（SKU）</t>
        </is>
      </c>
      <c r="K351" t="inlineStr">
        <is>
          <t>4903301344193</t>
        </is>
      </c>
    </row>
    <row r="352" ht="13.5" customHeight="1">
      <c r="A352" s="27" t="inlineStr">
        <is>
          <t>4901301429247</t>
        </is>
      </c>
      <c r="B352" s="27" t="inlineStr">
        <is>
          <t>b0bxcstz4s</t>
        </is>
      </c>
      <c r="C352" s="27" t="inlineStr">
        <is>
          <t>9247/411</t>
        </is>
      </c>
      <c r="D352" s="27" t="inlineStr">
        <is>
          <t>B0BXCSTZ4S</t>
        </is>
      </c>
      <c r="E352" t="inlineStr">
        <is>
          <t>ビオレu ザ ボディ 泡タイプ 華やかな金木犀の香り つめかえ用 ( 780ml )/ ビオレUザボディ 「高潤滑処方の生クリーム泡」 ボディソープ 金木犀の香り 泡 大容量</t>
        </is>
      </c>
      <c r="F352" t="n">
        <v>1580</v>
      </c>
      <c r="G352" t="n">
        <v>411</v>
      </c>
      <c r="H352" t="n">
        <v>2</v>
      </c>
      <c r="I352">
        <f>SUM(G399*H399)</f>
        <v/>
      </c>
    </row>
    <row r="353" ht="13.5" customHeight="1">
      <c r="A353" s="27" t="inlineStr">
        <is>
          <t>4901301422156</t>
        </is>
      </c>
      <c r="B353" s="27" t="inlineStr">
        <is>
          <t>b0bxct4qnx</t>
        </is>
      </c>
      <c r="C353" s="27" t="inlineStr">
        <is>
          <t>9230/411</t>
        </is>
      </c>
      <c r="D353" s="27" t="inlineStr">
        <is>
          <t>b0bxct4qnx</t>
        </is>
      </c>
      <c r="E353" t="inlineStr">
        <is>
          <t>ビオレu ザ ボディ 〔 The Body 〕 泡タイプ ポンプ 540ml 「高潤滑処方の生クリーム泡」 ボディソープ 金木犀の香り 泡 大容量</t>
        </is>
      </c>
      <c r="F353" t="n">
        <v>1480</v>
      </c>
      <c r="G353" t="n">
        <v>411</v>
      </c>
      <c r="H353" t="n">
        <v>3</v>
      </c>
      <c r="I353">
        <f>SUM(G400*H400)</f>
        <v/>
      </c>
      <c r="J353" t="inlineStr">
        <is>
          <t>✓ 一致（SKU）</t>
        </is>
      </c>
      <c r="K353" t="inlineStr">
        <is>
          <t>4901301422156</t>
        </is>
      </c>
    </row>
    <row r="354" ht="13.5" customHeight="1">
      <c r="A354" s="27" t="inlineStr">
        <is>
          <t>4906456578444</t>
        </is>
      </c>
      <c r="B354" s="27" t="inlineStr">
        <is>
          <t>b0by135mq</t>
        </is>
      </c>
      <c r="C354" s="27" t="inlineStr">
        <is>
          <t>4906456578444-a</t>
        </is>
      </c>
      <c r="D354" s="27" t="inlineStr">
        <is>
          <t>b0by135mq</t>
        </is>
      </c>
      <c r="E354" t="inlineStr">
        <is>
          <t>マルカン りんご大収穫祭 サクふわフリーズドライ ４５ｇ おやつ 保存料・着色料・砂糖不使用</t>
        </is>
      </c>
      <c r="F354" t="n">
        <v>1380</v>
      </c>
      <c r="G354" t="n">
        <v>707</v>
      </c>
      <c r="H354" t="n">
        <v>5</v>
      </c>
      <c r="I354">
        <f>SUM(G401*H401)</f>
        <v/>
      </c>
    </row>
    <row r="355" ht="13.5" customHeight="1">
      <c r="A355" s="27" t="inlineStr">
        <is>
          <t>4987176171184</t>
        </is>
      </c>
      <c r="B355" s="27" t="inlineStr">
        <is>
          <t>b0by19x8s3</t>
        </is>
      </c>
      <c r="C355" s="27" t="inlineStr">
        <is>
          <t>4987176171184-a</t>
        </is>
      </c>
      <c r="D355" s="27" t="inlineStr">
        <is>
          <t>b0by19x8s3</t>
        </is>
      </c>
      <c r="E355" t="inlineStr">
        <is>
          <t>ブラウン(Braun) ボディグルーマー PRO X XT5300-b ボディ ボディシェーバー 自然な長さに整える 剃り上げる 進化した4Dブレード カッティングエリアの面積が2倍に 腕 指 脚 ワキ デリケートゾーン 顔 6つのアタッチメント ボディ トリマー BRAUN</t>
        </is>
      </c>
      <c r="F355" t="n">
        <v>11980</v>
      </c>
      <c r="G355" t="n">
        <v>8480</v>
      </c>
      <c r="H355" t="n">
        <v>7</v>
      </c>
      <c r="I355">
        <f>SUM(G402*H402)</f>
        <v/>
      </c>
    </row>
    <row r="356" ht="13.5" customHeight="1">
      <c r="A356" s="27" t="inlineStr">
        <is>
          <t>4901301416087</t>
        </is>
      </c>
      <c r="B356" s="27" t="inlineStr">
        <is>
          <t>b0by2pjqg2</t>
        </is>
      </c>
      <c r="C356" s="27" t="inlineStr">
        <is>
          <t>6087/612</t>
        </is>
      </c>
      <c r="D356" s="27" t="inlineStr">
        <is>
          <t>b0by2pjqg2</t>
        </is>
      </c>
      <c r="E356" t="inlineStr">
        <is>
          <t>ビオレu 泡ハンドソープ シトラスの香り つめかえ用 770ml×2個セット 詰め替え 手洗い 殺菌 消毒</t>
        </is>
      </c>
      <c r="F356" t="n">
        <v>2480</v>
      </c>
      <c r="G356" t="n">
        <v>612</v>
      </c>
      <c r="H356" t="n">
        <v>7</v>
      </c>
      <c r="I356">
        <f>SUM(G403*H403)</f>
        <v/>
      </c>
      <c r="J356" t="inlineStr">
        <is>
          <t>✓ 一致（SKU）</t>
        </is>
      </c>
      <c r="K356" t="inlineStr">
        <is>
          <t>4901301416087</t>
        </is>
      </c>
    </row>
    <row r="357" ht="13.5" customHeight="1">
      <c r="A357" s="27" t="inlineStr">
        <is>
          <t>4901301413109</t>
        </is>
      </c>
      <c r="B357" s="27" t="inlineStr">
        <is>
          <t>b0by2sypqr</t>
        </is>
      </c>
      <c r="C357" s="27" t="inlineStr">
        <is>
          <t>3109/1633</t>
        </is>
      </c>
      <c r="D357" s="27" t="inlineStr">
        <is>
          <t>b0by2sypqr</t>
        </is>
      </c>
      <c r="E357" t="inlineStr">
        <is>
          <t>Bior? ビオレ 冷ハンディミスト 無香性 120ml×3個セット 冷感ミスト 冷却スプレー 暑さ対策 熱中対策 ひんやりミスト 速乾 ボディミスト クールダウン 夏対策 スポーツ 屋外作業 通勤 通学 アウトドア 携帯用 ロック機能付き 日本製</t>
        </is>
      </c>
      <c r="F357" t="n">
        <v>2980</v>
      </c>
      <c r="G357" t="n">
        <v>1633</v>
      </c>
      <c r="H357" t="n">
        <v>4</v>
      </c>
      <c r="I357">
        <f>SUM(G404*H404)</f>
        <v/>
      </c>
      <c r="J357" t="inlineStr">
        <is>
          <t>✓ 一致（SKU）</t>
        </is>
      </c>
      <c r="K357" t="inlineStr">
        <is>
          <t>4901301413109</t>
        </is>
      </c>
    </row>
    <row r="358" ht="13.5" customHeight="1">
      <c r="A358" s="27" t="inlineStr">
        <is>
          <t>4573164186454</t>
        </is>
      </c>
      <c r="B358" s="27" t="inlineStr">
        <is>
          <t>b0by7gklq4</t>
        </is>
      </c>
      <c r="C358" s="27" t="inlineStr">
        <is>
          <t>6454/439</t>
        </is>
      </c>
      <c r="D358" s="27" t="inlineStr">
        <is>
          <t>b0by7gklq4</t>
        </is>
      </c>
      <c r="E358" t="inlineStr">
        <is>
          <t>JUSO KURO PORE CLEARING WASH 100ｇ重曹黒ウォッシュ 洗顔 濃密泡 重曹 炭 酵素 毛穴 皮脂 角質 角栓 小鼻 黒ずみ くすみ</t>
        </is>
      </c>
      <c r="F358" t="n">
        <v>999</v>
      </c>
      <c r="G358" t="n">
        <v>439</v>
      </c>
      <c r="H358" t="n">
        <v>3</v>
      </c>
      <c r="I358">
        <f>SUM(G405*H405)</f>
        <v/>
      </c>
    </row>
    <row r="359" ht="13.5" customHeight="1">
      <c r="A359" s="27" t="inlineStr">
        <is>
          <t>4573164186317</t>
        </is>
      </c>
      <c r="B359" s="27" t="inlineStr">
        <is>
          <t>b0by8b2ghs</t>
        </is>
      </c>
      <c r="C359" s="27" t="inlineStr">
        <is>
          <t>6317/439</t>
        </is>
      </c>
      <c r="D359" s="27" t="inlineStr">
        <is>
          <t>b0by8b2ghs</t>
        </is>
      </c>
      <c r="E359" t="inlineStr">
        <is>
          <t>JUSO KURO PORE CLEANSING SCRUB 30g 毛穴クレンジング 毛穴汚れ 角栓 黒ずみ マンナンスクラブ入り 重曹毛穴クレンジング 重曹 炭 鼻用</t>
        </is>
      </c>
      <c r="F359" t="n">
        <v>1480</v>
      </c>
      <c r="G359" t="n">
        <v>439</v>
      </c>
      <c r="H359" t="n">
        <v>0</v>
      </c>
      <c r="I359">
        <f>SUM(G406*H406)</f>
        <v/>
      </c>
    </row>
    <row r="360" ht="13.5" customHeight="1">
      <c r="A360" s="27" t="inlineStr">
        <is>
          <t>4901301421401</t>
        </is>
      </c>
      <c r="B360" s="27" t="inlineStr">
        <is>
          <t>b0byzjmth8</t>
        </is>
      </c>
      <c r="C360" s="27" t="inlineStr">
        <is>
          <t>4901301421401-5-a</t>
        </is>
      </c>
      <c r="D360" s="27" t="inlineStr">
        <is>
          <t>b0byzjmth8</t>
        </is>
      </c>
      <c r="E360" t="inlineStr">
        <is>
          <t>ビオレ 冷タオル 無香性 5本入×5個セット 冷感シート 冷却シート 首掛けタオル 暑さ対策 熱中対策 ひんやりシート ロングサイズ 個包装 夏対策 スポーツ観戦 屋外作業 通勤 通学 アウトドア クールダウン 冷感グッズ 日本製</t>
        </is>
      </c>
      <c r="F360" t="n">
        <v>3480</v>
      </c>
      <c r="G360" t="n">
        <v>1980</v>
      </c>
      <c r="H360" t="n">
        <v>7</v>
      </c>
      <c r="I360">
        <f>SUM(G407*H407)</f>
        <v/>
      </c>
      <c r="J360" t="inlineStr">
        <is>
          <t>✓ 一致（SKU）</t>
        </is>
      </c>
      <c r="K360" t="inlineStr">
        <is>
          <t>4901301421401</t>
        </is>
      </c>
    </row>
    <row r="361" ht="13.5" customHeight="1">
      <c r="A361" s="27" t="inlineStr">
        <is>
          <t>4901301421401</t>
        </is>
      </c>
      <c r="B361" s="27" t="inlineStr">
        <is>
          <t>b0byzjmth8-1</t>
        </is>
      </c>
      <c r="C361" s="27" t="inlineStr">
        <is>
          <t>4901301421401-4-a</t>
        </is>
      </c>
      <c r="D361" s="27" t="inlineStr">
        <is>
          <t>B0BYZJMTH8-1</t>
        </is>
      </c>
      <c r="E361" t="inlineStr">
        <is>
          <t>ビオレ 冷タオル 無香性 5本入×4個セット 冷感シート 冷却シート 首掛けタオル 暑さ対策 熱中対策 ひんやりシート ロングサイズ 個包装 夏対策 スポーツ観戦 屋外作業 通勤 通学 アウトドア クールダウン 冷感グッズ 日本製</t>
        </is>
      </c>
      <c r="F361" t="n">
        <v>2680</v>
      </c>
      <c r="G361" t="n">
        <v>1584</v>
      </c>
      <c r="H361" t="n">
        <v>10</v>
      </c>
      <c r="I361">
        <f>SUM(G408*H408)</f>
        <v/>
      </c>
      <c r="J361" t="inlineStr">
        <is>
          <t>✓ 一致（SKU）</t>
        </is>
      </c>
      <c r="K361" t="inlineStr">
        <is>
          <t>4901301421401</t>
        </is>
      </c>
    </row>
    <row r="362" ht="13.5" customHeight="1">
      <c r="A362" s="27" t="inlineStr">
        <is>
          <t>0194644131432</t>
        </is>
      </c>
      <c r="B362" s="27" t="inlineStr">
        <is>
          <t>b0bz45nc3z</t>
        </is>
      </c>
      <c r="C362" s="27" t="inlineStr">
        <is>
          <t>0194644131432</t>
        </is>
      </c>
      <c r="D362" s="27" t="inlineStr">
        <is>
          <t>b0bz45nc3z</t>
        </is>
      </c>
      <c r="E362" t="inlineStr">
        <is>
          <t>Anker Prime Charging Station (6-in-1, 140W) 【独自技術Anker GaNPrime採用/コンセント差込口 2口 / USB-C 2ポート / USB-A 2ポート / PSE技術基準適合】iPhone Galaxy Android スマートフォン MacBook ノートPC 各種 その他機器対応（ブラック）</t>
        </is>
      </c>
      <c r="F362" t="n">
        <v>13980</v>
      </c>
      <c r="G362" t="n">
        <v>9990</v>
      </c>
      <c r="H362" t="n">
        <v>4</v>
      </c>
      <c r="I362">
        <f>SUM(G409*H409)</f>
        <v/>
      </c>
      <c r="J362" t="inlineStr">
        <is>
          <t>✓ 一致（SKU）</t>
        </is>
      </c>
      <c r="K362" t="inlineStr">
        <is>
          <t>0194644131432</t>
        </is>
      </c>
    </row>
    <row r="363" ht="13.5" customHeight="1">
      <c r="A363" s="27" t="inlineStr">
        <is>
          <t>4549980712856.0</t>
        </is>
      </c>
      <c r="B363" s="27" t="inlineStr">
        <is>
          <t>b0bzxl5dz7</t>
        </is>
      </c>
      <c r="C363" s="27" t="inlineStr">
        <is>
          <t>2856/25800-a</t>
        </is>
      </c>
      <c r="D363" s="27" t="inlineStr">
        <is>
          <t>B0BZXL5DZ7</t>
        </is>
      </c>
      <c r="E363" t="inlineStr">
        <is>
          <t>パナソニック ラムダッシュPRO メンズシェーバー 5枚刃 シルバー ES-LV7J-S 髭そり</t>
        </is>
      </c>
      <c r="F363" t="n">
        <v>39800</v>
      </c>
      <c r="G363" t="n">
        <v>25580</v>
      </c>
      <c r="H363" t="n">
        <v>1</v>
      </c>
      <c r="I363">
        <f>SUM(G410*H410)</f>
        <v/>
      </c>
    </row>
    <row r="364" ht="13.5" customHeight="1">
      <c r="A364" s="27" t="inlineStr">
        <is>
          <t>4549980712870</t>
        </is>
      </c>
      <c r="B364" s="27" t="inlineStr">
        <is>
          <t>b0bzxvf56j</t>
        </is>
      </c>
      <c r="C364" s="27" t="inlineStr">
        <is>
          <t>2870/22800-a</t>
        </is>
      </c>
      <c r="D364" s="27" t="inlineStr">
        <is>
          <t>b0bzxvf56j</t>
        </is>
      </c>
      <c r="E364" t="inlineStr">
        <is>
          <t>パナソニック ラムダッシュPRO ES-LV5J-S メンズシェーバー 5枚刃 シルバー 充電中でも剃れる 髭そり</t>
        </is>
      </c>
      <c r="F364" t="n">
        <v>30980</v>
      </c>
      <c r="G364" t="n">
        <v>22800</v>
      </c>
      <c r="H364" t="n">
        <v>6</v>
      </c>
      <c r="I364">
        <f>SUM(G411*H411)</f>
        <v/>
      </c>
      <c r="J364" t="inlineStr">
        <is>
          <t>✓ 一致（SKU）</t>
        </is>
      </c>
      <c r="K364" t="inlineStr">
        <is>
          <t>4549980712870</t>
        </is>
      </c>
    </row>
    <row r="365" ht="13.5" customHeight="1">
      <c r="A365" s="27" t="inlineStr">
        <is>
          <t>4901080052414</t>
        </is>
      </c>
      <c r="B365" s="27" t="inlineStr">
        <is>
          <t>b0c2p37k82</t>
        </is>
      </c>
      <c r="C365" s="27" t="inlineStr">
        <is>
          <t>4901080052414-2-a</t>
        </is>
      </c>
      <c r="D365" s="27" t="inlineStr">
        <is>
          <t>b0c2p37k82</t>
        </is>
      </c>
      <c r="E365" t="inlineStr">
        <is>
          <t>【2個セット】イヤな虫 ゼロノナイト 6～8畳用 10g アース製薬 くん煙剤 害虫駆除 ムカデ クモ アリ コバエ ヤスデ ゲジゲジ チャタテムシ ブロフラニリド スモークタイプ 水を使うタイプ 日本製 室内用 長期持続 不快害虫対策 まとめ買い</t>
        </is>
      </c>
      <c r="F365" t="n">
        <v>4280</v>
      </c>
      <c r="G365" t="n">
        <v>2344</v>
      </c>
      <c r="H365" t="n">
        <v>16</v>
      </c>
      <c r="I365">
        <f>SUM(G412*H412)</f>
        <v/>
      </c>
      <c r="J365" t="inlineStr">
        <is>
          <t>✓ 一致（SKU）</t>
        </is>
      </c>
      <c r="K365" t="inlineStr">
        <is>
          <t>4901080052414</t>
        </is>
      </c>
    </row>
    <row r="366" ht="13.5" customHeight="1">
      <c r="A366" s="27" t="inlineStr">
        <is>
          <t>4901080052414</t>
        </is>
      </c>
      <c r="B366" s="27" t="inlineStr">
        <is>
          <t>b0c2p37k82-1</t>
        </is>
      </c>
      <c r="C366" s="27" t="inlineStr">
        <is>
          <t>4901080052414-3-a</t>
        </is>
      </c>
      <c r="D366" s="27" t="inlineStr">
        <is>
          <t>B0C2P37K82-1</t>
        </is>
      </c>
      <c r="E366" t="inlineStr">
        <is>
          <t>【3個セット】イヤな虫 ゼロノナイト 6～8畳用 10g アース製薬 くん煙剤 害虫駆除 ムカデ クモ アリ コバエ ヤスデ ゲジゲジ チャタテムシ ブロフラニリド スモークタイプ 水を使うタイプ 日本製 室内用 長期持続 不快害虫対策 まとめ買い</t>
        </is>
      </c>
      <c r="F366" t="n">
        <v>6280</v>
      </c>
      <c r="G366" t="n">
        <v>3516</v>
      </c>
      <c r="H366" t="n">
        <v>4</v>
      </c>
      <c r="I366">
        <f>SUM(G413*H413)</f>
        <v/>
      </c>
      <c r="J366" t="inlineStr">
        <is>
          <t>✓ 一致（SKU）</t>
        </is>
      </c>
      <c r="K366" t="inlineStr">
        <is>
          <t>4901080052414</t>
        </is>
      </c>
    </row>
    <row r="367" ht="13.5" customHeight="1">
      <c r="A367" s="27" t="inlineStr">
        <is>
          <t>0840268981846</t>
        </is>
      </c>
      <c r="B367" s="27" t="inlineStr">
        <is>
          <t>b0c2s4k41g</t>
        </is>
      </c>
      <c r="C367" s="27" t="inlineStr">
        <is>
          <t>7480</t>
        </is>
      </c>
      <c r="D367" s="27" t="inlineStr">
        <is>
          <t>B0C2RZWV9B</t>
        </is>
      </c>
      <c r="E367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F367" t="n">
        <v>10980</v>
      </c>
      <c r="G367" t="n">
        <v>7480</v>
      </c>
      <c r="H367" t="n">
        <v>0</v>
      </c>
      <c r="I367">
        <f>SUM(G414*H414)</f>
        <v/>
      </c>
    </row>
    <row r="368" ht="13.5" customHeight="1">
      <c r="A368" s="27" t="inlineStr">
        <is>
          <t>0840268912925</t>
        </is>
      </c>
      <c r="B368" s="27" t="inlineStr">
        <is>
          <t>b0c2s4k41g</t>
        </is>
      </c>
      <c r="C368" s="27" t="inlineStr">
        <is>
          <t>7480</t>
        </is>
      </c>
      <c r="D368" s="27" t="inlineStr">
        <is>
          <t>B0C2S4D67B</t>
        </is>
      </c>
      <c r="E368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F368" t="n">
        <v>10980</v>
      </c>
      <c r="G368" t="n">
        <v>7480</v>
      </c>
      <c r="H368" t="n">
        <v>6</v>
      </c>
      <c r="I368">
        <f>SUM(G415*H415)</f>
        <v/>
      </c>
    </row>
    <row r="369" ht="13.5" customHeight="1">
      <c r="A369" s="27" t="inlineStr">
        <is>
          <t>0840268931865</t>
        </is>
      </c>
      <c r="B369" s="27" t="inlineStr">
        <is>
          <t>b0c2s4k41g</t>
        </is>
      </c>
      <c r="C369" s="27" t="inlineStr">
        <is>
          <t>7480</t>
        </is>
      </c>
      <c r="D369" s="27" t="inlineStr">
        <is>
          <t>B0C2S4K41G</t>
        </is>
      </c>
      <c r="E369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F369" t="n">
        <v>10980</v>
      </c>
      <c r="G369" t="n">
        <v>7480</v>
      </c>
      <c r="H369" t="n">
        <v>6</v>
      </c>
      <c r="I369">
        <f>SUM(G416*H416)</f>
        <v/>
      </c>
    </row>
    <row r="370" ht="13.5" customHeight="1">
      <c r="A370" s="27" t="inlineStr">
        <is>
          <t>4969919300679</t>
        </is>
      </c>
      <c r="B370" s="27" t="inlineStr">
        <is>
          <t>b0c2vsxhy9</t>
        </is>
      </c>
      <c r="C370" s="27" t="inlineStr">
        <is>
          <t>0679/2211</t>
        </is>
      </c>
      <c r="D370" s="27" t="inlineStr">
        <is>
          <t>b0c2vsxhy9</t>
        </is>
      </c>
      <c r="E370" t="inlineStr">
        <is>
          <t>【3個セット】わきの下冷却 わきアイス 大人用2A 男女兼用 WIL2A-24×3個 脇冷却 暑さ対策 熱中対策 冷却グッズ 保冷剤 クールダウン 冷感グッズ 夏対策 通勤 通学 屋外作業 スポーツ アウトドア 繰り返し使用可能 日本製</t>
        </is>
      </c>
      <c r="F370" t="n">
        <v>3980</v>
      </c>
      <c r="G370" t="n">
        <v>2211</v>
      </c>
      <c r="H370" t="n">
        <v>5</v>
      </c>
      <c r="I370">
        <f>SUM(G417*H417)</f>
        <v/>
      </c>
      <c r="J370" t="inlineStr">
        <is>
          <t>✓ 一致（SKU）</t>
        </is>
      </c>
      <c r="K370" t="inlineStr">
        <is>
          <t>4969919300679</t>
        </is>
      </c>
    </row>
    <row r="371" ht="13.5" customHeight="1">
      <c r="A371" s="27" t="inlineStr">
        <is>
          <t>4936201107612</t>
        </is>
      </c>
      <c r="B371" s="27" t="inlineStr">
        <is>
          <t>b0c3ytglhd</t>
        </is>
      </c>
      <c r="C371" s="27" t="inlineStr">
        <is>
          <t>4936201107612-2-a</t>
        </is>
      </c>
      <c r="D371" s="27" t="inlineStr">
        <is>
          <t>b0c3ytglhd</t>
        </is>
      </c>
      <c r="E371" t="inlineStr">
        <is>
          <t>【2個セット】柑橘王子 メラノサーチ VitaC洗顔 120g×2本 洗顔フォーム メンズ ビタミンC誘導体 毛穴 ケア 皮脂 テカリ 黒ずみ くすみ 保湿 濃密泡 泡洗顔 さっぱり 男性用 フェイスウォッシュ スキンケア 洗顔料 毛穴汚れ 角質ケア 毎日の洗顔 まとめ買い</t>
        </is>
      </c>
      <c r="F371" t="n">
        <v>1980</v>
      </c>
      <c r="G371" t="n">
        <v>946</v>
      </c>
      <c r="H371" t="n">
        <v>5</v>
      </c>
      <c r="I371">
        <f>SUM(G418*H418)</f>
        <v/>
      </c>
      <c r="J371" t="inlineStr">
        <is>
          <t>✓ 一致（SKU）</t>
        </is>
      </c>
      <c r="K371" t="inlineStr">
        <is>
          <t>4936201107612</t>
        </is>
      </c>
    </row>
    <row r="372" ht="13.5" customHeight="1">
      <c r="A372" s="27" t="inlineStr">
        <is>
          <t>4906456576631</t>
        </is>
      </c>
      <c r="B372" s="27" t="inlineStr">
        <is>
          <t>b0c3zk69b1</t>
        </is>
      </c>
      <c r="C372" s="27" t="inlineStr">
        <is>
          <t>6624,6631/385,660-a</t>
        </is>
      </c>
      <c r="D372" s="27" t="inlineStr">
        <is>
          <t>B09ZB57CVL</t>
        </is>
      </c>
      <c r="E372" t="inlineStr">
        <is>
          <t>マルカン クマさんのジェルクッション 犬 犬用 人気 夏用 冷感 熱中症対策 ひんやり ベット シート マット 夏物 大型 小型 中型 超小型 水洗い</t>
        </is>
      </c>
      <c r="F372" t="n">
        <v>2480</v>
      </c>
      <c r="G372" t="n">
        <v>385</v>
      </c>
      <c r="H372" t="n">
        <v>2</v>
      </c>
      <c r="I372">
        <f>SUM(G419*H419)</f>
        <v/>
      </c>
      <c r="J372" t="inlineStr">
        <is>
          <t>✓ 一致（SKU）</t>
        </is>
      </c>
      <c r="K372" t="inlineStr">
        <is>
          <t>4906456576631</t>
        </is>
      </c>
    </row>
    <row r="373" ht="13.5" customHeight="1">
      <c r="A373" s="27" t="inlineStr">
        <is>
          <t>4906456576624</t>
        </is>
      </c>
      <c r="B373" s="27" t="inlineStr">
        <is>
          <t>b0c3zk69b1</t>
        </is>
      </c>
      <c r="C373" s="27" t="inlineStr">
        <is>
          <t>6624,6631/385,660-a</t>
        </is>
      </c>
      <c r="D373" s="27" t="inlineStr">
        <is>
          <t>B0C3ZK69B1</t>
        </is>
      </c>
      <c r="E373" t="inlineStr">
        <is>
          <t>マルカン クマさんのジェルクッション 犬 犬用 人気 夏用 冷感 熱中症対策 ひんやり ベット シート マット 夏物 大型 小型 中型 超小型 水洗い</t>
        </is>
      </c>
      <c r="F373" t="n">
        <v>1480</v>
      </c>
      <c r="G373" t="n">
        <v>660</v>
      </c>
      <c r="H373" t="n">
        <v>4</v>
      </c>
      <c r="I373">
        <f>SUM(G420*H420)</f>
        <v/>
      </c>
      <c r="J373" t="inlineStr">
        <is>
          <t>✓ 一致（SKU）</t>
        </is>
      </c>
      <c r="K373" t="inlineStr">
        <is>
          <t>4906456576624</t>
        </is>
      </c>
    </row>
    <row r="374" ht="13.5" customHeight="1">
      <c r="A374" s="27" t="inlineStr">
        <is>
          <t>4973167365687</t>
        </is>
      </c>
      <c r="B374" s="27" t="inlineStr">
        <is>
          <t>b0c4gbw2cr</t>
        </is>
      </c>
      <c r="C374" s="27" t="inlineStr">
        <is>
          <t>5687/2430-a</t>
        </is>
      </c>
      <c r="D374" s="27" t="inlineStr">
        <is>
          <t>b0c4gbw2cr</t>
        </is>
      </c>
      <c r="E374" t="inlineStr">
        <is>
          <t>ケイト リップモンスター １０４ 桜色のひと時 KATE プレゼント ギフト 限定 口紅 落ちにくい 高発色 保湿</t>
        </is>
      </c>
      <c r="F374" t="n">
        <v>3980</v>
      </c>
      <c r="G374" t="n">
        <v>2430</v>
      </c>
      <c r="H374" t="n">
        <v>10</v>
      </c>
      <c r="I374">
        <f>SUM(G421*H421)</f>
        <v/>
      </c>
      <c r="J374" t="inlineStr">
        <is>
          <t>✓ 一致（SKU）</t>
        </is>
      </c>
      <c r="K374" t="inlineStr">
        <is>
          <t>4973167365687</t>
        </is>
      </c>
    </row>
    <row r="375" ht="13.5" customHeight="1">
      <c r="A375" s="27" t="inlineStr">
        <is>
          <t>8720689017695</t>
        </is>
      </c>
      <c r="B375" s="27" t="inlineStr">
        <is>
          <t>b0c57y8qc8</t>
        </is>
      </c>
      <c r="C375" s="27" t="inlineStr">
        <is>
          <t>18800-a</t>
        </is>
      </c>
      <c r="D375" s="27" t="inlineStr">
        <is>
          <t>B0C57Y8QC8</t>
        </is>
      </c>
      <c r="E375" t="inlineStr">
        <is>
          <t>フィリップス 7000シリーズ 電動 髭剃り メンズ 45枚刃 回転式 お風呂剃り 丸洗い可 電動シェーバー 電気シェーバー 洗浄機付き SkinIQテクノロジー 360-D フレックスヘッド X7882/51 アイスブルー</t>
        </is>
      </c>
      <c r="F375" t="n">
        <v>29980</v>
      </c>
      <c r="G375" t="n">
        <v>18800</v>
      </c>
      <c r="H375" t="n">
        <v>5</v>
      </c>
      <c r="I375">
        <f>SUM(G422*H422)</f>
        <v/>
      </c>
    </row>
    <row r="376" ht="13.5" customHeight="1">
      <c r="A376" s="27" t="inlineStr">
        <is>
          <t>8720689017534</t>
        </is>
      </c>
      <c r="B376" s="27" t="inlineStr">
        <is>
          <t>b0c57z1xl4</t>
        </is>
      </c>
      <c r="C376" s="27" t="inlineStr">
        <is>
          <t>8720689017534-a</t>
        </is>
      </c>
      <c r="D376" s="27" t="inlineStr">
        <is>
          <t>b0c57z1xl4</t>
        </is>
      </c>
      <c r="E376" t="inlineStr">
        <is>
          <t>フィリップス 5000シリーズ S5882/66 メンズ 回転式 充電式 電動シェーバー 電気シェーバー 髭剃り 45枚刃 パーソナルフィット・シェイビング 洗浄器付き /Skin IQ テクノロジー ぺトロールブルー 髭剃り</t>
        </is>
      </c>
      <c r="F376" t="n">
        <v>23800</v>
      </c>
      <c r="G376" t="n">
        <v>13980</v>
      </c>
      <c r="H376" t="n">
        <v>1</v>
      </c>
      <c r="I376">
        <f>SUM(G423*H423)</f>
        <v/>
      </c>
      <c r="J376" t="inlineStr">
        <is>
          <t>✓ 一致（SKU）</t>
        </is>
      </c>
      <c r="K376" t="inlineStr">
        <is>
          <t>8720689017534</t>
        </is>
      </c>
    </row>
    <row r="377" ht="13.5" customHeight="1">
      <c r="A377" s="27" t="inlineStr">
        <is>
          <t>8720689017688</t>
        </is>
      </c>
      <c r="B377" s="27" t="inlineStr">
        <is>
          <t>b0c5812gdq</t>
        </is>
      </c>
      <c r="C377" s="27" t="inlineStr">
        <is>
          <t>8720689017688-a</t>
        </is>
      </c>
      <c r="D377" s="27" t="inlineStr">
        <is>
          <t>B0C5812GDQ</t>
        </is>
      </c>
      <c r="E377" t="inlineStr">
        <is>
          <t>フィリップス 7000シリーズ S7882/16 アイスブルー 電気シェーバー 電動 髭剃り メンズ 45枚刃 回転式 お風呂剃り 丸洗い可 SkinIQテクノロジー 360-D フレックスヘッド</t>
        </is>
      </c>
      <c r="F377" t="n">
        <v>19480</v>
      </c>
      <c r="G377" t="n">
        <v>15980</v>
      </c>
      <c r="H377" t="n">
        <v>9</v>
      </c>
      <c r="I377">
        <f>SUM(G424*H424)</f>
        <v/>
      </c>
    </row>
    <row r="378" ht="13.5" customHeight="1">
      <c r="A378" s="27" t="inlineStr">
        <is>
          <t>0194644137311</t>
        </is>
      </c>
      <c r="B378" s="27" t="inlineStr">
        <is>
          <t>b0c5cbv6l3</t>
        </is>
      </c>
      <c r="C378" s="27" t="inlineStr">
        <is>
          <t>0194644137595</t>
        </is>
      </c>
      <c r="D378" s="27" t="inlineStr">
        <is>
          <t>B0C5BXMRFZ</t>
        </is>
      </c>
      <c r="E378" t="inlineStr">
        <is>
      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      </is>
      </c>
      <c r="F378" t="n">
        <v>9980</v>
      </c>
      <c r="G378" t="n">
        <v>6490</v>
      </c>
      <c r="H378" t="n">
        <v>0</v>
      </c>
      <c r="I378">
        <f>SUM(G425*H425)</f>
        <v/>
      </c>
    </row>
    <row r="379" ht="13.5" customHeight="1">
      <c r="A379" s="27" t="inlineStr">
        <is>
          <t>0194644137595</t>
        </is>
      </c>
      <c r="B379" s="27" t="inlineStr">
        <is>
          <t>b0c5cbv6l3</t>
        </is>
      </c>
      <c r="C379" s="27" t="inlineStr">
        <is>
          <t>0194644137595</t>
        </is>
      </c>
      <c r="D379" s="27" t="inlineStr">
        <is>
          <t>B0C5CBV6L3</t>
        </is>
      </c>
      <c r="E379" t="inlineStr">
        <is>
      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      </is>
      </c>
      <c r="F379" t="n">
        <v>9980</v>
      </c>
      <c r="G379" t="n">
        <v>5490</v>
      </c>
      <c r="H379" t="n">
        <v>7</v>
      </c>
      <c r="I379">
        <f>SUM(G426*H426)</f>
        <v/>
      </c>
    </row>
    <row r="380" ht="13.5" customHeight="1">
      <c r="A380" s="27" t="inlineStr">
        <is>
          <t>4589581115151</t>
        </is>
      </c>
      <c r="B380" s="27" t="inlineStr">
        <is>
          <t>b0c5x3dvgm</t>
        </is>
      </c>
      <c r="C380" s="27" t="inlineStr">
        <is>
          <t>5151/502-a</t>
        </is>
      </c>
      <c r="D380" s="27" t="inlineStr">
        <is>
          <t>b0c5x3dvgm</t>
        </is>
      </c>
      <c r="E380" t="inlineStr">
        <is>
          <t>レイス(Race) ちいかわ はがせるマニキュア3本セット マニキュア 爪 おしゃれ おもちゃ</t>
        </is>
      </c>
      <c r="F380" t="n">
        <v>999</v>
      </c>
      <c r="G380" t="n">
        <v>502</v>
      </c>
      <c r="H380" t="n">
        <v>32</v>
      </c>
      <c r="I380">
        <f>SUM(G429*H429)</f>
        <v/>
      </c>
      <c r="J380" t="inlineStr">
        <is>
          <t>✓ 一致（SKU）</t>
        </is>
      </c>
      <c r="K380" t="inlineStr">
        <is>
          <t>4589581115151</t>
        </is>
      </c>
    </row>
    <row r="381" ht="13.5" customHeight="1">
      <c r="A381" s="27" t="inlineStr">
        <is>
          <t>4987241168507</t>
        </is>
      </c>
      <c r="B381" s="27" t="inlineStr">
        <is>
          <t>b0c656jxkd</t>
        </is>
      </c>
      <c r="C381" s="27" t="inlineStr">
        <is>
          <t>8507/2283-a</t>
        </is>
      </c>
      <c r="D381" s="27" t="inlineStr">
        <is>
          <t>B0C656JXKD</t>
        </is>
      </c>
      <c r="E381" t="inlineStr">
        <is>
          <t>肌ラボ 白潤プレミアム薬用浸透美白乳液 140ml×3 化粧 ケア 肌 肌ケア 保湿</t>
        </is>
      </c>
      <c r="F381" t="n">
        <v>3980</v>
      </c>
      <c r="G381" t="n">
        <v>2283</v>
      </c>
      <c r="H381" t="n">
        <v>3</v>
      </c>
      <c r="I381">
        <f>SUM(G430*H430)</f>
        <v/>
      </c>
    </row>
    <row r="382" ht="13.5" customHeight="1">
      <c r="A382" s="27" t="inlineStr">
        <is>
          <t>4971902010526</t>
        </is>
      </c>
      <c r="B382" s="27" t="inlineStr">
        <is>
          <t>b0c6dhfd9t</t>
        </is>
      </c>
      <c r="C382" s="27" t="inlineStr">
        <is>
          <t>0526/2176</t>
        </is>
      </c>
      <c r="D382" s="27" t="inlineStr">
        <is>
          <t>b0c6dhfd9t</t>
        </is>
      </c>
      <c r="E382" t="inlineStr">
        <is>
          <t>紀陽除虫菊 ダニEND 3D ダニトラップシート 分割タイプ 4枚入×2個セット ダニ取りシート 生きたダニに効く 吸着除去 有効期間約3ヵ月 3D構造 日本製</t>
        </is>
      </c>
      <c r="F382" t="n">
        <v>2980</v>
      </c>
      <c r="G382" t="n">
        <v>2176</v>
      </c>
      <c r="H382" t="n">
        <v>3</v>
      </c>
      <c r="I382">
        <f>SUM(G431*H431)</f>
        <v/>
      </c>
      <c r="J382" t="inlineStr">
        <is>
          <t>✓ 一致（SKU）</t>
        </is>
      </c>
      <c r="K382" t="inlineStr">
        <is>
          <t>4971902010526</t>
        </is>
      </c>
    </row>
    <row r="383" ht="13.5" customHeight="1">
      <c r="A383" s="27" t="inlineStr">
        <is>
          <t>4987176171641</t>
        </is>
      </c>
      <c r="B383" s="27" t="inlineStr">
        <is>
          <t>b0c7gg37qv</t>
        </is>
      </c>
      <c r="C383" s="27" t="inlineStr">
        <is>
          <t>1641/9952-a</t>
        </is>
      </c>
      <c r="D383" s="27" t="inlineStr">
        <is>
          <t>b0c7gg37qv</t>
        </is>
      </c>
      <c r="E383" t="inlineStr">
        <is>
          <t>ブラウン メンズシェーバー シリーズ5 51-W1200S-V 電動 髭剃り メンズ キワゾリトリマー 防水設計 充電式 コードレス ディープキャッチ網刃</t>
        </is>
      </c>
      <c r="F383" t="n">
        <v>13980</v>
      </c>
      <c r="G383" t="n">
        <v>9952</v>
      </c>
      <c r="H383" t="n">
        <v>10</v>
      </c>
      <c r="I383">
        <f>SUM(G432*H432)</f>
        <v/>
      </c>
      <c r="J383" t="inlineStr">
        <is>
          <t>✓ 一致（SKU）</t>
        </is>
      </c>
      <c r="K383" t="inlineStr">
        <is>
          <t>4987176171641</t>
        </is>
      </c>
    </row>
    <row r="384" ht="13.5" customHeight="1">
      <c r="A384" s="27" t="inlineStr">
        <is>
          <t>6941594515829</t>
        </is>
      </c>
      <c r="B384" s="27" t="inlineStr">
        <is>
          <t>b0c7vp75s6</t>
        </is>
      </c>
      <c r="C384" s="27" t="inlineStr">
        <is>
          <t>5829/1210-a</t>
        </is>
      </c>
      <c r="D384" s="27" t="inlineStr">
        <is>
          <t>b0c7vp75s6</t>
        </is>
      </c>
      <c r="E384" t="inlineStr">
        <is>
          <t>L'Oreal paris ウォータートリートメント ジャンボサイズ 400ml トリートメント ヘアケア ケア</t>
        </is>
      </c>
      <c r="F384" t="n">
        <v>2480</v>
      </c>
      <c r="G384" t="n">
        <v>1210</v>
      </c>
      <c r="H384" t="n">
        <v>1</v>
      </c>
      <c r="I384">
        <f>SUM(G433*H433)</f>
        <v/>
      </c>
    </row>
    <row r="385" ht="13.5" customHeight="1">
      <c r="A385" s="27" t="inlineStr">
        <is>
          <t>8710103994503</t>
        </is>
      </c>
      <c r="B385" s="27" t="inlineStr">
        <is>
          <t>b0c8hbc8q7</t>
        </is>
      </c>
      <c r="C385" s="27" t="inlineStr">
        <is>
          <t>8710103994503-a</t>
        </is>
      </c>
      <c r="D385" s="27" t="inlineStr">
        <is>
          <t>b0c8hbc8q7</t>
        </is>
      </c>
      <c r="E385" t="inlineStr">
        <is>
          <t>フィリップス ソニッケアー プロテクトクリーンプレミアム ホワイト HX6877/56 歯磨き ケア 口臭</t>
        </is>
      </c>
      <c r="F385" t="n">
        <v>25980</v>
      </c>
      <c r="G385" t="n">
        <v>10524</v>
      </c>
      <c r="H385" t="n">
        <v>8</v>
      </c>
      <c r="I385">
        <f>SUM(G434*H434)</f>
        <v/>
      </c>
      <c r="J385" t="inlineStr">
        <is>
          <t>✓ 一致（SKU）</t>
        </is>
      </c>
      <c r="K385" t="inlineStr">
        <is>
          <t>8710103994503</t>
        </is>
      </c>
    </row>
    <row r="386" ht="13.5" customHeight="1">
      <c r="A386" s="27" t="inlineStr">
        <is>
          <t>4978951921735</t>
        </is>
      </c>
      <c r="B386" s="27" t="inlineStr">
        <is>
          <t>b0c96849wl</t>
        </is>
      </c>
      <c r="C386" s="27" t="inlineStr">
        <is>
          <t>1735,1728/1098</t>
        </is>
      </c>
      <c r="D386" s="27" t="inlineStr">
        <is>
          <t>b0c96849wl</t>
        </is>
      </c>
      <c r="E386" t="inlineStr">
        <is>
          <t>【セット品】ミツエイ ホワイトフレグランスムスク 洗濯洗剤 柔軟剤 セット 大容量 1.65kg ＋ 2kg ホワイトムスク 香り 衣類用液体洗剤 柔軟剤 部屋干し 消臭 静電気防止 詰め替え まとめ買い 日本製</t>
        </is>
      </c>
      <c r="F386" t="n">
        <v>2980</v>
      </c>
      <c r="G386" t="n">
        <v>1098</v>
      </c>
      <c r="H386" t="n">
        <v>1</v>
      </c>
      <c r="I386">
        <f>SUM(G435*H435)</f>
        <v/>
      </c>
    </row>
    <row r="387" ht="13.5" customHeight="1">
      <c r="A387" s="27" t="inlineStr">
        <is>
          <t>4547761490399</t>
        </is>
      </c>
      <c r="B387" s="27" t="inlineStr">
        <is>
          <t>b0c9d3ftyv</t>
        </is>
      </c>
      <c r="C387" s="27" t="inlineStr">
        <is>
          <t>0382,0399,0443/1749</t>
        </is>
      </c>
      <c r="D387" s="27" t="inlineStr">
        <is>
          <t>B0C9D2NFHD</t>
        </is>
      </c>
      <c r="E387" t="inlineStr">
        <is>
          <t>[Arnold Palmer] スニーカー 厚底コートシューズ レディース 23.0/23.5 ブラック/ホワイト 靴 厚底 スリッポン 軽量</t>
        </is>
      </c>
      <c r="F387" t="n">
        <v>5280</v>
      </c>
      <c r="G387" t="n">
        <v>1749</v>
      </c>
      <c r="H387" t="n">
        <v>2</v>
      </c>
      <c r="I387">
        <f>SUM(G436*H436)</f>
        <v/>
      </c>
    </row>
    <row r="388" ht="13.5" customHeight="1">
      <c r="A388" s="27" t="inlineStr">
        <is>
          <t>4547761490382</t>
        </is>
      </c>
      <c r="B388" s="27" t="inlineStr">
        <is>
          <t>b0c9d3ftyv</t>
        </is>
      </c>
      <c r="C388" s="27" t="inlineStr">
        <is>
          <t>0382,0399,0443/1749</t>
        </is>
      </c>
      <c r="D388" s="27" t="inlineStr">
        <is>
          <t>B0C9D3FTYV</t>
        </is>
      </c>
      <c r="E388" t="inlineStr">
        <is>
          <t>[Arnold Palmer] スニーカー 厚底コートシューズ レディース 23.0/23.5 ブラック/ホワイト 靴 厚底 スリッポン 軽量</t>
        </is>
      </c>
      <c r="F388" t="n">
        <v>5280</v>
      </c>
      <c r="G388" t="n">
        <v>1749</v>
      </c>
      <c r="H388" t="n">
        <v>2</v>
      </c>
      <c r="I388">
        <f>SUM(G437*H437)</f>
        <v/>
      </c>
    </row>
    <row r="389" ht="13.5" customHeight="1">
      <c r="A389" s="27" t="inlineStr">
        <is>
          <t>4547761490443</t>
        </is>
      </c>
      <c r="B389" s="27" t="inlineStr">
        <is>
          <t>b0c9d3ftyv</t>
        </is>
      </c>
      <c r="C389" s="27" t="inlineStr">
        <is>
          <t>0382,0399,0443/1749</t>
        </is>
      </c>
      <c r="D389" s="27" t="inlineStr">
        <is>
          <t>B0C9D4V5WS</t>
        </is>
      </c>
      <c r="E389" t="inlineStr">
        <is>
          <t>[Arnold Palmer] スニーカー 厚底コートシューズ レディース 23.0/23.5 ブラック/ホワイト 靴 厚底 スリッポン 軽量</t>
        </is>
      </c>
      <c r="F389" t="n">
        <v>5280</v>
      </c>
      <c r="G389" t="n">
        <v>1749</v>
      </c>
      <c r="H389" t="n">
        <v>0</v>
      </c>
      <c r="I389">
        <f>SUM(G438*H438)</f>
        <v/>
      </c>
    </row>
    <row r="390" ht="13.5" customHeight="1">
      <c r="A390" s="27" t="inlineStr">
        <is>
          <t>4987241192571</t>
        </is>
      </c>
      <c r="B390" s="27" t="inlineStr">
        <is>
          <t>b0c9q1s5qz</t>
        </is>
      </c>
      <c r="C390" s="27" t="inlineStr">
        <is>
          <t>2571/271-a</t>
        </is>
      </c>
      <c r="D390" s="27" t="inlineStr">
        <is>
          <t>b0c9q1s5qz</t>
        </is>
      </c>
      <c r="E390" t="inlineStr">
        <is>
          <t>メンソレータムリップ メンソレータム フラッシュティントリップ オレンジ 2g(6種のオイル配合 高保湿 美発色 落ちにくい UV対策 SPF26 PA+++) 保湿 唇</t>
        </is>
      </c>
      <c r="F390" t="n">
        <v>798</v>
      </c>
      <c r="G390" t="n">
        <v>271</v>
      </c>
      <c r="H390" t="n">
        <v>2</v>
      </c>
      <c r="I390">
        <f>SUM(G439*H439)</f>
        <v/>
      </c>
    </row>
    <row r="391" ht="13.5" customHeight="1">
      <c r="A391" s="27" t="inlineStr">
        <is>
          <t>4987176165589</t>
        </is>
      </c>
      <c r="B391" s="27" t="inlineStr">
        <is>
          <t>b0cbpdcqlf</t>
        </is>
      </c>
      <c r="C391" s="27" t="inlineStr">
        <is>
          <t>4987176165589-h-a</t>
        </is>
      </c>
      <c r="D391" s="27" t="inlineStr">
        <is>
          <t>B0CBPDCQLF</t>
        </is>
      </c>
      <c r="E391" t="inlineStr">
        <is>
          <t>ブラウン 電気シェーバー シリーズ8 8560cc 5 in 1 100％防水設計 4+1 ブラック アルコール洗浄システム付 シェーバーケース付 電動 髭剃り メンズ 防水設計 充電式 コードレス</t>
        </is>
      </c>
      <c r="F391" t="n">
        <v>30780</v>
      </c>
      <c r="G391" t="n">
        <v>22800</v>
      </c>
      <c r="H391" t="n">
        <v>11</v>
      </c>
      <c r="I391">
        <f>SUM(G440*H440)</f>
        <v/>
      </c>
    </row>
    <row r="392" ht="13.5" customHeight="1">
      <c r="A392" s="27" t="inlineStr">
        <is>
          <t>4987241192687</t>
        </is>
      </c>
      <c r="B392" s="27" t="inlineStr">
        <is>
          <t>b0cc5jwfmk</t>
        </is>
      </c>
      <c r="C392" s="27" t="inlineStr">
        <is>
          <t>2687/1538-a</t>
        </is>
      </c>
      <c r="D392" s="27" t="inlineStr">
        <is>
          <t>b0cc5jwfmk</t>
        </is>
      </c>
      <c r="E392" t="inlineStr">
        <is>
          <t>ケアセラ(CareCera) APフェイス&amp;ボディ乳液 大容量本体 400ml×2個セット セラミドプラス×8種の天然型セラミド配合 ボディ ボディケア ケア 保湿 まとめ買い</t>
        </is>
      </c>
      <c r="F392" t="n">
        <v>4780</v>
      </c>
      <c r="G392" t="n">
        <v>1538</v>
      </c>
      <c r="H392" t="n">
        <v>5</v>
      </c>
      <c r="I392">
        <f>SUM(G441*H441)</f>
        <v/>
      </c>
      <c r="J392" t="inlineStr">
        <is>
          <t>✓ 一致（SKU）</t>
        </is>
      </c>
      <c r="K392" t="inlineStr">
        <is>
          <t>4987241192687</t>
        </is>
      </c>
    </row>
    <row r="393" ht="13.5" customHeight="1">
      <c r="A393" s="27" t="inlineStr">
        <is>
          <t>4984937615338</t>
        </is>
      </c>
      <c r="B393" s="27" t="inlineStr">
        <is>
          <t>b0cc8ltjkm</t>
        </is>
      </c>
      <c r="C393" s="27" t="inlineStr">
        <is>
          <t>605,858,638,891-a</t>
        </is>
      </c>
      <c r="D393" s="27" t="inlineStr">
        <is>
          <t>B0C3ZYYHGW</t>
        </is>
      </c>
      <c r="E393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F393" t="n">
        <v>1780</v>
      </c>
      <c r="G393" t="n">
        <v>605</v>
      </c>
      <c r="H393" t="n">
        <v>0</v>
      </c>
      <c r="I393">
        <f>SUM(G442*H442)</f>
        <v/>
      </c>
    </row>
    <row r="394" ht="13.5" customHeight="1">
      <c r="A394" s="27" t="inlineStr">
        <is>
          <t>4984937615307</t>
        </is>
      </c>
      <c r="B394" s="27" t="inlineStr">
        <is>
          <t>b0cc8ltjkm</t>
        </is>
      </c>
      <c r="C394" s="27" t="inlineStr">
        <is>
          <t>605,858,638,891-a</t>
        </is>
      </c>
      <c r="D394" s="27" t="inlineStr">
        <is>
          <t>B0CC8LTJKM</t>
        </is>
      </c>
      <c r="E394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F394" t="n">
        <v>1180</v>
      </c>
      <c r="G394" t="n">
        <v>605</v>
      </c>
      <c r="H394" t="n">
        <v>6</v>
      </c>
      <c r="I394">
        <f>SUM(G443*H443)</f>
        <v/>
      </c>
    </row>
    <row r="395" ht="13.5" customHeight="1">
      <c r="A395" s="27" t="inlineStr">
        <is>
          <t>4984937615321</t>
        </is>
      </c>
      <c r="B395" s="27" t="inlineStr">
        <is>
          <t>b0cc8ltjkm</t>
        </is>
      </c>
      <c r="C395" s="27" t="inlineStr">
        <is>
          <t>605,858,638,891-a</t>
        </is>
      </c>
      <c r="D395" s="27" t="inlineStr">
        <is>
          <t>B0CC8WVVP7</t>
        </is>
      </c>
      <c r="E395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F395" t="n">
        <v>1780</v>
      </c>
      <c r="G395" t="n">
        <v>858</v>
      </c>
      <c r="H395" t="n">
        <v>0</v>
      </c>
      <c r="I395">
        <f>SUM(G444*H444)</f>
        <v/>
      </c>
    </row>
    <row r="396" ht="13.5" customHeight="1">
      <c r="A396" s="27" t="inlineStr">
        <is>
          <t>4984937615314</t>
        </is>
      </c>
      <c r="B396" s="27" t="inlineStr">
        <is>
          <t>b0cc8ltjkm</t>
        </is>
      </c>
      <c r="C396" s="27" t="inlineStr">
        <is>
          <t>605,858,638,891-a</t>
        </is>
      </c>
      <c r="D396" s="27" t="inlineStr">
        <is>
          <t>B0D4DPY659</t>
        </is>
      </c>
      <c r="E396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F396" t="n">
        <v>1180</v>
      </c>
      <c r="G396" t="n">
        <v>638</v>
      </c>
      <c r="H396" t="n">
        <v>15</v>
      </c>
      <c r="I396">
        <f>SUM(G445*H445)</f>
        <v/>
      </c>
    </row>
    <row r="397" ht="13.5" customHeight="1">
      <c r="A397" s="27" t="inlineStr">
        <is>
          <t>8100000036947</t>
        </is>
      </c>
      <c r="B397" s="27" t="inlineStr">
        <is>
          <t>b0cd1bx571</t>
        </is>
      </c>
      <c r="C397" s="27" t="inlineStr">
        <is>
          <t>2571/600-a</t>
        </is>
      </c>
      <c r="D397" s="27" t="inlineStr">
        <is>
          <t>b0cd1bx571</t>
        </is>
      </c>
      <c r="E397" t="inlineStr">
        <is>
          <t>メンソレータムリップ メンソレータム フラッシュティントリップ オレンジ 2g×3個セット(6種のオイル配合 高保湿 美発色 落ちにくい UV対策 SPF26 PA+++) ツヤ 口紅 リップ</t>
        </is>
      </c>
      <c r="F397" t="n">
        <v>1480</v>
      </c>
      <c r="G397" t="n">
        <v>600</v>
      </c>
      <c r="H397" t="n">
        <v>4</v>
      </c>
      <c r="I397">
        <f>SUM(G446*H446)</f>
        <v/>
      </c>
      <c r="J397" t="inlineStr">
        <is>
          <t>✓ 一致（SKU）</t>
        </is>
      </c>
      <c r="K397" t="inlineStr">
        <is>
          <t>8100000036947</t>
        </is>
      </c>
    </row>
    <row r="398" ht="13.5" customHeight="1">
      <c r="A398" s="27" t="inlineStr">
        <is>
          <t>4903588272714</t>
        </is>
      </c>
      <c r="B398" s="27" t="inlineStr">
        <is>
          <t>b0cg6dgl47</t>
        </is>
      </c>
      <c r="C398" s="27" t="inlineStr">
        <is>
          <t>2714/880-a</t>
        </is>
      </c>
      <c r="D398" s="27" t="inlineStr">
        <is>
          <t>b0cg6dgl47</t>
        </is>
      </c>
      <c r="E398" t="inlineStr">
        <is>
          <t>ペティオ (Petio) 犬猫用マット 洗える やさしい手ざわりの４層あったかマットAWY Ｍ 犬 犬用 猫 猫用 マット ベット ベッド 寝具</t>
        </is>
      </c>
      <c r="F398" t="n">
        <v>2980</v>
      </c>
      <c r="G398" t="n">
        <v>880</v>
      </c>
      <c r="H398" t="n">
        <v>9</v>
      </c>
      <c r="I398">
        <f>SUM(G447*H447)</f>
        <v/>
      </c>
      <c r="J398" t="inlineStr">
        <is>
          <t>✓ 一致（SKU）</t>
        </is>
      </c>
      <c r="K398" t="inlineStr">
        <is>
          <t>4903588272714</t>
        </is>
      </c>
    </row>
    <row r="399" ht="13.5" customHeight="1">
      <c r="A399" s="27" t="inlineStr">
        <is>
          <t>4903588269769</t>
        </is>
      </c>
      <c r="B399" s="27" t="inlineStr">
        <is>
          <t>b0cg9crlpf</t>
        </is>
      </c>
      <c r="C399" s="27" t="inlineStr">
        <is>
          <t>4903588269769-a</t>
        </is>
      </c>
      <c r="D399" s="27" t="inlineStr">
        <is>
          <t>b0cg9crlpf</t>
        </is>
      </c>
      <c r="E399" t="inlineStr">
        <is>
          <t>ペティオ (Petio) 電気であたたかいペットのための厚型ソフトヒーター コントローラー付 2L</t>
        </is>
      </c>
      <c r="F399" t="n">
        <v>15980</v>
      </c>
      <c r="G399" t="n">
        <v>9980</v>
      </c>
      <c r="H399" t="n">
        <v>2</v>
      </c>
      <c r="I399">
        <f>SUM(G448*H448)</f>
        <v/>
      </c>
    </row>
    <row r="400" ht="13.5" customHeight="1">
      <c r="A400" s="27" t="inlineStr">
        <is>
          <t>4987072089279</t>
        </is>
      </c>
      <c r="B400" s="27" t="inlineStr">
        <is>
          <t>b0ch9zh48v</t>
        </is>
      </c>
      <c r="C400" s="27" t="inlineStr">
        <is>
          <t>4987072089279-3-a</t>
        </is>
      </c>
      <c r="D400" s="27" t="inlineStr">
        <is>
          <t>b0ch9zh48v</t>
        </is>
      </c>
      <c r="E400" t="inlineStr">
        <is>
          <t>小林製薬 糸ようじ スルッと入るタイプ Y字型 大容量 32本×3個セット デンタルフロス 歯間フロス 歯間ケア 歯垢除去 食べカス除去 オーラルケア 口臭対策 虫歯予防 歯周病予防 奥歯対応 狭い歯間 初心者向け 持ち手付き マルチグリップ 細いフロス 毎日ケア まとめ買い</t>
        </is>
      </c>
      <c r="F400" t="n">
        <v>2380</v>
      </c>
      <c r="G400" t="n">
        <v>1140</v>
      </c>
      <c r="H400" t="n">
        <v>17</v>
      </c>
      <c r="I400">
        <f>SUM(G449*H449)</f>
        <v/>
      </c>
      <c r="J400" t="inlineStr">
        <is>
          <t>✓ 一致（SKU）</t>
        </is>
      </c>
      <c r="K400" t="inlineStr">
        <is>
          <t>4987072089279</t>
        </is>
      </c>
    </row>
    <row r="401" ht="13.5" customHeight="1">
      <c r="A401" s="27" t="inlineStr">
        <is>
          <t>4969655463041</t>
        </is>
      </c>
      <c r="B401" s="27" t="inlineStr">
        <is>
          <t>b0chs4xy6d</t>
        </is>
      </c>
      <c r="C401" s="27" t="inlineStr">
        <is>
          <t>577</t>
        </is>
      </c>
      <c r="D401" s="27" t="inlineStr">
        <is>
          <t>b0chs4xy6d</t>
        </is>
      </c>
      <c r="E401" t="inlineStr">
        <is>
          <t>BOSCH(ボッシュ)スバル車用エアコンフィルター アエリストフレッシュ (抗ウイルスタイプ) AFS-F02 エアコン フィルター 車 抗ウイルス 抗菌 防カビ 防臭</t>
        </is>
      </c>
      <c r="F401" t="n">
        <v>2580</v>
      </c>
      <c r="G401" t="n">
        <v>577</v>
      </c>
      <c r="H401" t="n">
        <v>4</v>
      </c>
      <c r="I401">
        <f>SUM(G450*H450)</f>
        <v/>
      </c>
      <c r="J401" t="inlineStr">
        <is>
          <t>✓ 一致（SKU）</t>
        </is>
      </c>
      <c r="K401" t="inlineStr">
        <is>
          <t>4969655463041</t>
        </is>
      </c>
    </row>
    <row r="402" ht="13.5" customHeight="1">
      <c r="A402" s="27" t="inlineStr">
        <is>
          <t>8100000037555</t>
        </is>
      </c>
      <c r="B402" s="27" t="inlineStr">
        <is>
          <t>b0chyd2hnt</t>
        </is>
      </c>
      <c r="C402" s="27" t="inlineStr">
        <is>
          <t>3058/357-a</t>
        </is>
      </c>
      <c r="D402" s="27" t="inlineStr">
        <is>
          <t>b0chyd2hnt</t>
        </is>
      </c>
      <c r="E402" t="inlineStr">
        <is>
          <t>ソフラン アロマリッチ キャサリン 本体＋詰替セット 部屋干し 雨の日 部屋 かろやか 香る きれい 清潔 衣類 防臭 抗菌 金木犀 洗濯</t>
        </is>
      </c>
      <c r="F402" t="n">
        <v>2280</v>
      </c>
      <c r="G402" t="n">
        <v>357</v>
      </c>
      <c r="H402" t="n">
        <v>12</v>
      </c>
      <c r="I402">
        <f>SUM(G452*H452)</f>
        <v/>
      </c>
      <c r="J402" t="inlineStr">
        <is>
          <t>✓ 一致（SKU）</t>
        </is>
      </c>
      <c r="K402" t="inlineStr">
        <is>
          <t>8100000037555</t>
        </is>
      </c>
    </row>
    <row r="403" ht="13.5" customHeight="1">
      <c r="A403" s="27" t="inlineStr">
        <is>
          <t>4901301424051</t>
        </is>
      </c>
      <c r="B403" s="27" t="inlineStr">
        <is>
          <t>b0cjfl5j9t</t>
        </is>
      </c>
      <c r="C403" s="27" t="inlineStr">
        <is>
          <t>4051/514-a</t>
        </is>
      </c>
      <c r="D403" s="27" t="inlineStr">
        <is>
          <t>b0cjfl5j9t</t>
        </is>
      </c>
      <c r="E403" t="inlineStr">
        <is>
          <t>アトリックス ハンドミルキーローション 140g ハンドクリーム 保湿 手荒れ ケア ポンプタイプ 花王 ハンド クリーム</t>
        </is>
      </c>
      <c r="F403" t="n">
        <v>1980</v>
      </c>
      <c r="G403" t="n">
        <v>514</v>
      </c>
      <c r="H403" t="n">
        <v>15</v>
      </c>
      <c r="I403">
        <f>SUM(G453*H453)</f>
        <v/>
      </c>
      <c r="J403" t="inlineStr">
        <is>
          <t>✓ 一致（SKU）</t>
        </is>
      </c>
      <c r="K403" t="inlineStr">
        <is>
          <t>4901301424051</t>
        </is>
      </c>
    </row>
    <row r="404" ht="13.5" customHeight="1">
      <c r="A404" s="27" t="inlineStr">
        <is>
          <t>4901301424051</t>
        </is>
      </c>
      <c r="B404" s="27" t="inlineStr">
        <is>
          <t>b0cjfl5j9t-1</t>
        </is>
      </c>
      <c r="C404" s="27" t="inlineStr">
        <is>
          <t>4051/1542-a</t>
        </is>
      </c>
      <c r="D404" s="27" t="inlineStr">
        <is>
          <t>B0CJFL5J9T-1</t>
        </is>
      </c>
      <c r="E404" t="inlineStr">
        <is>
          <t>アトリックス ハンドミルキーローション 140g×3個セット ハンドクリーム 保湿 手荒れ ケア ポンプタイプ 花王 ハンド クリーム</t>
        </is>
      </c>
      <c r="F404" t="n">
        <v>3980</v>
      </c>
      <c r="G404" t="n">
        <v>1542</v>
      </c>
      <c r="H404" t="n">
        <v>7</v>
      </c>
      <c r="I404">
        <f>SUM(G454*H454)</f>
        <v/>
      </c>
      <c r="J404" t="inlineStr">
        <is>
          <t>✓ 一致（SKU）</t>
        </is>
      </c>
      <c r="K404" t="inlineStr">
        <is>
          <t>4901301424051</t>
        </is>
      </c>
    </row>
    <row r="405" ht="13.5" customHeight="1">
      <c r="A405" s="27" t="inlineStr">
        <is>
          <t>4901301424051</t>
        </is>
      </c>
      <c r="B405" s="27" t="inlineStr">
        <is>
          <t>b0cjfl5j9t-2</t>
        </is>
      </c>
      <c r="C405" s="27" t="inlineStr">
        <is>
          <t>4051/1028-a</t>
        </is>
      </c>
      <c r="D405" s="27" t="inlineStr">
        <is>
          <t>B0CJFL5J9T-2</t>
        </is>
      </c>
      <c r="E405" t="inlineStr">
        <is>
          <t>アトリックス ハンドミルキーローション 140g×2個セット ハンドクリーム 保湿 手荒れ ケア ポンプタイプ 花王 ハンド クリーム</t>
        </is>
      </c>
      <c r="F405" t="n">
        <v>2980</v>
      </c>
      <c r="G405" t="n">
        <v>1028</v>
      </c>
      <c r="H405" t="n">
        <v>20</v>
      </c>
      <c r="I405">
        <f>SUM(G455*H455)</f>
        <v/>
      </c>
      <c r="J405" t="inlineStr">
        <is>
          <t>✓ 一致（SKU）</t>
        </is>
      </c>
      <c r="K405" t="inlineStr">
        <is>
          <t>4901301424051</t>
        </is>
      </c>
    </row>
    <row r="406" ht="13.5" customHeight="1">
      <c r="A406" s="27" t="inlineStr">
        <is>
          <t>0840268925536</t>
        </is>
      </c>
      <c r="B406" s="27" t="inlineStr">
        <is>
          <t>b0cjlfprmh</t>
        </is>
      </c>
      <c r="C406" s="27" t="inlineStr">
        <is>
          <t>5980</t>
        </is>
      </c>
      <c r="D406" s="27" t="inlineStr">
        <is>
          <t>B0CJLFPRMH</t>
        </is>
      </c>
      <c r="E406" t="inlineStr">
        <is>
          <t>Amazon Fire TV Stick 4K ストリーミングメディアプレイヤー ファイヤーtvスティック amazonファイヤースティック</t>
        </is>
      </c>
      <c r="F406" t="n">
        <v>8980</v>
      </c>
      <c r="G406" t="n">
        <v>5980</v>
      </c>
      <c r="H406" t="n">
        <v>1</v>
      </c>
      <c r="I406">
        <f>SUM(G456*H456)</f>
        <v/>
      </c>
    </row>
    <row r="407" ht="13.5" customHeight="1">
      <c r="A407" s="27" t="inlineStr">
        <is>
          <t>4936201106448</t>
        </is>
      </c>
      <c r="B407" s="27" t="inlineStr">
        <is>
          <t>b0cjq45rcv</t>
        </is>
      </c>
      <c r="C407" s="27" t="inlineStr">
        <is>
          <t>4936201106448-4-a</t>
        </is>
      </c>
      <c r="D407" s="27" t="inlineStr">
        <is>
          <t>b0cjq45rcv</t>
        </is>
      </c>
      <c r="E407" t="inlineStr">
        <is>
          <t>【4個セット】柑橘王子 フェイシャルクリアホイップSP レフィル 詰め替え 300mL×4個 泡洗顔 洗顔フォーム メンズ 毛穴ケア 皮脂ケア 保湿 ビタミンC CICA ニキビ対策 フェイスウォッシュ さっぱり 大容量 男性用洗顔料 スキンケア まとめ買い ストック デイリーケア</t>
        </is>
      </c>
      <c r="F407" t="n">
        <v>3280</v>
      </c>
      <c r="G407" t="n">
        <v>1931</v>
      </c>
      <c r="H407" t="n">
        <v>3</v>
      </c>
      <c r="I407">
        <f>SUM(G457*H457)</f>
        <v/>
      </c>
    </row>
    <row r="408" ht="13.5" customHeight="1">
      <c r="A408" s="27" t="inlineStr">
        <is>
          <t>4936201106448</t>
        </is>
      </c>
      <c r="B408" s="27" t="inlineStr">
        <is>
          <t>b0cjq45rcv-1</t>
        </is>
      </c>
      <c r="C408" s="27" t="inlineStr">
        <is>
          <t>4936201106448-3-a</t>
        </is>
      </c>
      <c r="D408" s="27" t="inlineStr">
        <is>
          <t>B0CJQ45RCV-1</t>
        </is>
      </c>
      <c r="E408" t="inlineStr">
        <is>
          <t>柑橘王子 フェイシャルクリアホイップSP レフィル 詰め替え 300ml×3個セット 洗顔 泡洗顔 保湿 毛穴ケア さっぱり</t>
        </is>
      </c>
      <c r="F408" t="n">
        <v>2480</v>
      </c>
      <c r="G408" t="n">
        <v>1448</v>
      </c>
      <c r="H408" t="n">
        <v>3</v>
      </c>
      <c r="I408">
        <f>SUM(G458*H458)</f>
        <v/>
      </c>
    </row>
    <row r="409" ht="13.5" customHeight="1">
      <c r="A409" s="27" t="inlineStr">
        <is>
          <t>4987176184580</t>
        </is>
      </c>
      <c r="B409" s="27" t="inlineStr">
        <is>
          <t>b0ckhk5b77</t>
        </is>
      </c>
      <c r="C409" s="27" t="inlineStr">
        <is>
          <t>2176</t>
        </is>
      </c>
      <c r="D409" s="27" t="inlineStr">
        <is>
          <t>b0ckhk5b77</t>
        </is>
      </c>
      <c r="E409" t="inlineStr">
        <is>
          <t>さらさ 柔軟剤 詰め替え 超ジャンボ 1350mL×2個セット 液体 詰替 衣料用洗剤 液体洗剤 しっかり洗浄 植物由来成分 赤ちゃん すすぎ1回 ペット アロマの香り つめかえ用 P&amp;G 送料無料</t>
        </is>
      </c>
      <c r="F409" t="n">
        <v>3980</v>
      </c>
      <c r="G409" t="n">
        <v>2176</v>
      </c>
      <c r="H409" t="n">
        <v>11</v>
      </c>
      <c r="I409">
        <f>SUM(G459*H459)</f>
        <v/>
      </c>
      <c r="J409" t="inlineStr">
        <is>
          <t>✓ 一致（SKU）</t>
        </is>
      </c>
      <c r="K409" t="inlineStr">
        <is>
          <t>4987176184580</t>
        </is>
      </c>
    </row>
    <row r="410" ht="13.5" customHeight="1">
      <c r="A410" s="27" t="inlineStr">
        <is>
          <t>4903301350811</t>
        </is>
      </c>
      <c r="B410" s="27" t="inlineStr">
        <is>
          <t>b0cksbjbrp</t>
        </is>
      </c>
      <c r="C410" s="27" t="inlineStr">
        <is>
          <t>0811/1200-a</t>
        </is>
      </c>
      <c r="D410" s="27" t="inlineStr">
        <is>
          <t>b0cksbjbrp</t>
        </is>
      </c>
      <c r="E410" t="inlineStr">
        <is>
          <t>ナノックスワン NANOXone PRO 洗濯洗剤 詰め替え ウルトラジャンボ(1400g) 洗濯 洗剤 洗濯洗剤</t>
        </is>
      </c>
      <c r="F410" t="n">
        <v>3980</v>
      </c>
      <c r="G410" t="n">
        <v>1200</v>
      </c>
      <c r="H410" t="n">
        <v>9</v>
      </c>
      <c r="I410">
        <f>SUM(G460*H460)</f>
        <v/>
      </c>
      <c r="J410" t="inlineStr">
        <is>
          <t>✓ 一致（SKU）</t>
        </is>
      </c>
      <c r="K410" t="inlineStr">
        <is>
          <t>4903301350811</t>
        </is>
      </c>
    </row>
    <row r="411" ht="13.5" customHeight="1">
      <c r="A411" s="27" t="inlineStr">
        <is>
          <t>4901422365264</t>
        </is>
      </c>
      <c r="B411" s="27" t="inlineStr">
        <is>
          <t>b0ckv5gbnc</t>
        </is>
      </c>
      <c r="C411" s="27" t="inlineStr">
        <is>
          <t>5264/332</t>
        </is>
      </c>
      <c r="D411" s="27" t="inlineStr">
        <is>
          <t>b0ckv5gbnc</t>
        </is>
      </c>
      <c r="E411" t="inlineStr">
        <is>
          <t>クレハ ダストマンどこでもスタンド 20枚×2個セット スタンド 三角コーナー 水切り ゴミ袋</t>
        </is>
      </c>
      <c r="F411" t="n">
        <v>1280</v>
      </c>
      <c r="G411" t="n">
        <v>332</v>
      </c>
      <c r="H411" t="n">
        <v>19</v>
      </c>
      <c r="I411">
        <f>SUM(G461*H461)</f>
        <v/>
      </c>
      <c r="J411" t="inlineStr">
        <is>
          <t>✓ 一致（SKU）</t>
        </is>
      </c>
      <c r="K411" t="inlineStr">
        <is>
          <t>4901422365264</t>
        </is>
      </c>
    </row>
    <row r="412" ht="13.5" customHeight="1">
      <c r="A412" s="27" t="inlineStr">
        <is>
          <t>4903301353225</t>
        </is>
      </c>
      <c r="B412" s="27" t="inlineStr">
        <is>
          <t>b0ckwv1ns8</t>
        </is>
      </c>
      <c r="C412" s="27" t="inlineStr">
        <is>
          <t>2225/577-a</t>
        </is>
      </c>
      <c r="D412" s="27" t="inlineStr">
        <is>
          <t>b0ckwv1ns8</t>
        </is>
      </c>
      <c r="E412" t="inlineStr">
        <is>
          <t>ライオン ソフラン アロマリッチ キャサリン つめかえ用 特大 (950mL) 詰め替え用 柔軟剤</t>
        </is>
      </c>
      <c r="F412" t="n">
        <v>1480</v>
      </c>
      <c r="G412" t="n">
        <v>346.5</v>
      </c>
      <c r="H412" t="n">
        <v>30</v>
      </c>
      <c r="I412">
        <f>SUM(G462*H462)</f>
        <v/>
      </c>
    </row>
    <row r="413" ht="13.5" customHeight="1">
      <c r="A413" s="27" t="inlineStr">
        <is>
          <t>0194644179724</t>
        </is>
      </c>
      <c r="B413" s="27" t="inlineStr">
        <is>
          <t>b0cm66ly5f</t>
        </is>
      </c>
      <c r="C413" s="27" t="inlineStr">
        <is>
          <t>9724/9490</t>
        </is>
      </c>
      <c r="D413" s="27" t="inlineStr">
        <is>
          <t>b0cm66ly5f</t>
        </is>
      </c>
      <c r="E413" t="inlineStr">
        <is>
          <t>Anker MagGo Wireless Charging Station (Foldable 3-in-1) Qi2対応 マグネット式 3-in-1 ワイヤレス充電ステーション/ワイヤレス出力/Apple Watchホルダー付 iPhone MagSafe対応 iPhone 17 / 17 Pro / 17 Pro Max / 16 / 15 / 14 / 13 ブラック</t>
        </is>
      </c>
      <c r="F413" t="n">
        <v>15980</v>
      </c>
      <c r="G413" t="n">
        <v>9490</v>
      </c>
      <c r="H413" t="n">
        <v>1</v>
      </c>
      <c r="I413">
        <f>SUM(G463*H463)</f>
        <v/>
      </c>
      <c r="J413" t="inlineStr">
        <is>
          <t>✓ 一致（SKU）</t>
        </is>
      </c>
      <c r="K413" t="inlineStr">
        <is>
          <t>0194644179724</t>
        </is>
      </c>
    </row>
    <row r="414" ht="13.5" customHeight="1">
      <c r="A414" s="27" t="inlineStr">
        <is>
          <t>4901609016057</t>
        </is>
      </c>
      <c r="B414" s="27" t="inlineStr">
        <is>
          <t>b0cnkfjw3j</t>
        </is>
      </c>
      <c r="C414" s="27" t="inlineStr">
        <is>
          <t>6057/657</t>
        </is>
      </c>
      <c r="D414" s="27" t="inlineStr">
        <is>
          <t>b0cnkfjw3j</t>
        </is>
      </c>
      <c r="E414" t="inlineStr">
        <is>
          <t>スクラビングバブル トイレスタンプ 消臭成分in クリアジャスミン 本体×3個セット トイレ洗剤 掃除 付け替え用</t>
        </is>
      </c>
      <c r="F414" t="n">
        <v>2480</v>
      </c>
      <c r="G414" t="n">
        <v>657</v>
      </c>
      <c r="H414" t="n">
        <v>4</v>
      </c>
      <c r="I414">
        <f>SUM(G464*H464)</f>
        <v/>
      </c>
      <c r="J414" t="inlineStr">
        <is>
          <t>✓ 一致（SKU）</t>
        </is>
      </c>
      <c r="K414" t="inlineStr">
        <is>
          <t>4901609016057</t>
        </is>
      </c>
    </row>
    <row r="415" ht="13.5" customHeight="1">
      <c r="A415" s="27" t="inlineStr">
        <is>
          <t>0194644186241</t>
        </is>
      </c>
      <c r="B415" s="27" t="inlineStr">
        <is>
          <t>b0cp4rhk7x</t>
        </is>
      </c>
      <c r="C415" s="27" t="inlineStr">
        <is>
          <t>7555,7562,7548,7579/6490</t>
        </is>
      </c>
      <c r="D415" s="27" t="inlineStr">
        <is>
          <t>B0CP4RHK7X</t>
        </is>
      </c>
      <c r="E415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F415" t="n">
        <v>9980</v>
      </c>
      <c r="G415" t="n">
        <v>6490</v>
      </c>
      <c r="H415" t="n">
        <v>5</v>
      </c>
      <c r="I415">
        <f>SUM(G465*H465)</f>
        <v/>
      </c>
    </row>
    <row r="416" ht="13.5" customHeight="1">
      <c r="A416" s="27" t="inlineStr">
        <is>
          <t>0194644186227</t>
        </is>
      </c>
      <c r="B416" s="27" t="inlineStr">
        <is>
          <t>b0cp4rhk7x</t>
        </is>
      </c>
      <c r="C416" s="27" t="inlineStr">
        <is>
          <t>7555,7562,7548,7579/6490</t>
        </is>
      </c>
      <c r="D416" s="27" t="inlineStr">
        <is>
          <t>B0CP4RLMDB</t>
        </is>
      </c>
      <c r="E416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F416" t="n">
        <v>9980</v>
      </c>
      <c r="G416" t="n">
        <v>6490</v>
      </c>
      <c r="H416" t="n">
        <v>9</v>
      </c>
      <c r="I416">
        <f>SUM(G466*H466)</f>
        <v/>
      </c>
    </row>
    <row r="417" ht="13.5" customHeight="1">
      <c r="A417" s="27" t="inlineStr">
        <is>
          <t>0194644186258</t>
        </is>
      </c>
      <c r="B417" s="27" t="inlineStr">
        <is>
          <t>b0cp4rhk7x</t>
        </is>
      </c>
      <c r="C417" s="27" t="inlineStr">
        <is>
          <t>7555,7562,7548,7579/6490</t>
        </is>
      </c>
      <c r="D417" s="27" t="inlineStr">
        <is>
          <t>B0CP4RQZ3L</t>
        </is>
      </c>
      <c r="E417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F417" t="n">
        <v>9980</v>
      </c>
      <c r="G417" t="n">
        <v>6490</v>
      </c>
      <c r="H417" t="n">
        <v>4</v>
      </c>
      <c r="I417">
        <f>SUM(G467*H467)</f>
        <v/>
      </c>
    </row>
    <row r="418" ht="13.5" customHeight="1">
      <c r="A418" s="27" t="inlineStr">
        <is>
          <t>0194644186234</t>
        </is>
      </c>
      <c r="B418" s="27" t="inlineStr">
        <is>
          <t>b0cp4rhk7x</t>
        </is>
      </c>
      <c r="C418" s="27" t="inlineStr">
        <is>
          <t>7555,7562,7548,7579/6490</t>
        </is>
      </c>
      <c r="D418" s="27" t="inlineStr">
        <is>
          <t>B0CP4SRM8K</t>
        </is>
      </c>
      <c r="E418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F418" t="n">
        <v>9980</v>
      </c>
      <c r="G418" t="n">
        <v>6490</v>
      </c>
      <c r="H418" t="n">
        <v>7</v>
      </c>
      <c r="I418">
        <f>SUM(G468*H468)</f>
        <v/>
      </c>
    </row>
    <row r="419" ht="13.5" customHeight="1">
      <c r="A419" s="27" t="inlineStr">
        <is>
          <t>4903320486737</t>
        </is>
      </c>
      <c r="B419" s="27" t="inlineStr">
        <is>
          <t>b0cqp26kkq</t>
        </is>
      </c>
      <c r="C419" s="27" t="inlineStr">
        <is>
          <t>6737/1094-a</t>
        </is>
      </c>
      <c r="D419" s="27" t="inlineStr">
        <is>
          <t>b0cqp26kkq</t>
        </is>
      </c>
      <c r="E419" t="inlineStr">
        <is>
          <t>レック(LEC) サンリオ クロミ ウエットティシュケース×2個セット 純水99.9% ウエットティシュ 付き</t>
        </is>
      </c>
      <c r="F419" t="n">
        <v>2480</v>
      </c>
      <c r="G419" t="n">
        <v>1094</v>
      </c>
      <c r="H419" t="n">
        <v>2</v>
      </c>
      <c r="I419">
        <f>SUM(G469*H469)</f>
        <v/>
      </c>
      <c r="J419" t="inlineStr">
        <is>
          <t>✓ 一致（SKU）</t>
        </is>
      </c>
      <c r="K419" t="inlineStr">
        <is>
          <t>4903320486737</t>
        </is>
      </c>
    </row>
    <row r="420" ht="13.5" customHeight="1">
      <c r="A420" s="27" t="inlineStr">
        <is>
          <t>4901080154613</t>
        </is>
      </c>
      <c r="B420" s="27" t="inlineStr">
        <is>
          <t>b0cscsyb94</t>
        </is>
      </c>
      <c r="C420" s="27" t="inlineStr">
        <is>
          <t>4613/768-a</t>
        </is>
      </c>
      <c r="D420" s="27" t="inlineStr">
        <is>
          <t>b0cscsyb94</t>
        </is>
      </c>
      <c r="E420" t="inlineStr">
        <is>
          <t>虫よけ泡マーカー コールマン Coleman 虫除けスプレー キャンプ アウトドア(150ml) 不快害虫用 忌避 ハーブの香り 泡 害虫忌避 嫌な虫 寄せ付けない キャンプ アウトドア 屋外 虫除け</t>
        </is>
      </c>
      <c r="F420" t="n">
        <v>1980</v>
      </c>
      <c r="G420" t="n">
        <v>768</v>
      </c>
      <c r="H420" t="n">
        <v>28</v>
      </c>
      <c r="I420">
        <f>SUM(G470*H470)</f>
        <v/>
      </c>
      <c r="J420" t="inlineStr">
        <is>
          <t>✓ 一致（SKU）</t>
        </is>
      </c>
      <c r="K420" t="inlineStr">
        <is>
          <t>4901080154613</t>
        </is>
      </c>
    </row>
    <row r="421" ht="13.5" customHeight="1">
      <c r="A421" s="27" t="inlineStr">
        <is>
          <t>4987241193899</t>
        </is>
      </c>
      <c r="B421" s="27" t="inlineStr">
        <is>
          <t>b0ct52gvd8</t>
        </is>
      </c>
      <c r="C421" s="27" t="inlineStr">
        <is>
          <t>3899/1314</t>
        </is>
      </c>
      <c r="D421" s="27" t="inlineStr">
        <is>
          <t>b0ct52gvd8</t>
        </is>
      </c>
      <c r="E421" t="inlineStr">
        <is>
          <t>【3個セット】スキンアクア スーパーモイスチャーUVライトアップエッセンス 70g×3個 日焼け止め SPF50+ PA++++ 化粧下地</t>
        </is>
      </c>
      <c r="F421" t="n">
        <v>2980</v>
      </c>
      <c r="G421" t="n">
        <v>1314</v>
      </c>
      <c r="H421" t="n">
        <v>6</v>
      </c>
      <c r="I421">
        <f>SUM(G471*H471)</f>
        <v/>
      </c>
      <c r="J421" t="inlineStr">
        <is>
          <t>✓ 一致（SKU）</t>
        </is>
      </c>
      <c r="K421" t="inlineStr">
        <is>
          <t>4987241193899</t>
        </is>
      </c>
    </row>
    <row r="422" ht="13.5" customHeight="1">
      <c r="A422" s="27" t="inlineStr">
        <is>
          <t>4987241194377</t>
        </is>
      </c>
      <c r="B422" s="27" t="inlineStr">
        <is>
          <t>b0ct5mt6vf</t>
        </is>
      </c>
      <c r="C422" s="27" t="inlineStr">
        <is>
          <t>4377/1314</t>
        </is>
      </c>
      <c r="D422" s="27" t="inlineStr">
        <is>
          <t>b0ct5mt6vf</t>
        </is>
      </c>
      <c r="E422" t="inlineStr">
        <is>
          <t>【3個セット】スキンアクア スーパーモイスチャーUVミスト 60mL×3個セット 日焼け止め UVミスト UVスプレー SPF50+ PA++++ 顔 体 髪用 紫外線対策 UVカット スーパーウォータープルーフ 保湿 うるおい メイクの上から 透明タイプ 石けんで落とせる ロート製薬 まとめ買い</t>
        </is>
      </c>
      <c r="F422" t="n">
        <v>2980</v>
      </c>
      <c r="G422" t="n">
        <v>1314</v>
      </c>
      <c r="H422" t="n">
        <v>5</v>
      </c>
      <c r="I422">
        <f>SUM(G472*H472)</f>
        <v/>
      </c>
      <c r="J422" t="inlineStr">
        <is>
          <t>✓ 一致（SKU）</t>
        </is>
      </c>
      <c r="K422" t="inlineStr">
        <is>
          <t>4987241194377</t>
        </is>
      </c>
    </row>
    <row r="423" ht="13.5" customHeight="1">
      <c r="A423" s="27" t="inlineStr">
        <is>
          <t>4902111776620</t>
        </is>
      </c>
      <c r="B423" s="27" t="inlineStr">
        <is>
          <t>b0ct9kdbfs</t>
        </is>
      </c>
      <c r="C423" s="27" t="inlineStr">
        <is>
          <t>6620,6637/2081</t>
        </is>
      </c>
      <c r="D423" s="27" t="inlineStr">
        <is>
          <t>b0ct9kdbfs</t>
        </is>
      </c>
      <c r="E423" t="inlineStr">
        <is>
          <t>NEXXUS(ネクサス) リペアアンドカラープロテクト シャンプー トリートメント セット 各440g ２本セット ポンプ ケア ヘアケア</t>
        </is>
      </c>
      <c r="F423" t="n">
        <v>4280</v>
      </c>
      <c r="G423" t="n">
        <v>2081</v>
      </c>
      <c r="H423" t="n">
        <v>0</v>
      </c>
      <c r="I423">
        <f>SUM(G473*H473)</f>
        <v/>
      </c>
      <c r="J423" t="inlineStr">
        <is>
          <t>✓ 一致（SKU）</t>
        </is>
      </c>
      <c r="K423" t="inlineStr">
        <is>
          <t>4902111776620</t>
        </is>
      </c>
    </row>
    <row r="424" ht="13.5" customHeight="1">
      <c r="A424" s="27" t="inlineStr">
        <is>
          <t>4902111776644</t>
        </is>
      </c>
      <c r="B424" s="27" t="inlineStr">
        <is>
          <t>b0ctb5p54t</t>
        </is>
      </c>
      <c r="C424" s="27" t="inlineStr">
        <is>
          <t>6644/574-a</t>
        </is>
      </c>
      <c r="D424" s="27" t="inlineStr">
        <is>
          <t>b0ctb5p54t</t>
        </is>
      </c>
      <c r="E424" t="inlineStr">
        <is>
          <t>NEXXUS(ネクサス) リペアアンドカラープロテクト 洗い流さないトリートメントオイル 100ml×2個セット ２本セット ケア ヘアケア</t>
        </is>
      </c>
      <c r="F424" t="n">
        <v>2980</v>
      </c>
      <c r="G424" t="n">
        <v>574</v>
      </c>
      <c r="H424" t="n">
        <v>5</v>
      </c>
      <c r="I424">
        <f>SUM(G474*H474)</f>
        <v/>
      </c>
      <c r="J424" t="inlineStr">
        <is>
          <t>✓ 一致（SKU）</t>
        </is>
      </c>
      <c r="K424" t="inlineStr">
        <is>
          <t>4902111776644</t>
        </is>
      </c>
    </row>
    <row r="425" ht="13.5" customHeight="1">
      <c r="A425" s="27" t="inlineStr">
        <is>
          <t>4902111776637</t>
        </is>
      </c>
      <c r="B425" s="27" t="inlineStr">
        <is>
          <t>b0ctb8t88q</t>
        </is>
      </c>
      <c r="C425" s="27" t="inlineStr">
        <is>
          <t>4902111776637-a</t>
        </is>
      </c>
      <c r="D425" s="27" t="inlineStr">
        <is>
          <t>B0CTB8T88Q</t>
        </is>
      </c>
      <c r="E425" t="inlineStr">
        <is>
          <t>NEXXUS(ネクサス) リペアアンドカラープロテクト トリートメント 440g ポンプ ケア ヘアケア</t>
        </is>
      </c>
      <c r="F425" t="n">
        <v>1980</v>
      </c>
      <c r="G425" t="n">
        <v>630</v>
      </c>
      <c r="H425" t="n">
        <v>39</v>
      </c>
      <c r="I425">
        <f>SUM(G475*H475)</f>
        <v/>
      </c>
    </row>
    <row r="426" ht="13.5" customHeight="1">
      <c r="A426" s="27" t="inlineStr">
        <is>
          <t>4987176233288</t>
        </is>
      </c>
      <c r="B426" s="27" t="inlineStr">
        <is>
          <t>b0cthfllth</t>
        </is>
      </c>
      <c r="C426" s="27" t="inlineStr">
        <is>
          <t>3288/1600</t>
        </is>
      </c>
      <c r="D426" s="27" t="inlineStr">
        <is>
          <t>b0cthfllth</t>
        </is>
      </c>
      <c r="E426" t="inlineStr">
        <is>
          <t>【2個セット】ファブリーズ 消臭スプレー 布用 PREMIUM シトラス＆ガーデン 詰め替え 特大 640mL×2 大容量 布製品 消臭 除菌 生活臭 ペット臭 タバコ臭 部屋干し臭 ソファ カーテン 寝具 消臭剤 速効消臭 家庭用 P&amp;G 日本製 まとめ買い 日用品 ストック用品</t>
        </is>
      </c>
      <c r="F426" t="n">
        <v>3980</v>
      </c>
      <c r="G426" t="n">
        <v>1600</v>
      </c>
      <c r="H426" t="n">
        <v>1</v>
      </c>
      <c r="I426">
        <f>SUM(G476*H476)</f>
        <v/>
      </c>
      <c r="J426" t="inlineStr">
        <is>
          <t>✓ 一致（SKU）</t>
        </is>
      </c>
      <c r="K426" t="inlineStr">
        <is>
          <t>4987176233288</t>
        </is>
      </c>
    </row>
    <row r="427" ht="13.5" customHeight="1">
      <c r="A427" s="27" t="inlineStr">
        <is>
          <t>4987176180148</t>
        </is>
      </c>
      <c r="B427" s="27" t="inlineStr">
        <is>
          <t>b0ctqbv88b</t>
        </is>
      </c>
      <c r="C427" s="27" t="inlineStr">
        <is>
          <t>4987176180148-a</t>
        </is>
      </c>
      <c r="D427" s="27" t="inlineStr">
        <is>
          <t>B0CTQBV88B</t>
        </is>
      </c>
      <c r="E427" t="inlineStr">
        <is>
          <t>ブラウン 電気シェーバー シリーズ7 72-C7500s チタニウムゴールド 洗浄機付き 電動 髭剃り メンズ 防水設計 充電式 コードレス 急速 急速充電</t>
        </is>
      </c>
      <c r="F427" t="n">
        <v>29800</v>
      </c>
      <c r="G427" t="n">
        <v>18800</v>
      </c>
      <c r="H427" t="n">
        <v>5</v>
      </c>
      <c r="I427">
        <f>SUM(G477*H477)</f>
        <v/>
      </c>
    </row>
    <row r="428" ht="13.5" customHeight="1">
      <c r="A428" s="27" t="inlineStr">
        <is>
          <t>4580632118404</t>
        </is>
      </c>
      <c r="B428" s="27" t="inlineStr">
        <is>
          <t>b0cv7gxqq1</t>
        </is>
      </c>
      <c r="C428" s="27" t="inlineStr">
        <is>
          <t>8404/484-a</t>
        </is>
      </c>
      <c r="D428" s="27" t="inlineStr">
        <is>
          <t>b0cv7gxqq1</t>
        </is>
      </c>
      <c r="E428" t="inlineStr">
        <is>
          <t>Diane(ダイアン) 【携帯用】 デオドラントスプレー ボディ用 ドライシャンプー [UVケア]グレープフルーツ&amp;ペパーミントの香り 40g +BODY プラスボディ 制汗 スプレー</t>
        </is>
      </c>
      <c r="F428" t="n">
        <v>1480</v>
      </c>
      <c r="G428" t="n">
        <v>484</v>
      </c>
      <c r="H428" t="n">
        <v>4</v>
      </c>
      <c r="I428">
        <f>SUM(G480*H480)</f>
        <v/>
      </c>
    </row>
    <row r="429" ht="13.5" customHeight="1">
      <c r="A429" s="27" t="inlineStr">
        <is>
          <t>4580632118268</t>
        </is>
      </c>
      <c r="B429" s="27" t="inlineStr">
        <is>
          <t>b0cv7jshcw</t>
        </is>
      </c>
      <c r="C429" s="27" t="inlineStr">
        <is>
          <t>8268/605-a</t>
        </is>
      </c>
      <c r="D429" s="27" t="inlineStr">
        <is>
          <t>b0cv7jshcw</t>
        </is>
      </c>
      <c r="E429" t="inlineStr">
        <is>
          <t>Diane(ダイアン) デオドラントスプレー ボディ用 ドライシャンプー [UVケア]グレープフルーツ&amp;ペパーミントの香り 95g +BODY プラスボディ 制汗 スプレー</t>
        </is>
      </c>
      <c r="F429" t="n">
        <v>1580</v>
      </c>
      <c r="G429" t="n">
        <v>605</v>
      </c>
      <c r="H429" t="n">
        <v>8</v>
      </c>
      <c r="I429">
        <f>SUM(G481*H481)</f>
        <v/>
      </c>
    </row>
    <row r="430" ht="13.5" customHeight="1">
      <c r="A430" s="27" t="inlineStr">
        <is>
          <t>4580632123927</t>
        </is>
      </c>
      <c r="B430" s="27" t="inlineStr">
        <is>
          <t>b0cvm4kzvr</t>
        </is>
      </c>
      <c r="C430" s="27" t="inlineStr">
        <is>
          <t>3927/1514-a</t>
        </is>
      </c>
      <c r="D430" s="27" t="inlineStr">
        <is>
          <t>b0cvm4kzvr</t>
        </is>
      </c>
      <c r="E430" t="inlineStr">
        <is>
          <t>【2個セット】ラボン トゥザムーン ベッドルーム&amp;ファブリックミスト ノクターナルブルー 詰め替え 大容量 600ml×2個セット ファブリックスプレー ルームスプレー 芳香剤 アロマ フレグランス 消臭 寝室 リビング 衣類 布製品 ルームフレグランス リラックス まとめ買い</t>
        </is>
      </c>
      <c r="F430" t="n">
        <v>2980</v>
      </c>
      <c r="G430" t="n">
        <v>1514</v>
      </c>
      <c r="H430" t="n">
        <v>11</v>
      </c>
      <c r="I430">
        <f>SUM(G482*H482)</f>
        <v/>
      </c>
      <c r="J430" t="inlineStr">
        <is>
          <t>✓ 一致（SKU）</t>
        </is>
      </c>
      <c r="K430" t="inlineStr">
        <is>
          <t>4580632123927</t>
        </is>
      </c>
    </row>
    <row r="431" ht="13.5" customHeight="1">
      <c r="A431" s="27" t="inlineStr">
        <is>
          <t>4580632123927</t>
        </is>
      </c>
      <c r="B431" s="27" t="inlineStr">
        <is>
          <t>b0cvm4kzvr-1</t>
        </is>
      </c>
      <c r="C431" s="27" t="inlineStr">
        <is>
          <t>4580632123927-3-a</t>
        </is>
      </c>
      <c r="D431" s="27" t="inlineStr">
        <is>
          <t>b0cvm4kzvr-1</t>
        </is>
      </c>
      <c r="E431" t="inlineStr">
        <is>
          <t>ラボン トゥザムーン ファブリックミスト 詰め替え 600ml×3個セット ノクターナルブルー 大容量 消臭スプレー ルームスプレー 芳香剤 アロマ フレグランスミスト 寝室 衣類 ソファ カーテン 布製品 リラックス まとめ買い</t>
        </is>
      </c>
      <c r="F431" t="n">
        <v>4380</v>
      </c>
      <c r="G431" t="n">
        <v>2271</v>
      </c>
      <c r="H431" t="n">
        <v>7</v>
      </c>
      <c r="I431">
        <f>SUM(G483*H483)</f>
        <v/>
      </c>
      <c r="J431" t="inlineStr">
        <is>
          <t>✓ 一致（SKU）</t>
        </is>
      </c>
      <c r="K431" t="inlineStr">
        <is>
          <t>4580632123927</t>
        </is>
      </c>
    </row>
    <row r="432" ht="13.5" customHeight="1">
      <c r="A432" s="27" t="inlineStr">
        <is>
          <t>4901301432223</t>
        </is>
      </c>
      <c r="B432" s="27" t="inlineStr">
        <is>
          <t>b0cvs37jdk</t>
        </is>
      </c>
      <c r="C432" s="27" t="inlineStr">
        <is>
          <t>2223/438-a</t>
        </is>
      </c>
      <c r="D432" s="27" t="inlineStr">
        <is>
          <t>b0cvs37jdk</t>
        </is>
      </c>
      <c r="E432" t="inlineStr">
        <is>
          <t>Biore ビオレZero お風呂で使う汗ケアローション 無香性 200ml 無香性 汗ケア お風呂 浴室</t>
        </is>
      </c>
      <c r="F432" t="n">
        <v>1380</v>
      </c>
      <c r="G432" t="n">
        <v>438</v>
      </c>
      <c r="H432" t="n">
        <v>43</v>
      </c>
      <c r="I432">
        <f>SUM(G484*H484)</f>
        <v/>
      </c>
      <c r="J432" t="inlineStr">
        <is>
          <t>✓ 一致（SKU）</t>
        </is>
      </c>
      <c r="K432" t="inlineStr">
        <is>
          <t>4901301432223</t>
        </is>
      </c>
    </row>
    <row r="433" ht="13.5" customHeight="1">
      <c r="A433" s="27" t="inlineStr">
        <is>
          <t>4901301432223</t>
        </is>
      </c>
      <c r="B433" s="27" t="inlineStr">
        <is>
          <t>b0cvs37jdk-1</t>
        </is>
      </c>
      <c r="C433" s="27" t="inlineStr">
        <is>
          <t>2223/876-a</t>
        </is>
      </c>
      <c r="D433" s="27" t="inlineStr">
        <is>
          <t>B0CVS37JDK-1</t>
        </is>
      </c>
      <c r="E433" t="inlineStr">
        <is>
          <t>Biore ビオレZero お風呂で使う汗ケアローション 無香性 200ml×2個セット 無香性 汗ケア お風呂 浴室</t>
        </is>
      </c>
      <c r="F433" t="n">
        <v>2480</v>
      </c>
      <c r="G433" t="n">
        <v>876</v>
      </c>
      <c r="H433" t="n">
        <v>20</v>
      </c>
      <c r="I433">
        <f>SUM(G485*H485)</f>
        <v/>
      </c>
      <c r="J433" t="inlineStr">
        <is>
          <t>✓ 一致（SKU）</t>
        </is>
      </c>
      <c r="K433" t="inlineStr">
        <is>
          <t>4901301432223</t>
        </is>
      </c>
    </row>
    <row r="434" ht="13.5" customHeight="1">
      <c r="A434" s="27" t="inlineStr">
        <is>
          <t>4901301432223</t>
        </is>
      </c>
      <c r="B434" s="27" t="inlineStr">
        <is>
          <t>b0cvs37jdk-2</t>
        </is>
      </c>
      <c r="C434" s="27" t="inlineStr">
        <is>
          <t>2223/1314-a</t>
        </is>
      </c>
      <c r="D434" s="27" t="inlineStr">
        <is>
          <t>B0CVS37JDK-2</t>
        </is>
      </c>
      <c r="E434" t="inlineStr">
        <is>
          <t>【3個セット】ビオレZero お風呂で使う汗ケアローション 無香性 200ml Biore ビオレ ゼロ 汗対策 ベタつき防止 制汗 ボディケア 浴室用 夏対策 まとめ買い</t>
        </is>
      </c>
      <c r="F434" t="n">
        <v>3480</v>
      </c>
      <c r="G434" t="n">
        <v>1314</v>
      </c>
      <c r="H434" t="n">
        <v>20</v>
      </c>
      <c r="I434">
        <f>SUM(G486*H486)</f>
        <v/>
      </c>
      <c r="J434" t="inlineStr">
        <is>
          <t>✓ 一致（SKU）</t>
        </is>
      </c>
      <c r="K434" t="inlineStr">
        <is>
          <t>4901301432223</t>
        </is>
      </c>
    </row>
    <row r="435" ht="13.5" customHeight="1">
      <c r="A435" s="27" t="inlineStr">
        <is>
          <t>4987176241160</t>
        </is>
      </c>
      <c r="B435" s="27" t="inlineStr">
        <is>
          <t>b0cvxcgv99</t>
        </is>
      </c>
      <c r="C435" s="27" t="inlineStr">
        <is>
          <t>1160/860-a</t>
        </is>
      </c>
      <c r="D435" s="27" t="inlineStr">
        <is>
          <t>b0cvxcgv99</t>
        </is>
      </c>
      <c r="E435" t="inlineStr">
        <is>
          <t>レノア オードリュクス 香り付け専用ビーズ マインドフルネス サンデー 詰め替え 特大(855ml) 部屋干し 雨の日 部屋 かろやか 香る きれい 清潔 衣類 静電気 防臭 抗菌 赤ちゃん ベビー 洗濯</t>
        </is>
      </c>
      <c r="F435" t="n">
        <v>1780</v>
      </c>
      <c r="G435" t="n">
        <v>860</v>
      </c>
      <c r="H435" t="n">
        <v>7</v>
      </c>
      <c r="I435">
        <f>SUM(G487*H487)</f>
        <v/>
      </c>
      <c r="J435" t="inlineStr">
        <is>
          <t>✓ 一致（SKU）</t>
        </is>
      </c>
      <c r="K435" t="inlineStr">
        <is>
          <t>4987176241160</t>
        </is>
      </c>
    </row>
    <row r="436" ht="13.5" customHeight="1">
      <c r="A436" s="27" t="inlineStr">
        <is>
          <t>4987176241153</t>
        </is>
      </c>
      <c r="B436" s="27" t="inlineStr">
        <is>
          <t>b0cvxgygdw</t>
        </is>
      </c>
      <c r="C436" s="27" t="inlineStr">
        <is>
          <t>1153/1086</t>
        </is>
      </c>
      <c r="D436" s="27" t="inlineStr">
        <is>
          <t>b0cvxgygdw</t>
        </is>
      </c>
      <c r="E436" t="inlineStr">
        <is>
          <t>レノア オードリュクス 香り付け専用ビーズ マインドフルネス サンデー 本体(520ml) 部屋干し 雨の日 部屋 かろやか 香る きれい 清潔 衣類 静電気 防臭 抗菌 赤ちゃん ベビー 洗濯</t>
        </is>
      </c>
      <c r="F436" t="n">
        <v>1980</v>
      </c>
      <c r="G436" t="n">
        <v>1086</v>
      </c>
      <c r="H436" t="n">
        <v>24</v>
      </c>
      <c r="I436">
        <f>SUM(G488*H488)</f>
        <v/>
      </c>
      <c r="J436" t="inlineStr">
        <is>
          <t>✓ 一致（SKU）</t>
        </is>
      </c>
      <c r="K436" t="inlineStr">
        <is>
          <t>4987176241153</t>
        </is>
      </c>
    </row>
    <row r="437" ht="13.5" customHeight="1">
      <c r="A437" s="27" t="inlineStr">
        <is>
          <t>4987176241153</t>
        </is>
      </c>
      <c r="B437" s="27" t="inlineStr">
        <is>
          <t>b0cvxgygdw-1</t>
        </is>
      </c>
      <c r="C437" s="27" t="inlineStr">
        <is>
          <t>1153/1086</t>
        </is>
      </c>
      <c r="D437" s="27" t="inlineStr">
        <is>
          <t>B0CVXGYGDW-1</t>
        </is>
      </c>
      <c r="E437" t="inlineStr">
        <is>
          <t>Lenor レノア オードリュクス 香り付け専用ビーズ マインドフルネスシリーズ サンデー 本体 520mL×2個セット 部屋干し 雨の日 部屋 かろやか 香る きれい 清潔 衣類 静電気 防臭 抗菌 赤ちゃん ベビー 洗濯</t>
        </is>
      </c>
      <c r="F437" t="n">
        <v>2980</v>
      </c>
      <c r="G437" t="n">
        <v>1086</v>
      </c>
      <c r="H437" t="n">
        <v>5</v>
      </c>
      <c r="I437">
        <f>SUM(G489*H489)</f>
        <v/>
      </c>
      <c r="J437" t="inlineStr">
        <is>
          <t>✓ 一致（SKU）</t>
        </is>
      </c>
      <c r="K437" t="inlineStr">
        <is>
          <t>4987176241153</t>
        </is>
      </c>
    </row>
    <row r="438" ht="13.5" customHeight="1">
      <c r="A438" s="27" t="inlineStr">
        <is>
          <t>4987241193943</t>
        </is>
      </c>
      <c r="B438" s="27" t="inlineStr">
        <is>
          <t>b0cw3c9tyd</t>
        </is>
      </c>
      <c r="C438" s="27" t="inlineStr">
        <is>
          <t>3943,3967/1956</t>
        </is>
      </c>
      <c r="D438" s="27" t="inlineStr">
        <is>
          <t>b0cw3c9tyd</t>
        </is>
      </c>
      <c r="E438" t="inlineStr">
        <is>
          <t>デオコ スカルプケア シャンプー コンディショナー セット 450g＋450g うねり ケア 髪 ヘアケア ヘア</t>
        </is>
      </c>
      <c r="F438" t="n">
        <v>3980</v>
      </c>
      <c r="G438" t="n">
        <v>1956</v>
      </c>
      <c r="H438" t="n">
        <v>13</v>
      </c>
      <c r="I438">
        <f>SUM(G490*H490)</f>
        <v/>
      </c>
      <c r="J438" t="inlineStr">
        <is>
          <t>✓ 一致（SKU）</t>
        </is>
      </c>
      <c r="K438" t="inlineStr">
        <is>
          <t>4987241193943</t>
        </is>
      </c>
    </row>
    <row r="439" ht="13.5" customHeight="1">
      <c r="A439" s="27" t="inlineStr">
        <is>
          <t>4987241194490</t>
        </is>
      </c>
      <c r="B439" s="27" t="inlineStr">
        <is>
          <t>b0cwg8s8y8</t>
        </is>
      </c>
      <c r="C439" s="27" t="inlineStr">
        <is>
          <t>4490,7570/1999-a</t>
        </is>
      </c>
      <c r="D439" s="27" t="inlineStr">
        <is>
          <t>b0cwg8s8y8</t>
        </is>
      </c>
      <c r="E439" t="inlineStr">
        <is>
          <t>【セット品】 肌ラボ 白潤 美白化粧水 しっとりタイプ 本体400mL＋詰め替え170mL セット 化粧水 ケア 肌 肌ケア 保湿</t>
        </is>
      </c>
      <c r="F439" t="n">
        <v>3580</v>
      </c>
      <c r="G439" t="n">
        <v>1999</v>
      </c>
      <c r="H439" t="n">
        <v>4</v>
      </c>
      <c r="I439">
        <f>SUM(G491*H491)</f>
        <v/>
      </c>
      <c r="J439" t="inlineStr">
        <is>
          <t>✓ 一致（SKU）</t>
        </is>
      </c>
      <c r="K439" t="inlineStr">
        <is>
          <t>4987241194490</t>
        </is>
      </c>
    </row>
    <row r="440" ht="13.5" customHeight="1">
      <c r="A440" s="27" t="inlineStr">
        <is>
          <t>4987241194476</t>
        </is>
      </c>
      <c r="B440" s="27" t="inlineStr">
        <is>
          <t>b0cwgg8fj8</t>
        </is>
      </c>
      <c r="C440" s="27" t="inlineStr">
        <is>
          <t>4476,7556/1999-a</t>
        </is>
      </c>
      <c r="D440" s="27" t="inlineStr">
        <is>
          <t>b0cwgg8fj8</t>
        </is>
      </c>
      <c r="E440" t="inlineStr">
        <is>
          <t>【セット品】 肌ラボ 白潤 美白化粧水 400mL＋詰め替え170mL セット 化粧水 ケア 肌 肌ケア</t>
        </is>
      </c>
      <c r="F440" t="n">
        <v>3580</v>
      </c>
      <c r="G440" t="n">
        <v>1999</v>
      </c>
      <c r="H440" t="n">
        <v>5</v>
      </c>
      <c r="I440">
        <f>SUM(G492*H492)</f>
        <v/>
      </c>
      <c r="J440" t="inlineStr">
        <is>
          <t>✓ 一致（SKU）</t>
        </is>
      </c>
      <c r="K440" t="inlineStr">
        <is>
          <t>4987241194476</t>
        </is>
      </c>
    </row>
    <row r="441" ht="13.5" customHeight="1">
      <c r="A441" s="27" t="inlineStr">
        <is>
          <t>4901133933523.0</t>
        </is>
      </c>
      <c r="B441" s="27" t="inlineStr">
        <is>
          <t>b0cwsjphm2</t>
        </is>
      </c>
      <c r="C441" s="27" t="inlineStr">
        <is>
          <t>3530/1296-a</t>
        </is>
      </c>
      <c r="D441" s="27" t="inlineStr">
        <is>
          <t>B0CWSJPHM2</t>
        </is>
      </c>
      <c r="E441" t="inlineStr">
        <is>
          <t>いなばちゅ～る トッパー ドライ ビーフ味180g×6袋 犬用おやつ ドッグフード 犬用間食 食いつき抜群 ご褒美 トッピング ドライフード 成犬用 シニア犬対応 ペットフード 小分け まとめ買い 多頭飼い ボール販売 人気 定番 犬用品 常備用 食事補助 ストック用 健康維持</t>
        </is>
      </c>
      <c r="F441" t="n">
        <v>3480</v>
      </c>
      <c r="G441" t="n">
        <v>1296</v>
      </c>
      <c r="H441" t="n">
        <v>4</v>
      </c>
      <c r="I441">
        <f>SUM(G493*H493)</f>
        <v/>
      </c>
    </row>
    <row r="442" ht="13.5" customHeight="1">
      <c r="A442" s="27" t="inlineStr">
        <is>
          <t>4901133933530.0</t>
        </is>
      </c>
      <c r="B442" s="27" t="inlineStr">
        <is>
          <t>b0cwsm72s7</t>
        </is>
      </c>
      <c r="C442" s="27" t="inlineStr">
        <is>
          <t>3530/1296-a</t>
        </is>
      </c>
      <c r="D442" s="27" t="inlineStr">
        <is>
          <t>B0CWSM72S7</t>
        </is>
      </c>
      <c r="E442" t="inlineStr">
        <is>
          <t>いなば ちゅ～る トッパー ドライ チーズ味 180g×6袋 犬用おやつ 犬 おやつ ドッグフード トッピング ご褒美 チーズ味 国産 小粒 総合栄養食 まとめ買い</t>
        </is>
      </c>
      <c r="F442" t="n">
        <v>2580</v>
      </c>
      <c r="G442" t="n">
        <v>1296</v>
      </c>
      <c r="H442" t="n">
        <v>5</v>
      </c>
      <c r="I442">
        <f>SUM(G494*H494)</f>
        <v/>
      </c>
    </row>
    <row r="443" ht="13.5" customHeight="1">
      <c r="A443" s="27" t="inlineStr">
        <is>
          <t>4987176248060.0</t>
        </is>
      </c>
      <c r="B443" s="27" t="inlineStr">
        <is>
          <t>b0cx11ztqt</t>
        </is>
      </c>
      <c r="C443" s="27" t="inlineStr">
        <is>
          <t>4987176248060-a</t>
        </is>
      </c>
      <c r="D443" s="27" t="inlineStr">
        <is>
          <t>B0CX11ZTQT</t>
        </is>
      </c>
      <c r="E443" t="inlineStr">
        <is>
          <t>ブラウン 電動歯ブラシ オーラルB iO7S (トラベルケースセット) 替えブラシ3本 iOM7.3V2.2K BK ブラックオニキス 歯磨き ケア 持ち運び 旅行</t>
        </is>
      </c>
      <c r="F443" t="n">
        <v>39280</v>
      </c>
      <c r="G443" t="n">
        <v>39800</v>
      </c>
      <c r="H443" t="n">
        <v>5</v>
      </c>
      <c r="I443">
        <f>SUM(G495*H495)</f>
        <v/>
      </c>
    </row>
    <row r="444" ht="13.5" customHeight="1">
      <c r="A444" s="27" t="inlineStr">
        <is>
          <t>9004890603007</t>
        </is>
      </c>
      <c r="B444" s="27" t="inlineStr">
        <is>
          <t>b0cx42rm63</t>
        </is>
      </c>
      <c r="C444" s="27" t="inlineStr">
        <is>
          <t>3516/874-a</t>
        </is>
      </c>
      <c r="D444" s="27" t="inlineStr">
        <is>
          <t>b0cx42rm63</t>
        </is>
      </c>
      <c r="E444" t="inlineStr">
        <is>
          <t>【3個セット】いなば ちゅ～る トッパー ドライ チキン味 180g×3個セット 犬用おやつ ドッグフード トッピング 乳酸菌配合 お腹の健康維持 犬用フード 総合栄養食 チキン 小型犬 中型犬 大型犬 成犬 シニア犬 ごはんふりかけ ペットフード 犬用品 まとめ買い</t>
        </is>
      </c>
      <c r="F444" t="n">
        <v>1780</v>
      </c>
      <c r="G444" t="n">
        <v>874</v>
      </c>
      <c r="H444" t="n">
        <v>2</v>
      </c>
      <c r="I444">
        <f>SUM(G496*H496)</f>
        <v/>
      </c>
      <c r="J444" t="inlineStr">
        <is>
          <t>✓ 一致（SKU）</t>
        </is>
      </c>
      <c r="K444" t="inlineStr">
        <is>
          <t>9004890603007</t>
        </is>
      </c>
    </row>
    <row r="445" ht="13.5" customHeight="1">
      <c r="A445" s="27" t="inlineStr">
        <is>
          <t>4902407024299</t>
        </is>
      </c>
      <c r="B445" s="27" t="inlineStr">
        <is>
          <t>b0cx8nh3m2</t>
        </is>
      </c>
      <c r="C445" s="27" t="inlineStr">
        <is>
          <t>4902407024299-3-a</t>
        </is>
      </c>
      <c r="D445" s="27" t="inlineStr">
        <is>
          <t>b0cx8nh3m2</t>
        </is>
      </c>
      <c r="E445" t="inlineStr">
        <is>
          <t>【3個セット】アイスノン 頭を冷やすスプレーGOLD 95g×3個 冷却スプレー 冷感スプレー 頭皮 クールダウン 暑さ対策 汗ケア ひんやり 通勤 通学 スポーツ 屋外作業</t>
        </is>
      </c>
      <c r="F445" t="n">
        <v>2780</v>
      </c>
      <c r="G445" t="n">
        <v>1494</v>
      </c>
      <c r="H445" t="n">
        <v>7</v>
      </c>
      <c r="I445">
        <f>SUM(G497*H497)</f>
        <v/>
      </c>
      <c r="J445" t="inlineStr">
        <is>
          <t>✓ 一致（SKU）</t>
        </is>
      </c>
      <c r="K445" t="inlineStr">
        <is>
          <t>4902407024299</t>
        </is>
      </c>
    </row>
    <row r="446" ht="13.5" customHeight="1">
      <c r="A446" s="27" t="inlineStr">
        <is>
          <t>4901301434067</t>
        </is>
      </c>
      <c r="B446" s="27" t="inlineStr">
        <is>
          <t>b0cxdjmbsq</t>
        </is>
      </c>
      <c r="C446" s="27" t="inlineStr">
        <is>
          <t>4050,4043,4067/461-a</t>
        </is>
      </c>
      <c r="D446" s="27" t="inlineStr">
        <is>
          <t>B0CXDF85SH</t>
        </is>
      </c>
      <c r="E446" t="inlineStr">
        <is>
          <t>リーゼ ブリーチオンカラー ラナンキュラスオレンジ・さくらピンク・フランネルフラワーベージュ 染粉 ブリーチ ヘアカラー</t>
        </is>
      </c>
      <c r="F446" t="n">
        <v>1380</v>
      </c>
      <c r="G446" t="n">
        <v>461</v>
      </c>
      <c r="H446" t="n">
        <v>6</v>
      </c>
      <c r="I446">
        <f>SUM(G498*H498)</f>
        <v/>
      </c>
    </row>
    <row r="447" ht="13.5" customHeight="1">
      <c r="A447" s="27" t="inlineStr">
        <is>
          <t>4901301434050</t>
        </is>
      </c>
      <c r="B447" s="27" t="inlineStr">
        <is>
          <t>b0cxdjmbsq</t>
        </is>
      </c>
      <c r="C447" s="27" t="inlineStr">
        <is>
          <t>4050,4043,4067/461-a</t>
        </is>
      </c>
      <c r="D447" s="27" t="inlineStr">
        <is>
          <t>B0CXDJMBSQ</t>
        </is>
      </c>
      <c r="E447" t="inlineStr">
        <is>
          <t>リーゼ ブリーチオンカラー ラナンキュラスオレンジ・さくらピンク・フランネルフラワーベージュ 染粉 ブリーチ ヘアカラー</t>
        </is>
      </c>
      <c r="F447" t="n">
        <v>1380</v>
      </c>
      <c r="G447" t="n">
        <v>461</v>
      </c>
      <c r="H447" t="n">
        <v>4</v>
      </c>
      <c r="I447">
        <f>SUM(G499*H499)</f>
        <v/>
      </c>
    </row>
    <row r="448" ht="13.5" customHeight="1">
      <c r="A448" s="27" t="inlineStr">
        <is>
          <t>4901301434043</t>
        </is>
      </c>
      <c r="B448" s="27" t="inlineStr">
        <is>
          <t>b0cxdjmbsq</t>
        </is>
      </c>
      <c r="C448" s="27" t="inlineStr">
        <is>
          <t>4050,4043,4067/461-a</t>
        </is>
      </c>
      <c r="D448" s="27" t="inlineStr">
        <is>
          <t>B0CXDLHH2D</t>
        </is>
      </c>
      <c r="E448" t="inlineStr">
        <is>
          <t>リーゼ ブリーチオンカラー ラナンキュラスオレンジ・さくらピンク・フランネルフラワーベージュ 染粉 ブリーチ ヘアカラー</t>
        </is>
      </c>
      <c r="F448" t="n">
        <v>1380</v>
      </c>
      <c r="G448" t="n">
        <v>461</v>
      </c>
      <c r="H448" t="n">
        <v>1</v>
      </c>
      <c r="I448">
        <f>SUM(G500*H500)</f>
        <v/>
      </c>
    </row>
    <row r="449" ht="13.5" customHeight="1">
      <c r="A449" s="27" t="inlineStr">
        <is>
          <t>7290114048101</t>
        </is>
      </c>
      <c r="B449" s="27" t="inlineStr">
        <is>
          <t>b0cxj4tsk8</t>
        </is>
      </c>
      <c r="C449" s="27" t="inlineStr">
        <is>
          <t>5995,8101/2915</t>
        </is>
      </c>
      <c r="D449" s="27" t="inlineStr">
        <is>
          <t>7290114048101</t>
        </is>
      </c>
      <c r="E449" t="inlineStr">
        <is>
          <t>サボン ボディスクラブ 600g(デリケートジャスミン・ラベンダーアップル) 化粧品 コスメ 体 ボディーケア ボディー</t>
        </is>
      </c>
      <c r="F449" t="n">
        <v>7780</v>
      </c>
      <c r="G449" t="n">
        <v>2915</v>
      </c>
      <c r="H449" t="n">
        <v>14</v>
      </c>
      <c r="I449">
        <f>SUM(G501*H501)</f>
        <v/>
      </c>
    </row>
    <row r="450" ht="13.5" customHeight="1">
      <c r="A450" s="27" t="inlineStr">
        <is>
          <t>7290114045995</t>
        </is>
      </c>
      <c r="B450" s="27" t="inlineStr">
        <is>
          <t>b0cxj4tsk8</t>
        </is>
      </c>
      <c r="C450" s="27" t="inlineStr">
        <is>
          <t>5995,8101/2915</t>
        </is>
      </c>
      <c r="D450" s="27" t="inlineStr">
        <is>
          <t>B0CXJ4TSK8</t>
        </is>
      </c>
      <c r="E450" t="inlineStr">
        <is>
          <t>サボン ボディスクラブ 600g(デリケートジャスミン・ラベンダーアップル) 化粧品 コスメ 体 ボディーケア ボディー</t>
        </is>
      </c>
      <c r="F450" t="n">
        <v>6980</v>
      </c>
      <c r="G450" t="n">
        <v>2915</v>
      </c>
      <c r="H450" t="n">
        <v>0</v>
      </c>
      <c r="I450">
        <f>SUM(G502*H502)</f>
        <v/>
      </c>
    </row>
    <row r="451" ht="13.5" customHeight="1">
      <c r="A451" s="27" t="inlineStr">
        <is>
          <t>4549777706761</t>
        </is>
      </c>
      <c r="B451" s="27" t="inlineStr">
        <is>
          <t>b0czpjdzv4</t>
        </is>
      </c>
      <c r="C451" s="27" t="inlineStr">
        <is>
          <t>6761/330</t>
        </is>
      </c>
      <c r="D451" s="27" t="inlineStr">
        <is>
          <t>b0czpjdzv4</t>
        </is>
      </c>
      <c r="E451" t="inlineStr">
        <is>
          <t>GOAT'S MILK ハンドソープ フォーミング 泡ハンドソープ スイートベビーパウダーの香り 600ml ハンドソープ 泡 手洗い</t>
        </is>
      </c>
      <c r="F451" t="n">
        <v>1980</v>
      </c>
      <c r="G451" t="n">
        <v>330</v>
      </c>
      <c r="H451" t="n">
        <v>7</v>
      </c>
      <c r="I451">
        <f>SUM(G505*H505)</f>
        <v/>
      </c>
    </row>
    <row r="452" ht="13.5" customHeight="1">
      <c r="A452" s="27" t="inlineStr">
        <is>
          <t>4987176244215</t>
        </is>
      </c>
      <c r="B452" s="27" t="inlineStr">
        <is>
          <t>b0czxfsh7d</t>
        </is>
      </c>
      <c r="C452" s="27" t="inlineStr">
        <is>
          <t>4215/460</t>
        </is>
      </c>
      <c r="D452" s="27" t="inlineStr">
        <is>
          <t>b0czxfsh7d</t>
        </is>
      </c>
      <c r="E452" t="inlineStr">
        <is>
          <t>アリエール MiRAi 洗濯洗剤 濃縮 漂白剤級の洗浄プラス* 詰め替え 約2.2倍/640g[タテ・ドラム式OK] 洗濯 洗剤 洗浄 抗菌</t>
        </is>
      </c>
      <c r="F452" t="n">
        <v>1280</v>
      </c>
      <c r="G452" t="n">
        <v>460</v>
      </c>
      <c r="H452" t="n">
        <v>10</v>
      </c>
      <c r="I452">
        <f>SUM(G506*H506)</f>
        <v/>
      </c>
    </row>
    <row r="453" ht="13.5" customHeight="1">
      <c r="A453" s="27" t="inlineStr">
        <is>
          <t>4987176244215</t>
        </is>
      </c>
      <c r="B453" s="27" t="inlineStr">
        <is>
          <t>b0czxfsh7d-1</t>
        </is>
      </c>
      <c r="C453" s="27" t="inlineStr">
        <is>
          <t>4215/920</t>
        </is>
      </c>
      <c r="D453" s="27" t="inlineStr">
        <is>
          <t>B0CZXFSH7D-1</t>
        </is>
      </c>
      <c r="E453" t="inlineStr">
        <is>
          <t>アリエール MiRAi 洗濯洗剤 濃縮 漂白剤級の洗浄プラス* 詰め替え 約2.2倍/640g×2個セット [タテ・ドラム式OK] 洗濯 洗剤 洗浄 抗菌</t>
        </is>
      </c>
      <c r="F453" t="n">
        <v>2480</v>
      </c>
      <c r="G453" t="n">
        <v>920</v>
      </c>
      <c r="H453" t="n">
        <v>20</v>
      </c>
      <c r="I453">
        <f>SUM(G507*H507)</f>
        <v/>
      </c>
    </row>
    <row r="454" ht="13.5" customHeight="1">
      <c r="A454" s="27" t="inlineStr">
        <is>
          <t>4987176244215</t>
        </is>
      </c>
      <c r="B454" s="27" t="inlineStr">
        <is>
          <t>b0czxfsh7d-2</t>
        </is>
      </c>
      <c r="C454" s="27" t="inlineStr">
        <is>
          <t>4215/1380</t>
        </is>
      </c>
      <c r="D454" s="27" t="inlineStr">
        <is>
          <t>B0CZXFSH7D-2</t>
        </is>
      </c>
      <c r="E454" t="inlineStr">
        <is>
          <t>アリエール MiRAi 洗濯洗剤 濃縮 漂白剤級の洗浄プラス* 詰め替え 約2.2倍/640g×3個セット [タテ・ドラム式OK] 洗濯 洗剤 洗浄 抗菌</t>
        </is>
      </c>
      <c r="F454" t="n">
        <v>3580</v>
      </c>
      <c r="G454" t="n">
        <v>1380</v>
      </c>
      <c r="H454" t="n">
        <v>8</v>
      </c>
      <c r="I454">
        <f>SUM(G508*H508)</f>
        <v/>
      </c>
    </row>
    <row r="455" ht="13.5" customHeight="1">
      <c r="A455" s="27" t="inlineStr">
        <is>
          <t>4987176244147</t>
        </is>
      </c>
      <c r="B455" s="27" t="inlineStr">
        <is>
          <t>b0czxqnbmh</t>
        </is>
      </c>
      <c r="C455" s="27" t="inlineStr">
        <is>
          <t>4147/1275-a</t>
        </is>
      </c>
      <c r="D455" s="27" t="inlineStr">
        <is>
          <t>b0czxqnbmh</t>
        </is>
      </c>
      <c r="E455" t="inlineStr">
        <is>
          <t>アリエール MiRAi 洗濯洗剤 濃縮 漂白剤級の消臭プラス* 詰め替え 約4.3倍/1.22kg[タテ・ドラム式OK] 洗濯 洗剤 洗浄 抗菌</t>
        </is>
      </c>
      <c r="F455" t="n">
        <v>2180</v>
      </c>
      <c r="G455" t="n">
        <v>1275</v>
      </c>
      <c r="H455" t="n">
        <v>1</v>
      </c>
      <c r="I455">
        <f>SUM(G509*H509)</f>
        <v/>
      </c>
    </row>
    <row r="456" ht="13.5" customHeight="1">
      <c r="A456" s="27" t="inlineStr">
        <is>
          <t>4901133298981</t>
        </is>
      </c>
      <c r="B456" s="27" t="inlineStr">
        <is>
          <t>b0d13t16hn</t>
        </is>
      </c>
      <c r="C456" s="27" t="inlineStr">
        <is>
          <t>6001/858-a</t>
        </is>
      </c>
      <c r="D456" s="27" t="inlineStr">
        <is>
          <t>b0d13t16hn</t>
        </is>
      </c>
      <c r="E456" t="inlineStr">
        <is>
          <t>いなば ちゅ~るボール とりささみ 野菜入り (10g×3袋) 6袋セット 犬 犬用 おやつ ちゅーる トッパー ドライ ドックフード ささみ ふりかけ 人気</t>
        </is>
      </c>
      <c r="F456" t="n">
        <v>1680</v>
      </c>
      <c r="G456" t="n">
        <v>858</v>
      </c>
      <c r="H456" t="n">
        <v>7</v>
      </c>
      <c r="I456">
        <f>SUM(G510*H510)</f>
        <v/>
      </c>
    </row>
    <row r="457" ht="13.5" customHeight="1">
      <c r="A457" s="27" t="inlineStr">
        <is>
          <t>9004890496005</t>
        </is>
      </c>
      <c r="B457" s="27" t="inlineStr">
        <is>
          <t>b0d141dc21</t>
        </is>
      </c>
      <c r="C457" s="27" t="inlineStr">
        <is>
          <t>8974/942-a</t>
        </is>
      </c>
      <c r="D457" s="27" t="inlineStr">
        <is>
          <t>b0d141dc21</t>
        </is>
      </c>
      <c r="E457" t="inlineStr">
        <is>
          <t>【6袋セット】いなば ちゅーるボール とりささみ 10g×3袋×6袋セット 犬用おやつ ドッグフード 犬おやつ ご褒美おやつ 国産 鶏ささみ 軟骨 小粒おやつ トッピング トッパー しつけ トレーニング 犬 成犬 シニア犬 間食 食べ切り 個包装 ペットフード まとめ買い</t>
        </is>
      </c>
      <c r="F457" t="n">
        <v>1680</v>
      </c>
      <c r="G457" t="n">
        <v>942</v>
      </c>
      <c r="H457" t="n">
        <v>1</v>
      </c>
      <c r="I457">
        <f>SUM(G511*H511)</f>
        <v/>
      </c>
      <c r="J457" t="inlineStr">
        <is>
          <t>✓ 一致（SKU）</t>
        </is>
      </c>
      <c r="K457" t="inlineStr">
        <is>
          <t>9004890496005</t>
        </is>
      </c>
    </row>
    <row r="458" ht="13.5" customHeight="1">
      <c r="A458" s="27" t="inlineStr">
        <is>
          <t>4901133299001.0</t>
        </is>
      </c>
      <c r="B458" s="27" t="inlineStr">
        <is>
          <t>b0d144dgjh</t>
        </is>
      </c>
      <c r="C458" s="27" t="inlineStr">
        <is>
          <t>8974/942-a</t>
        </is>
      </c>
      <c r="D458" s="27" t="inlineStr">
        <is>
          <t>B0D144DGJH</t>
        </is>
      </c>
      <c r="E458" t="inlineStr">
        <is>
          <t>いなば ちゅ～るボール とりささみ ビーフ 犬用 6袋セット 犬 おやつ ドックフード トッパー</t>
        </is>
      </c>
      <c r="F458" t="n">
        <v>1680</v>
      </c>
      <c r="G458" t="n">
        <v>942</v>
      </c>
      <c r="H458" t="n">
        <v>11</v>
      </c>
      <c r="I458">
        <f>SUM(G512*H512)</f>
        <v/>
      </c>
    </row>
    <row r="459" ht="13.5" customHeight="1">
      <c r="A459" s="27" t="inlineStr">
        <is>
          <t>4901133298998</t>
        </is>
      </c>
      <c r="B459" s="27" t="inlineStr">
        <is>
          <t>b0d14cywpx</t>
        </is>
      </c>
      <c r="C459" s="27" t="inlineStr">
        <is>
          <t>8998/942-a</t>
        </is>
      </c>
      <c r="D459" s="27" t="inlineStr">
        <is>
          <t>b0d14cywpx</t>
        </is>
      </c>
      <c r="E459" t="inlineStr">
        <is>
          <t>【6袋セット】いなば ちゅーるボール とりささみ 軟骨入り 10g×3袋×6袋セット 犬用おやつ ドッグフード 犬おやつ ご褒美おやつ 国産 鶏ささみ 軟骨 小粒おやつ トッピング トッパー しつけ トレーニング 犬 成犬 シニア犬 間食 食べ切り 個包装 ペットフード まとめ買い</t>
        </is>
      </c>
      <c r="F459" t="n">
        <v>1680</v>
      </c>
      <c r="G459" t="n">
        <v>942</v>
      </c>
      <c r="H459" t="n">
        <v>4</v>
      </c>
      <c r="I459">
        <f>SUM(G513*H513)</f>
        <v/>
      </c>
    </row>
    <row r="460" ht="13.5" customHeight="1">
      <c r="A460" s="27" t="inlineStr">
        <is>
          <t>4901133299018</t>
        </is>
      </c>
      <c r="B460" s="27" t="inlineStr">
        <is>
          <t>b0d14f2hvy</t>
        </is>
      </c>
      <c r="C460" s="27" t="inlineStr">
        <is>
          <t>9018/942-a</t>
        </is>
      </c>
      <c r="D460" s="27" t="inlineStr">
        <is>
          <t>B0D14F2HVY</t>
        </is>
      </c>
      <c r="E460" t="inlineStr">
        <is>
          <t>いなば ちゅ～るボール とりささみ チーズ 犬用 6袋セット 犬 おやつ ドックフード トッパー</t>
        </is>
      </c>
      <c r="F460" t="n">
        <v>1680</v>
      </c>
      <c r="G460" t="n">
        <v>942</v>
      </c>
      <c r="H460" t="n">
        <v>2</v>
      </c>
      <c r="I460">
        <f>SUM(G514*H514)</f>
        <v/>
      </c>
    </row>
    <row r="461" ht="13.5" customHeight="1">
      <c r="A461" s="27" t="inlineStr">
        <is>
          <t>4988755067768</t>
        </is>
      </c>
      <c r="B461" s="27" t="inlineStr">
        <is>
          <t>b0d1q8zb4d</t>
        </is>
      </c>
      <c r="C461" s="27" t="inlineStr">
        <is>
          <t>7768/6752</t>
        </is>
      </c>
      <c r="D461" s="27" t="inlineStr">
        <is>
          <t>b0d1q8zb4d</t>
        </is>
      </c>
      <c r="E461" t="inlineStr">
        <is>
          <t>【国内正規品】玄人志向 NVMe SSD クローンスタンド USB3.2 Gen2 外付け M.2 SSDケース データ移行 高速10Gbps 最大4TB対応 KURO-DACHI CLONE NVMe</t>
        </is>
      </c>
      <c r="F461" t="n">
        <v>9980</v>
      </c>
      <c r="G461" t="n">
        <v>6752</v>
      </c>
      <c r="H461" t="n">
        <v>28</v>
      </c>
      <c r="I461">
        <f>SUM(G515*H515)</f>
        <v/>
      </c>
    </row>
    <row r="462" ht="13.5" customHeight="1">
      <c r="A462" s="27" t="inlineStr">
        <is>
          <t>8720689027410</t>
        </is>
      </c>
      <c r="B462" s="27" t="inlineStr">
        <is>
          <t>b0d28n991r</t>
        </is>
      </c>
      <c r="C462" s="27" t="inlineStr">
        <is>
          <t>8720689027410-a</t>
        </is>
      </c>
      <c r="D462" s="27" t="inlineStr">
        <is>
          <t>B0D28N991R</t>
        </is>
      </c>
      <c r="E462" t="inlineStr">
        <is>
          <t>フィリップス 電動歯ブラシ ソニッケアー ダイヤモンドクリーン9000 HX9911/71 ホワイト (携帯用トラベルケース付き) 歯磨き ケア 持ち運び 旅行</t>
        </is>
      </c>
      <c r="F462" t="n">
        <v>26980</v>
      </c>
      <c r="G462" t="n">
        <v>19800</v>
      </c>
      <c r="H462" t="n">
        <v>8</v>
      </c>
      <c r="I462">
        <f>SUM(G516*H516)</f>
        <v/>
      </c>
    </row>
    <row r="463" ht="13.5" customHeight="1">
      <c r="A463" s="27" t="inlineStr">
        <is>
          <t>4549995444964</t>
        </is>
      </c>
      <c r="B463" s="27" t="inlineStr">
        <is>
          <t>b0d3kthmt4</t>
        </is>
      </c>
      <c r="C463" s="27" t="inlineStr">
        <is>
          <t>4957,4971/9100</t>
        </is>
      </c>
      <c r="D463" s="27" t="inlineStr">
        <is>
          <t>B0D3KS9J6F</t>
        </is>
      </c>
      <c r="E463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F463" t="n">
        <v>13480</v>
      </c>
      <c r="G463" t="n">
        <v>9100</v>
      </c>
      <c r="H463" t="n">
        <v>0</v>
      </c>
      <c r="I463">
        <f>SUM(G518*H518)</f>
        <v/>
      </c>
    </row>
    <row r="464" ht="13.5" customHeight="1">
      <c r="A464" s="27" t="inlineStr">
        <is>
          <t>4549995444988</t>
        </is>
      </c>
      <c r="B464" s="27" t="inlineStr">
        <is>
          <t>b0d3kthmt4</t>
        </is>
      </c>
      <c r="C464" s="27" t="inlineStr">
        <is>
          <t>4957,4971/9100</t>
        </is>
      </c>
      <c r="D464" s="27" t="inlineStr">
        <is>
          <t>B0D3KSC8MK</t>
        </is>
      </c>
      <c r="E464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F464" t="n">
        <v>13480</v>
      </c>
      <c r="G464" t="n">
        <v>9100</v>
      </c>
      <c r="H464" t="n">
        <v>3</v>
      </c>
      <c r="I464">
        <f>SUM(G519*H519)</f>
        <v/>
      </c>
    </row>
    <row r="465" ht="13.5" customHeight="1">
      <c r="A465" s="27" t="inlineStr">
        <is>
          <t>4549995444957</t>
        </is>
      </c>
      <c r="B465" s="27" t="inlineStr">
        <is>
          <t>b0d3kthmt4</t>
        </is>
      </c>
      <c r="C465" s="27" t="inlineStr">
        <is>
          <t>4957,4971/9100</t>
        </is>
      </c>
      <c r="D465" s="27" t="inlineStr">
        <is>
          <t>B0D3KTHMT4</t>
        </is>
      </c>
      <c r="E465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F465" t="n">
        <v>13480</v>
      </c>
      <c r="G465" t="n">
        <v>9100</v>
      </c>
      <c r="H465" t="n">
        <v>0</v>
      </c>
      <c r="I465">
        <f>SUM(G520*H520)</f>
        <v/>
      </c>
    </row>
    <row r="466" ht="13.5" customHeight="1">
      <c r="A466" s="27" t="inlineStr">
        <is>
          <t>4549995444971</t>
        </is>
      </c>
      <c r="B466" s="27" t="inlineStr">
        <is>
          <t>b0d3kthmt4</t>
        </is>
      </c>
      <c r="C466" s="27" t="inlineStr">
        <is>
          <t>4957,4971/9100</t>
        </is>
      </c>
      <c r="D466" s="27" t="inlineStr">
        <is>
          <t>B0D3L1R7HD</t>
        </is>
      </c>
      <c r="E466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F466" t="n">
        <v>13480</v>
      </c>
      <c r="G466" t="n">
        <v>9100</v>
      </c>
      <c r="H466" t="n">
        <v>2</v>
      </c>
      <c r="I466">
        <f>SUM(G521*H521)</f>
        <v/>
      </c>
    </row>
    <row r="467" ht="13.5" customHeight="1">
      <c r="A467" s="27" t="inlineStr">
        <is>
          <t>8720689027939</t>
        </is>
      </c>
      <c r="B467" s="27" t="inlineStr">
        <is>
          <t>b0d46jfxtr</t>
        </is>
      </c>
      <c r="C467" s="27" t="inlineStr">
        <is>
          <t>33800-a</t>
        </is>
      </c>
      <c r="D467" s="27" t="inlineStr">
        <is>
          <t>B0D46JFXTR</t>
        </is>
      </c>
      <c r="E467" t="inlineStr">
        <is>
          <t>フィリップス 9000シリーズ 電動 髭剃り メンズ 72枚刃 回転式 お風呂剃り 丸洗い可 電動シェーバー 電気シェーバー 洗浄機付き 360-D フレックスヘッド S9980/50 アドリアブルー</t>
        </is>
      </c>
      <c r="F467" t="n">
        <v>39800</v>
      </c>
      <c r="G467" t="n">
        <v>33800</v>
      </c>
      <c r="H467" t="n">
        <v>5</v>
      </c>
      <c r="I467">
        <f>SUM(G522*H522)</f>
        <v/>
      </c>
    </row>
    <row r="468" ht="13.5" customHeight="1">
      <c r="A468" s="27" t="inlineStr">
        <is>
          <t>4987241195183</t>
        </is>
      </c>
      <c r="B468" s="27" t="inlineStr">
        <is>
          <t>b0d5cmg6tl</t>
        </is>
      </c>
      <c r="C468" s="27" t="inlineStr">
        <is>
          <t>5183/2090-a</t>
        </is>
      </c>
      <c r="D468" s="27" t="inlineStr">
        <is>
          <t>b0d5cmg6tl</t>
        </is>
      </c>
      <c r="E468" t="inlineStr">
        <is>
          <t>Gyutto （ギュット） コルセットヘアマスク 200g×2個セット トステアトリートメント うねりケア 縮毛 ダメージ補修 ヘアマスク ヘアパック ヘアトリートメント</t>
        </is>
      </c>
      <c r="F468" t="n">
        <v>2980</v>
      </c>
      <c r="G468" t="n">
        <v>2090</v>
      </c>
      <c r="H468" t="n">
        <v>8</v>
      </c>
      <c r="I468">
        <f>SUM(G524*H524)</f>
        <v/>
      </c>
    </row>
    <row r="469" ht="13.5" customHeight="1">
      <c r="A469" s="27" t="inlineStr">
        <is>
          <t>4987241195183</t>
        </is>
      </c>
      <c r="B469" s="27" t="inlineStr">
        <is>
          <t>b0d5cmg6tl-1</t>
        </is>
      </c>
      <c r="C469" s="27" t="inlineStr">
        <is>
          <t>5183/3135-a</t>
        </is>
      </c>
      <c r="D469" s="27" t="inlineStr">
        <is>
          <t>B0D5CMG6TL-1</t>
        </is>
      </c>
      <c r="E469" t="inlineStr">
        <is>
          <t>Gyutto （ギュット） コルセットヘアマスク 200g×3個セット トステアトリートメント うねりケア 縮毛 ダメージ補修 ヘアマスク ヘアパック ヘアトリートメント</t>
        </is>
      </c>
      <c r="F469" t="n">
        <v>4580</v>
      </c>
      <c r="G469" t="n">
        <v>3135</v>
      </c>
      <c r="H469" t="n">
        <v>6</v>
      </c>
      <c r="I469">
        <f>SUM(G525*H525)</f>
        <v/>
      </c>
    </row>
    <row r="470" ht="13.5" customHeight="1">
      <c r="A470" s="27" t="inlineStr">
        <is>
          <t>4993004810071</t>
        </is>
      </c>
      <c r="B470" s="27" t="inlineStr">
        <is>
          <t>b0d62lzh1r</t>
        </is>
      </c>
      <c r="C470" s="27" t="inlineStr">
        <is>
          <t>0071/109-a</t>
        </is>
      </c>
      <c r="D470" s="27" t="inlineStr">
        <is>
          <t>b0d62lzh1r</t>
        </is>
      </c>
      <c r="E470" t="inlineStr">
        <is>
          <t>MilagrosEyes ミラグロスアイズ つけまつげ 部分用 つけま 軽量 軽い 束感 自然 ナチュラル 部分用つけまつげ (No7)</t>
        </is>
      </c>
      <c r="F470" t="n">
        <v>1580</v>
      </c>
      <c r="G470" t="n">
        <v>109</v>
      </c>
      <c r="H470" t="n">
        <v>19</v>
      </c>
      <c r="I470">
        <f>SUM(G526*H526)</f>
        <v/>
      </c>
    </row>
    <row r="471" ht="13.5" customHeight="1">
      <c r="A471" s="27" t="inlineStr">
        <is>
          <t>4987176247476</t>
        </is>
      </c>
      <c r="B471" s="27" t="inlineStr">
        <is>
          <t>b0d76j7thk</t>
        </is>
      </c>
      <c r="C471" s="27" t="inlineStr">
        <is>
          <t>7476-a</t>
        </is>
      </c>
      <c r="D471" s="27" t="inlineStr">
        <is>
          <t>b0d76j7thk</t>
        </is>
      </c>
      <c r="E471" t="inlineStr">
        <is>
          <t>Procter &amp; Gamble P&amp;G レノア 超消臭 煮沸レベル消臭 抗菌ビーズ 消臭+防カビ クリーンフレッシュ 詰替用 特大サイズ 1040mL 洗濯</t>
        </is>
      </c>
      <c r="F471" t="n">
        <v>2180</v>
      </c>
      <c r="G471" t="n">
        <v>0</v>
      </c>
      <c r="H471" t="n">
        <v>2</v>
      </c>
      <c r="I471">
        <f>SUM(G527*H527)</f>
        <v/>
      </c>
    </row>
    <row r="472" ht="13.5" customHeight="1">
      <c r="A472" s="27" t="inlineStr">
        <is>
          <t>0194644204709</t>
        </is>
      </c>
      <c r="B472" s="27" t="inlineStr">
        <is>
          <t>b0d7zlpsjg</t>
        </is>
      </c>
      <c r="C472" s="27" t="inlineStr">
        <is>
          <t>4324,4693,4709,4723/13990</t>
        </is>
      </c>
      <c r="D472" s="27" t="inlineStr">
        <is>
          <t>B0D7YT9MB2</t>
        </is>
      </c>
      <c r="E472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F472" t="n">
        <v>19800</v>
      </c>
      <c r="G472" t="n">
        <v>13990</v>
      </c>
      <c r="H472" t="n">
        <v>2</v>
      </c>
      <c r="I472">
        <f>SUM(G528*H528)</f>
        <v/>
      </c>
    </row>
    <row r="473" ht="13.5" customHeight="1">
      <c r="A473" s="27" t="inlineStr">
        <is>
          <t>0194644204723</t>
        </is>
      </c>
      <c r="B473" s="27" t="inlineStr">
        <is>
          <t>b0d7zlpsjg</t>
        </is>
      </c>
      <c r="C473" s="27" t="inlineStr">
        <is>
          <t>4324,4693,4709,4723/13990</t>
        </is>
      </c>
      <c r="D473" s="27" t="inlineStr">
        <is>
          <t>B0D7YTG5V2</t>
        </is>
      </c>
      <c r="E473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F473" t="n">
        <v>19800</v>
      </c>
      <c r="G473" t="n">
        <v>13990</v>
      </c>
      <c r="H473" t="n">
        <v>5</v>
      </c>
      <c r="I473">
        <f>SUM(G529*H529)</f>
        <v/>
      </c>
    </row>
    <row r="474" ht="13.5" customHeight="1">
      <c r="A474" s="27" t="inlineStr">
        <is>
          <t>0194644204624</t>
        </is>
      </c>
      <c r="B474" s="27" t="inlineStr">
        <is>
          <t>b0d7zlpsjg</t>
        </is>
      </c>
      <c r="C474" s="27" t="inlineStr">
        <is>
          <t>4324,4693,4709,4723/13990</t>
        </is>
      </c>
      <c r="D474" s="27" t="inlineStr">
        <is>
          <t>B0D7ZLPSJG</t>
        </is>
      </c>
      <c r="E474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F474" t="n">
        <v>19800</v>
      </c>
      <c r="G474" t="n">
        <v>13990</v>
      </c>
      <c r="H474" t="n">
        <v>1</v>
      </c>
      <c r="I474">
        <f>SUM(G530*H530)</f>
        <v/>
      </c>
    </row>
    <row r="475" ht="13.5" customHeight="1">
      <c r="A475" s="27" t="inlineStr">
        <is>
          <t>0194644204693</t>
        </is>
      </c>
      <c r="B475" s="27" t="inlineStr">
        <is>
          <t>b0d7zlpsjg</t>
        </is>
      </c>
      <c r="C475" s="27" t="inlineStr">
        <is>
          <t>4324,4693,4709,4723/13990</t>
        </is>
      </c>
      <c r="D475" s="27" t="inlineStr">
        <is>
          <t>B0D7ZMNRFY</t>
        </is>
      </c>
      <c r="E475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F475" t="n">
        <v>19800</v>
      </c>
      <c r="G475" t="n">
        <v>13990</v>
      </c>
      <c r="H475" t="n">
        <v>1</v>
      </c>
      <c r="I475">
        <f>SUM(G531*H531)</f>
        <v/>
      </c>
    </row>
    <row r="476" ht="13.5" customHeight="1">
      <c r="A476" s="27" t="inlineStr">
        <is>
          <t>0194644205706</t>
        </is>
      </c>
      <c r="B476" s="27" t="inlineStr">
        <is>
          <t>b0d8q93vmg</t>
        </is>
      </c>
      <c r="C476" s="27" t="inlineStr">
        <is>
          <t>5706/13355</t>
        </is>
      </c>
      <c r="D476" s="27" t="inlineStr">
        <is>
          <t>b0d8q93vmg</t>
        </is>
      </c>
      <c r="E476" t="inlineStr">
        <is>
          <t>Anker Prime Charger (250W, 6 Ports, GaN) (USB PD 充電器 USB-A &amp; USB-C) iPad iPhone 17シリーズ MacBook Android スマートフォン ノートPC 各種 その他機器対応</t>
        </is>
      </c>
      <c r="F476" t="n">
        <v>25980</v>
      </c>
      <c r="G476" t="n">
        <v>14990</v>
      </c>
      <c r="H476" t="n">
        <v>1</v>
      </c>
      <c r="I476">
        <f>SUM(G532*H532)</f>
        <v/>
      </c>
    </row>
    <row r="477" ht="13.5" customHeight="1">
      <c r="A477" s="27" t="inlineStr">
        <is>
          <t>4902806130607</t>
        </is>
      </c>
      <c r="B477" s="27" t="inlineStr">
        <is>
          <t>b0d9w4dwf5</t>
        </is>
      </c>
      <c r="C477" s="27" t="inlineStr">
        <is>
          <t>0607/1650</t>
        </is>
      </c>
      <c r="D477" s="27" t="inlineStr">
        <is>
          <t>b0d9w4dwf5</t>
        </is>
      </c>
      <c r="E477" t="inlineStr">
        <is>
          <t>フェイストレーニング ミネラルクリーム [ ライザップ 表情筋 トレーニング クリーム ]100g スキンケア ケア 顔 フェイス フェイストレーニング</t>
        </is>
      </c>
      <c r="F477" t="n">
        <v>3480</v>
      </c>
      <c r="G477" t="n">
        <v>1650</v>
      </c>
      <c r="H477" t="n">
        <v>1</v>
      </c>
      <c r="I477">
        <f>SUM(G533*H533)</f>
        <v/>
      </c>
      <c r="J477" t="inlineStr">
        <is>
          <t>✓ 一致（SKU）</t>
        </is>
      </c>
      <c r="K477" t="inlineStr">
        <is>
          <t>4902806130607</t>
        </is>
      </c>
    </row>
    <row r="478" ht="13.5" customHeight="1">
      <c r="A478" s="27" t="inlineStr">
        <is>
          <t>4902407025111</t>
        </is>
      </c>
      <c r="B478" s="27" t="inlineStr">
        <is>
          <t>b0d9xp3w5n</t>
        </is>
      </c>
      <c r="C478" s="27" t="inlineStr">
        <is>
          <t>4902407025111-3-a</t>
        </is>
      </c>
      <c r="D478" s="27" t="inlineStr">
        <is>
          <t>b0d9xp3w5n</t>
        </is>
      </c>
      <c r="E478" t="inlineStr">
        <is>
          <t>【3個セット】アイスノン ICE KING 極冷えボディミスト 金木犀の香り 150mL×3個 白元アース メントール配合 ヒアルロン酸Na 加水分解コラーゲン配合 冷感スプレー ボディ用 日本製 夏用 暑さ対策 猛暑対策 熱中対策 通勤 通学 スポーツ アウトドア レジャー クールケア 爽快</t>
        </is>
      </c>
      <c r="F478" t="n">
        <v>3980</v>
      </c>
      <c r="G478" t="n">
        <v>1941</v>
      </c>
      <c r="H478" t="n">
        <v>2</v>
      </c>
      <c r="I478">
        <f>SUM(G534*H534)</f>
        <v/>
      </c>
      <c r="J478" t="inlineStr">
        <is>
          <t>✓ 一致（SKU）</t>
        </is>
      </c>
      <c r="K478" t="inlineStr">
        <is>
          <t>4902407025111</t>
        </is>
      </c>
    </row>
    <row r="479" ht="13.5" customHeight="1">
      <c r="A479" s="27" t="inlineStr">
        <is>
          <t>4902407025111</t>
        </is>
      </c>
      <c r="B479" s="27" t="inlineStr">
        <is>
          <t>b0d9xp3w5n-1</t>
        </is>
      </c>
      <c r="C479" s="27" t="inlineStr">
        <is>
          <t>AST-0002-a</t>
        </is>
      </c>
      <c r="D479" s="27" t="inlineStr">
        <is>
          <t>B0D9XP3W5N-1</t>
        </is>
      </c>
      <c r="E479" t="inlineStr">
        <is>
          <t>【セット品】アイスノン ICE KING 極冷えボディミスト 金木犀の香り 本体150mL 詰替用140mL セット 冷感ミスト メントール高配合 ボディ用化粧水 クールスプレー ヒアルロン酸 コラーゲン配合 暑さ対策 汗対策 通勤 通学 レジャー スポーツ後 リフレッシュ 日本製</t>
        </is>
      </c>
      <c r="F479" t="n">
        <v>2780</v>
      </c>
      <c r="G479" t="n">
        <v>1300</v>
      </c>
      <c r="H479" t="n">
        <v>7</v>
      </c>
      <c r="I479">
        <f>SUM(G535*H535)</f>
        <v/>
      </c>
      <c r="J479" t="inlineStr">
        <is>
          <t>✓ 一致（SKU）</t>
        </is>
      </c>
      <c r="K479" t="inlineStr">
        <is>
          <t>4902407025111</t>
        </is>
      </c>
    </row>
    <row r="480" ht="13.5" customHeight="1">
      <c r="A480" s="27" t="inlineStr">
        <is>
          <t>4901301437198</t>
        </is>
      </c>
      <c r="B480" s="27" t="inlineStr">
        <is>
          <t>b0d9zg3zkm</t>
        </is>
      </c>
      <c r="C480" s="27" t="inlineStr">
        <is>
          <t>8140,7198/398</t>
        </is>
      </c>
      <c r="D480" s="27" t="inlineStr">
        <is>
          <t>b0d9zg3zkm</t>
        </is>
      </c>
      <c r="E480" t="inlineStr">
        <is>
          <t>【セット品】花王 ハミングフレア リラックス ラベンダー&amp;ジャスミン 本体510mL＋詰替350mL セット 部屋干し 雨の日 部屋 かろやか 香る きれい 清潔 衣類 静電気 防臭 抗菌 赤ちゃん ベビー 洗濯</t>
        </is>
      </c>
      <c r="F480" t="n">
        <v>1480</v>
      </c>
      <c r="G480" t="n">
        <v>398</v>
      </c>
      <c r="H480" t="n">
        <v>4</v>
      </c>
      <c r="I480">
        <f>SUM(G536*H536)</f>
        <v/>
      </c>
      <c r="J480" t="inlineStr">
        <is>
          <t>✓ 一致（SKU）</t>
        </is>
      </c>
      <c r="K480" t="inlineStr">
        <is>
          <t>4901301437198</t>
        </is>
      </c>
    </row>
    <row r="481" ht="13.5" customHeight="1">
      <c r="A481" s="27" t="inlineStr">
        <is>
          <t>4901301430007</t>
        </is>
      </c>
      <c r="B481" s="27" t="inlineStr">
        <is>
          <t>b0d9zg8rn4</t>
        </is>
      </c>
      <c r="C481" s="27" t="inlineStr">
        <is>
          <t>0007/980-a</t>
        </is>
      </c>
      <c r="D481" s="27" t="inlineStr">
        <is>
          <t>B0D9ZG8RN4</t>
        </is>
      </c>
      <c r="E481" t="inlineStr">
        <is>
          <t>花王 ハミングフレア フレアフレグランス リッチフローラルの香り2.5L 詰め替え 部屋干し 雨の日 部屋 かろやか 香る きれい 清潔 衣類 静電気 防臭 抗菌 赤ちゃん ベビー 洗濯</t>
        </is>
      </c>
      <c r="F481" t="n">
        <v>2980</v>
      </c>
      <c r="G481" t="n">
        <v>1157</v>
      </c>
      <c r="H481" t="n">
        <v>59</v>
      </c>
      <c r="I481">
        <f>SUM(G537*H537)</f>
        <v/>
      </c>
    </row>
    <row r="482" ht="13.5" customHeight="1">
      <c r="A482" s="27" t="inlineStr">
        <is>
          <t>4901301441720</t>
        </is>
      </c>
      <c r="B482" s="27" t="inlineStr">
        <is>
          <t>b0d9znvl7q</t>
        </is>
      </c>
      <c r="C482" s="27" t="inlineStr">
        <is>
          <t>4901301441720</t>
        </is>
      </c>
      <c r="D482" s="27" t="inlineStr">
        <is>
          <t>B0DV57G9Z1</t>
        </is>
      </c>
      <c r="E482" s="12" t="inlineStr">
        <is>
          <t>花王 フレアフレグランス ハミングフレア リッチフローラル 本体 520ml 部屋干し 雨の日 部屋 かろやか 香る きれい 清潔 衣類 静電気 防臭 抗菌 赤ちゃん ベビー 洗濯</t>
        </is>
      </c>
      <c r="F482" t="n">
        <v>1280</v>
      </c>
      <c r="G482" t="n">
        <v>219</v>
      </c>
      <c r="H482" t="n">
        <v>8</v>
      </c>
      <c r="I482">
        <f>SUM(G538*H538)</f>
        <v/>
      </c>
    </row>
    <row r="483" ht="13.5" customHeight="1">
      <c r="A483" s="27" t="inlineStr">
        <is>
          <t>4987176264206</t>
        </is>
      </c>
      <c r="B483" s="27" t="inlineStr">
        <is>
          <t>b0db48cfg7</t>
        </is>
      </c>
      <c r="C483" s="27" t="inlineStr">
        <is>
          <t>4987176264206-a</t>
        </is>
      </c>
      <c r="D483" s="27" t="inlineStr">
        <is>
          <t>B0DB48CFG7</t>
        </is>
      </c>
      <c r="E483" t="inlineStr">
        <is>
          <t>ブラウン 電動歯ブラシ オーラルB iOS21D90BK ブラック 歯磨き ケア</t>
        </is>
      </c>
      <c r="F483" t="n">
        <v>9380</v>
      </c>
      <c r="G483" t="n">
        <v>5980</v>
      </c>
      <c r="H483" t="n">
        <v>8</v>
      </c>
      <c r="I483">
        <f>SUM(G543*H543)</f>
        <v/>
      </c>
    </row>
    <row r="484" ht="13.5" customHeight="1">
      <c r="A484" s="27" t="inlineStr">
        <is>
          <t>4969929259561</t>
        </is>
      </c>
      <c r="B484" s="27" t="inlineStr">
        <is>
          <t>b0dbqn8sl3</t>
        </is>
      </c>
      <c r="C484" s="27" t="inlineStr">
        <is>
          <t>0307.9561/37800</t>
        </is>
      </c>
      <c r="D484" s="27" t="inlineStr">
        <is>
          <t>B0CL4Q4RGS</t>
        </is>
      </c>
      <c r="E484" t="inlineStr">
        <is>
          <t>Bose QuietComfort Ultra Headphones LE 完全 ワイヤレス 空間オーディオ ヘッドホン ノイズキャンセリング Bluetooth接続 マイク付 最大24時間再生 急速充電 ルナブルー、サンドストーン</t>
        </is>
      </c>
      <c r="F484" t="n">
        <v>49800</v>
      </c>
      <c r="G484" t="n">
        <v>37800</v>
      </c>
      <c r="H484" t="n">
        <v>0</v>
      </c>
      <c r="I484">
        <f>SUM(G544*H544)</f>
        <v/>
      </c>
    </row>
    <row r="485" ht="13.5" customHeight="1">
      <c r="A485" s="27" t="inlineStr">
        <is>
          <t>4969929260307</t>
        </is>
      </c>
      <c r="B485" s="27" t="inlineStr">
        <is>
          <t>b0dbqn8sl3</t>
        </is>
      </c>
      <c r="C485" s="27" t="inlineStr">
        <is>
          <t>0307.9561/37800</t>
        </is>
      </c>
      <c r="D485" s="27" t="inlineStr">
        <is>
          <t>B0DBQN8SL3</t>
        </is>
      </c>
      <c r="E485" t="inlineStr">
        <is>
          <t>Bose QuietComfort Ultra Headphones LE 完全 ワイヤレス 空間オーディオ ヘッドホン ノイズキャンセリング Bluetooth接続 マイク付 最大24時間再生 急速充電 ルナブルー、サンドストーン</t>
        </is>
      </c>
      <c r="F485" t="n">
        <v>49800</v>
      </c>
      <c r="G485" t="n">
        <v>37800</v>
      </c>
      <c r="H485" t="n">
        <v>0</v>
      </c>
      <c r="I485">
        <f>SUM(G545*H545)</f>
        <v/>
      </c>
    </row>
    <row r="486" ht="13.5" customHeight="1">
      <c r="A486" s="27" t="inlineStr">
        <is>
          <t>4903588274787</t>
        </is>
      </c>
      <c r="B486" s="27" t="inlineStr">
        <is>
          <t>b0dd3wlx4k</t>
        </is>
      </c>
      <c r="C486" s="27" t="inlineStr">
        <is>
          <t>4903588274794-a</t>
        </is>
      </c>
      <c r="D486" s="27" t="inlineStr">
        <is>
          <t>b0dd3x9y9d</t>
        </is>
      </c>
      <c r="E486" t="inlineStr">
        <is>
          <t>ペティオ (Petio) 猫用ベッド あったかくつろぎベッド クッション付 ネコ耳ドーム ネイビーブルー</t>
        </is>
      </c>
      <c r="F486" t="n">
        <v>4980</v>
      </c>
      <c r="G486" t="n">
        <v>1320</v>
      </c>
      <c r="H486" t="n">
        <v>5</v>
      </c>
      <c r="I486">
        <f>SUM(G546*H546)</f>
        <v/>
      </c>
      <c r="J486" t="inlineStr">
        <is>
          <t>✓ 一致（SKU）</t>
        </is>
      </c>
      <c r="K486" t="inlineStr">
        <is>
          <t>4903588274787</t>
        </is>
      </c>
    </row>
    <row r="487" ht="13.5" customHeight="1">
      <c r="A487" s="27" t="inlineStr">
        <is>
          <t>4547410536317</t>
        </is>
      </c>
      <c r="B487" s="27" t="inlineStr">
        <is>
          <t>b0ddsypbwx</t>
        </is>
      </c>
      <c r="C487" s="27" t="inlineStr">
        <is>
          <t>6317/21950</t>
        </is>
      </c>
      <c r="D487" s="27" t="inlineStr">
        <is>
          <t>b0ddsypbwx</t>
        </is>
      </c>
      <c r="E487" t="inlineStr">
        <is>
          <t>富士フイルム(FUJIFILM) チェキ スマホプリンター instax mini Link3 ローズピンク (フィルム別売り） チェキ インスタント</t>
        </is>
      </c>
      <c r="F487" t="n">
        <v>14980</v>
      </c>
      <c r="G487" t="n">
        <v>21950</v>
      </c>
      <c r="H487" t="n">
        <v>4</v>
      </c>
      <c r="I487">
        <f>SUM(G547*H547)</f>
        <v/>
      </c>
      <c r="J487" t="inlineStr">
        <is>
          <t>✓ 一致（SKU）</t>
        </is>
      </c>
      <c r="K487" t="inlineStr">
        <is>
          <t>4547410536317</t>
        </is>
      </c>
    </row>
    <row r="488" ht="13.5" customHeight="1">
      <c r="A488" s="27" t="inlineStr">
        <is>
          <t>4901301438492</t>
        </is>
      </c>
      <c r="B488" s="27" t="inlineStr">
        <is>
          <t>b0ddthxyyq</t>
        </is>
      </c>
      <c r="C488" s="27" t="inlineStr">
        <is>
          <t>8492/455-a</t>
        </is>
      </c>
      <c r="D488" s="27" t="inlineStr">
        <is>
          <t>B0DDTHXYYQ</t>
        </is>
      </c>
      <c r="E488" t="inlineStr">
        <is>
          <t>花王 ハミングフレア フレアフレグランス リッチフローラルの香り940ml 詰め替え 部屋干し 雨の日 部屋 かろやか 香る きれい 清潔 衣類 静電気 防臭 抗菌 赤ちゃん ベビー 洗濯</t>
        </is>
      </c>
      <c r="F488" t="n">
        <v>1980</v>
      </c>
      <c r="G488" t="n">
        <v>445</v>
      </c>
      <c r="H488" t="n">
        <v>6</v>
      </c>
      <c r="I488">
        <f>SUM(G548*H548)</f>
        <v/>
      </c>
    </row>
    <row r="489" ht="13.5" customHeight="1">
      <c r="A489" s="27" t="inlineStr">
        <is>
          <t>4550533130829</t>
        </is>
      </c>
      <c r="B489" s="27" t="inlineStr">
        <is>
          <t>b0dfbl4mqp</t>
        </is>
      </c>
      <c r="C489" s="27" t="inlineStr">
        <is>
          <t>0829/5904</t>
        </is>
      </c>
      <c r="D489" s="27" t="inlineStr">
        <is>
          <t>b0dfbl4mqp</t>
        </is>
      </c>
      <c r="E489" t="inlineStr">
        <is>
          <t>山善 電気毛布 どこでも電気着る毛布 くるみケット(USBタイプ) モカ YKPD-15 オーバー AIR コードレス 着るこたつ バッテリー別売</t>
        </is>
      </c>
      <c r="F489" t="n">
        <v>9980</v>
      </c>
      <c r="G489" t="n">
        <v>5904</v>
      </c>
      <c r="H489" t="n">
        <v>1</v>
      </c>
      <c r="I489">
        <f>SUM(G549*H549)</f>
        <v/>
      </c>
      <c r="J489" t="inlineStr">
        <is>
          <t>✓ 一致（SKU）</t>
        </is>
      </c>
      <c r="K489" t="inlineStr">
        <is>
          <t>4550533130829</t>
        </is>
      </c>
    </row>
    <row r="490" ht="13.5" customHeight="1">
      <c r="A490" s="27" t="inlineStr">
        <is>
          <t>4549980880715</t>
        </is>
      </c>
      <c r="B490" s="27" t="inlineStr">
        <is>
          <t>b0dffzzxqw</t>
        </is>
      </c>
      <c r="C490" s="27" t="inlineStr">
        <is>
          <t>4549980880715</t>
        </is>
      </c>
      <c r="D490" s="27" t="inlineStr">
        <is>
          <t>b0dffzzxqw</t>
        </is>
      </c>
      <c r="E490" t="inlineStr">
        <is>
          <t>パナソニック 電動歯ブラシ ドルツ ハイグレードモデル W音波振動 歯垢除去 黒 EW-NDPD6-K 歯磨き 口臭 口内 ケア</t>
        </is>
      </c>
      <c r="F490" t="n">
        <v>25800</v>
      </c>
      <c r="G490" t="n">
        <v>17800</v>
      </c>
      <c r="H490" t="n">
        <v>3</v>
      </c>
      <c r="I490">
        <f>SUM(G551*H551)</f>
        <v/>
      </c>
      <c r="J490" t="inlineStr">
        <is>
          <t>✓ 一致（SKU）</t>
        </is>
      </c>
      <c r="K490" t="inlineStr">
        <is>
          <t>4549980880715</t>
        </is>
      </c>
    </row>
    <row r="491" ht="13.5" customHeight="1">
      <c r="A491" s="27" t="inlineStr">
        <is>
          <t>9000278745000</t>
        </is>
      </c>
      <c r="B491" s="27" t="inlineStr">
        <is>
          <t>b0dfmgm2n9</t>
        </is>
      </c>
      <c r="C491" s="27" t="inlineStr">
        <is>
          <t>1415/828</t>
        </is>
      </c>
      <c r="D491" s="27" t="inlineStr">
        <is>
          <t>b0dfmgm2n9</t>
        </is>
      </c>
      <c r="E491" t="inlineStr">
        <is>
          <t>銀のスプーン お魚味クリーム どーにゃつ まぐろ入りチキン味 24g×5袋セット 猫 猫用 おやつ 国産 ドライ キャットフード 人気 まとめ買い</t>
        </is>
      </c>
      <c r="F491" t="n">
        <v>1480</v>
      </c>
      <c r="G491" t="n">
        <v>720</v>
      </c>
      <c r="H491" t="n">
        <v>2</v>
      </c>
      <c r="I491">
        <f>SUM(G552*H552)</f>
        <v/>
      </c>
      <c r="J491" t="inlineStr">
        <is>
          <t>✓ 一致（SKU）</t>
        </is>
      </c>
      <c r="K491" t="inlineStr">
        <is>
          <t>9000278745000</t>
        </is>
      </c>
    </row>
    <row r="492" ht="13.5" customHeight="1">
      <c r="A492" s="27" t="inlineStr">
        <is>
          <t>4550451259138</t>
        </is>
      </c>
      <c r="B492" s="27" t="inlineStr">
        <is>
          <t>b0dfpz82g5</t>
        </is>
      </c>
      <c r="C492" s="27" t="inlineStr">
        <is>
          <t>9138,5534,2238,9190,2436/2728</t>
        </is>
      </c>
      <c r="D492" s="27" t="inlineStr">
        <is>
          <t>b0dfpz82g5</t>
        </is>
      </c>
      <c r="E492" t="inlineStr">
        <is>
          <t>【セット品】うるちゅるポップシール 5種セット オバケーヌ エンジェルブルー2 トムとジェリー クロミ フワフワらびちゃん クラックス CRUX POP SEAL ぷっくり 立体 スマホデコ 推し活 デコシール キャラクターシール ステッカー アソートセット シール かわいい</t>
        </is>
      </c>
      <c r="F492" t="n">
        <v>4980</v>
      </c>
      <c r="G492" t="n">
        <v>2728</v>
      </c>
      <c r="H492" t="n">
        <v>2</v>
      </c>
      <c r="I492">
        <f>SUM(G553*H553)</f>
        <v/>
      </c>
      <c r="J492" t="inlineStr">
        <is>
          <t>✓ 一致（SKU）</t>
        </is>
      </c>
      <c r="K492" t="inlineStr">
        <is>
          <t>4550451259138</t>
        </is>
      </c>
    </row>
    <row r="493" ht="13.5" customHeight="1">
      <c r="A493" s="27" t="inlineStr">
        <is>
          <t>4710483949340</t>
        </is>
      </c>
      <c r="B493" s="27" t="inlineStr">
        <is>
          <t>b0dg4fk9hp</t>
        </is>
      </c>
      <c r="C493" s="27" t="inlineStr">
        <is>
          <t>9340/31980</t>
        </is>
      </c>
      <c r="D493" s="27" t="inlineStr">
        <is>
          <t>b0dg4fk9hp</t>
        </is>
      </c>
      <c r="E493" t="inlineStr">
        <is>
          <t>ASRock マザーボード X870 Steel Legend WiFi AMD Ryzen 9000 シリーズ CPU (Soket AM5) 対応 X870 チップセット ATX マザーボード</t>
        </is>
      </c>
      <c r="F493" t="n">
        <v>47800</v>
      </c>
      <c r="G493" t="n">
        <v>31980</v>
      </c>
      <c r="H493" t="n">
        <v>3</v>
      </c>
      <c r="I493">
        <f>SUM(G555*H555)</f>
        <v/>
      </c>
      <c r="J493" t="inlineStr">
        <is>
          <t>✓ 一致（SKU）</t>
        </is>
      </c>
      <c r="K493" t="inlineStr">
        <is>
          <t>4710483949340</t>
        </is>
      </c>
    </row>
    <row r="494" ht="13.5" customHeight="1">
      <c r="A494" s="27" t="inlineStr">
        <is>
          <t>4975677033353</t>
        </is>
      </c>
      <c r="B494" s="27" t="inlineStr">
        <is>
          <t>b0dgqkzlc8</t>
        </is>
      </c>
      <c r="C494" s="27" t="inlineStr">
        <is>
          <t>3353/1254-a</t>
        </is>
      </c>
      <c r="D494" s="27" t="inlineStr">
        <is>
          <t>b0dgqkzlc8</t>
        </is>
      </c>
      <c r="E494" t="inlineStr">
        <is>
          <t>ニチドウ Dr.PRO. ドクター・プロ ベビーミルク スーパーIGP 幼犬用 100g ドックフード サプリメント</t>
        </is>
      </c>
      <c r="F494" t="n">
        <v>2280</v>
      </c>
      <c r="G494" t="n">
        <v>1254</v>
      </c>
      <c r="H494" t="n">
        <v>5</v>
      </c>
      <c r="I494">
        <f>SUM(G556*H556)</f>
        <v/>
      </c>
    </row>
    <row r="495" ht="13.5" customHeight="1">
      <c r="A495" s="27" t="inlineStr">
        <is>
          <t>4975677035234</t>
        </is>
      </c>
      <c r="B495" s="27" t="inlineStr">
        <is>
          <t>b0dgqlx4k1</t>
        </is>
      </c>
      <c r="C495" s="27" t="inlineStr">
        <is>
          <t>5234/1254-a</t>
        </is>
      </c>
      <c r="D495" s="27" t="inlineStr">
        <is>
          <t>b0dgqlx4k1</t>
        </is>
      </c>
      <c r="E495" t="inlineStr">
        <is>
          <t>ニチドウ Dr.PRO. ドクター・プロ ベビーミルクスーパーIGP 幼猫用 100g (1個)</t>
        </is>
      </c>
      <c r="F495" t="n">
        <v>1980</v>
      </c>
      <c r="G495" t="n">
        <v>1254</v>
      </c>
      <c r="H495" t="n">
        <v>5</v>
      </c>
      <c r="I495">
        <f>SUM(G557*H557)</f>
        <v/>
      </c>
    </row>
    <row r="496" ht="13.5" customHeight="1">
      <c r="A496" s="27" t="inlineStr">
        <is>
          <t>4994527860802</t>
        </is>
      </c>
      <c r="B496" s="27" t="inlineStr">
        <is>
          <t>b0dgqmzg4y</t>
        </is>
      </c>
      <c r="C496" s="27" t="inlineStr">
        <is>
          <t>0802/537-a</t>
        </is>
      </c>
      <c r="D496" s="27" t="inlineStr">
        <is>
          <t>b0dgqmzg4y</t>
        </is>
      </c>
      <c r="E496" t="inlineStr">
        <is>
          <t>アース・ペット スタミノール S 食欲がない時に 33g 犬・猫用</t>
        </is>
      </c>
      <c r="F496" t="n">
        <v>1480</v>
      </c>
      <c r="G496" t="n">
        <v>537</v>
      </c>
      <c r="H496" t="n">
        <v>4</v>
      </c>
      <c r="I496">
        <f>SUM(G558*H558)</f>
        <v/>
      </c>
    </row>
    <row r="497" ht="13.5" customHeight="1">
      <c r="A497" s="27" t="inlineStr">
        <is>
          <t>4994527860703</t>
        </is>
      </c>
      <c r="B497" s="27" t="inlineStr">
        <is>
          <t>b0dgqqh4tt</t>
        </is>
      </c>
      <c r="C497" s="27" t="inlineStr">
        <is>
          <t>0703/1100-a</t>
        </is>
      </c>
      <c r="D497" s="27" t="inlineStr">
        <is>
          <t>b0dgqqh4tt</t>
        </is>
      </c>
      <c r="E497" t="inlineStr">
        <is>
          <t>アース・ペット スタミノール 食欲がない時に 犬・猫用 100g 栄養補給ペースト 投薬補助 国産 犬 猫 ペット用 栄養補助食 食欲不振時 健康維持 小麦胚芽油配合 L-カルニチン配合 たんぱく質配合 子犬 子猫 成犬 成猫 シニア犬 シニア猫 ペーストタイプ</t>
        </is>
      </c>
      <c r="F497" t="n">
        <v>2080</v>
      </c>
      <c r="G497" t="n">
        <v>1100</v>
      </c>
      <c r="H497" t="n">
        <v>4</v>
      </c>
      <c r="I497">
        <f>SUM(G559*H559)</f>
        <v/>
      </c>
    </row>
    <row r="498" ht="13.5" customHeight="1">
      <c r="A498" s="27" t="inlineStr">
        <is>
          <t>4994527860901</t>
        </is>
      </c>
      <c r="B498" s="27" t="inlineStr">
        <is>
          <t>b0dgy23b6s</t>
        </is>
      </c>
      <c r="C498" s="27" t="inlineStr">
        <is>
          <t>0901//2450-a</t>
        </is>
      </c>
      <c r="D498" s="27" t="inlineStr">
        <is>
          <t>b0dgy23b6s</t>
        </is>
      </c>
      <c r="E498" t="inlineStr">
        <is>
          <t>アース・ペット スタミノールV 100g ×2本セット 犬 犬用 犬おやつ おやつ 犬用おやつ サプリ ペースト 人気 フード ドックフード</t>
        </is>
      </c>
      <c r="F498" t="n">
        <v>3980</v>
      </c>
      <c r="G498" t="n">
        <v>2450</v>
      </c>
      <c r="H498" t="n">
        <v>2</v>
      </c>
      <c r="I498">
        <f>SUM(G560*H560)</f>
        <v/>
      </c>
    </row>
    <row r="499" ht="13.5" customHeight="1">
      <c r="A499" s="27" t="inlineStr">
        <is>
          <t>4994527861205</t>
        </is>
      </c>
      <c r="B499" s="27" t="inlineStr">
        <is>
          <t>b0dgy2r4l4</t>
        </is>
      </c>
      <c r="C499" s="27" t="inlineStr">
        <is>
          <t>1205/688-a</t>
        </is>
      </c>
      <c r="D499" s="27" t="inlineStr">
        <is>
          <t>b0dgy2r4l4</t>
        </is>
      </c>
      <c r="E499" t="inlineStr">
        <is>
          <t>アース・ペット 猫スタミノール 毛玉ケア 50g 猫用 サプリ</t>
        </is>
      </c>
      <c r="F499" t="n">
        <v>1480</v>
      </c>
      <c r="G499" t="n">
        <v>688</v>
      </c>
      <c r="H499" t="n">
        <v>5</v>
      </c>
      <c r="I499">
        <f>SUM(G561*H561)</f>
        <v/>
      </c>
    </row>
    <row r="500" ht="13.5" customHeight="1">
      <c r="A500" s="27" t="inlineStr">
        <is>
          <t>4994527861007</t>
        </is>
      </c>
      <c r="B500" s="27" t="inlineStr">
        <is>
          <t>b0dgy3dvhq</t>
        </is>
      </c>
      <c r="C500" s="27" t="inlineStr">
        <is>
          <t>1007/2312-a</t>
        </is>
      </c>
      <c r="D500" s="27" t="inlineStr">
        <is>
          <t>b0dgy3dvhq</t>
        </is>
      </c>
      <c r="E500" t="inlineStr">
        <is>
          <t>スタミノール 関節ケア １００ｇ ×2 犬 犬用 国産 ヘルスケア サプリ 関節 おいしい</t>
        </is>
      </c>
      <c r="F500" t="n">
        <v>3580</v>
      </c>
      <c r="G500" t="n">
        <v>2312</v>
      </c>
      <c r="H500" t="n">
        <v>2</v>
      </c>
      <c r="I500">
        <f>SUM(G562*H562)</f>
        <v/>
      </c>
    </row>
    <row r="501" ht="13.5" customHeight="1">
      <c r="A501" s="27" t="inlineStr">
        <is>
          <t>4994527861106</t>
        </is>
      </c>
      <c r="B501" s="27" t="inlineStr">
        <is>
          <t>b0dgy42sr6</t>
        </is>
      </c>
      <c r="C501" s="27" t="inlineStr">
        <is>
          <t>1106/1278-a</t>
        </is>
      </c>
      <c r="D501" s="27" t="inlineStr">
        <is>
          <t>b0dgy42sr6</t>
        </is>
      </c>
      <c r="E501" t="inlineStr">
        <is>
          <t>アース・ペット 猫スタミノール 食欲 50g×2本セット 猫 猫用 おやつ ウェット キャットフード 人気</t>
        </is>
      </c>
      <c r="F501" t="n">
        <v>2198</v>
      </c>
      <c r="G501" t="n">
        <v>1278</v>
      </c>
      <c r="H501" t="n">
        <v>4</v>
      </c>
      <c r="I501">
        <f>SUM(G563*H563)</f>
        <v/>
      </c>
    </row>
    <row r="502" ht="13.5" customHeight="1">
      <c r="A502" s="27" t="inlineStr">
        <is>
          <t>4978951921391</t>
        </is>
      </c>
      <c r="B502" s="27" t="inlineStr">
        <is>
          <t>b0dh2hl1mv</t>
        </is>
      </c>
      <c r="C502" s="27" t="inlineStr">
        <is>
          <t>1391/1208</t>
        </is>
      </c>
      <c r="D502" s="27" t="inlineStr">
        <is>
          <t>b0dh2hl1mv</t>
        </is>
      </c>
      <c r="E502" t="inlineStr">
        <is>
          <t>ミツエイ フレグランスムスク FRAGRANCE MUSK 柔軟剤 洗濯用洗剤2袋セット キンモクセイの香り 2000ml つめかえ用 金木犀 詰め替え 部屋干し 雨の日 部屋 かろやか 香る きれい 清潔 衣類 静電気 防臭 抗菌 赤ちゃん ベビー 洗濯</t>
        </is>
      </c>
      <c r="F502" t="n">
        <v>3980</v>
      </c>
      <c r="G502" t="n">
        <v>1208</v>
      </c>
      <c r="H502" t="n">
        <v>5</v>
      </c>
      <c r="I502">
        <f>SUM(G564*H564)</f>
        <v/>
      </c>
      <c r="J502" t="inlineStr">
        <is>
          <t>✓ 一致（SKU）</t>
        </is>
      </c>
      <c r="K502" t="inlineStr">
        <is>
          <t>4978951921391</t>
        </is>
      </c>
    </row>
    <row r="503" ht="13.5" customHeight="1">
      <c r="A503" s="27" t="inlineStr">
        <is>
          <t>4902135147543</t>
        </is>
      </c>
      <c r="B503" s="27" t="inlineStr">
        <is>
          <t>b0dhjcr7yq</t>
        </is>
      </c>
      <c r="C503" s="27" t="inlineStr">
        <is>
          <t>7543/220</t>
        </is>
      </c>
      <c r="D503" s="27" t="inlineStr">
        <is>
          <t>B0DHJCR7YQ</t>
        </is>
      </c>
      <c r="E503" t="inlineStr">
        <is>
          <t>【2個セット】ファーファ ウォータリーブーケの香り 乾燥機対応 洗濯洗剤 液体洗剤 本体 400g×2個セット ウォータリーブーケの香り 自動投入対応 ドラム式対応 縮み防止対応 衣類ケア 洗濯用洗剤 大容量 ランドリー用品 日用品 ストック まとめ買い</t>
        </is>
      </c>
      <c r="F503" t="n">
        <v>2980</v>
      </c>
      <c r="G503" t="n">
        <v>220</v>
      </c>
      <c r="H503" t="n">
        <v>5</v>
      </c>
      <c r="I503">
        <f>SUM(G566*H566)</f>
        <v/>
      </c>
    </row>
    <row r="504" ht="13.5" customHeight="1">
      <c r="A504" s="27" t="inlineStr">
        <is>
          <t>4901133303845</t>
        </is>
      </c>
      <c r="B504" s="27" t="inlineStr">
        <is>
          <t>b0dhjqr9vv</t>
        </is>
      </c>
      <c r="C504" s="27" t="inlineStr">
        <is>
          <t>1192/1144</t>
        </is>
      </c>
      <c r="D504" s="27" t="inlineStr">
        <is>
          <t>b0dhjqr9vv</t>
        </is>
      </c>
      <c r="E504" t="inlineStr">
        <is>
          <t>チャオ (CIAO) CIAO (チャオ) こだわり焼かつおディナー 本格だし味 30g×16袋 (ボール販売) 焼かつお 猫 猫用 おやつ ゼリー ウェット キャットフード 人気 だし</t>
        </is>
      </c>
      <c r="F504" t="n">
        <v>2280</v>
      </c>
      <c r="G504" t="n">
        <v>1144</v>
      </c>
      <c r="H504" t="n">
        <v>1</v>
      </c>
      <c r="I504">
        <f>SUM(G567*H567)</f>
        <v/>
      </c>
      <c r="J504" t="inlineStr">
        <is>
          <t>✓ 一致（SKU）</t>
        </is>
      </c>
      <c r="K504" t="inlineStr">
        <is>
          <t>4901133303845</t>
        </is>
      </c>
    </row>
    <row r="505" ht="13.5" customHeight="1">
      <c r="A505" s="27" t="inlineStr">
        <is>
          <t>4901133621185.0</t>
        </is>
      </c>
      <c r="B505" s="27" t="inlineStr">
        <is>
          <t>b0dhk59r3g</t>
        </is>
      </c>
      <c r="C505" s="27" t="inlineStr">
        <is>
          <t>1185/1152-a</t>
        </is>
      </c>
      <c r="D505" s="27" t="inlineStr">
        <is>
          <t>B0DHK59R3G</t>
        </is>
      </c>
      <c r="E505" t="inlineStr">
        <is>
          <t>いなば チャオ CIAO こだわり焼かつおディナー しらす入り ほたて味 30g×16袋 猫 猫用おやつ 焼かつお 国産 キャットフード ウェットフード ご褒美 しっとり やわらか 水分補給 成猫用 シニア猫対応 小分け 多頭飼い ペットフード まとめ買い ボール販売 人気 定番 パウチ</t>
        </is>
      </c>
      <c r="F505" t="n">
        <v>2280</v>
      </c>
      <c r="G505" t="n">
        <v>1152</v>
      </c>
      <c r="H505" t="n">
        <v>1</v>
      </c>
      <c r="I505">
        <f>SUM(G568*H568)</f>
        <v/>
      </c>
    </row>
    <row r="506" ht="13.5" customHeight="1">
      <c r="A506" s="27" t="inlineStr">
        <is>
          <t>4901133303821</t>
        </is>
      </c>
      <c r="B506" s="27" t="inlineStr">
        <is>
          <t>b0dhkb4yrx</t>
        </is>
      </c>
      <c r="C506" s="27" t="inlineStr">
        <is>
          <t>1178/1152-a</t>
        </is>
      </c>
      <c r="D506" s="27" t="inlineStr">
        <is>
          <t>b0dhkb4yrx</t>
        </is>
      </c>
      <c r="E506" t="inlineStr">
        <is>
          <t>いなば CIAO こだわり焼かつおディナー ほたて味 30g×16袋 猫用おやつ 焼かつお 国産 キャットフード ウェットフード 猫用間食 食いつき抜群 ご褒美 しっとり やわらか 水分補給 成猫用 シニア猫対応 小分け 多頭飼い ペットフード まとめ買い ボール販売 人気 定番 パウチ</t>
        </is>
      </c>
      <c r="F506" t="n">
        <v>2480</v>
      </c>
      <c r="G506" t="n">
        <v>1152</v>
      </c>
      <c r="H506" t="n">
        <v>2</v>
      </c>
      <c r="I506">
        <f>SUM(G570*H570)</f>
        <v/>
      </c>
      <c r="J506" t="inlineStr">
        <is>
          <t>✓ 一致（SKU）</t>
        </is>
      </c>
      <c r="K506" t="inlineStr">
        <is>
          <t>4901133303821</t>
        </is>
      </c>
    </row>
    <row r="507" ht="13.5" customHeight="1">
      <c r="A507" s="27" t="inlineStr">
        <is>
          <t>4905009678907</t>
        </is>
      </c>
      <c r="B507" s="27" t="inlineStr">
        <is>
          <t>b0djyp58pw</t>
        </is>
      </c>
      <c r="C507" s="27" t="inlineStr">
        <is>
          <t>3698/972-a</t>
        </is>
      </c>
      <c r="D507" s="27" t="inlineStr">
        <is>
          <t>b0djyp58pw</t>
        </is>
      </c>
      <c r="E507" t="inlineStr">
        <is>
          <t>アイリスオーヤマ ぽかぽか家族 使い捨てカイロ 貼る レギュラー 10枚入り×６個セット 冬 防寒 防災 カイロ ホッカイロ まとめ買い</t>
        </is>
      </c>
      <c r="F507" t="n">
        <v>3980</v>
      </c>
      <c r="G507" t="n">
        <v>972</v>
      </c>
      <c r="H507" t="n">
        <v>3</v>
      </c>
      <c r="I507">
        <f>SUM(G571*H571)</f>
        <v/>
      </c>
    </row>
    <row r="508" ht="13.5" customHeight="1">
      <c r="A508" s="27" t="inlineStr">
        <is>
          <t>4987176289599</t>
        </is>
      </c>
      <c r="B508" s="27" t="inlineStr">
        <is>
          <t>b0dkf48flp</t>
        </is>
      </c>
      <c r="C508" s="27" t="inlineStr">
        <is>
          <t>9599/660-a</t>
        </is>
      </c>
      <c r="D508" s="27" t="inlineStr">
        <is>
          <t>b0dkf48flp</t>
        </is>
      </c>
      <c r="E508" t="inlineStr">
        <is>
          <t>ファブリーズ 消臭芳香剤 車用 イージークリップ さくらフローラル 2.4mLｘ2個 消臭 芳香剤</t>
        </is>
      </c>
      <c r="F508" t="n">
        <v>1480</v>
      </c>
      <c r="G508" t="n">
        <v>660</v>
      </c>
      <c r="H508" t="n">
        <v>35</v>
      </c>
      <c r="I508">
        <f>SUM(G572*H572)</f>
        <v/>
      </c>
      <c r="J508" t="inlineStr">
        <is>
          <t>✓ 一致（SKU）</t>
        </is>
      </c>
      <c r="K508" t="inlineStr">
        <is>
          <t>4987176289599</t>
        </is>
      </c>
    </row>
    <row r="509" ht="13.5" customHeight="1">
      <c r="A509" s="27" t="inlineStr">
        <is>
          <t>4987176260666</t>
        </is>
      </c>
      <c r="B509" s="27" t="inlineStr">
        <is>
          <t>b0dkjk26lh</t>
        </is>
      </c>
      <c r="C509" s="27" t="inlineStr">
        <is>
          <t>0666/1856</t>
        </is>
      </c>
      <c r="D509" s="27" t="inlineStr">
        <is>
          <t>B0DKJK26LH</t>
        </is>
      </c>
      <c r="E509" t="inlineStr">
        <is>
          <t>【2個セット】レノア リセット セラム ミネラルジャスミンの香り つめかえ 特大 750mL×2個セット 柔軟剤 詰め替え 大容量 衣類ケア シワ防止 ヨレ戻し 毛玉防止 ダメージケア 香り長続き 消臭 抗菌 部屋干し対応 衣類リセット P&amp;G まとめ買い</t>
        </is>
      </c>
      <c r="F509" t="n">
        <v>2980</v>
      </c>
      <c r="G509" t="n">
        <v>1856</v>
      </c>
      <c r="H509" t="n">
        <v>2</v>
      </c>
      <c r="I509">
        <f>SUM(G573*H573)</f>
        <v/>
      </c>
    </row>
    <row r="510" ht="13.5" customHeight="1">
      <c r="A510" s="27" t="inlineStr">
        <is>
          <t>4987176261267</t>
        </is>
      </c>
      <c r="B510" s="27" t="inlineStr">
        <is>
          <t>b0dkjk6hkh</t>
        </is>
      </c>
      <c r="C510" s="27" t="inlineStr">
        <is>
          <t>1267/981</t>
        </is>
      </c>
      <c r="D510" s="27" t="inlineStr">
        <is>
          <t>b0dkjk6hkh</t>
        </is>
      </c>
      <c r="E510" t="inlineStr">
        <is>
          <t>ファブリーズ 消臭スプレー 衣類・布製品用 速乾ジェット 無香料 詰め替え 320ml×3個セット</t>
        </is>
      </c>
      <c r="F510" t="n">
        <v>2780</v>
      </c>
      <c r="G510" t="n">
        <v>981</v>
      </c>
      <c r="H510" t="n">
        <v>16</v>
      </c>
      <c r="I510">
        <f>SUM(G574*H574)</f>
        <v/>
      </c>
      <c r="J510" t="inlineStr">
        <is>
          <t>✓ 一致（SKU）</t>
        </is>
      </c>
      <c r="K510" t="inlineStr">
        <is>
          <t>4987176261267</t>
        </is>
      </c>
    </row>
    <row r="511" ht="13.5" customHeight="1">
      <c r="A511" s="27" t="inlineStr">
        <is>
          <t>4514610000979</t>
        </is>
      </c>
      <c r="B511" s="27" t="inlineStr">
        <is>
          <t>b0dksxgxnz</t>
        </is>
      </c>
      <c r="C511" s="27" t="inlineStr">
        <is>
          <t>0979/695-a</t>
        </is>
      </c>
      <c r="D511" s="27" t="inlineStr">
        <is>
          <t>B0DKSXGXNZ-1</t>
        </is>
      </c>
      <c r="E511" t="inlineStr">
        <is>
          <t>ドクターズチョイス おいしい納豆菌 ふりかけタイプ 80g 犬 犬用 おやつ 納豆 ふりかけ</t>
        </is>
      </c>
      <c r="F511" t="n">
        <v>1380</v>
      </c>
      <c r="G511" t="n">
        <v>695</v>
      </c>
      <c r="H511" t="n">
        <v>1</v>
      </c>
      <c r="I511">
        <f>SUM(G575*H575)</f>
        <v/>
      </c>
    </row>
    <row r="512" ht="13.5" customHeight="1">
      <c r="A512" s="27" t="inlineStr">
        <is>
          <t>4514610000979</t>
        </is>
      </c>
      <c r="B512" s="27" t="inlineStr">
        <is>
          <t>b0dksxgxnz</t>
        </is>
      </c>
      <c r="C512" s="27" t="inlineStr">
        <is>
          <t>0979/695-a</t>
        </is>
      </c>
      <c r="D512" s="27" t="inlineStr">
        <is>
          <t>B0DKSXGXNZ-2</t>
        </is>
      </c>
      <c r="E512" t="inlineStr">
        <is>
          <t>ドクターズチョイス おいしい納豆菌 ふりかけタイプ 80g 犬 犬用 おやつ 納豆 ふりかけ</t>
        </is>
      </c>
      <c r="F512" t="n">
        <v>2680</v>
      </c>
      <c r="G512" t="n">
        <v>695</v>
      </c>
      <c r="H512" t="n">
        <v>5</v>
      </c>
      <c r="I512">
        <f>SUM(G576*H576)</f>
        <v/>
      </c>
    </row>
    <row r="513" ht="13.5" customHeight="1">
      <c r="A513" s="27" t="inlineStr">
        <is>
          <t>4514610000979</t>
        </is>
      </c>
      <c r="B513" s="27" t="inlineStr">
        <is>
          <t>b0dksxgxnz</t>
        </is>
      </c>
      <c r="C513" s="27" t="inlineStr">
        <is>
          <t>0979/695-a</t>
        </is>
      </c>
      <c r="D513" s="27" t="inlineStr">
        <is>
          <t>B0DKSXGXNZ-3</t>
        </is>
      </c>
      <c r="E513" t="inlineStr">
        <is>
          <t>ドクターズチョイス おいしい納豆菌 ふりかけタイプ 80g 犬 犬用 おやつ 納豆 ふりかけ</t>
        </is>
      </c>
      <c r="F513" t="n">
        <v>3980</v>
      </c>
      <c r="G513" t="n">
        <v>695</v>
      </c>
      <c r="H513" t="n">
        <v>5</v>
      </c>
      <c r="I513">
        <f>SUM(G577*H577)</f>
        <v/>
      </c>
    </row>
    <row r="514" ht="13.5" customHeight="1">
      <c r="A514" s="27" t="inlineStr">
        <is>
          <t>4514610000979</t>
        </is>
      </c>
      <c r="B514" s="27" t="inlineStr">
        <is>
          <t>b0dksxgxnz</t>
        </is>
      </c>
      <c r="C514" s="27" t="inlineStr">
        <is>
          <t>0979/695-a</t>
        </is>
      </c>
      <c r="D514" s="27" t="inlineStr">
        <is>
          <t>B0DKSXGXNZ-4</t>
        </is>
      </c>
      <c r="E514" t="inlineStr">
        <is>
          <t>ドクターズチョイス おいしい納豆菌 ふりかけタイプ 80g 犬 犬用 おやつ 納豆 ふりかけ</t>
        </is>
      </c>
      <c r="F514" t="n">
        <v>5280</v>
      </c>
      <c r="G514" t="n">
        <v>695</v>
      </c>
      <c r="H514" t="n">
        <v>1</v>
      </c>
      <c r="I514">
        <f>SUM(G578*H578)</f>
        <v/>
      </c>
    </row>
    <row r="515" ht="13.5" customHeight="1">
      <c r="A515" s="27" t="inlineStr">
        <is>
          <t>4514610000979</t>
        </is>
      </c>
      <c r="B515" s="27" t="inlineStr">
        <is>
          <t>b0dksxgxnz</t>
        </is>
      </c>
      <c r="C515" s="27" t="inlineStr">
        <is>
          <t>0979/695-a</t>
        </is>
      </c>
      <c r="D515" s="27" t="inlineStr">
        <is>
          <t>B0DKSXGXNZ-5</t>
        </is>
      </c>
      <c r="E515" t="inlineStr">
        <is>
          <t>ドクターズチョイス おいしい納豆菌 ふりかけタイプ 80g 犬 犬用 おやつ 納豆 ふりかけ</t>
        </is>
      </c>
      <c r="F515" t="n">
        <v>6580</v>
      </c>
      <c r="G515" t="n">
        <v>695</v>
      </c>
      <c r="H515" t="n">
        <v>1</v>
      </c>
      <c r="I515">
        <f>SUM(G579*H579)</f>
        <v/>
      </c>
    </row>
    <row r="516" ht="13.5" customHeight="1">
      <c r="A516" s="27" t="inlineStr">
        <is>
          <t>4514610000979</t>
        </is>
      </c>
      <c r="B516" s="27" t="inlineStr">
        <is>
          <t>b0dksxgxnz</t>
        </is>
      </c>
      <c r="C516" s="27" t="inlineStr">
        <is>
          <t>0979/695-a</t>
        </is>
      </c>
      <c r="D516" s="27" t="inlineStr">
        <is>
          <t>B0DKSXGXNZ-6</t>
        </is>
      </c>
      <c r="E516" t="inlineStr">
        <is>
          <t>ドクターズチョイス おいしい納豆菌 ふりかけタイプ 80g 犬 犬用 おやつ 納豆 ふりかけ</t>
        </is>
      </c>
      <c r="F516" t="n">
        <v>7780</v>
      </c>
      <c r="G516" t="n">
        <v>695</v>
      </c>
      <c r="H516" t="n">
        <v>1</v>
      </c>
      <c r="I516">
        <f>SUM(G580*H580)</f>
        <v/>
      </c>
    </row>
    <row r="517" ht="13.5" customHeight="1">
      <c r="A517" s="27" t="n"/>
      <c r="B517" s="27" t="inlineStr">
        <is>
          <t>b0dkt1zkb4</t>
        </is>
      </c>
      <c r="C517" s="27" t="inlineStr">
        <is>
          <t>4571,1365,1369,1372/1690-a</t>
        </is>
      </c>
      <c r="D517" s="27" t="inlineStr">
        <is>
          <t>b0dkt1zkb4</t>
        </is>
      </c>
      <c r="E517" t="inlineStr">
        <is>
          <t>ドクターズチョイス 納豆菌ジャーキー 4種アソート 150g×4袋セット 犬用おやつ 国産 ジャーキー 納豆菌配合 野菜入り にんじん ほうれん草 かぼちゃ 紫いも 食べ比べ バラエティセット ご褒美 間食 トッピング ドッグフード 愛犬用 まとめ買い</t>
        </is>
      </c>
      <c r="F517" t="n">
        <v>2780</v>
      </c>
      <c r="G517" t="n">
        <v>1619</v>
      </c>
      <c r="H517" t="n">
        <v>6</v>
      </c>
      <c r="I517">
        <f>SUM(G581*H581)</f>
        <v/>
      </c>
    </row>
    <row r="518" ht="13.5" customHeight="1">
      <c r="A518" s="27" t="inlineStr">
        <is>
          <t>4901301438140</t>
        </is>
      </c>
      <c r="B518" s="27" t="inlineStr">
        <is>
          <t>b0dmnwc48r</t>
        </is>
      </c>
      <c r="C518" s="27" t="inlineStr">
        <is>
          <t>8140/199</t>
        </is>
      </c>
      <c r="D518" s="27" t="inlineStr">
        <is>
          <t>b0dmnwc48r</t>
        </is>
      </c>
      <c r="E518" t="inlineStr">
        <is>
          <t>花王 ハミングフレア リラックス ラベンダー＆ジャスミン つめかえ用 350ml×3個セット 部屋干し 雨の日 部屋 かろやか 香る きれい 清潔 衣類 静電気 防臭 抗菌 赤ちゃん ベビー 洗濯</t>
        </is>
      </c>
      <c r="F518" t="n">
        <v>1980</v>
      </c>
      <c r="G518" t="n">
        <v>199</v>
      </c>
      <c r="H518" t="n">
        <v>5</v>
      </c>
      <c r="I518">
        <f>SUM(G583*H583)</f>
        <v/>
      </c>
      <c r="J518" t="inlineStr">
        <is>
          <t>✓ 一致（SKU）</t>
        </is>
      </c>
      <c r="K518" t="inlineStr">
        <is>
          <t>4901301438140</t>
        </is>
      </c>
    </row>
    <row r="519" ht="13.5" customHeight="1">
      <c r="A519" s="27" t="inlineStr">
        <is>
          <t>4901301439154</t>
        </is>
      </c>
      <c r="B519" s="27" t="inlineStr">
        <is>
          <t>b0dmp16lqs</t>
        </is>
      </c>
      <c r="C519" s="27" t="inlineStr">
        <is>
          <t>9154/330</t>
        </is>
      </c>
      <c r="D519" s="27" t="inlineStr">
        <is>
          <t>b0dmp16lqs</t>
        </is>
      </c>
      <c r="E519" t="inlineStr">
        <is>
          <t>花王 ハミングフレア サボンデサボン 詰替 360ml×3個セット 部屋干し 雨の日 部屋 かろやか 香る きれい 清潔 衣類 静電気 防臭 抗菌 赤ちゃん ベビー 洗濯 まとめ買い</t>
        </is>
      </c>
      <c r="F519" t="n">
        <v>1980</v>
      </c>
      <c r="G519" t="n">
        <v>330</v>
      </c>
      <c r="H519" t="n">
        <v>5</v>
      </c>
      <c r="I519">
        <f>SUM(G584*H584)</f>
        <v/>
      </c>
      <c r="J519" t="inlineStr">
        <is>
          <t>✓ 一致（SKU）</t>
        </is>
      </c>
      <c r="K519" t="inlineStr">
        <is>
          <t>4901301439154</t>
        </is>
      </c>
    </row>
    <row r="520" ht="13.5" customHeight="1">
      <c r="A520" s="27" t="inlineStr">
        <is>
          <t>4520699694367</t>
        </is>
      </c>
      <c r="B520" s="27" t="inlineStr">
        <is>
          <t>b0dmrwrwrd</t>
        </is>
      </c>
      <c r="C520" s="27" t="inlineStr">
        <is>
          <t>4520699694367-2</t>
        </is>
      </c>
      <c r="D520" s="27" t="inlineStr">
        <is>
          <t>b0dmrwrwrd</t>
        </is>
      </c>
      <c r="E520" t="inlineStr">
        <is>
          <t>【セット品】銀のスプーン 三ツ星グルメ にっぽんSelect とろリッチ 2種のお魚味アソート 48g（6g×8本）×2コ 総合栄養食</t>
        </is>
      </c>
      <c r="F520" t="n">
        <v>799</v>
      </c>
      <c r="G520" t="n">
        <v>380</v>
      </c>
      <c r="H520" t="n">
        <v>98</v>
      </c>
      <c r="I520">
        <f>SUM(G585*H585)</f>
        <v/>
      </c>
    </row>
    <row r="521" ht="13.5" customHeight="1">
      <c r="A521" s="27" t="inlineStr">
        <is>
          <t>4902111780566</t>
        </is>
      </c>
      <c r="B521" s="27" t="inlineStr">
        <is>
          <t>b0dmz5q8r7</t>
        </is>
      </c>
      <c r="C521" s="27" t="inlineStr">
        <is>
          <t>2431,2448/1980</t>
        </is>
      </c>
      <c r="D521" s="27" t="inlineStr">
        <is>
          <t>B0DMZ5Q8R7</t>
        </is>
      </c>
      <c r="E521" t="inlineStr">
        <is>
          <t>【セット品】NEXXUS インテンスダメージリペア シャンプー+コンディショナー(トリートメント) 各440g ダメージ補修 うねりケア くせ毛 まとまり 広がり抑制 ヘアケア ネクサス サロン品質 しっとり 保湿 ツヤ髪 ダメージ集中補修 まとまり感アップ</t>
        </is>
      </c>
      <c r="F521" t="n">
        <v>4280</v>
      </c>
      <c r="G521" t="n">
        <v>1980</v>
      </c>
      <c r="H521" t="n">
        <v>2</v>
      </c>
      <c r="I521">
        <f>SUM(G586*H586)</f>
        <v/>
      </c>
    </row>
    <row r="522" ht="13.5" customHeight="1">
      <c r="A522" s="27" t="inlineStr">
        <is>
          <t>4908046850831</t>
        </is>
      </c>
      <c r="B522" s="27" t="inlineStr">
        <is>
          <t>b0dnjrzdt9</t>
        </is>
      </c>
      <c r="C522" s="27" t="inlineStr">
        <is>
          <t>0831/2873</t>
        </is>
      </c>
      <c r="D522" s="27" t="inlineStr">
        <is>
          <t>B07L9YL3X7</t>
        </is>
      </c>
      <c r="E522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F522" t="n">
        <v>4480</v>
      </c>
      <c r="G522" t="n">
        <v>2873</v>
      </c>
      <c r="H522" t="n">
        <v>8</v>
      </c>
      <c r="I522">
        <f>SUM(G587*H587)</f>
        <v/>
      </c>
    </row>
    <row r="523" ht="13.5" customHeight="1">
      <c r="A523" s="27" t="inlineStr">
        <is>
          <t>4908046850848</t>
        </is>
      </c>
      <c r="B523" s="27" t="inlineStr">
        <is>
          <t>b0dnjrzdt9</t>
        </is>
      </c>
      <c r="C523" s="27" t="inlineStr">
        <is>
          <t>0831/2873</t>
        </is>
      </c>
      <c r="D523" s="27" t="inlineStr">
        <is>
          <t>B07LB96PHR</t>
        </is>
      </c>
      <c r="E523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F523" t="n">
        <v>4980</v>
      </c>
      <c r="G523" t="n">
        <v>2880</v>
      </c>
      <c r="H523" t="n">
        <v>0</v>
      </c>
      <c r="I523">
        <f>SUM(G588*H588)</f>
        <v/>
      </c>
    </row>
    <row r="524" ht="13.5" customHeight="1">
      <c r="A524" s="27" t="inlineStr">
        <is>
          <t>4582738117022</t>
        </is>
      </c>
      <c r="B524" s="27" t="inlineStr">
        <is>
          <t>b0dnjrzdt9</t>
        </is>
      </c>
      <c r="C524" s="27" t="inlineStr">
        <is>
          <t>0831/2873</t>
        </is>
      </c>
      <c r="D524" s="27" t="inlineStr">
        <is>
          <t>B0D3X8KP3D</t>
        </is>
      </c>
      <c r="E524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F524" t="n">
        <v>4980</v>
      </c>
      <c r="G524" t="n">
        <v>2880</v>
      </c>
      <c r="H524" t="n">
        <v>0</v>
      </c>
      <c r="I524">
        <f>SUM(G589*H589)</f>
        <v/>
      </c>
    </row>
    <row r="525" ht="13.5" customHeight="1">
      <c r="A525" s="27" t="inlineStr">
        <is>
          <t>4571657201189</t>
        </is>
      </c>
      <c r="B525" s="27" t="inlineStr">
        <is>
          <t>b0dnjrzdt9</t>
        </is>
      </c>
      <c r="C525" s="27" t="inlineStr">
        <is>
          <t>0831/2873</t>
        </is>
      </c>
      <c r="D525" s="27" t="inlineStr">
        <is>
          <t>B0DNJRZDT9</t>
        </is>
      </c>
      <c r="E525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F525" t="n">
        <v>4980</v>
      </c>
      <c r="G525" t="n">
        <v>2880</v>
      </c>
      <c r="H525" t="n">
        <v>0</v>
      </c>
      <c r="I525">
        <f>SUM(G590*H590)</f>
        <v/>
      </c>
    </row>
    <row r="526" ht="13.5" customHeight="1">
      <c r="A526" s="27" t="inlineStr">
        <is>
          <t>4560191497165</t>
        </is>
      </c>
      <c r="B526" s="27" t="inlineStr">
        <is>
          <t>b0dnk11vxk</t>
        </is>
      </c>
      <c r="C526" s="27" t="n"/>
      <c r="D526" s="27" t="inlineStr">
        <is>
          <t>4560191497165</t>
        </is>
      </c>
      <c r="E526" t="inlineStr">
        <is>
          <t>【訳あり】メディジャム 犬 薬 飲ませる おやつ 投薬 投薬補助(カンガルー、うま、しか、ビーフ、チーズ) 各6g × 8本入</t>
        </is>
      </c>
      <c r="F526" t="n">
        <v>498</v>
      </c>
      <c r="G526" t="n">
        <v>0</v>
      </c>
      <c r="H526" t="n">
        <v>1</v>
      </c>
      <c r="I526">
        <f>SUM(G591*H591)</f>
        <v/>
      </c>
    </row>
    <row r="527" ht="13.5" customHeight="1">
      <c r="A527" s="27" t="inlineStr">
        <is>
          <t>4560191497172</t>
        </is>
      </c>
      <c r="B527" s="27" t="inlineStr">
        <is>
          <t>b0dnk11vxk</t>
        </is>
      </c>
      <c r="C527" s="27" t="n"/>
      <c r="D527" s="27" t="inlineStr">
        <is>
          <t>4560191497172</t>
        </is>
      </c>
      <c r="E527" t="inlineStr">
        <is>
          <t>【訳あり】メディジャム 犬 薬 飲ませる おやつ 投薬 投薬補助(カンガルー、うま、しか、ビーフ、チーズ) 各6g × 8本入</t>
        </is>
      </c>
      <c r="F527" t="n">
        <v>199</v>
      </c>
      <c r="G527" t="n">
        <v>0</v>
      </c>
      <c r="H527" t="n">
        <v>0</v>
      </c>
      <c r="I527">
        <f>SUM(G592*H592)</f>
        <v/>
      </c>
    </row>
    <row r="528" ht="13.5" customHeight="1">
      <c r="A528" s="27" t="inlineStr">
        <is>
          <t>4560191497189</t>
        </is>
      </c>
      <c r="B528" s="27" t="inlineStr">
        <is>
          <t>b0dnk11vxk</t>
        </is>
      </c>
      <c r="C528" s="27" t="n"/>
      <c r="D528" s="27" t="inlineStr">
        <is>
          <t>4560191497189</t>
        </is>
      </c>
      <c r="E528" t="inlineStr">
        <is>
          <t>【訳あり】メディジャム 犬 薬 飲ませる おやつ 投薬 投薬補助(カンガルー、うま、しか、ビーフ、チーズ) 各6g × 8本入</t>
        </is>
      </c>
      <c r="F528" t="n">
        <v>199</v>
      </c>
      <c r="G528" t="n">
        <v>0</v>
      </c>
      <c r="H528" t="n">
        <v>0</v>
      </c>
      <c r="I528">
        <f>SUM(G593*H593)</f>
        <v/>
      </c>
    </row>
    <row r="529" ht="13.5" customHeight="1">
      <c r="A529" s="27" t="inlineStr">
        <is>
          <t>4560191497196</t>
        </is>
      </c>
      <c r="B529" s="27" t="inlineStr">
        <is>
          <t>b0dnk11vxk</t>
        </is>
      </c>
      <c r="C529" s="27" t="n"/>
      <c r="D529" s="27" t="inlineStr">
        <is>
          <t>4560191497196</t>
        </is>
      </c>
      <c r="E529" t="inlineStr">
        <is>
          <t>【訳あり】メディジャム 犬 薬 飲ませる おやつ 投薬 投薬補助(カンガルー、うま、しか、ビーフ、チーズ) 各6g × 8本入</t>
        </is>
      </c>
      <c r="F529" t="n">
        <v>498</v>
      </c>
      <c r="G529" t="n">
        <v>0</v>
      </c>
      <c r="H529" t="n">
        <v>2</v>
      </c>
      <c r="I529">
        <f>SUM(G594*H594)</f>
        <v/>
      </c>
    </row>
    <row r="530" ht="13.5" customHeight="1">
      <c r="A530" s="27" t="inlineStr">
        <is>
          <t>4560191498438</t>
        </is>
      </c>
      <c r="B530" s="27" t="inlineStr">
        <is>
          <t>b0dnk11vxk</t>
        </is>
      </c>
      <c r="C530" s="27" t="n"/>
      <c r="D530" s="27" t="inlineStr">
        <is>
          <t>4560191498438</t>
        </is>
      </c>
      <c r="E530" t="inlineStr">
        <is>
          <t>【訳あり】メディジャム 犬 薬 飲ませる おやつ 投薬 投薬補助(カンガルー、うま、しか、ビーフ、チーズ) 各6g × 8本入</t>
        </is>
      </c>
      <c r="F530" t="n">
        <v>498</v>
      </c>
      <c r="G530" t="n">
        <v>0</v>
      </c>
      <c r="H530" t="n">
        <v>0</v>
      </c>
      <c r="I530">
        <f>SUM(G595*H595)</f>
        <v/>
      </c>
    </row>
    <row r="531" ht="13.5" customHeight="1">
      <c r="A531" s="27" t="inlineStr">
        <is>
          <t>0194644226954</t>
        </is>
      </c>
      <c r="B531" s="27" t="inlineStr">
        <is>
          <t>b0dnlr2nyn</t>
        </is>
      </c>
      <c r="C531" s="27" t="inlineStr">
        <is>
          <t>6954,6947/4990,4990</t>
        </is>
      </c>
      <c r="D531" s="27" t="inlineStr">
        <is>
          <t>B0DNLR2NYN</t>
        </is>
      </c>
      <c r="E531" t="inlineStr">
        <is>
          <t>Anker Nano Power Bank (10000mAh, 45W, 巻取り式 USB-Cケーブル) 10000mAh ホワイト ブラック 45W出力 LEDディスプレイ搭載 USB-Cケーブル一体型 巻取り式ケーブル iPhone iPhoneAir Android iPad その他各種機器対応</t>
        </is>
      </c>
      <c r="F531" t="n">
        <v>7480</v>
      </c>
      <c r="G531" t="n">
        <v>4990</v>
      </c>
      <c r="H531" t="n">
        <v>4</v>
      </c>
      <c r="I531">
        <f>SUM(G596*H596)</f>
        <v/>
      </c>
    </row>
    <row r="532" ht="13.5" customHeight="1">
      <c r="A532" s="27" t="inlineStr">
        <is>
          <t>0194644226947</t>
        </is>
      </c>
      <c r="B532" s="27" t="inlineStr">
        <is>
          <t>b0dnlr2nyn</t>
        </is>
      </c>
      <c r="C532" s="27" t="inlineStr">
        <is>
          <t>6954,6947/4990,4990</t>
        </is>
      </c>
      <c r="D532" s="27" t="inlineStr">
        <is>
          <t>B0DNLVY85L</t>
        </is>
      </c>
      <c r="E532" t="inlineStr">
        <is>
          <t>Anker Nano Power Bank (10000mAh, 45W, 巻取り式 USB-Cケーブル) 10000mAh ホワイト ブラック 45W出力 LEDディスプレイ搭載 USB-Cケーブル一体型 巻取り式ケーブル iPhone iPhoneAir Android iPad その他各種機器対応</t>
        </is>
      </c>
      <c r="F532" t="n">
        <v>7480</v>
      </c>
      <c r="G532" t="n">
        <v>4990</v>
      </c>
      <c r="H532" t="n">
        <v>1</v>
      </c>
      <c r="I532">
        <f>SUM(G597*H597)</f>
        <v/>
      </c>
    </row>
    <row r="533" ht="13.5" customHeight="1">
      <c r="A533" s="27" t="inlineStr">
        <is>
          <t>4932804304335</t>
        </is>
      </c>
      <c r="B533" s="27" t="inlineStr">
        <is>
          <t>b0dnt4kt8f</t>
        </is>
      </c>
      <c r="C533" s="27" t="inlineStr">
        <is>
          <t>4335/1100-a</t>
        </is>
      </c>
      <c r="D533" s="27" t="inlineStr">
        <is>
          <t>b0dnt4kt8f</t>
        </is>
      </c>
      <c r="E533" t="inlineStr">
        <is>
          <t>PRO ADVANCE セキセイインコ 650g×2個セット 鳥 とり バード 国産 フード 餌 えさ 種 穀類 総合栄養食 高タンパク インコ 主食</t>
        </is>
      </c>
      <c r="F533" t="n">
        <v>2380</v>
      </c>
      <c r="G533" t="n">
        <v>1100</v>
      </c>
      <c r="H533" t="n">
        <v>1</v>
      </c>
      <c r="I533">
        <f>SUM(G600*H600)</f>
        <v/>
      </c>
    </row>
    <row r="534" ht="13.5" customHeight="1">
      <c r="A534" s="27" t="inlineStr">
        <is>
          <t>4951761481088</t>
        </is>
      </c>
      <c r="B534" s="27" t="inlineStr">
        <is>
          <t>b0dnt6rspj</t>
        </is>
      </c>
      <c r="C534" s="27" t="inlineStr">
        <is>
          <t>1088/770,1155-a</t>
        </is>
      </c>
      <c r="D534" s="27" t="inlineStr">
        <is>
          <t>B0DNT5KW48</t>
        </is>
      </c>
      <c r="E534" t="inlineStr">
        <is>
          <t>日本ペットフード バーディー うずらフード 1kg 鳥 とり バード 国産 フード 餌 えさ 種 穀類 総合栄養食 高タンパク</t>
        </is>
      </c>
      <c r="F534" t="n">
        <v>2780</v>
      </c>
      <c r="G534" t="n">
        <v>1155</v>
      </c>
      <c r="H534" t="n">
        <v>1</v>
      </c>
      <c r="I534">
        <f>SUM(G601*H601)</f>
        <v/>
      </c>
    </row>
    <row r="535" ht="13.5" customHeight="1">
      <c r="A535" s="27" t="inlineStr">
        <is>
          <t>4951761481088</t>
        </is>
      </c>
      <c r="B535" s="27" t="inlineStr">
        <is>
          <t>b0dnt6rspj</t>
        </is>
      </c>
      <c r="C535" s="27" t="inlineStr">
        <is>
          <t>1088/770,1155-a</t>
        </is>
      </c>
      <c r="D535" s="27" t="inlineStr">
        <is>
          <t>B0DNT6RSPJ</t>
        </is>
      </c>
      <c r="E535" t="inlineStr">
        <is>
          <t>日本ペットフード バーディー うずらフード 1kg 鳥 とり バード 国産 フード 餌 えさ 種 穀類 総合栄養食 高タンパク</t>
        </is>
      </c>
      <c r="F535" t="n">
        <v>2080</v>
      </c>
      <c r="G535" t="n">
        <v>770</v>
      </c>
      <c r="H535" t="n">
        <v>1</v>
      </c>
      <c r="I535">
        <f>SUM(G602*H602)</f>
        <v/>
      </c>
    </row>
    <row r="536" ht="13.5" customHeight="1">
      <c r="A536" s="27" t="inlineStr">
        <is>
          <t>4906456510154</t>
        </is>
      </c>
      <c r="B536" s="27" t="inlineStr">
        <is>
          <t>b0dntdmbx3</t>
        </is>
      </c>
      <c r="C536" s="27" t="inlineStr">
        <is>
          <t>4906456510154 -2-a</t>
        </is>
      </c>
      <c r="D536" s="27" t="inlineStr">
        <is>
          <t>B0DNTDMBX3</t>
        </is>
      </c>
      <c r="E536" t="inlineStr">
        <is>
          <t>マルカン 半生ソフトフルーツフード 100g×2個セット 飼鳥用 鳥 おやつ フルーツ</t>
        </is>
      </c>
      <c r="F536" t="n">
        <v>1180</v>
      </c>
      <c r="G536" t="n">
        <v>550</v>
      </c>
      <c r="H536" t="n">
        <v>3</v>
      </c>
      <c r="I536">
        <f>SUM(G603*H603)</f>
        <v/>
      </c>
    </row>
    <row r="537" ht="13.5" customHeight="1">
      <c r="A537" s="27" t="inlineStr">
        <is>
          <t>4970768842807</t>
        </is>
      </c>
      <c r="B537" s="27" t="inlineStr">
        <is>
          <t>b0dntlk9v1</t>
        </is>
      </c>
      <c r="C537" s="27" t="inlineStr">
        <is>
          <t>2807/1280-a</t>
        </is>
      </c>
      <c r="D537" s="27" t="inlineStr">
        <is>
          <t>b0dntlk9v1</t>
        </is>
      </c>
      <c r="E537" t="inlineStr">
        <is>
          <t>イースター インコセレクション トータルペレット 300g×2個セット 国産 インコ フード 餌 えさ ペレット 総合栄養食 高タンパク 主食 セキセイインコ オカメインコ 小鳥 バードフード</t>
        </is>
      </c>
      <c r="F537" t="n">
        <v>2180</v>
      </c>
      <c r="G537" t="n">
        <v>1280</v>
      </c>
      <c r="H537" t="n">
        <v>9</v>
      </c>
      <c r="I537">
        <f>SUM(G604*H604)</f>
        <v/>
      </c>
    </row>
    <row r="538" ht="13.5" customHeight="1">
      <c r="A538" s="27" t="inlineStr">
        <is>
          <t>4906456516163</t>
        </is>
      </c>
      <c r="B538" s="27" t="inlineStr">
        <is>
          <t>b0dntlxpq5</t>
        </is>
      </c>
      <c r="C538" s="27" t="inlineStr">
        <is>
          <t>6163/250-a</t>
        </is>
      </c>
      <c r="D538" s="27" t="inlineStr">
        <is>
          <t>b0dntlxpq5-2</t>
        </is>
      </c>
      <c r="E538" t="inlineStr">
        <is>
          <t>マルカン インコのおやつ かじりま専科 ２本入り 鳥 おやつ スナック・ビスケット まとめ買い</t>
        </is>
      </c>
      <c r="F538" t="n">
        <v>980</v>
      </c>
      <c r="G538" t="n">
        <v>500</v>
      </c>
      <c r="H538" t="n">
        <v>2</v>
      </c>
      <c r="I538">
        <f>SUM(G605*H605)</f>
        <v/>
      </c>
    </row>
    <row r="539" ht="13.5" customHeight="1">
      <c r="A539" s="27" t="inlineStr">
        <is>
          <t>4906456516163</t>
        </is>
      </c>
      <c r="B539" s="27" t="inlineStr">
        <is>
          <t>b0dntlxpq5</t>
        </is>
      </c>
      <c r="C539" s="27" t="inlineStr">
        <is>
          <t>6163/250-a</t>
        </is>
      </c>
      <c r="D539" s="27" t="inlineStr">
        <is>
          <t>b0dntlxpq5-3</t>
        </is>
      </c>
      <c r="E539" t="inlineStr">
        <is>
          <t>マルカン インコのおやつ かじりま専科 ２本入り 鳥 おやつ スナック・ビスケット まとめ買い</t>
        </is>
      </c>
      <c r="F539" t="n">
        <v>1580</v>
      </c>
      <c r="G539" t="n">
        <v>750</v>
      </c>
      <c r="H539" t="n">
        <v>2</v>
      </c>
      <c r="I539">
        <f>SUM(G606*H606)</f>
        <v/>
      </c>
    </row>
    <row r="540" ht="13.5" customHeight="1">
      <c r="A540" s="27" t="inlineStr">
        <is>
          <t>4906456516163</t>
        </is>
      </c>
      <c r="B540" s="27" t="inlineStr">
        <is>
          <t>b0dntlxpq5-1</t>
        </is>
      </c>
      <c r="C540" s="27" t="inlineStr">
        <is>
          <t>6163/250-a</t>
        </is>
      </c>
      <c r="D540" s="27" t="inlineStr">
        <is>
          <t>B0DNTLXPQ5-1-1</t>
        </is>
      </c>
      <c r="E540" t="inlineStr">
        <is>
          <t>【訳あり】マルカン インコのおやつ かじりま専科 ２本入り 鳥 おやつ スナック・ビスケット まとめ買い</t>
        </is>
      </c>
      <c r="F540" t="n">
        <v>880</v>
      </c>
      <c r="G540" t="n">
        <v>250</v>
      </c>
      <c r="H540" t="n">
        <v>5</v>
      </c>
      <c r="I540">
        <f>SUM(G607*H607)</f>
        <v/>
      </c>
    </row>
    <row r="541" ht="13.5" customHeight="1">
      <c r="A541" s="27" t="inlineStr">
        <is>
          <t>4520699635674</t>
        </is>
      </c>
      <c r="B541" s="27" t="inlineStr">
        <is>
          <t>b0dpfkqck7</t>
        </is>
      </c>
      <c r="C541" s="27" t="inlineStr">
        <is>
          <t>4520699635674 -2</t>
        </is>
      </c>
      <c r="D541" s="27" t="inlineStr">
        <is>
          <t>b0dmrwrwrd</t>
        </is>
      </c>
      <c r="E541" t="inlineStr">
        <is>
          <t>【セット品】銀のスプーン 三ツ星グルメ にっぽんSelect とろリッチ 2種のアソート 48g（6g×8本）×2コ</t>
        </is>
      </c>
      <c r="F541" t="n">
        <v>799</v>
      </c>
      <c r="G541" t="n">
        <v>320</v>
      </c>
      <c r="H541" t="n">
        <v>10</v>
      </c>
      <c r="I541">
        <f>SUM(G608*H608)</f>
        <v/>
      </c>
    </row>
    <row r="542" ht="13.5" customHeight="1">
      <c r="A542" s="27" t="inlineStr">
        <is>
          <t>4990968403172</t>
        </is>
      </c>
      <c r="B542" s="27" t="inlineStr">
        <is>
          <t>b0dpmhlfkd</t>
        </is>
      </c>
      <c r="C542" s="27" t="inlineStr">
        <is>
          <t>3172/616,924-a</t>
        </is>
      </c>
      <c r="D542" s="27" t="inlineStr">
        <is>
          <t>B0DPMHLFKD-3</t>
        </is>
      </c>
      <c r="E542" t="inlineStr">
        <is>
          <t>シーズイシハラ NEOササミ巻きクッキー チーズ入り 8本 犬 犬用 おやつ 大容量 まとめ買い クッキー ささみ</t>
        </is>
      </c>
      <c r="F542" t="n">
        <v>1980</v>
      </c>
      <c r="G542" t="n">
        <v>616</v>
      </c>
      <c r="H542" t="n">
        <v>2</v>
      </c>
      <c r="I542">
        <f>SUM(G609*H609)</f>
        <v/>
      </c>
    </row>
    <row r="543" ht="13.5" customHeight="1">
      <c r="A543" s="27" t="inlineStr">
        <is>
          <t>4990968403172</t>
        </is>
      </c>
      <c r="B543" s="27" t="inlineStr">
        <is>
          <t>b0dpmhlfkd</t>
        </is>
      </c>
      <c r="C543" s="27" t="inlineStr">
        <is>
          <t>3172/616,924-a</t>
        </is>
      </c>
      <c r="D543" s="27" t="inlineStr">
        <is>
          <t>B0DPMHLFKD-4</t>
        </is>
      </c>
      <c r="E543" t="inlineStr">
        <is>
          <t>シーズイシハラ NEOササミ巻きクッキー チーズ入り 8本 犬 犬用 おやつ 大容量 まとめ買い クッキー ささみ</t>
        </is>
      </c>
      <c r="F543" t="n">
        <v>2580</v>
      </c>
      <c r="G543" t="n">
        <v>924</v>
      </c>
      <c r="H543" t="n">
        <v>2</v>
      </c>
      <c r="I543">
        <f>SUM(G610*H610)</f>
        <v/>
      </c>
    </row>
    <row r="544" ht="13.5" customHeight="1">
      <c r="A544" s="27" t="inlineStr">
        <is>
          <t>4903301366959</t>
        </is>
      </c>
      <c r="B544" s="27" t="inlineStr">
        <is>
          <t>b0dq55rncd</t>
        </is>
      </c>
      <c r="C544" s="27" t="inlineStr">
        <is>
          <t>4903301366959-2</t>
        </is>
      </c>
      <c r="D544" s="27" t="inlineStr">
        <is>
          <t>b0dq55rncd</t>
        </is>
      </c>
      <c r="E544" t="inlineStr">
        <is>
          <t>ソフラン アロマリッチ 柔軟剤 金木犀の香り つめかえ用 950ml×2 特大容量 部屋干し 雨の日 部屋 かろやか 香る きれい 清潔 衣類 防臭 抗菌 金木犀 洗濯</t>
        </is>
      </c>
      <c r="F544" t="n">
        <v>2480</v>
      </c>
      <c r="G544" t="n">
        <v>876</v>
      </c>
      <c r="H544" t="n">
        <v>1</v>
      </c>
      <c r="I544">
        <f>SUM(G611*H611)</f>
        <v/>
      </c>
      <c r="J544" t="inlineStr">
        <is>
          <t>✓ 一致（SKU）</t>
        </is>
      </c>
      <c r="K544" t="inlineStr">
        <is>
          <t>4903301366959</t>
        </is>
      </c>
    </row>
    <row r="545" ht="13.5" customHeight="1">
      <c r="A545" s="27" t="inlineStr">
        <is>
          <t>4970501033592</t>
        </is>
      </c>
      <c r="B545" s="27" t="inlineStr">
        <is>
          <t>b0dq7vk36r</t>
        </is>
      </c>
      <c r="C545" s="27" t="inlineStr">
        <is>
          <t>3585,3592/624</t>
        </is>
      </c>
      <c r="D545" s="27" t="inlineStr">
        <is>
          <t>b0dq7vk36r</t>
        </is>
      </c>
      <c r="E545" t="inlineStr">
        <is>
          <t>【セット品】デビフ おさんぽくん 犬 おやつ 60g(15g×4袋)×4袋セット ササミ 鶏肉 レバー 国産 犬用おやつ 小分け ご褒美 トレーニング 散歩 dbf アソート</t>
        </is>
      </c>
      <c r="F545" t="n">
        <v>1480</v>
      </c>
      <c r="G545" t="n">
        <v>624</v>
      </c>
      <c r="H545" t="n">
        <v>3</v>
      </c>
      <c r="I545">
        <f>SUM(G612*H612)</f>
        <v/>
      </c>
    </row>
    <row r="546" ht="13.5" customHeight="1">
      <c r="A546" s="27" t="inlineStr">
        <is>
          <t>4970501033608</t>
        </is>
      </c>
      <c r="B546" s="27" t="inlineStr">
        <is>
          <t>b0dq7zx95d</t>
        </is>
      </c>
      <c r="C546" s="27" t="inlineStr">
        <is>
          <t>3608/624-a</t>
        </is>
      </c>
      <c r="D546" s="27" t="inlineStr">
        <is>
          <t>b0dq7vk36r</t>
        </is>
      </c>
      <c r="E546" t="inlineStr">
        <is>
          <t>【4個セット】デビフ おさんぽくん ササミ シニア犬用 60g（15g×4袋）×4袋セット 犬 おやつ 国産 小分け 高齢犬 シニア犬 ごほうび トレーニング 散歩 携帯用 おやつ 犬用スナック</t>
        </is>
      </c>
      <c r="F546" t="n">
        <v>1480</v>
      </c>
      <c r="G546" t="n">
        <v>624</v>
      </c>
      <c r="H546" t="n">
        <v>4</v>
      </c>
      <c r="I546">
        <f>SUM(G613*H613)</f>
        <v/>
      </c>
    </row>
    <row r="547" ht="13.5" customHeight="1">
      <c r="A547" s="27" t="inlineStr">
        <is>
          <t>4970501033530</t>
        </is>
      </c>
      <c r="B547" s="27" t="inlineStr">
        <is>
          <t>b0dq889rzt</t>
        </is>
      </c>
      <c r="C547" s="27" t="inlineStr">
        <is>
          <t>3530/780-a</t>
        </is>
      </c>
      <c r="D547" s="27" t="inlineStr">
        <is>
          <t>b0dq889rzt</t>
        </is>
      </c>
      <c r="E547" t="inlineStr">
        <is>
          <t>デビフ おすわりくん 超小粒 ササミ ７５ｇ ×４袋セット 犬用 おやつ</t>
        </is>
      </c>
      <c r="F547" t="n">
        <v>1280</v>
      </c>
      <c r="G547" t="n">
        <v>780</v>
      </c>
      <c r="H547" t="n">
        <v>2</v>
      </c>
      <c r="I547">
        <f>SUM(G615*H615)</f>
        <v/>
      </c>
    </row>
    <row r="548" ht="13.5" customHeight="1">
      <c r="A548" s="27" t="inlineStr">
        <is>
          <t>4987176286260</t>
        </is>
      </c>
      <c r="B548" s="27" t="inlineStr">
        <is>
          <t>b0dqxmpx2g</t>
        </is>
      </c>
      <c r="C548" s="27" t="inlineStr">
        <is>
          <t>6260/436</t>
        </is>
      </c>
      <c r="D548" s="27" t="inlineStr">
        <is>
          <t>b0dqxmpx2g</t>
        </is>
      </c>
      <c r="E548" t="inlineStr">
        <is>
          <t>【2個セット】ファブリーズ W除菌+消臭スプレー 衣類・布製品用 ほのかな緑茶の香り 本体 370mL×2個セット P&amp;G 布用消臭剤 除菌スプレー シワ取り 衣類 ソファ カーテン クッション 布団 枕 ラグ タバコ臭 汗臭 食べ物臭 ニオイ対策 清潔ケア 日用品 まとめ買い ストック</t>
        </is>
      </c>
      <c r="F548" t="n">
        <v>1980</v>
      </c>
      <c r="G548" t="n">
        <v>436</v>
      </c>
      <c r="H548" t="n">
        <v>5</v>
      </c>
      <c r="I548">
        <f>SUM(G616*H616)</f>
        <v/>
      </c>
      <c r="J548" t="inlineStr">
        <is>
          <t>✓ 一致（SKU）</t>
        </is>
      </c>
      <c r="K548" t="inlineStr">
        <is>
          <t>4987176286260</t>
        </is>
      </c>
    </row>
    <row r="549" ht="13.5" customHeight="1">
      <c r="A549" s="27" t="inlineStr">
        <is>
          <t>4987176286307</t>
        </is>
      </c>
      <c r="B549" s="27" t="inlineStr">
        <is>
          <t>b0dqxrwnzc</t>
        </is>
      </c>
      <c r="C549" s="27" t="inlineStr">
        <is>
          <t>4987176286307-2</t>
        </is>
      </c>
      <c r="D549" s="27" t="inlineStr">
        <is>
          <t>b0dqxrwnzc</t>
        </is>
      </c>
      <c r="E549" t="inlineStr">
        <is>
          <t>【2個セット】ファブリーズ W除菌+消臭スプレー 衣類・布製品用 香りが残らない 本体 370mL×2個セット P&amp;G 布用消臭剤 除菌スプレー ウイルス除去 シワ取り 衣類 ソファ カーテン クッション 布団 枕 ラグ タバコ臭 汗臭 食べ物臭 消臭対策 日用品 まとめ買い ストック</t>
        </is>
      </c>
      <c r="F549" t="n">
        <v>1980</v>
      </c>
      <c r="G549" t="n">
        <v>436</v>
      </c>
      <c r="H549" t="n">
        <v>12</v>
      </c>
      <c r="I549">
        <f>SUM(G618*H618)</f>
        <v/>
      </c>
      <c r="J549" t="inlineStr">
        <is>
          <t>✓ 一致（SKU）</t>
        </is>
      </c>
      <c r="K549" t="inlineStr">
        <is>
          <t>4987176286307</t>
        </is>
      </c>
    </row>
    <row r="550" ht="13.5" customHeight="1">
      <c r="A550" s="27" t="inlineStr">
        <is>
          <t>0190021133402</t>
        </is>
      </c>
      <c r="B550" s="27" t="inlineStr">
        <is>
          <t>b0ds2b3p2b</t>
        </is>
      </c>
      <c r="C550" s="27" t="inlineStr">
        <is>
          <t>32780</t>
        </is>
      </c>
      <c r="D550" s="27" t="inlineStr">
        <is>
          <t>b0ds2b3p2b</t>
        </is>
      </c>
      <c r="E550" t="inlineStr">
        <is>
          <t>DJI アクションカメラ Osmo Action 4 エッセンシャルコンボ 4K/120fps対応 防水アクションカメラ 1/1.3インチセンサー搭載 驚きの低照度性能 10-bit &amp; D-Log M カラーパフォーマンス 長時間駆動の1770 mAhバッテリー カメラ 防水</t>
        </is>
      </c>
      <c r="F550" t="n">
        <v>34800</v>
      </c>
      <c r="G550" t="n">
        <v>32780</v>
      </c>
      <c r="H550" t="n">
        <v>3</v>
      </c>
      <c r="I550">
        <f>SUM(G619*H619)</f>
        <v/>
      </c>
      <c r="J550" t="inlineStr">
        <is>
          <t>✓ 一致（SKU）</t>
        </is>
      </c>
      <c r="K550" t="inlineStr">
        <is>
          <t>0190021133402</t>
        </is>
      </c>
    </row>
    <row r="551" ht="13.5" customHeight="1">
      <c r="A551" s="27" t="inlineStr">
        <is>
          <t>4901301450173</t>
        </is>
      </c>
      <c r="B551" s="27" t="inlineStr">
        <is>
          <t>b0ds7s7p82</t>
        </is>
      </c>
      <c r="C551" s="27" t="inlineStr">
        <is>
          <t>747,690</t>
        </is>
      </c>
      <c r="D551" s="27" t="inlineStr">
        <is>
          <t>B0DS7S7P82</t>
        </is>
      </c>
      <c r="E551" t="inlineStr">
        <is>
          <t>Biore ビオレ UV アクアリッチ ライトアップ エッセンス、ウォータリーエッセンス 100g 日焼け止め SPF50 夏</t>
        </is>
      </c>
      <c r="F551" t="n">
        <v>1580</v>
      </c>
      <c r="G551" t="n">
        <v>747</v>
      </c>
      <c r="H551" t="n">
        <v>1</v>
      </c>
      <c r="I551">
        <f>SUM(G620*H620)</f>
        <v/>
      </c>
    </row>
    <row r="552" ht="13.5" customHeight="1">
      <c r="A552" s="27" t="inlineStr">
        <is>
          <t>4901301450180</t>
        </is>
      </c>
      <c r="B552" s="27" t="inlineStr">
        <is>
          <t>b0ds7s7p82</t>
        </is>
      </c>
      <c r="C552" s="27" t="inlineStr">
        <is>
          <t>747,690</t>
        </is>
      </c>
      <c r="D552" s="27" t="inlineStr">
        <is>
          <t>B0DS7WX8QS</t>
        </is>
      </c>
      <c r="E552" t="inlineStr">
        <is>
          <t>Biore ビオレ UV アクアリッチ ライトアップ エッセンス、ウォータリーエッセンス 100g 日焼け止め SPF50 夏</t>
        </is>
      </c>
      <c r="F552" t="n">
        <v>1580</v>
      </c>
      <c r="G552" t="n">
        <v>690</v>
      </c>
      <c r="H552" t="n">
        <v>6</v>
      </c>
      <c r="I552">
        <f>SUM(G621*H621)</f>
        <v/>
      </c>
    </row>
    <row r="553" ht="13.5" customHeight="1">
      <c r="A553" s="27" t="inlineStr">
        <is>
          <t>4987241196432</t>
        </is>
      </c>
      <c r="B553" s="27" t="inlineStr">
        <is>
          <t>b0dt4gr197</t>
        </is>
      </c>
      <c r="C553" s="27" t="inlineStr">
        <is>
          <t>6432/1641</t>
        </is>
      </c>
      <c r="D553" s="27" t="inlineStr">
        <is>
          <t>b0dt4gr197</t>
        </is>
      </c>
      <c r="E553" t="inlineStr">
        <is>
          <t>スキンアクア(SKIN AQUA) トーンアップ UV エッセンス 日焼け止め 透明感 色白感UP ブルー 80g×3個セット SPF50+ PA++++</t>
        </is>
      </c>
      <c r="F553" t="n">
        <v>2980</v>
      </c>
      <c r="G553" t="n">
        <v>1641</v>
      </c>
      <c r="H553" t="n">
        <v>8</v>
      </c>
      <c r="I553">
        <f>SUM(G623*H623)</f>
        <v/>
      </c>
      <c r="J553" t="inlineStr">
        <is>
          <t>✓ 一致（SKU）</t>
        </is>
      </c>
      <c r="K553" t="inlineStr">
        <is>
          <t>4987241196432</t>
        </is>
      </c>
    </row>
    <row r="554" ht="13.5" customHeight="1">
      <c r="A554" s="27" t="inlineStr">
        <is>
          <t>4987176278418</t>
        </is>
      </c>
      <c r="B554" s="27" t="inlineStr">
        <is>
          <t>b0dth88h1s</t>
        </is>
      </c>
      <c r="C554" s="27" t="inlineStr">
        <is>
          <t>8418/384-a</t>
        </is>
      </c>
      <c r="D554" s="27" t="inlineStr">
        <is>
          <t>b0dth88h1s</t>
        </is>
      </c>
      <c r="E554" t="inlineStr">
        <is>
          <t>レノア アロマジュエル WHITE MUSK 香り付けビーズ ホワイトムスクの香り 本体 420mL 部屋干し 雨の日 部屋 かろやか 香る きれい 清潔 衣類 静電気 防臭 抗菌 赤ちゃん ベビー 洗濯</t>
        </is>
      </c>
      <c r="F554" t="n">
        <v>1480</v>
      </c>
      <c r="G554" t="n">
        <v>384</v>
      </c>
      <c r="H554" t="n">
        <v>6</v>
      </c>
      <c r="I554">
        <f>SUM(G624*H624)</f>
        <v/>
      </c>
      <c r="J554" t="inlineStr">
        <is>
          <t>✓ 一致（SKU）</t>
        </is>
      </c>
      <c r="K554" t="inlineStr">
        <is>
          <t>4987176278418</t>
        </is>
      </c>
    </row>
    <row r="555" ht="13.5" customHeight="1">
      <c r="A555" s="27" t="inlineStr">
        <is>
          <t>4901080224019</t>
        </is>
      </c>
      <c r="B555" s="27" t="inlineStr">
        <is>
          <t>b0dtpclhwh</t>
        </is>
      </c>
      <c r="C555" s="27" t="inlineStr">
        <is>
          <t>4901080224019-3-a</t>
        </is>
      </c>
      <c r="D555" s="27" t="inlineStr">
        <is>
          <t>b0dtpclhwh</t>
        </is>
      </c>
      <c r="E555" t="inlineStr">
        <is>
          <t>はだまも お肌の虫よけ ミスト 200ml×3個セット 虫除けスプレー 顔 体 お肌にやさしい 弱酸性 4種のうるおい成分たっぷり 虫よけスプレー 蚊 トコジラミ</t>
        </is>
      </c>
      <c r="F555" t="n">
        <v>2780</v>
      </c>
      <c r="G555" t="n">
        <v>1275</v>
      </c>
      <c r="H555" t="n">
        <v>4</v>
      </c>
      <c r="I555">
        <f>SUM(G625*H625)</f>
        <v/>
      </c>
      <c r="J555" t="inlineStr">
        <is>
          <t>✓ 一致（SKU）</t>
        </is>
      </c>
      <c r="K555" t="inlineStr">
        <is>
          <t>4901080224019</t>
        </is>
      </c>
    </row>
    <row r="556" ht="13.5" customHeight="1">
      <c r="A556" s="27" t="inlineStr">
        <is>
          <t>4901080224019</t>
        </is>
      </c>
      <c r="B556" s="27" t="inlineStr">
        <is>
          <t>b0dtphk44d</t>
        </is>
      </c>
      <c r="C556" s="27" t="inlineStr">
        <is>
          <t>4901080224019-2-a</t>
        </is>
      </c>
      <c r="D556" s="27" t="inlineStr">
        <is>
          <t>B0DTPHK44D</t>
        </is>
      </c>
      <c r="E556" t="inlineStr">
        <is>
          <t>【2個セット】はだまも お肌の虫よけ ミスト 200ml×2個セット 虫除けスプレー 顔 体 お肌にやさしい 弱酸性 4種のうるおい成分たっぷり 虫よけスプレー 蚊 トコジラミ</t>
        </is>
      </c>
      <c r="F556" t="n">
        <v>1980</v>
      </c>
      <c r="G556" t="n">
        <v>850</v>
      </c>
      <c r="H556" t="n">
        <v>4</v>
      </c>
      <c r="I556">
        <f>SUM(G626*H626)</f>
        <v/>
      </c>
    </row>
    <row r="557" ht="13.5" customHeight="1">
      <c r="A557" s="27" t="inlineStr">
        <is>
          <t>4901301447883</t>
        </is>
      </c>
      <c r="B557" s="27" t="inlineStr">
        <is>
          <t>b0dtykkwgn</t>
        </is>
      </c>
      <c r="C557" s="27" t="inlineStr">
        <is>
          <t>7883/2328</t>
        </is>
      </c>
      <c r="D557" s="27" t="inlineStr">
        <is>
          <t>b0dtykkwgn</t>
        </is>
      </c>
      <c r="E557" t="inlineStr">
        <is>
          <t>【2個セット】ビオレ ザ クレンズ オイルミスト メイク落とし つめかえ用 180mL×2個セット Bior? 花王 クレンジング オイルミスト メイク メイク落とし 洗顔 スキンケア 角質 W洗顔不要 濡れた手OK まつエク対応 詰替え用 まとめ買い ストック 化粧 ミスト クレンジング</t>
        </is>
      </c>
      <c r="F557" t="n">
        <v>3980</v>
      </c>
      <c r="G557" t="n">
        <v>2328</v>
      </c>
      <c r="H557" t="n">
        <v>13</v>
      </c>
      <c r="I557">
        <f>SUM(G627*H627)</f>
        <v/>
      </c>
      <c r="J557" t="inlineStr">
        <is>
          <t>✓ 一致（SKU）</t>
        </is>
      </c>
      <c r="K557" t="inlineStr">
        <is>
          <t>4901301447883</t>
        </is>
      </c>
    </row>
    <row r="558" ht="13.5" customHeight="1">
      <c r="A558" s="27" t="inlineStr">
        <is>
          <t>4571648684465</t>
        </is>
      </c>
      <c r="B558" s="27" t="inlineStr">
        <is>
          <t>b0dv35n5cc</t>
        </is>
      </c>
      <c r="C558" s="27" t="inlineStr">
        <is>
          <t>4465/9980</t>
        </is>
      </c>
      <c r="D558" s="27" t="inlineStr">
        <is>
          <t>b0dv35n5cc</t>
        </is>
      </c>
      <c r="E558" t="inlineStr">
        <is>
          <t>BURTLE バートル アイスクラフト ベスト＆ペルチェセット ブラック 冷却ウェア 電動冷却ベスト ペルチェ式 首元冷却 背中冷却 夏用 作業服対応 熱中症対策 屋外作業 男女兼用</t>
        </is>
      </c>
      <c r="F558" t="n">
        <v>19800</v>
      </c>
      <c r="G558" t="n">
        <v>9980</v>
      </c>
      <c r="H558" t="n">
        <v>3</v>
      </c>
      <c r="I558">
        <f>SUM(G628*H628)</f>
        <v/>
      </c>
      <c r="J558" t="inlineStr">
        <is>
          <t>✓ 一致（SKU）</t>
        </is>
      </c>
      <c r="K558" t="inlineStr">
        <is>
          <t>4571648684465</t>
        </is>
      </c>
    </row>
    <row r="559" ht="13.5" customHeight="1">
      <c r="A559" s="27" t="inlineStr">
        <is>
          <t>4901301420640</t>
        </is>
      </c>
      <c r="B559" s="27" t="inlineStr">
        <is>
          <t>b0dv572m1r</t>
        </is>
      </c>
      <c r="C559" s="27" t="inlineStr">
        <is>
          <t>0640/599-a</t>
        </is>
      </c>
      <c r="D559" s="27" t="inlineStr">
        <is>
          <t>B0DV572M1R</t>
        </is>
      </c>
      <c r="E559" t="inlineStr">
        <is>
          <t>花王 ハミングフレア フレアフレグランス フラワー＆ハーモニー2L 420640 部屋干し 雨の日 部屋 かろやか 香る きれい 清潔 衣類 静電気 防臭 抗菌 赤ちゃん ベビー 洗濯</t>
        </is>
      </c>
      <c r="F559" t="n">
        <v>2178</v>
      </c>
      <c r="G559" t="n">
        <v>599</v>
      </c>
      <c r="H559" t="n">
        <v>15</v>
      </c>
      <c r="I559">
        <f>SUM(G629*H629)</f>
        <v/>
      </c>
    </row>
    <row r="560" ht="13.5" customHeight="1">
      <c r="A560" s="27" t="inlineStr">
        <is>
          <t>4901301420633</t>
        </is>
      </c>
      <c r="B560" s="27" t="inlineStr">
        <is>
          <t>b0dv57g9z1</t>
        </is>
      </c>
      <c r="C560" s="27" t="inlineStr">
        <is>
          <t>0633/599-a</t>
        </is>
      </c>
      <c r="D560" s="27" t="inlineStr">
        <is>
          <t>B0DV57G9Z1</t>
        </is>
      </c>
      <c r="E560" t="inlineStr">
        <is>
          <t>花王 ハミングフレア フレアフレグランス フローラル＆スウィート2L 詰め替え 420633 部屋干し 雨の日 部屋 かろやか 香る きれい 清潔 衣類 静電気 防臭 抗菌 赤ちゃん ベビー 洗濯</t>
        </is>
      </c>
      <c r="F560" t="n">
        <v>2178</v>
      </c>
      <c r="G560" t="n">
        <v>598</v>
      </c>
      <c r="H560" t="n">
        <v>7</v>
      </c>
      <c r="I560">
        <f>SUM(G630*H630)</f>
        <v/>
      </c>
    </row>
    <row r="561" ht="13.5" customHeight="1">
      <c r="A561" s="27" t="inlineStr">
        <is>
          <t>4571263114132</t>
        </is>
      </c>
      <c r="B561" s="27" t="inlineStr">
        <is>
          <t>b0dvsy1sgq</t>
        </is>
      </c>
      <c r="C561" s="27" t="inlineStr">
        <is>
          <t>4571263114132-2-a</t>
        </is>
      </c>
      <c r="D561" s="27" t="inlineStr">
        <is>
          <t>b0dvsy1sgq</t>
        </is>
      </c>
      <c r="E561" t="inlineStr">
        <is>
          <t>リッツ LITS SHEE BY 白玉ミルクピーリングパック 100g×2個セット グルタチオン ピーリング パック 肌 肌ケア ケア</t>
        </is>
      </c>
      <c r="F561" t="n">
        <v>3280</v>
      </c>
      <c r="G561" t="n">
        <v>1098</v>
      </c>
      <c r="H561" t="n">
        <v>67</v>
      </c>
      <c r="I561">
        <f>SUM(G631*H631)</f>
        <v/>
      </c>
      <c r="J561" t="inlineStr">
        <is>
          <t>✓ 一致（SKU）</t>
        </is>
      </c>
      <c r="K561" t="inlineStr">
        <is>
          <t>4571263114132</t>
        </is>
      </c>
    </row>
    <row r="562" ht="13.5" customHeight="1">
      <c r="A562" s="27" t="inlineStr">
        <is>
          <t>4902407025166</t>
        </is>
      </c>
      <c r="B562" s="27" t="inlineStr">
        <is>
          <t>b0dwfmjjwh</t>
        </is>
      </c>
      <c r="C562" s="27" t="inlineStr">
        <is>
          <t>5166/2067</t>
        </is>
      </c>
      <c r="D562" s="27" t="inlineStr">
        <is>
          <t>b0dwfmjjwh</t>
        </is>
      </c>
      <c r="E562" t="inlineStr">
        <is>
          <t>【3個セット】アイスノン ICE KING 極冷えボディミスト 金木犀の香り 詰替用 140mL×3個セット 冷感ミスト ボディスプレー 冷却スプレー ひんやり メントール配合 暑さ対策 熱中対策 猛暑対策 通勤 通学 スポーツ アウトドア 日本製 白元アース</t>
        </is>
      </c>
      <c r="F562" t="n">
        <v>2980</v>
      </c>
      <c r="G562" t="n">
        <v>2067</v>
      </c>
      <c r="H562" t="n">
        <v>2</v>
      </c>
      <c r="I562">
        <f>SUM(G632*H632)</f>
        <v/>
      </c>
      <c r="J562" t="inlineStr">
        <is>
          <t>✓ 一致（SKU）</t>
        </is>
      </c>
      <c r="K562" t="inlineStr">
        <is>
          <t>4902407025166</t>
        </is>
      </c>
    </row>
    <row r="563" ht="13.5" customHeight="1">
      <c r="A563" s="27" t="inlineStr">
        <is>
          <t>0194644233532</t>
        </is>
      </c>
      <c r="B563" s="27" t="inlineStr">
        <is>
          <t>b0dwmpnclc-1</t>
        </is>
      </c>
      <c r="C563" s="27" t="inlineStr">
        <is>
          <t>0194644233532</t>
        </is>
      </c>
      <c r="D563" s="27" t="inlineStr">
        <is>
          <t>B0DWMPNCLC-1</t>
        </is>
      </c>
      <c r="E563" t="inlineStr">
        <is>
          <t>Anker Eufy SmartTrack Card E30 スマートタグ 紛失防止トラッカー カード型 充電式 財布用 忘れ物防止 Apple探す対応 iPhone対応 Bluetoothトラッカー 薄型 軽量 防水 盗難防止 紛失対策 探し物 財布 紛失発見 スマホを探す 持ち物管理 コンパクト ユーフィ</t>
        </is>
      </c>
      <c r="F563" t="n">
        <v>5280</v>
      </c>
      <c r="G563" t="n">
        <v>3590</v>
      </c>
      <c r="H563" t="n">
        <v>2</v>
      </c>
      <c r="I563">
        <f>SUM(G633*H633)</f>
        <v/>
      </c>
      <c r="J563" t="inlineStr">
        <is>
          <t>✓ 一致（SKU）</t>
        </is>
      </c>
      <c r="K563" t="inlineStr">
        <is>
          <t>0194644233532</t>
        </is>
      </c>
    </row>
    <row r="564" ht="13.5" customHeight="1">
      <c r="A564" s="27" t="inlineStr">
        <is>
          <t>4987241196715</t>
        </is>
      </c>
      <c r="B564" s="27" t="inlineStr">
        <is>
          <t>b0dwxlfl51</t>
        </is>
      </c>
      <c r="C564" s="27" t="inlineStr">
        <is>
          <t>6715/1356-a</t>
        </is>
      </c>
      <c r="D564" s="27" t="inlineStr">
        <is>
          <t>b0dwxlfl51</t>
        </is>
      </c>
      <c r="E564" t="inlineStr">
        <is>
          <t>【2個セット】ロート製薬 バリアビオソープ 詰め替え 150ml×2個セット フローラルの香り デリケートゾーンソープ デリケートゾーンケア デリケート部位用ジェルソープ フェムケア 乳酸菌配合 弱酸性 防腐剤フリー 敏感肌 敏感肌 ボディソープ 洗浄料 まとめ買い</t>
        </is>
      </c>
      <c r="F564" t="n">
        <v>2480</v>
      </c>
      <c r="G564" t="n">
        <v>1356</v>
      </c>
      <c r="H564" t="n">
        <v>3</v>
      </c>
      <c r="I564">
        <f>SUM(G634*H634)</f>
        <v/>
      </c>
      <c r="J564" t="inlineStr">
        <is>
          <t>✓ 一致（SKU）</t>
        </is>
      </c>
      <c r="K564" t="inlineStr">
        <is>
          <t>4987241196715</t>
        </is>
      </c>
    </row>
    <row r="565" ht="13.5" customHeight="1">
      <c r="A565" s="27" t="inlineStr">
        <is>
          <t>4906015044533</t>
        </is>
      </c>
      <c r="B565" s="27" t="inlineStr">
        <is>
          <t>b0dynl9bd5</t>
        </is>
      </c>
      <c r="C565" s="27" t="inlineStr">
        <is>
          <t>4533/2323-a</t>
        </is>
      </c>
      <c r="D565" s="27" t="inlineStr">
        <is>
          <t>b0dynl9bd5</t>
        </is>
      </c>
      <c r="E565" t="inlineStr">
        <is>
          <t>【2本セット】ムシクリン カメムシ用ジャンボエアゾール 550ml アース製薬 カメムシ対策 侵入防止 スプレー 屋外用 網戸 玄関 外壁 不快害虫駆除 速効効果 予防 長時間持続 大容量 ジャンボサイズ 家庭用 虫よけ 季節害虫対策 日本製 まとめ買い</t>
        </is>
      </c>
      <c r="F565" t="n">
        <v>3980</v>
      </c>
      <c r="G565" t="n">
        <v>2323</v>
      </c>
      <c r="H565" t="n">
        <v>4</v>
      </c>
      <c r="I565">
        <f>SUM(G635*H635)</f>
        <v/>
      </c>
      <c r="J565" t="inlineStr">
        <is>
          <t>✓ 一致（SKU）</t>
        </is>
      </c>
      <c r="K565" t="inlineStr">
        <is>
          <t>4906015044533</t>
        </is>
      </c>
    </row>
    <row r="566" ht="13.5" customHeight="1">
      <c r="A566" s="27" t="inlineStr">
        <is>
          <t>4903588276002.0</t>
        </is>
      </c>
      <c r="B566" s="27" t="inlineStr">
        <is>
          <t>b0dz2g215y</t>
        </is>
      </c>
      <c r="C566" s="27" t="inlineStr">
        <is>
          <t>6002/2563-a</t>
        </is>
      </c>
      <c r="D566" s="27" t="inlineStr">
        <is>
          <t>B0DZ2G215Y</t>
        </is>
      </c>
      <c r="E566" t="inlineStr">
        <is>
          <t>ペティオ (Petio) 猫用ベッド ひんやりくつろぎベッド クッション付ネコ耳ドーム HNA クールブルー ベット シート マット 猫 人気 夏用 冷感 涼しい さらさら 手洗い かわいい 子猫</t>
        </is>
      </c>
      <c r="F566" t="n">
        <v>4980</v>
      </c>
      <c r="G566" t="n">
        <v>2563</v>
      </c>
      <c r="H566" t="n">
        <v>2</v>
      </c>
      <c r="I566">
        <f>SUM(G636*H636)</f>
        <v/>
      </c>
    </row>
    <row r="567" ht="13.5" customHeight="1">
      <c r="A567" s="27" t="inlineStr">
        <is>
          <t>4903588276040</t>
        </is>
      </c>
      <c r="B567" s="27" t="inlineStr">
        <is>
          <t>b0dz2g6jdy</t>
        </is>
      </c>
      <c r="C567" s="27" t="inlineStr">
        <is>
          <t>6033,6040/803,803-a</t>
        </is>
      </c>
      <c r="D567" s="27" t="inlineStr">
        <is>
          <t>B0DZ2G6JDY</t>
        </is>
      </c>
      <c r="E567" t="inlineStr">
        <is>
          <t>ペティオ (Petio) 猫用ハンモック necoco広々涼めるキャットハンモックHNA 猫 人気 夏用 冷感 熱中症対策 ひんやり</t>
        </is>
      </c>
      <c r="F567" t="n">
        <v>2480</v>
      </c>
      <c r="G567" t="n">
        <v>803</v>
      </c>
      <c r="H567" t="n">
        <v>5</v>
      </c>
      <c r="I567">
        <f>SUM(G637*H637)</f>
        <v/>
      </c>
    </row>
    <row r="568" ht="13.5" customHeight="1">
      <c r="A568" s="27" t="inlineStr">
        <is>
          <t>4903588276033</t>
        </is>
      </c>
      <c r="B568" s="27" t="inlineStr">
        <is>
          <t>b0dz2g6jdy</t>
        </is>
      </c>
      <c r="C568" s="27" t="inlineStr">
        <is>
          <t>6033,6040/803,803-a</t>
        </is>
      </c>
      <c r="D568" s="27" t="inlineStr">
        <is>
          <t>B0DZ2LRXCK</t>
        </is>
      </c>
      <c r="E568" t="inlineStr">
        <is>
          <t>ペティオ (Petio) 猫用ハンモック necoco広々涼めるキャットハンモックHNA 猫 人気 夏用 冷感 熱中症対策 ひんやり</t>
        </is>
      </c>
      <c r="F568" t="n">
        <v>2480</v>
      </c>
      <c r="G568" t="n">
        <v>803</v>
      </c>
      <c r="H568" t="n">
        <v>5</v>
      </c>
      <c r="I568">
        <f>SUM(G638*H638)</f>
        <v/>
      </c>
    </row>
    <row r="569" ht="13.5" customHeight="1">
      <c r="A569" s="27" t="inlineStr">
        <is>
          <t>4903588276187.0</t>
        </is>
      </c>
      <c r="B569" s="27" t="inlineStr">
        <is>
          <t>b0dz2kqtwy</t>
        </is>
      </c>
      <c r="C569" s="27" t="inlineStr">
        <is>
          <t>6170,6187/297,572-a</t>
        </is>
      </c>
      <c r="D569" s="27" t="inlineStr">
        <is>
          <t>B0DZ2K7LCD</t>
        </is>
      </c>
      <c r="E569" t="inlineStr">
        <is>
          <t>ペティオ (Petio) 犬猫用マット 防ダニ加工 ふれた瞬間ひんやりマット 猫 犬 人気 夏用 冷感 熱中症対策 ひんやり 手洗い</t>
        </is>
      </c>
      <c r="F569" t="n">
        <v>1980</v>
      </c>
      <c r="G569" t="n">
        <v>572</v>
      </c>
      <c r="H569" t="n">
        <v>6</v>
      </c>
      <c r="I569">
        <f>SUM(G639*H639)</f>
        <v/>
      </c>
    </row>
    <row r="570" ht="13.5" customHeight="1">
      <c r="A570" s="27" t="inlineStr">
        <is>
          <t>4903588276170.0</t>
        </is>
      </c>
      <c r="B570" s="27" t="inlineStr">
        <is>
          <t>b0dz2kqtwy</t>
        </is>
      </c>
      <c r="C570" s="27" t="inlineStr">
        <is>
          <t>6170,6187/297,572-a</t>
        </is>
      </c>
      <c r="D570" s="27" t="inlineStr">
        <is>
          <t>B0DZ2KQTWY</t>
        </is>
      </c>
      <c r="E570" t="inlineStr">
        <is>
          <t>ペティオ (Petio) 犬猫用マット 防ダニ加工 ふれた瞬間ひんやりマット 猫 犬 人気 夏用 冷感 熱中症対策 ひんやり 手洗い</t>
        </is>
      </c>
      <c r="F570" t="n">
        <v>1780</v>
      </c>
      <c r="G570" t="n">
        <v>297</v>
      </c>
      <c r="H570" t="n">
        <v>5</v>
      </c>
      <c r="I570">
        <f>SUM(G640*H640)</f>
        <v/>
      </c>
    </row>
    <row r="571" ht="13.5" customHeight="1">
      <c r="A571" s="27" t="inlineStr">
        <is>
          <t>0194644236243</t>
        </is>
      </c>
      <c r="B571" s="27" t="inlineStr">
        <is>
          <t>b0f1mm3fm6</t>
        </is>
      </c>
      <c r="C571" s="27" t="inlineStr">
        <is>
          <t>1013/3690</t>
        </is>
      </c>
      <c r="D571" s="27" t="inlineStr">
        <is>
          <t>b0f1mm3fm6</t>
        </is>
      </c>
      <c r="E571" t="inlineStr">
        <is>
          <t>Anker Nano USB-C ハブ 7-in-1 HDMI 4K 60Hz USB-A PD対応 Type-C ハブ MacBook iPad Windows対応 ドッキングステーション 高速データ転送 ノートPC 拡張アダプタ 映像出力 USBハブ コンパクト 軽量 テレワーク 在宅勤務 会議 持ち運び便利</t>
        </is>
      </c>
      <c r="F571" t="n">
        <v>6780</v>
      </c>
      <c r="G571" t="n">
        <v>3690</v>
      </c>
      <c r="H571" t="n">
        <v>7</v>
      </c>
      <c r="I571">
        <f>SUM(G641*H641)</f>
        <v/>
      </c>
      <c r="J571" t="inlineStr">
        <is>
          <t>✓ 一致（SKU）</t>
        </is>
      </c>
      <c r="K571" t="inlineStr">
        <is>
          <t>0194644236243</t>
        </is>
      </c>
    </row>
    <row r="572" ht="13.5" customHeight="1">
      <c r="A572" s="27" t="inlineStr">
        <is>
          <t>4582210598141</t>
        </is>
      </c>
      <c r="B572" s="27" t="inlineStr">
        <is>
          <t>b0f1mv5vdx</t>
        </is>
      </c>
      <c r="C572" s="27" t="inlineStr">
        <is>
          <t>8141/429</t>
        </is>
      </c>
      <c r="D572" s="27" t="inlineStr">
        <is>
          <t>b0f1mv5vdx</t>
        </is>
      </c>
      <c r="E572" t="inlineStr">
        <is>
          <t>ミニサイズ 歯磨き堂 薬用 フレッシュ ペースト フレッシュミント味 20g 【医薬部外品】 口臭予防 口臭ケア 美白 知覚過敏 歯磨き粉 携帯用</t>
        </is>
      </c>
      <c r="F572" t="n">
        <v>1280</v>
      </c>
      <c r="G572" t="n">
        <v>429</v>
      </c>
      <c r="H572" t="n">
        <v>6</v>
      </c>
      <c r="I572">
        <f>SUM(G642*H642)</f>
        <v/>
      </c>
      <c r="J572" t="inlineStr">
        <is>
          <t>✓ 一致（SKU）</t>
        </is>
      </c>
      <c r="K572" t="inlineStr">
        <is>
          <t>4582210598141</t>
        </is>
      </c>
    </row>
    <row r="573" ht="13.5" customHeight="1">
      <c r="A573" s="27" t="inlineStr">
        <is>
          <t>4547410550955</t>
        </is>
      </c>
      <c r="B573" s="27" t="inlineStr">
        <is>
          <t>b0f1slwhqg</t>
        </is>
      </c>
      <c r="C573" s="27" t="inlineStr">
        <is>
          <t>4547410550955-3</t>
        </is>
      </c>
      <c r="D573" s="27" t="inlineStr">
        <is>
          <t>b0f1slwhqg</t>
        </is>
      </c>
      <c r="E573" t="inlineStr">
        <is>
          <t>富士フイルム(FUJIFILM) フジカラーレンズ付フィルム 写ルンです スタンダードタイプ 3個セット 27枚撮り LF JDV1 SP FL 27SH 1 まとめ買い</t>
        </is>
      </c>
      <c r="F573" t="n">
        <v>9980</v>
      </c>
      <c r="G573" t="n">
        <v>7794</v>
      </c>
      <c r="H573" t="n">
        <v>2</v>
      </c>
      <c r="I573">
        <f>SUM(G644*H644)</f>
        <v/>
      </c>
      <c r="J573" t="inlineStr">
        <is>
          <t>✓ 一致（SKU）</t>
        </is>
      </c>
      <c r="K573" t="inlineStr">
        <is>
          <t>4547410550955</t>
        </is>
      </c>
    </row>
    <row r="574" ht="13.5" customHeight="1">
      <c r="A574" s="27" t="inlineStr">
        <is>
          <t>0194644236601</t>
        </is>
      </c>
      <c r="B574" s="27" t="inlineStr">
        <is>
          <t>b0f24ggf3z</t>
        </is>
      </c>
      <c r="C574" s="27" t="inlineStr">
        <is>
          <t>6601/7990</t>
        </is>
      </c>
      <c r="D574" s="27" t="inlineStr">
        <is>
          <t>b0f24ggf3z</t>
        </is>
      </c>
      <c r="E574" t="inlineStr">
        <is>
          <t>Anker Soundcore P41i (Bluetooth 5.3) 【モバイルバッテリー搭載完全ワイヤレスイヤホン/ウルトラノイズキャンセリング 2.0 / マルチポイント接続 / 最大192時間再生 / PSE技術基準適合】ブラック</t>
        </is>
      </c>
      <c r="F574" t="n">
        <v>12980</v>
      </c>
      <c r="G574" t="n">
        <v>7990</v>
      </c>
      <c r="H574" t="n">
        <v>13</v>
      </c>
      <c r="I574">
        <f>SUM(G645*H645)</f>
        <v/>
      </c>
      <c r="J574" t="inlineStr">
        <is>
          <t>✓ 一致（SKU）</t>
        </is>
      </c>
      <c r="K574" t="inlineStr">
        <is>
          <t>0194644236601</t>
        </is>
      </c>
    </row>
    <row r="575" ht="13.5" customHeight="1">
      <c r="A575" s="27" t="inlineStr">
        <is>
          <t>4987176301246</t>
        </is>
      </c>
      <c r="B575" s="27" t="inlineStr">
        <is>
          <t>b0f2ffw7yc</t>
        </is>
      </c>
      <c r="C575" s="27" t="inlineStr">
        <is>
          <t>1246/329-a</t>
        </is>
      </c>
      <c r="D575" s="27" t="inlineStr">
        <is>
          <t>b0f2ffw7yc</t>
        </is>
      </c>
      <c r="E575" t="inlineStr">
        <is>
          <t>レノア 煮沸レベル超消臭 抗菌ビーズ SPORTS クールリフレッシュ&amp;シトラスの香り 本体 420mL 柔軟剤と一緒に使って効果長続き</t>
        </is>
      </c>
      <c r="F575" t="n">
        <v>1398</v>
      </c>
      <c r="G575" t="n">
        <v>329</v>
      </c>
      <c r="H575" t="n">
        <v>4</v>
      </c>
      <c r="I575">
        <f>SUM(G646*H646)</f>
        <v/>
      </c>
    </row>
    <row r="576" ht="13.5" customHeight="1">
      <c r="A576" s="27" t="inlineStr">
        <is>
          <t>4976555827484</t>
        </is>
      </c>
      <c r="B576" s="27" t="inlineStr">
        <is>
          <t>b0f2fpd2td</t>
        </is>
      </c>
      <c r="C576" s="27" t="inlineStr">
        <is>
          <t>7484/1242-a</t>
        </is>
      </c>
      <c r="D576" s="27" t="inlineStr">
        <is>
          <t>b0f2fpd2td</t>
        </is>
      </c>
      <c r="E576" t="inlineStr">
        <is>
          <t>ドギーマン 無添加良品 アキレススティック 100g 犬 おやつ 無添加 鳥すじ肉100％ 歯磨きガム デンタルケア 長持ち ハードタイプ 国産 犬用おやつ ご褒美 噛むおやつ</t>
        </is>
      </c>
      <c r="F576" t="n">
        <v>1898</v>
      </c>
      <c r="G576" t="n">
        <v>1242</v>
      </c>
      <c r="H576" t="n">
        <v>1</v>
      </c>
      <c r="I576">
        <f>SUM(G647*H647)</f>
        <v/>
      </c>
      <c r="J576" t="inlineStr">
        <is>
          <t>✓ 一致（SKU）</t>
        </is>
      </c>
      <c r="K576" t="inlineStr">
        <is>
          <t>4976555827484</t>
        </is>
      </c>
    </row>
    <row r="577" ht="13.5" customHeight="1">
      <c r="A577" s="27" t="n"/>
      <c r="B577" s="27" t="inlineStr">
        <is>
          <t>b0f2hpb231-1</t>
        </is>
      </c>
      <c r="C577" s="27" t="inlineStr">
        <is>
          <t>1086-a</t>
        </is>
      </c>
      <c r="D577" s="27" t="inlineStr">
        <is>
          <t>b0f2hpb231-1</t>
        </is>
      </c>
      <c r="E577" t="inlineStr">
        <is>
          <t>【セット品】わんわん チョイあげ 国産 13種 アソート 犬用おやつ 食べ比べ 豆乳ビスケット ささみコイン ビーフジャーキー かぼちゃん おいもん かつおくん 牛太郎牛タン入り ミルク入りキューブ ささみん チキンスティック SSSC 山羊ミルク入りスティック 犬 犬用 おやつ</t>
        </is>
      </c>
      <c r="F577" t="n">
        <v>2680</v>
      </c>
      <c r="G577" t="n">
        <v>1086</v>
      </c>
      <c r="H577" t="n">
        <v>1</v>
      </c>
      <c r="I577">
        <f>SUM(G649*H649)</f>
        <v/>
      </c>
    </row>
    <row r="578" ht="13.5" customHeight="1">
      <c r="A578" s="27" t="inlineStr">
        <is>
          <t>4901133458194</t>
        </is>
      </c>
      <c r="B578" s="27" t="inlineStr">
        <is>
          <t>b0f2spv2w1</t>
        </is>
      </c>
      <c r="C578" s="27" t="inlineStr">
        <is>
          <t>M-0089/1599-a</t>
        </is>
      </c>
      <c r="D578" s="27" t="inlineStr">
        <is>
          <t>b0f2sfj436</t>
        </is>
      </c>
      <c r="E578" t="inlineStr">
        <is>
          <t>いなば チャオ (CIAO) ちゅ~る とりささみバラエティ 14g×40本 BOX 猫 猫用 液状 ペースト おやつ キャットフード 大容量 BOX 人気 簡易包装</t>
        </is>
      </c>
      <c r="F578" t="n">
        <v>2480</v>
      </c>
      <c r="G578" t="n">
        <v>1599</v>
      </c>
      <c r="H578" t="n">
        <v>16</v>
      </c>
      <c r="I578">
        <f>SUM(G652*H652)</f>
        <v/>
      </c>
      <c r="J578" t="inlineStr">
        <is>
          <t>✓ 一致（SKU）</t>
        </is>
      </c>
      <c r="K578" t="inlineStr">
        <is>
          <t>4901133458194</t>
        </is>
      </c>
    </row>
    <row r="579" ht="13.5" customHeight="1">
      <c r="A579" s="27" t="inlineStr">
        <is>
          <t>4984937615376.0</t>
        </is>
      </c>
      <c r="B579" s="27" t="inlineStr">
        <is>
          <t>b0f2sy4r29</t>
        </is>
      </c>
      <c r="C579" s="27" t="inlineStr">
        <is>
          <t>621,1148,1480,589,932,1216-a</t>
        </is>
      </c>
      <c r="D579" s="27" t="inlineStr">
        <is>
          <t>B0F2SHJW4P</t>
        </is>
      </c>
      <c r="E579" t="inlineStr">
        <is>
          <t>ペッツルート もっと虫よけ エリアスマイル 70日 140日 210日 うさぎ くま 超小型犬・小型犬・中型犬・大型犬の散歩用 犬 S M サイズ</t>
        </is>
      </c>
      <c r="F579" t="n">
        <v>1480</v>
      </c>
      <c r="G579" t="n">
        <v>589</v>
      </c>
      <c r="H579" t="n">
        <v>5</v>
      </c>
      <c r="I579">
        <f>SUM(G653*H653)</f>
        <v/>
      </c>
      <c r="J579" t="inlineStr">
        <is>
          <t>✓ 一致（SKU）</t>
        </is>
      </c>
      <c r="K579" t="inlineStr">
        <is>
          <t>4984937615376</t>
        </is>
      </c>
    </row>
    <row r="580" ht="13.5" customHeight="1">
      <c r="A580" s="27" t="inlineStr">
        <is>
          <t>4984937615406</t>
        </is>
      </c>
      <c r="B580" s="27" t="inlineStr">
        <is>
          <t>b0f2sy4r29</t>
        </is>
      </c>
      <c r="C580" s="27" t="inlineStr">
        <is>
          <t>621,1148,1480,589,932,1216-a</t>
        </is>
      </c>
      <c r="D580" s="27" t="inlineStr">
        <is>
          <t>B0F2SHYQ8W-a</t>
        </is>
      </c>
      <c r="E580" t="inlineStr">
        <is>
          <t>ペッツルート もっと虫よけ エリアスマイル 70日 140日 210日 うさぎ くま 超小型犬・小型犬・中型犬・大型犬の散歩用 犬 S M サイズ</t>
        </is>
      </c>
      <c r="F580" t="n">
        <v>2180</v>
      </c>
      <c r="G580" t="n">
        <v>1148</v>
      </c>
      <c r="H580" t="n">
        <v>0</v>
      </c>
      <c r="I580">
        <f>SUM(G654*H654)</f>
        <v/>
      </c>
      <c r="J580" t="inlineStr">
        <is>
          <t>✓ 一致（SKU）</t>
        </is>
      </c>
      <c r="K580" t="inlineStr">
        <is>
          <t>4984937615406</t>
        </is>
      </c>
    </row>
    <row r="581" ht="13.5" customHeight="1">
      <c r="A581" s="27" t="inlineStr">
        <is>
          <t>4984937615390.0</t>
        </is>
      </c>
      <c r="B581" s="27" t="inlineStr">
        <is>
          <t>b0f2sy4r29</t>
        </is>
      </c>
      <c r="C581" s="27" t="inlineStr">
        <is>
          <t>621,1148,1480,589,932,1216-a</t>
        </is>
      </c>
      <c r="D581" s="27" t="inlineStr">
        <is>
          <t>B0F2SL3945</t>
        </is>
      </c>
      <c r="E581" t="inlineStr">
        <is>
          <t>ペッツルート もっと虫よけ エリアスマイル 70日 140日 210日 うさぎ くま 超小型犬・小型犬・中型犬・大型犬の散歩用 犬 S M サイズ</t>
        </is>
      </c>
      <c r="F581" t="n">
        <v>1780</v>
      </c>
      <c r="G581" t="n">
        <v>932</v>
      </c>
      <c r="H581" t="n">
        <v>0</v>
      </c>
      <c r="I581">
        <f>SUM(G655*H655)</f>
        <v/>
      </c>
      <c r="J581" t="inlineStr">
        <is>
          <t>✓ 一致（SKU）</t>
        </is>
      </c>
      <c r="K581" t="inlineStr">
        <is>
          <t>4984937615390</t>
        </is>
      </c>
    </row>
    <row r="582" ht="13.5" customHeight="1">
      <c r="A582" s="27" t="inlineStr">
        <is>
          <t>4984937615413.0</t>
        </is>
      </c>
      <c r="B582" s="27" t="inlineStr">
        <is>
          <t>b0f2sy4r29</t>
        </is>
      </c>
      <c r="C582" s="27" t="inlineStr">
        <is>
          <t>621,1148,1480,589,932,1216-a</t>
        </is>
      </c>
      <c r="D582" s="27" t="inlineStr">
        <is>
          <t>B0F2SLHZNB</t>
        </is>
      </c>
      <c r="E582" t="inlineStr">
        <is>
          <t>ペッツルート もっと虫よけ エリアスマイル 70日 140日 210日 うさぎ くま 超小型犬・小型犬・中型犬・大型犬の散歩用 犬 S M サイズ</t>
        </is>
      </c>
      <c r="F582" t="n">
        <v>2180</v>
      </c>
      <c r="G582" t="n">
        <v>1148</v>
      </c>
      <c r="H582" t="n">
        <v>0</v>
      </c>
      <c r="I582">
        <f>SUM(G656*H656)</f>
        <v/>
      </c>
      <c r="J582" t="inlineStr">
        <is>
          <t>✓ 一致（SKU）</t>
        </is>
      </c>
      <c r="K582" t="inlineStr">
        <is>
          <t>4984937615413</t>
        </is>
      </c>
    </row>
    <row r="583" ht="13.5" customHeight="1">
      <c r="A583" s="27" t="inlineStr">
        <is>
          <t>4984937615369.0</t>
        </is>
      </c>
      <c r="B583" s="27" t="inlineStr">
        <is>
          <t>b0f2sy4r29</t>
        </is>
      </c>
      <c r="C583" s="27" t="inlineStr">
        <is>
          <t>621,1148,1480,589,932,1216-a</t>
        </is>
      </c>
      <c r="D583" s="27" t="inlineStr">
        <is>
          <t>B0F2SN45YZ</t>
        </is>
      </c>
      <c r="E583" t="inlineStr">
        <is>
          <t>ペッツルート もっと虫よけ エリアスマイル 70日 140日 210日 うさぎ くま 超小型犬・小型犬・中型犬・大型犬の散歩用 犬 S M サイズ</t>
        </is>
      </c>
      <c r="F583" t="n">
        <v>1480</v>
      </c>
      <c r="G583" t="n">
        <v>1148</v>
      </c>
      <c r="H583" t="n">
        <v>7</v>
      </c>
      <c r="I583">
        <f>SUM(G657*H657)</f>
        <v/>
      </c>
      <c r="J583" t="inlineStr">
        <is>
          <t>✓ 一致（SKU）</t>
        </is>
      </c>
      <c r="K583" t="inlineStr">
        <is>
          <t>4984937615369</t>
        </is>
      </c>
    </row>
    <row r="584" ht="13.5" customHeight="1">
      <c r="A584" s="27" t="inlineStr">
        <is>
          <t>4984937615383</t>
        </is>
      </c>
      <c r="B584" s="27" t="inlineStr">
        <is>
          <t>b0f2sy4r29</t>
        </is>
      </c>
      <c r="C584" s="27" t="inlineStr">
        <is>
          <t>621,1148,1480,589,932,1216-a</t>
        </is>
      </c>
      <c r="D584" s="27" t="inlineStr">
        <is>
          <t>B0F2SY4R29-a</t>
        </is>
      </c>
      <c r="E584" t="inlineStr">
        <is>
          <t>ペッツルート もっと虫よけ エリアスマイル 70日 140日 210日 うさぎ くま 超小型犬・小型犬・中型犬・大型犬の散歩用 犬 S M サイズ</t>
        </is>
      </c>
      <c r="F584" t="n">
        <v>1780</v>
      </c>
      <c r="G584" t="n">
        <v>880</v>
      </c>
      <c r="H584" t="n">
        <v>0</v>
      </c>
      <c r="I584">
        <f>SUM(G658*H658)</f>
        <v/>
      </c>
      <c r="J584" t="inlineStr">
        <is>
          <t>✓ 一致（SKU）</t>
        </is>
      </c>
      <c r="K584" t="inlineStr">
        <is>
          <t>4984937615383</t>
        </is>
      </c>
    </row>
    <row r="585" ht="13.5" customHeight="1">
      <c r="A585" s="27" t="inlineStr">
        <is>
          <t>4987176301680</t>
        </is>
      </c>
      <c r="B585" s="27" t="inlineStr">
        <is>
          <t>b0f3czw26m</t>
        </is>
      </c>
      <c r="C585" s="27" t="inlineStr">
        <is>
          <t>4987176301680</t>
        </is>
      </c>
      <c r="D585" s="27" t="inlineStr">
        <is>
          <t>b0f3czw26m</t>
        </is>
      </c>
      <c r="E585" t="inlineStr">
        <is>
          <t>ファブリーズ プレミアム 消臭スプレー(衣類・布用) 【 消臭＋除菌成分最高レベル配合 】 無香料 詰め替え 超特大 1240mL 除菌 P&amp;Gジャパン スプレー</t>
        </is>
      </c>
      <c r="F585" t="n">
        <v>2080</v>
      </c>
      <c r="G585" t="n">
        <v>1319</v>
      </c>
      <c r="H585" t="n">
        <v>15</v>
      </c>
      <c r="I585">
        <f>SUM(G660*H660)</f>
        <v/>
      </c>
      <c r="J585" t="inlineStr">
        <is>
          <t>✓ 一致（SKU）</t>
        </is>
      </c>
      <c r="K585" t="inlineStr">
        <is>
          <t>4987176301680</t>
        </is>
      </c>
    </row>
    <row r="586" ht="13.5" customHeight="1">
      <c r="A586" s="27" t="inlineStr">
        <is>
          <t>4987176301598</t>
        </is>
      </c>
      <c r="B586" s="27" t="inlineStr">
        <is>
          <t>b0f3d19j9q</t>
        </is>
      </c>
      <c r="C586" s="27" t="inlineStr">
        <is>
          <t>1598/1116</t>
        </is>
      </c>
      <c r="D586" s="27" t="inlineStr">
        <is>
          <t>b0f3d19j9q</t>
        </is>
      </c>
      <c r="E586" t="inlineStr">
        <is>
          <t>ファブリーズ 消臭スプレー PREMIUM 消臭+除菌 クールアクア 詰め替え 特大(610mL×2セット) 除菌 P&amp;Gジャパン スプレー</t>
        </is>
      </c>
      <c r="F586" t="n">
        <v>2580</v>
      </c>
      <c r="G586" t="n">
        <v>1116</v>
      </c>
      <c r="H586" t="n">
        <v>3</v>
      </c>
      <c r="I586">
        <f>SUM(G661*H661)</f>
        <v/>
      </c>
      <c r="J586" t="inlineStr">
        <is>
          <t>✓ 一致（SKU）</t>
        </is>
      </c>
      <c r="K586" t="inlineStr">
        <is>
          <t>4987176301598</t>
        </is>
      </c>
    </row>
    <row r="587" ht="13.5" customHeight="1">
      <c r="A587" s="27" t="inlineStr">
        <is>
          <t>4987176301604</t>
        </is>
      </c>
      <c r="B587" s="27" t="inlineStr">
        <is>
          <t>b0f3d1nryv</t>
        </is>
      </c>
      <c r="C587" s="27" t="inlineStr">
        <is>
          <t>4987176301604</t>
        </is>
      </c>
      <c r="D587" s="27" t="inlineStr">
        <is>
          <t>B0F3D1NRYV</t>
        </is>
      </c>
      <c r="E587" t="inlineStr">
        <is>
          <t>ファブリーズ プレミアム 消臭スプレー クールアクアの香り 詰め替え 超特大 1240mL (衣類・布用) 【 消臭＋除菌成分最高レベル配合 】除菌 P&amp;Gジャパン スプレー</t>
        </is>
      </c>
      <c r="F587" t="n">
        <v>2180</v>
      </c>
      <c r="G587" t="n">
        <v>1429</v>
      </c>
      <c r="H587" t="n">
        <v>15</v>
      </c>
      <c r="I587">
        <f>SUM(G662*H662)</f>
        <v/>
      </c>
    </row>
    <row r="588" ht="13.5" customHeight="1">
      <c r="A588" s="27" t="inlineStr">
        <is>
          <t>4987176301499</t>
        </is>
      </c>
      <c r="B588" s="27" t="inlineStr">
        <is>
          <t>b0f3d1y958</t>
        </is>
      </c>
      <c r="C588" s="27" t="inlineStr">
        <is>
          <t>4987176301499-2</t>
        </is>
      </c>
      <c r="D588" s="27" t="inlineStr">
        <is>
          <t>b0f3d1y958</t>
        </is>
      </c>
      <c r="E588" t="inlineStr">
        <is>
          <t>【2個セット】ファブリーズ 消臭スプレー PREMIUM 衣類 布製品用 370mL 本体 シトラス＆ガーデン 消臭 除菌 最高レベル配合 服 生活臭 タバコ臭 部屋干し臭 対策 スプレー 布用消臭剤 プレミアム処方 P&amp;G 日本製 日用品 まとめ買い ストック用</t>
        </is>
      </c>
      <c r="F588" t="n">
        <v>2980</v>
      </c>
      <c r="G588" t="n">
        <v>1242</v>
      </c>
      <c r="H588" t="n">
        <v>30</v>
      </c>
      <c r="I588">
        <f>SUM(G663*H663)</f>
        <v/>
      </c>
      <c r="J588" t="inlineStr">
        <is>
          <t>✓ 一致（SKU）</t>
        </is>
      </c>
      <c r="K588" t="inlineStr">
        <is>
          <t>4987176301499</t>
        </is>
      </c>
    </row>
    <row r="589" ht="13.5" customHeight="1">
      <c r="A589" s="27" t="inlineStr">
        <is>
          <t>4987176305664</t>
        </is>
      </c>
      <c r="B589" s="27" t="inlineStr">
        <is>
          <t>b0f3d1zsw8</t>
        </is>
      </c>
      <c r="C589" s="27" t="inlineStr">
        <is>
          <t>4987176305664-2</t>
        </is>
      </c>
      <c r="D589" s="27" t="inlineStr">
        <is>
          <t>B0F3D1ZSW8</t>
        </is>
      </c>
      <c r="E589" t="inlineStr">
        <is>
          <t>【2個セット】ファブリーズ 消臭スプレー 布用 PREMIUM シトラス＆ガーデン 詰め替え 超特大 1240mL×2 大容量 布製品 消臭 除菌 生活臭 ペット臭 タバコ臭 部屋干し臭 ソファ カーテン 寝具 消臭剤 速効消臭 家庭用 P&amp;G 日本製 まとめ買い 日用品 ストック用品</t>
        </is>
      </c>
      <c r="F589" t="n">
        <v>5980</v>
      </c>
      <c r="G589" t="n">
        <v>3280</v>
      </c>
      <c r="H589" t="n">
        <v>14</v>
      </c>
      <c r="I589">
        <f>SUM(G664*H664)</f>
        <v/>
      </c>
    </row>
    <row r="590" ht="13.5" customHeight="1">
      <c r="A590" s="27" t="inlineStr">
        <is>
          <t>4987176305732</t>
        </is>
      </c>
      <c r="B590" s="27" t="inlineStr">
        <is>
          <t>b0f3d1zw85</t>
        </is>
      </c>
      <c r="C590" s="27" t="inlineStr">
        <is>
          <t>4987176305732-2</t>
        </is>
      </c>
      <c r="D590" s="27" t="inlineStr">
        <is>
          <t>b0f3d1zw85</t>
        </is>
      </c>
      <c r="E590" t="inlineStr">
        <is>
          <t>ファブリーズ PREMIUM 消臭スプレー 布用 シトラス 詰め替え 特大(610mL×2セット) 除菌 P&amp;Gジャパン スプレー</t>
        </is>
      </c>
      <c r="F590" t="n">
        <v>2980</v>
      </c>
      <c r="G590" t="n">
        <v>1538</v>
      </c>
      <c r="H590" t="n">
        <v>49</v>
      </c>
      <c r="I590">
        <f>SUM(G665*H665)</f>
        <v/>
      </c>
      <c r="J590" t="inlineStr">
        <is>
          <t>✓ 一致（SKU）</t>
        </is>
      </c>
      <c r="K590" t="inlineStr">
        <is>
          <t>4987176305732</t>
        </is>
      </c>
    </row>
    <row r="591" ht="13.5" customHeight="1">
      <c r="A591" s="27" t="inlineStr">
        <is>
          <t>4987176305701</t>
        </is>
      </c>
      <c r="B591" s="27" t="inlineStr">
        <is>
          <t>b0f3d2l45v</t>
        </is>
      </c>
      <c r="C591" s="27" t="inlineStr">
        <is>
          <t>720</t>
        </is>
      </c>
      <c r="D591" s="27" t="inlineStr">
        <is>
          <t>b0f3d2l45v</t>
        </is>
      </c>
      <c r="E591" t="inlineStr">
        <is>
          <t>ファブリーズ 消臭スプレー PREMIUM パステルフローラル＆ブロッサムの香り 布用 詰め替え 特大 610mL 除菌 P&amp;Gジャパン</t>
        </is>
      </c>
      <c r="F591" t="n">
        <v>1580</v>
      </c>
      <c r="G591" t="n">
        <v>720</v>
      </c>
      <c r="H591" t="n">
        <v>5</v>
      </c>
      <c r="I591">
        <f>SUM(G666*H666)</f>
        <v/>
      </c>
      <c r="J591" t="inlineStr">
        <is>
          <t>✓ 一致（SKU）</t>
        </is>
      </c>
      <c r="K591" t="inlineStr">
        <is>
          <t>4987176305701</t>
        </is>
      </c>
    </row>
    <row r="592" ht="13.5" customHeight="1">
      <c r="A592" s="27" t="inlineStr">
        <is>
          <t>4987176305701</t>
        </is>
      </c>
      <c r="B592" s="27" t="inlineStr">
        <is>
          <t>b0f3d2l45v-1</t>
        </is>
      </c>
      <c r="C592" s="27" t="inlineStr">
        <is>
          <t>5701/1116</t>
        </is>
      </c>
      <c r="D592" s="27" t="inlineStr">
        <is>
          <t>b0f3d2l45v</t>
        </is>
      </c>
      <c r="E592" t="inlineStr">
        <is>
          <t>ファブリーズ 消臭スプレー PREMIUM パステルフローラル＆ブロッサムの香り 布用 詰め替え 特大 610mL×2 除菌 P&amp;Gジャパン</t>
        </is>
      </c>
      <c r="F592" t="n">
        <v>2480</v>
      </c>
      <c r="G592" t="n">
        <v>1116</v>
      </c>
      <c r="H592" t="n">
        <v>2</v>
      </c>
      <c r="I592">
        <f>SUM(G667*H667)</f>
        <v/>
      </c>
      <c r="J592" t="inlineStr">
        <is>
          <t>✓ 一致（SKU）</t>
        </is>
      </c>
      <c r="K592" t="inlineStr">
        <is>
          <t>4987176305701</t>
        </is>
      </c>
    </row>
    <row r="593" ht="13.5" customHeight="1">
      <c r="A593" s="27" t="inlineStr">
        <is>
          <t>4987176301543</t>
        </is>
      </c>
      <c r="B593" s="27" t="inlineStr">
        <is>
          <t>b0f3d2psfp</t>
        </is>
      </c>
      <c r="C593" s="27" t="inlineStr">
        <is>
          <t>4987176301543</t>
        </is>
      </c>
      <c r="D593" s="27" t="inlineStr">
        <is>
          <t>b0f3d2psfp</t>
        </is>
      </c>
      <c r="E593" t="inlineStr">
        <is>
          <t>ファブリーズ プレミアム 消臭スプレー 清潔なランドリーの香り 詰め替え 超特大 1240mL (衣類・布用) 【 消臭＋除菌成分最高レベル配合 】 除菌 P&amp;Gジャパン スプレー</t>
        </is>
      </c>
      <c r="F593" t="n">
        <v>2080</v>
      </c>
      <c r="G593" t="n">
        <v>1319</v>
      </c>
      <c r="H593" t="n">
        <v>2</v>
      </c>
      <c r="I593">
        <f>SUM(G668*H668)</f>
        <v/>
      </c>
      <c r="J593" t="inlineStr">
        <is>
          <t>✓ 一致（SKU）</t>
        </is>
      </c>
      <c r="K593" t="inlineStr">
        <is>
          <t>4987176301543</t>
        </is>
      </c>
    </row>
    <row r="594" ht="13.5" customHeight="1">
      <c r="A594" s="27" t="inlineStr">
        <is>
          <t>4987176301505</t>
        </is>
      </c>
      <c r="B594" s="27" t="inlineStr">
        <is>
          <t>b0f3d2q8sz</t>
        </is>
      </c>
      <c r="C594" s="27" t="inlineStr">
        <is>
          <t>1505/1116</t>
        </is>
      </c>
      <c r="D594" s="27" t="inlineStr">
        <is>
          <t>B0F3D2Q8SZ</t>
        </is>
      </c>
      <c r="E594" t="inlineStr">
        <is>
          <t>ファブリーズ PREMIUM 消臭スプレー 布用 清潔なランドリー 詰め替え 特大(610mL×2セット) 除菌 P&amp;Gジャパン スプレー</t>
        </is>
      </c>
      <c r="F594" t="n">
        <v>2480</v>
      </c>
      <c r="G594" t="n">
        <v>1116</v>
      </c>
      <c r="H594" t="n">
        <v>18</v>
      </c>
      <c r="I594">
        <f>SUM(G669*H669)</f>
        <v/>
      </c>
    </row>
    <row r="595" ht="13.5" customHeight="1">
      <c r="A595" s="27" t="inlineStr">
        <is>
          <t>4987072098806</t>
        </is>
      </c>
      <c r="B595" s="27" t="inlineStr">
        <is>
          <t>b0f3n7p243</t>
        </is>
      </c>
      <c r="C595" s="27" t="inlineStr">
        <is>
          <t>8806/1239-a</t>
        </is>
      </c>
      <c r="D595" s="27" t="inlineStr">
        <is>
          <t>b0f3n7p243</t>
        </is>
      </c>
      <c r="E595" t="inlineStr">
        <is>
          <t>小林製薬 熱さまシート 強冷感 大人用 12枚×3個セット 冷却シート 冷えピタ おでこ 熱 冷却シート ひんやりシート 発熱対策 夏 暑さ対策 冷感グッズ 熱中症対策 風邪</t>
        </is>
      </c>
      <c r="F595" t="n">
        <v>2980</v>
      </c>
      <c r="G595" t="n">
        <v>1239</v>
      </c>
      <c r="H595" t="n">
        <v>6</v>
      </c>
      <c r="I595">
        <f>SUM(G670*H670)</f>
        <v/>
      </c>
      <c r="J595" t="inlineStr">
        <is>
          <t>✓ 一致（SKU）</t>
        </is>
      </c>
      <c r="K595" t="inlineStr">
        <is>
          <t>4987072098806</t>
        </is>
      </c>
    </row>
    <row r="596" ht="13.5" customHeight="1">
      <c r="A596" s="27" t="inlineStr">
        <is>
          <t>4901548604421</t>
        </is>
      </c>
      <c r="B596" s="27" t="inlineStr">
        <is>
          <t>b0f3nwgtwl</t>
        </is>
      </c>
      <c r="C596" s="27" t="inlineStr">
        <is>
          <t>4901548604421-3-a</t>
        </is>
      </c>
      <c r="D596" s="27" t="inlineStr">
        <is>
          <t>B0F3NWGTWL</t>
        </is>
      </c>
      <c r="E596" t="inlineStr">
        <is>
          <t>小林製薬 熱中対策 シャツクール 冷感ストロング 詰め替えパウチ 250ml×3個セット 熱中症対策 衣類にスプレーするだけ 汗をかくとひんやり続く 冷感スプレー</t>
        </is>
      </c>
      <c r="F596" t="n">
        <v>2480</v>
      </c>
      <c r="G596" t="n">
        <v>1164</v>
      </c>
      <c r="H596" t="n">
        <v>1</v>
      </c>
      <c r="I596">
        <f>SUM(G671*H671)</f>
        <v/>
      </c>
    </row>
    <row r="597" ht="13.5" customHeight="1">
      <c r="A597" s="27" t="inlineStr">
        <is>
          <t>4902111781204</t>
        </is>
      </c>
      <c r="B597" s="27" t="inlineStr">
        <is>
          <t>b0f3wyss1s</t>
        </is>
      </c>
      <c r="C597" s="27" t="inlineStr">
        <is>
          <t>1980</t>
        </is>
      </c>
      <c r="D597" s="27" t="inlineStr">
        <is>
          <t>b0f3wyss1s</t>
        </is>
      </c>
      <c r="E597" t="inlineStr">
        <is>
          <t>【セット品】 ラックス バスグロウ ストレート＆シャイン シャンプー トリートメント 詰め替えセット 大容量(1000g) うねり ケア つや 髪 ヘア ヘアケア</t>
        </is>
      </c>
      <c r="F597" t="n">
        <v>3480</v>
      </c>
      <c r="G597" t="n">
        <v>1980</v>
      </c>
      <c r="H597" t="n">
        <v>2</v>
      </c>
      <c r="I597">
        <f>SUM(G672*H672)</f>
        <v/>
      </c>
      <c r="J597" t="inlineStr">
        <is>
          <t>✓ 一致（SKU）</t>
        </is>
      </c>
      <c r="K597" t="inlineStr">
        <is>
          <t>4902111781204</t>
        </is>
      </c>
    </row>
    <row r="598" ht="13.5" customHeight="1">
      <c r="A598" s="27" t="inlineStr">
        <is>
          <t>4987176309211</t>
        </is>
      </c>
      <c r="B598" s="27" t="inlineStr">
        <is>
          <t>b0f4kkg4jh</t>
        </is>
      </c>
      <c r="C598" s="27" t="inlineStr">
        <is>
          <t>9211/1542</t>
        </is>
      </c>
      <c r="D598" s="27" t="inlineStr">
        <is>
          <t>b0f4kkg4jh</t>
        </is>
      </c>
      <c r="E598" t="inlineStr">
        <is>
          <t>【2個セット】アリエール 洗濯洗剤 液体 部屋干し スポーツ 漂白剤級消臭 詰め替え 1400g×2 大容量 抗菌 洗浄 生乾き臭 消臭 洗剤 液体洗剤 まとめ買い</t>
        </is>
      </c>
      <c r="F598" t="n">
        <v>3980</v>
      </c>
      <c r="G598" t="n">
        <v>1542</v>
      </c>
      <c r="H598" t="n">
        <v>7</v>
      </c>
      <c r="I598">
        <f>SUM(G673*H673)</f>
        <v/>
      </c>
      <c r="J598" t="inlineStr">
        <is>
          <t>✓ 一致（SKU）</t>
        </is>
      </c>
      <c r="K598" t="inlineStr">
        <is>
          <t>4987176309211</t>
        </is>
      </c>
    </row>
    <row r="599" ht="13.5" customHeight="1">
      <c r="A599" s="27" t="inlineStr">
        <is>
          <t>4987072097878</t>
        </is>
      </c>
      <c r="B599" s="27" t="inlineStr">
        <is>
          <t>b0f53l7j9k</t>
        </is>
      </c>
      <c r="C599" s="27" t="inlineStr">
        <is>
          <t>7878/1755</t>
        </is>
      </c>
      <c r="D599" s="27" t="inlineStr">
        <is>
          <t>b0f53l7j9k</t>
        </is>
      </c>
      <c r="E599" t="inlineStr">
        <is>
          <t>小林製薬 糸ようじ コンパクトヘッド フロス&amp;ピック 60本入×3個セット デンタルフロス 歯間清掃 奥歯対応 ピック付き 歯垢除去 食べかす除去 携帯ケース入り オーラルケア 口内ケア 予防ケア 毎日ケア 歯磨き補助 180本 まとめ買い 口臭対策 虫歯対策 歯周ケア 家庭用</t>
        </is>
      </c>
      <c r="F599" t="n">
        <v>2980</v>
      </c>
      <c r="G599" t="n">
        <v>1755</v>
      </c>
      <c r="H599" t="n">
        <v>16</v>
      </c>
      <c r="I599">
        <f>SUM(G674*H674)</f>
        <v/>
      </c>
      <c r="J599" t="inlineStr">
        <is>
          <t>✓ 一致（SKU）</t>
        </is>
      </c>
      <c r="K599" t="inlineStr">
        <is>
          <t>4987072097878</t>
        </is>
      </c>
    </row>
    <row r="600" ht="13.5" customHeight="1">
      <c r="A600" s="27" t="inlineStr">
        <is>
          <t>4987176278081</t>
        </is>
      </c>
      <c r="B600" s="27" t="inlineStr">
        <is>
          <t>b0f62pwtlz</t>
        </is>
      </c>
      <c r="C600" s="27" t="inlineStr">
        <is>
          <t>8081/2126</t>
        </is>
      </c>
      <c r="D600" s="27" t="inlineStr">
        <is>
          <t>b0f62pwtlz</t>
        </is>
      </c>
      <c r="E600" t="inlineStr">
        <is>
          <t>レノア オードリュクス 柔軟剤 リリー&amp;ジャスミンの香り 詰め替え 1050ml×2個セット 約2.8か月分 部屋干し 雨の日 部屋 かろやか 香る きれい 清潔 衣類 静電気 防臭 抗菌 赤ちゃん ベビー 洗濯</t>
        </is>
      </c>
      <c r="F600" t="n">
        <v>3980</v>
      </c>
      <c r="G600" t="n">
        <v>2126</v>
      </c>
      <c r="H600" t="n">
        <v>1</v>
      </c>
      <c r="I600">
        <f>SUM(G675*H675)</f>
        <v/>
      </c>
      <c r="J600" t="inlineStr">
        <is>
          <t>✓ 一致（SKU）</t>
        </is>
      </c>
      <c r="K600" t="inlineStr">
        <is>
          <t>4987176278081</t>
        </is>
      </c>
    </row>
    <row r="601" ht="13.5" customHeight="1">
      <c r="A601" s="27" t="inlineStr">
        <is>
          <t>4987176277978</t>
        </is>
      </c>
      <c r="B601" s="27" t="inlineStr">
        <is>
          <t>b0f62wsprm</t>
        </is>
      </c>
      <c r="C601" s="27" t="inlineStr">
        <is>
          <t>7978/2126-a</t>
        </is>
      </c>
      <c r="D601" s="27" t="inlineStr">
        <is>
          <t>b0f62wsprm</t>
        </is>
      </c>
      <c r="E601" t="inlineStr">
        <is>
          <t>レノア オードリュクス 柔軟剤 シダーウッド&amp;ベルガモットハーブの香り 詰め替え 1050ml×2個 約2.8か月分 部屋干し 雨の日 部屋 かろやか 香る きれい 清潔 衣類 静電気 防臭 抗菌 赤ちゃん ベビー 洗濯</t>
        </is>
      </c>
      <c r="F601" t="n">
        <v>4780</v>
      </c>
      <c r="G601" t="n">
        <v>2126</v>
      </c>
      <c r="H601" t="n">
        <v>5</v>
      </c>
      <c r="I601">
        <f>SUM(G676*H676)</f>
        <v/>
      </c>
      <c r="J601" t="inlineStr">
        <is>
          <t>✓ 一致（SKU）</t>
        </is>
      </c>
      <c r="K601" t="inlineStr">
        <is>
          <t>4987176277978</t>
        </is>
      </c>
    </row>
    <row r="602" ht="13.5" customHeight="1">
      <c r="A602" s="27" t="inlineStr">
        <is>
          <t>4987176278388</t>
        </is>
      </c>
      <c r="B602" s="27" t="inlineStr">
        <is>
          <t>b0f62x11z1</t>
        </is>
      </c>
      <c r="C602" s="27" t="inlineStr">
        <is>
          <t>8388/1253</t>
        </is>
      </c>
      <c r="D602" s="27" t="inlineStr">
        <is>
          <t>b0f62x11z1</t>
        </is>
      </c>
      <c r="E602" t="inlineStr">
        <is>
          <t>レノア アロマジュエル WHITE MUSK 香り付けビーズ ホワイトムスクの香り 本体 420mL+詰め替え1040mlセット 部屋干し 雨の日 部屋 かろやか 香る きれい 清潔 衣類 静電気 防臭 抗菌 赤ちゃん ベビー 洗濯</t>
        </is>
      </c>
      <c r="F602" t="n">
        <v>3180</v>
      </c>
      <c r="G602" t="n">
        <v>1253</v>
      </c>
      <c r="H602" t="n">
        <v>4</v>
      </c>
      <c r="I602">
        <f>SUM(G677*H677)</f>
        <v/>
      </c>
      <c r="J602" t="inlineStr">
        <is>
          <t>✓ 一致（SKU）</t>
        </is>
      </c>
      <c r="K602" t="inlineStr">
        <is>
          <t>4987176278388</t>
        </is>
      </c>
    </row>
    <row r="603" ht="13.5" customHeight="1">
      <c r="A603" s="27" t="inlineStr">
        <is>
          <t>4987176278012</t>
        </is>
      </c>
      <c r="B603" s="27" t="inlineStr">
        <is>
          <t>b0f62xplbf</t>
        </is>
      </c>
      <c r="C603" s="27" t="inlineStr">
        <is>
          <t>8012/2126</t>
        </is>
      </c>
      <c r="D603" s="27" t="inlineStr">
        <is>
          <t>b0f62xplbf</t>
        </is>
      </c>
      <c r="E603" t="inlineStr">
        <is>
          <t>レノア オードリュクス 柔軟剤 ホワイトムスクの香り 詰め替え 1050ml×2個セット 約2.8か月分 部屋干し 雨の日 部屋 かろやか 香る きれい 清潔 衣類 静電気 防臭 抗菌 赤ちゃん ベビー 洗濯</t>
        </is>
      </c>
      <c r="F603" t="n">
        <v>3980</v>
      </c>
      <c r="G603" t="n">
        <v>2126</v>
      </c>
      <c r="H603" t="n">
        <v>6</v>
      </c>
      <c r="I603">
        <f>SUM(G678*H678)</f>
        <v/>
      </c>
      <c r="J603" t="inlineStr">
        <is>
          <t>✓ 一致（SKU）</t>
        </is>
      </c>
      <c r="K603" t="inlineStr">
        <is>
          <t>4987176278012</t>
        </is>
      </c>
    </row>
    <row r="604" ht="13.5" customHeight="1">
      <c r="A604" s="27" t="inlineStr">
        <is>
          <t>4904810982111</t>
        </is>
      </c>
      <c r="B604" s="27" t="inlineStr">
        <is>
          <t>b0f65744tw</t>
        </is>
      </c>
      <c r="C604" s="27" t="inlineStr">
        <is>
          <t>2111/3500-a</t>
        </is>
      </c>
      <c r="D604" s="27" t="inlineStr">
        <is>
          <t>b0f65744tw</t>
        </is>
      </c>
      <c r="E604" t="inlineStr">
        <is>
          <t>タカラトミー(TAKARA TOMY) リカちゃん ドール おでかけワンピースいっぱいセット 着せ替え おままごと おもちゃ 3歳以上</t>
        </is>
      </c>
      <c r="F604" t="n">
        <v>5980</v>
      </c>
      <c r="G604" t="n">
        <v>3500</v>
      </c>
      <c r="H604" t="n">
        <v>4</v>
      </c>
      <c r="I604">
        <f>SUM(G679*H679)</f>
        <v/>
      </c>
    </row>
    <row r="605" ht="13.5" customHeight="1">
      <c r="A605" s="27" t="inlineStr">
        <is>
          <t>4550432248892</t>
        </is>
      </c>
      <c r="B605" s="27" t="inlineStr">
        <is>
          <t>b0f66p8fyc</t>
        </is>
      </c>
      <c r="C605" s="27" t="inlineStr">
        <is>
          <t>4550432248892</t>
        </is>
      </c>
      <c r="D605" s="27" t="inlineStr">
        <is>
          <t>B0F66P8FYC</t>
        </is>
      </c>
      <c r="E605" t="inlineStr">
        <is>
          <t>カミオジャパン たまごっち シールシート ドロップブロックシール イエロー かわいい 立体 シール ぷっくり ぷくぷく シール交換 収集 正規品 本物 本家</t>
        </is>
      </c>
      <c r="F605" t="n">
        <v>2280</v>
      </c>
      <c r="G605" t="n">
        <v>494</v>
      </c>
      <c r="H605" t="n">
        <v>5</v>
      </c>
      <c r="I605">
        <f>SUM(G680*H680)</f>
        <v/>
      </c>
    </row>
    <row r="606" ht="13.5" customHeight="1">
      <c r="A606" s="27" t="inlineStr">
        <is>
          <t>0194644239664</t>
        </is>
      </c>
      <c r="B606" s="27" t="inlineStr">
        <is>
          <t>b0f6lbdfc7</t>
        </is>
      </c>
      <c r="C606" s="27" t="inlineStr">
        <is>
          <t>9664,9657/5490</t>
        </is>
      </c>
      <c r="D606" s="27" t="inlineStr">
        <is>
          <t>B0F6LBDFC7</t>
        </is>
      </c>
      <c r="E606" t="inlineStr">
        <is>
          <t>Anker Nano Power Bank 5000mAh, MagGo, Slim ホワイト ブラック Qi2認証 ワイヤレス充電 最大出力15W MagSafe対応 マグネット式ワイヤレス充電対応 コンパクト 薄型 8.6mm 小型 iPhone 17 / 16 / 15シリーズ / Air 対応</t>
        </is>
      </c>
      <c r="F606" t="n">
        <v>8980</v>
      </c>
      <c r="G606" t="n">
        <v>5490</v>
      </c>
      <c r="H606" t="n">
        <v>0</v>
      </c>
      <c r="I606">
        <f>SUM(G681*H681)</f>
        <v/>
      </c>
    </row>
    <row r="607" ht="13.5" customHeight="1">
      <c r="A607" s="27" t="inlineStr">
        <is>
          <t>0194644239657</t>
        </is>
      </c>
      <c r="B607" s="27" t="inlineStr">
        <is>
          <t>b0f6lbdfc7</t>
        </is>
      </c>
      <c r="C607" s="27" t="inlineStr">
        <is>
          <t>9664,9657/5490</t>
        </is>
      </c>
      <c r="D607" s="27" t="inlineStr">
        <is>
          <t>B0F6LBT3ZX</t>
        </is>
      </c>
      <c r="E607" t="inlineStr">
        <is>
          <t>Anker Nano Power Bank 5000mAh, MagGo, Slim ホワイト ブラック Qi2認証 ワイヤレス充電 最大出力15W MagSafe対応 マグネット式ワイヤレス充電対応 コンパクト 薄型 8.6mm 小型 iPhone 17 / 16 / 15シリーズ / Air 対応</t>
        </is>
      </c>
      <c r="F607" t="n">
        <v>8980</v>
      </c>
      <c r="G607" t="n">
        <v>5490</v>
      </c>
      <c r="H607" t="n">
        <v>1</v>
      </c>
      <c r="I607">
        <f>SUM(G682*H682)</f>
        <v/>
      </c>
    </row>
    <row r="608" ht="13.5" customHeight="1">
      <c r="A608" s="27" t="inlineStr">
        <is>
          <t>4533141407514</t>
        </is>
      </c>
      <c r="B608" s="27" t="inlineStr">
        <is>
          <t>b0f6xtgtgp</t>
        </is>
      </c>
      <c r="C608" s="27" t="inlineStr">
        <is>
          <t>4533141407514-50</t>
        </is>
      </c>
      <c r="D608" s="27" t="inlineStr">
        <is>
          <t>b0f6xtgtgp</t>
        </is>
      </c>
      <c r="E608" t="inlineStr">
        <is>
          <t>きんだい 冷ひやネックタオル 50本入り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      </is>
      </c>
      <c r="F608" t="n">
        <v>2980</v>
      </c>
      <c r="G608" t="n">
        <v>1300</v>
      </c>
      <c r="H608" t="n">
        <v>1</v>
      </c>
      <c r="I608">
        <f>SUM(G683*H683)</f>
        <v/>
      </c>
      <c r="J608" t="inlineStr">
        <is>
          <t>✓ 一致（SKU）</t>
        </is>
      </c>
      <c r="K608" t="inlineStr">
        <is>
          <t>4533141407514</t>
        </is>
      </c>
    </row>
    <row r="609" ht="13.5" customHeight="1">
      <c r="A609" s="27" t="inlineStr">
        <is>
          <t>4533141407514</t>
        </is>
      </c>
      <c r="B609" s="27" t="inlineStr">
        <is>
          <t>b0f6xtgtgp-2</t>
        </is>
      </c>
      <c r="C609" s="27" t="inlineStr">
        <is>
          <t>4533141407514-200</t>
        </is>
      </c>
      <c r="D609" s="27" t="inlineStr">
        <is>
          <t>B0F6XTGTGP-2</t>
        </is>
      </c>
      <c r="E609" t="inlineStr">
        <is>
          <t>きんだい 冷ひやネックタオル 200本入り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      </is>
      </c>
      <c r="F609" t="n">
        <v>11680</v>
      </c>
      <c r="G609" t="n">
        <v>5200</v>
      </c>
      <c r="H609" t="n">
        <v>5</v>
      </c>
      <c r="I609">
        <f>SUM(G685*H685)</f>
        <v/>
      </c>
      <c r="J609" t="inlineStr">
        <is>
          <t>✓ 一致（SKU）</t>
        </is>
      </c>
      <c r="K609" t="inlineStr">
        <is>
          <t>4533141407514</t>
        </is>
      </c>
    </row>
    <row r="610" ht="13.5" customHeight="1">
      <c r="A610" s="27" t="inlineStr">
        <is>
          <t>4994527916301</t>
        </is>
      </c>
      <c r="B610" s="27" t="inlineStr">
        <is>
          <t>b0f74cphd1</t>
        </is>
      </c>
      <c r="C610" s="27" t="inlineStr">
        <is>
          <t>1630/1511-a</t>
        </is>
      </c>
      <c r="D610" s="27" t="inlineStr">
        <is>
          <t>b0f74cphd1</t>
        </is>
      </c>
      <c r="E610" t="inlineStr">
        <is>
          <t>【2個セット】アース・ペット BOTANICAL ボタニカル虫よけスプレー 120mL×2個 不快害虫用 虫よけスプレー ペット用 犬 猫 なめても安心 天然由来成分配合 レモンユーカリ由来 エタノールフリー 低臭タイプ 逆さ噴射対応 お散歩 カート ベッド ブランケット 防虫ケア</t>
        </is>
      </c>
      <c r="F610" t="n">
        <v>2980</v>
      </c>
      <c r="G610" t="n">
        <v>1511</v>
      </c>
      <c r="H610" t="n">
        <v>5</v>
      </c>
      <c r="I610">
        <f>SUM(G686*H686)</f>
        <v/>
      </c>
      <c r="J610" t="inlineStr">
        <is>
          <t>✓ 一致（SKU）</t>
        </is>
      </c>
      <c r="K610" t="inlineStr">
        <is>
          <t>4994527916301</t>
        </is>
      </c>
    </row>
    <row r="611" ht="13.5" customHeight="1">
      <c r="A611" s="27" t="inlineStr">
        <is>
          <t>4595058419134</t>
        </is>
      </c>
      <c r="B611" s="27" t="inlineStr">
        <is>
          <t>b0f8bcmypc</t>
        </is>
      </c>
      <c r="C611" s="27" t="inlineStr">
        <is>
          <t>9134/1316-a</t>
        </is>
      </c>
      <c r="D611" s="27" t="inlineStr">
        <is>
          <t>b0f8bcmypc</t>
        </is>
      </c>
      <c r="E611" t="inlineStr">
        <is>
          <t>ICY ZAP アイシーザップ クーリングスクエアパック 100枚入り（50セット）×2個セット</t>
        </is>
      </c>
      <c r="F611" t="n">
        <v>2980</v>
      </c>
      <c r="G611" t="n">
        <v>1316</v>
      </c>
      <c r="H611" t="n">
        <v>11</v>
      </c>
      <c r="I611">
        <f>SUM(G687*H687)</f>
        <v/>
      </c>
      <c r="J611" t="inlineStr">
        <is>
          <t>✓ 一致（SKU）</t>
        </is>
      </c>
      <c r="K611" t="inlineStr">
        <is>
          <t>4595058419134</t>
        </is>
      </c>
    </row>
    <row r="612" ht="13.5" customHeight="1">
      <c r="A612" s="27" t="inlineStr">
        <is>
          <t>4595058419103</t>
        </is>
      </c>
      <c r="B612" s="27" t="inlineStr">
        <is>
          <t>b0f937h5mn</t>
        </is>
      </c>
      <c r="C612" s="27" t="inlineStr">
        <is>
          <t>9103/788-a</t>
        </is>
      </c>
      <c r="D612" s="27" t="inlineStr">
        <is>
          <t>b0f937h5mn</t>
        </is>
      </c>
      <c r="E612" t="inlineStr">
        <is>
          <t>ICY ZAP アイシーザップ ネッククーラー サマーシャーベットの香り 9mL ×2個セット ネック クーラー ネッククーラー 首</t>
        </is>
      </c>
      <c r="F612" t="n">
        <v>1980</v>
      </c>
      <c r="G612" t="n">
        <v>788</v>
      </c>
      <c r="H612" t="n">
        <v>5</v>
      </c>
      <c r="I612">
        <f>SUM(G688*H688)</f>
        <v/>
      </c>
      <c r="J612" t="inlineStr">
        <is>
          <t>✓ 一致（SKU）</t>
        </is>
      </c>
      <c r="K612" t="inlineStr">
        <is>
          <t>4595058419103</t>
        </is>
      </c>
    </row>
    <row r="613" ht="13.5" customHeight="1">
      <c r="A613" s="27" t="inlineStr">
        <is>
          <t>4595058419097</t>
        </is>
      </c>
      <c r="B613" s="27" t="inlineStr">
        <is>
          <t>b0f937ntly</t>
        </is>
      </c>
      <c r="C613" s="27" t="inlineStr">
        <is>
          <t>9097/1096-a</t>
        </is>
      </c>
      <c r="D613" s="27" t="inlineStr">
        <is>
          <t>b0f937ntly</t>
        </is>
      </c>
      <c r="E613" t="inlineStr">
        <is>
          <t>ICY ZAP アイシーザップ クーリングスカルプセラム サマーシャーベットの香り 100mL×2個セット 頭皮用美容液</t>
        </is>
      </c>
      <c r="F613" t="n">
        <v>2380</v>
      </c>
      <c r="G613" t="n">
        <v>1096</v>
      </c>
      <c r="H613" t="n">
        <v>25</v>
      </c>
      <c r="I613">
        <f>SUM(G689*H689)</f>
        <v/>
      </c>
      <c r="J613" t="inlineStr">
        <is>
          <t>✓ 一致（SKU）</t>
        </is>
      </c>
      <c r="K613" t="inlineStr">
        <is>
          <t>4595058419097</t>
        </is>
      </c>
    </row>
    <row r="614" ht="13.5" customHeight="1">
      <c r="A614" s="27" t="inlineStr">
        <is>
          <t>4901792050142</t>
        </is>
      </c>
      <c r="B614" s="27" t="inlineStr">
        <is>
          <t>b0f948cn5f</t>
        </is>
      </c>
      <c r="C614" s="27" t="inlineStr">
        <is>
          <t>0142/2004-a</t>
        </is>
      </c>
      <c r="D614" s="27" t="inlineStr">
        <is>
          <t>b0f948cn5f</t>
        </is>
      </c>
      <c r="E614" t="inlineStr">
        <is>
          <t>【2個セット】ショーワグローブ No.891 ニトリスト・ブラック SSサイズ 100枚入×2個 ニトリル手袋 ブラック パウダーフリー 食品衛生法適合 耐油 左右兼用 ラテックスフリー 調理 食品加工 厨房 清掃 介護 工場 整備 DIY 園芸 ガレージ 作業用 使い捨て グローブ</t>
        </is>
      </c>
      <c r="F614" t="n">
        <v>3980</v>
      </c>
      <c r="G614" t="n">
        <v>2004</v>
      </c>
      <c r="H614" t="n">
        <v>7</v>
      </c>
      <c r="I614">
        <f>SUM(G690*H690)</f>
        <v/>
      </c>
      <c r="J614" t="inlineStr">
        <is>
          <t>✓ 一致（SKU）</t>
        </is>
      </c>
      <c r="K614" t="inlineStr">
        <is>
          <t>4901792050142</t>
        </is>
      </c>
    </row>
    <row r="615" ht="13.5" customHeight="1">
      <c r="A615" s="27" t="n"/>
      <c r="B615" s="27" t="inlineStr">
        <is>
          <t>b0f9932wn7</t>
        </is>
      </c>
      <c r="C615" s="27" t="inlineStr">
        <is>
          <t>1040-a</t>
        </is>
      </c>
      <c r="D615" s="27" t="inlineStr">
        <is>
          <t>b0f9932wn7</t>
        </is>
      </c>
      <c r="E615" t="inlineStr">
        <is>
          <t>ゴン太の歯磨き専用ガムSSサイズ L8020乳酸菌入り ４種 アソート 120g×4個セット いちごミルク ブルーベリー 乳酸菌 クロロフィル 国産品</t>
        </is>
      </c>
      <c r="F615" t="n">
        <v>1980</v>
      </c>
      <c r="G615" t="n">
        <v>1040</v>
      </c>
      <c r="H615" t="n">
        <v>5</v>
      </c>
      <c r="I615">
        <f>SUM(G691*H691)</f>
        <v/>
      </c>
    </row>
    <row r="616" ht="13.5" customHeight="1">
      <c r="A616" s="27" t="inlineStr">
        <is>
          <t>4973321945861</t>
        </is>
      </c>
      <c r="B616" s="27" t="inlineStr">
        <is>
          <t>b0f9fd5b54</t>
        </is>
      </c>
      <c r="C616" s="27" t="inlineStr">
        <is>
          <t>5861/235-a</t>
        </is>
      </c>
      <c r="D616" s="27" t="inlineStr">
        <is>
          <t>b0f9fd5b54</t>
        </is>
      </c>
      <c r="E616" t="inlineStr">
        <is>
          <t>サンライズ ゴン太の歯磨き専用おやつ 鶏アキレス 50g 犬用おやつ</t>
        </is>
      </c>
      <c r="F616" t="n">
        <v>746</v>
      </c>
      <c r="G616" t="n">
        <v>235</v>
      </c>
      <c r="H616" t="n">
        <v>3</v>
      </c>
      <c r="I616">
        <f>SUM(G692*H692)</f>
        <v/>
      </c>
    </row>
    <row r="617" ht="13.5" customHeight="1">
      <c r="A617" s="27" t="inlineStr">
        <is>
          <t>4973321945861</t>
        </is>
      </c>
      <c r="B617" s="27" t="inlineStr">
        <is>
          <t>b0f9fd5b54-1</t>
        </is>
      </c>
      <c r="C617" s="27" t="inlineStr">
        <is>
          <t>5861/564-a</t>
        </is>
      </c>
      <c r="D617" s="27" t="inlineStr">
        <is>
          <t>B0F9FD5B54-1</t>
        </is>
      </c>
      <c r="E617" t="inlineStr">
        <is>
          <t>サンライズ ゴン太の歯磨き専用おやつ 鶏アキレス 50g×3個セット 犬 犬用 おやつ 犬用おやつ ドックフード 大容量 人気</t>
        </is>
      </c>
      <c r="F617" t="n">
        <v>1480</v>
      </c>
      <c r="G617" t="n">
        <v>564</v>
      </c>
      <c r="H617" t="n">
        <v>5</v>
      </c>
      <c r="I617">
        <f>SUM(G693*H693)</f>
        <v/>
      </c>
    </row>
    <row r="618" ht="13.5" customHeight="1">
      <c r="A618" s="27" t="inlineStr">
        <is>
          <t>4532066003863.0</t>
        </is>
      </c>
      <c r="B618" s="27" t="inlineStr">
        <is>
          <t>b0fcb839t7</t>
        </is>
      </c>
      <c r="C618" s="27" t="inlineStr">
        <is>
          <t>1170-a</t>
        </is>
      </c>
      <c r="D618" s="27" t="inlineStr">
        <is>
          <t>B0FCB839T7</t>
        </is>
      </c>
      <c r="E618" t="inlineStr">
        <is>
          <t>【セット品】わんわん チョイあげ 国産 14種 アソート 犬用おやつ 食べ比べ 豆乳ビスケット ささみコイン ビーフジャーキー かぼちゃん おいもん かつおくん 牛太郎牛タン入り ミルク入りキューブ ささみん チキンスティック SSSC 山羊ミルク入りスティック 鹿肉ジャーキー</t>
        </is>
      </c>
      <c r="F618" t="n">
        <v>2780</v>
      </c>
      <c r="G618" t="n">
        <v>1170</v>
      </c>
      <c r="H618" t="n">
        <v>2</v>
      </c>
      <c r="I618">
        <f>SUM(G694*H694)</f>
        <v/>
      </c>
    </row>
    <row r="619" ht="13.5" customHeight="1">
      <c r="A619" s="27" t="n"/>
      <c r="B619" s="27" t="inlineStr">
        <is>
          <t>b0fcb8nrrt</t>
        </is>
      </c>
      <c r="C619" s="27" t="inlineStr">
        <is>
          <t>785-a</t>
        </is>
      </c>
      <c r="D619" s="27" t="inlineStr">
        <is>
          <t>b0fcb8nrrt</t>
        </is>
      </c>
      <c r="E619" t="inlineStr">
        <is>
          <t>いなば ちゅ~るボール 5種アソート 犬用おやつ 10g×3袋×5種セット とりささみ 野菜入り 軟骨入り チーズ入り ビーフ入り ドッグフード トッパー トッピング バラエティセット 食べ比べ 小分け 個包装 ご褒美 間食 犬用スナック 愛犬 ペットフード 人気 まとめ買い</t>
        </is>
      </c>
      <c r="F619" t="n">
        <v>1580</v>
      </c>
      <c r="G619" t="n">
        <v>785</v>
      </c>
      <c r="H619" t="n">
        <v>8</v>
      </c>
      <c r="I619">
        <f>SUM(G695*H695)</f>
        <v/>
      </c>
    </row>
    <row r="620" ht="13.5" customHeight="1">
      <c r="A620" s="27" t="n"/>
      <c r="B620" s="27" t="inlineStr">
        <is>
          <t>b0fcbgt5fs</t>
        </is>
      </c>
      <c r="C620" s="27" t="inlineStr">
        <is>
          <t>1161,1192,1178,1185/1152-a</t>
        </is>
      </c>
      <c r="D620" s="27" t="inlineStr">
        <is>
          <t>b0fcbgt5fs</t>
        </is>
      </c>
      <c r="E620" t="inlineStr">
        <is>
          <t>いなば CIAO (チャオ) こだわり焼かつおディナー 4種 バラエティセット 30g×16袋 （各4袋） 猫 猫用 パウチ ウェット キャットフード 国産 人気 焼かつお だし ほたて かつお節 しらす</t>
        </is>
      </c>
      <c r="F620" t="n">
        <v>2180</v>
      </c>
      <c r="G620" t="n">
        <v>1152</v>
      </c>
      <c r="H620" t="n">
        <v>1</v>
      </c>
      <c r="I620">
        <f>SUM(G696*H696)</f>
        <v/>
      </c>
    </row>
    <row r="621" ht="13.5" customHeight="1">
      <c r="A621" s="27" t="inlineStr">
        <is>
          <t>4987176301277</t>
        </is>
      </c>
      <c r="B621" s="27" t="inlineStr">
        <is>
          <t>b0fd7jnd1f</t>
        </is>
      </c>
      <c r="C621" s="27" t="inlineStr">
        <is>
          <t>1277/869-a</t>
        </is>
      </c>
      <c r="D621" s="27" t="inlineStr">
        <is>
          <t>b0fd7jnd1f</t>
        </is>
      </c>
      <c r="E621" t="inlineStr">
        <is>
          <t>P&amp;G レノア 煮沸レベル 消臭抗菌ビーズ MEN 清潔感あふれるムスクの香り つめかえ用 特大 1040ml 洗濯 洗剤</t>
        </is>
      </c>
      <c r="F621" t="n">
        <v>2280</v>
      </c>
      <c r="G621" t="n">
        <v>869</v>
      </c>
      <c r="H621" t="n">
        <v>11</v>
      </c>
      <c r="I621">
        <f>SUM(G697*H697)</f>
        <v/>
      </c>
      <c r="J621" t="inlineStr">
        <is>
          <t>✓ 一致（SKU）</t>
        </is>
      </c>
      <c r="K621" t="inlineStr">
        <is>
          <t>4987176301277</t>
        </is>
      </c>
    </row>
    <row r="622" ht="13.5" customHeight="1">
      <c r="A622" s="27" t="n"/>
      <c r="B622" s="27" t="inlineStr">
        <is>
          <t>b0fd9lygtk</t>
        </is>
      </c>
      <c r="C622" s="27" t="inlineStr">
        <is>
          <t>2526,2540,2533/1182-a</t>
        </is>
      </c>
      <c r="D622" s="27" t="inlineStr">
        <is>
          <t>b0fd9lygtk</t>
        </is>
      </c>
      <c r="E622" t="inlineStr">
        <is>
          <t>いなば まぐろジュレ 乳酸菌入り バラエティ 3種アソート 65g×4個×3箱セット 猫用 ウェットフード キャットフード パウチ まぐろ かつお ささみ 乳酸菌配合 水分補給 おやつ ごはん トッピング 食べ比べ バラエティセット 成猫 シニア猫 猫 猫用 おやつ 猫用おやつ</t>
        </is>
      </c>
      <c r="F622" t="n">
        <v>2980</v>
      </c>
      <c r="G622" t="n">
        <v>1182</v>
      </c>
      <c r="H622" t="n">
        <v>1</v>
      </c>
      <c r="I622">
        <f>SUM(G698*H698)</f>
        <v/>
      </c>
    </row>
    <row r="623" ht="13.5" customHeight="1">
      <c r="A623" s="27" t="n"/>
      <c r="B623" s="27" t="inlineStr">
        <is>
          <t>b0fdgc838r</t>
        </is>
      </c>
      <c r="C623" s="27" t="inlineStr">
        <is>
          <t>1122-a</t>
        </is>
      </c>
      <c r="D623" s="27" t="inlineStr">
        <is>
          <t>b0fdgc838r</t>
        </is>
      </c>
      <c r="E623" t="inlineStr">
        <is>
          <t>【セット品】いなば 魚づくし まぐろ・かつお 6種アソート 60g×3袋×6袋セット 猫用ウェットフード パウチ ソフトゼリー フレークタイプ 魚味バラエティ キャットフード まぐろ かつお 緑茶消臭成分配合 多頭飼い まとめ買い 水分補給 食いつき重視 ストック用 猫ごはん</t>
        </is>
      </c>
      <c r="F623" t="n">
        <v>2280</v>
      </c>
      <c r="G623" t="n">
        <v>1122</v>
      </c>
      <c r="H623" t="n">
        <v>5</v>
      </c>
      <c r="I623">
        <f>SUM(G699*H699)</f>
        <v/>
      </c>
    </row>
    <row r="624" ht="13.5" customHeight="1">
      <c r="A624" s="27" t="n"/>
      <c r="B624" s="27" t="inlineStr">
        <is>
          <t>b0fdgflmzn</t>
        </is>
      </c>
      <c r="C624" s="27" t="inlineStr">
        <is>
          <t>4712/1122-a</t>
        </is>
      </c>
      <c r="D624" s="27" t="inlineStr">
        <is>
          <t>b0fdgflmzn</t>
        </is>
      </c>
      <c r="E624" t="inlineStr">
        <is>
          <t>いなば 魚づくし 高齢猫用 まぐろ・かつお 2種 アソート (60ｇ×3袋) 合計６袋セット 猫 猫用 高齢猫 パウチ おやつ ウェット キャットフード 水分補給 人気 まとめ買い</t>
        </is>
      </c>
      <c r="F624" t="n">
        <v>2180</v>
      </c>
      <c r="G624" t="n">
        <v>1122</v>
      </c>
      <c r="H624" t="n">
        <v>4</v>
      </c>
      <c r="I624">
        <f>SUM(G700*H700)</f>
        <v/>
      </c>
    </row>
    <row r="625" ht="13.5" customHeight="1">
      <c r="A625" s="27" t="n"/>
      <c r="B625" s="27" t="inlineStr">
        <is>
          <t>b0fdq59t55</t>
        </is>
      </c>
      <c r="C625" s="27" t="inlineStr">
        <is>
          <t>8924,8833/1356</t>
        </is>
      </c>
      <c r="D625" s="27" t="inlineStr">
        <is>
          <t>b0fdq59t55</t>
        </is>
      </c>
      <c r="E625" t="inlineStr">
        <is>
          <t>【セット品】メラノCC 薬用しみ対策 美白化粧水しっとり 170mL＋美白乳液120mL セット 薬用美白 ビタミンC誘導体 保湿 しっとり 潤い 毛穴対策 化粧水 乳液 スキンケア フェイスケア 基礎化粧品 乾燥対策 キメ ハリ ツヤ 日本製 ロート製薬</t>
        </is>
      </c>
      <c r="F625" t="n">
        <v>2980</v>
      </c>
      <c r="G625" t="n">
        <v>1356</v>
      </c>
      <c r="H625" t="n">
        <v>52</v>
      </c>
      <c r="I625">
        <f>SUM(G701*H701)</f>
        <v/>
      </c>
    </row>
    <row r="626" ht="13.5" customHeight="1">
      <c r="A626" s="27" t="inlineStr">
        <is>
          <t>4902111783017</t>
        </is>
      </c>
      <c r="B626" s="27" t="inlineStr">
        <is>
          <t>b0ff47j347</t>
        </is>
      </c>
      <c r="C626" s="27" t="inlineStr">
        <is>
          <t>3017/740-a</t>
        </is>
      </c>
      <c r="D626" s="27" t="inlineStr">
        <is>
          <t>b0ff47j347</t>
        </is>
      </c>
      <c r="E626" t="inlineStr">
        <is>
          <t>LUX (ラックス) スーパーリッチクリスタル キンモクセイ シャンプー トリートメント セット 450g＋450g うねり ケア 髪 ヘアケア ヘア</t>
        </is>
      </c>
      <c r="F626" t="n">
        <v>1980</v>
      </c>
      <c r="G626" t="n">
        <v>740</v>
      </c>
      <c r="H626" t="n">
        <v>3</v>
      </c>
      <c r="I626">
        <f>SUM(G702*H702)</f>
        <v/>
      </c>
    </row>
    <row r="627" ht="13.5" customHeight="1">
      <c r="A627" s="27" t="n"/>
      <c r="B627" s="27" t="inlineStr">
        <is>
          <t>b0fh7137w6</t>
        </is>
      </c>
      <c r="C627" s="27" t="inlineStr">
        <is>
          <t>3882-a</t>
        </is>
      </c>
      <c r="D627" s="27" t="inlineStr">
        <is>
          <t>b0fh7137w6</t>
        </is>
      </c>
      <c r="E627" t="inlineStr">
        <is>
          <t>【セット品】懐石 2つのごほうび 6種セット 国産 キャットフード 総合栄養食 650g×6個 小分け アソート バラエティ 猫用 ドライフード 食べ比べ 大容量 まとめ買い 成猫用 毛玉ケア 多頭飼い ご褒美 猫餌 ペットフード 小袋タイプ 保存便利 お得セット 人気 定番</t>
        </is>
      </c>
      <c r="F627" t="n">
        <v>6480</v>
      </c>
      <c r="G627" t="n">
        <v>3882</v>
      </c>
      <c r="H627" t="n">
        <v>5</v>
      </c>
      <c r="I627">
        <f>SUM(G704*H704)</f>
        <v/>
      </c>
    </row>
    <row r="628" ht="13.5" customHeight="1">
      <c r="A628" s="27" t="n"/>
      <c r="B628" s="27" t="inlineStr">
        <is>
          <t>b0fj2hvbtl</t>
        </is>
      </c>
      <c r="C628" s="27" t="inlineStr">
        <is>
          <t>830-a</t>
        </is>
      </c>
      <c r="D628" s="27" t="inlineStr">
        <is>
          <t>b0fj2hvbtl</t>
        </is>
      </c>
      <c r="E628" t="inlineStr">
        <is>
          <t>【セット品】 わんわん チョイめし シリーズ 人気5種 80g X10 犬用 ドックフード おやつ アソート お試し 犬 犬用 おやつ ドックフード 大容量 人気 国産</t>
        </is>
      </c>
      <c r="F628" t="n">
        <v>1480</v>
      </c>
      <c r="G628" t="n">
        <v>830</v>
      </c>
      <c r="H628" t="n">
        <v>8</v>
      </c>
      <c r="I628">
        <f>SUM(G706*H706)</f>
        <v/>
      </c>
    </row>
    <row r="629" ht="13.5" customHeight="1">
      <c r="A629" s="27" t="inlineStr">
        <is>
          <t>4987176304834</t>
        </is>
      </c>
      <c r="B629" s="27" t="inlineStr">
        <is>
          <t>b0fjg6x3h5</t>
        </is>
      </c>
      <c r="C629" s="27" t="inlineStr">
        <is>
          <t>4834/4552</t>
        </is>
      </c>
      <c r="D629" s="27" t="inlineStr">
        <is>
          <t>b0fjg6x3h5</t>
        </is>
      </c>
      <c r="E629" t="inlineStr">
        <is>
          <t>さらさ 洗濯洗剤 液体 ほのかでやさしい柑橘系の香り 詰め替え 1490g×2 液体 詰替 衣料用洗剤 液体洗剤 しっかり洗浄 植物由来成分 赤ちゃん すすぎ1回 ペット ほのかでやさしい柑橘系の香り つめかえ用 P&amp;G 送料無料</t>
        </is>
      </c>
      <c r="F629" t="n">
        <v>3980</v>
      </c>
      <c r="G629" t="n">
        <v>4552</v>
      </c>
      <c r="H629" t="n">
        <v>2</v>
      </c>
      <c r="I629">
        <f>SUM(G707*H707)</f>
        <v/>
      </c>
    </row>
    <row r="630" ht="13.5" customHeight="1">
      <c r="A630" s="27" t="n"/>
      <c r="B630" s="27" t="inlineStr">
        <is>
          <t>b0fl244hk2</t>
        </is>
      </c>
      <c r="C630" s="27" t="inlineStr">
        <is>
          <t>3516,3530,3523/874-a</t>
        </is>
      </c>
      <c r="D630" s="27" t="inlineStr">
        <is>
          <t>b0fl244hk2</t>
        </is>
      </c>
      <c r="E630" t="inlineStr">
        <is>
          <t>【セット品】いなば ちゅ～る トッパー ドライ 3種アソート 180g×3袋セット 犬用おやつ ドッグフード トッピング 乳酸菌配合 食いつきアップ チキン ビーフ チーズ 食べ比べ ごはんふりかけ 小型犬 シニア犬 成犬 犬用フード ペットフード 愛犬用 まとめ買い</t>
        </is>
      </c>
      <c r="F630" t="n">
        <v>1780</v>
      </c>
      <c r="G630" t="n">
        <v>874</v>
      </c>
      <c r="H630" t="n">
        <v>9</v>
      </c>
      <c r="I630">
        <f>SUM(G708*H708)</f>
        <v/>
      </c>
    </row>
    <row r="631" ht="13.5" customHeight="1">
      <c r="A631" s="27" t="inlineStr">
        <is>
          <t>4550391010646</t>
        </is>
      </c>
      <c r="B631" s="27" t="inlineStr">
        <is>
          <t>b0fl25cnbg</t>
        </is>
      </c>
      <c r="C631" s="27" t="inlineStr">
        <is>
          <t>0646,0653/504-a</t>
        </is>
      </c>
      <c r="D631" s="27" t="inlineStr">
        <is>
          <t>B0FL25CNBG</t>
        </is>
      </c>
      <c r="E631" t="inlineStr">
        <is>
          <t>クーリア とうめいシールバインダー ホワイト 01064 ボンボンドロップ対応 シール収納 BIGリング 透明ポケット付き クリアバインダー シールファイル シール帳 ぷっくりシール 立体シール デコレーション コレクション 持ち運び シール交換 推し活 文房具 雑貨 Q-LiA</t>
        </is>
      </c>
      <c r="F631" t="n">
        <v>1280</v>
      </c>
      <c r="G631" t="n">
        <v>504</v>
      </c>
      <c r="H631" t="n">
        <v>1</v>
      </c>
      <c r="I631">
        <f>SUM(G709*H709)</f>
        <v/>
      </c>
    </row>
    <row r="632" ht="13.5" customHeight="1">
      <c r="A632" s="27" t="inlineStr">
        <is>
          <t>4550391010653</t>
        </is>
      </c>
      <c r="B632" s="27" t="inlineStr">
        <is>
          <t>b0fl25cnbg</t>
        </is>
      </c>
      <c r="C632" s="27" t="inlineStr">
        <is>
          <t>0646,0653/504-a</t>
        </is>
      </c>
      <c r="D632" s="27" t="inlineStr">
        <is>
          <t>B0FL297CY2</t>
        </is>
      </c>
      <c r="E632" t="inlineStr">
        <is>
          <t>クーリア とうめいシールバインダー ホワイト 01064 ボンボンドロップ対応 シール収納 BIGリング 透明ポケット付き クリアバインダー シールファイル シール帳 ぷっくりシール 立体シール デコレーション コレクション 持ち運び シール交換 推し活 文房具 雑貨 Q-LiA</t>
        </is>
      </c>
      <c r="F632" t="n">
        <v>1280</v>
      </c>
      <c r="G632" t="n">
        <v>504</v>
      </c>
      <c r="H632" t="n">
        <v>2</v>
      </c>
      <c r="I632">
        <f>SUM(G710*H710)</f>
        <v/>
      </c>
    </row>
    <row r="633" ht="13.5" customHeight="1">
      <c r="A633" s="27" t="n"/>
      <c r="B633" s="27" t="inlineStr">
        <is>
          <t>b0fl297cy2</t>
        </is>
      </c>
      <c r="C633" s="27" t="inlineStr">
        <is>
          <t>0646,0653/1014</t>
        </is>
      </c>
      <c r="D633" s="27" t="inlineStr">
        <is>
          <t>B0FL25CNBG-0646</t>
        </is>
      </c>
      <c r="E633" t="inlineStr">
        <is>
          <t>【福袋】【計3点セット】【正規品】 クーリア とうめいシールバインダー + しずくちゃんシリーズ + クーリアシール ボンボンドロップシール ぷっくり立体 3D キラキラ シール帳 シール交換 女の子 小学生 平成女子 プレゼント 収集 キラキラ</t>
        </is>
      </c>
      <c r="F633" t="n">
        <v>3980</v>
      </c>
      <c r="G633" t="n">
        <v>1014</v>
      </c>
      <c r="H633" t="n">
        <v>4</v>
      </c>
      <c r="I633">
        <f>SUM(G711*H711)</f>
        <v/>
      </c>
    </row>
    <row r="634" ht="13.5" customHeight="1">
      <c r="A634" s="27" t="n"/>
      <c r="B634" s="27" t="inlineStr">
        <is>
          <t>b0fl297cy2</t>
        </is>
      </c>
      <c r="C634" s="27" t="inlineStr">
        <is>
          <t>0646,0653/1014</t>
        </is>
      </c>
      <c r="D634" s="27" t="inlineStr">
        <is>
          <t>B0FL297CY2-0653</t>
        </is>
      </c>
      <c r="E634" t="inlineStr">
        <is>
          <t>【福袋】【計3点セット】【正規品】 クーリア とうめいシールバインダー + しずくちゃんシリーズ + クーリアシール ボンボンドロップシール ぷっくり立体 3D キラキラ シール帳 シール交換 女の子 小学生 平成女子 プレゼント 収集 キラキラ</t>
        </is>
      </c>
      <c r="F634" t="n">
        <v>3980</v>
      </c>
      <c r="G634" t="n">
        <v>1014</v>
      </c>
      <c r="H634" t="n">
        <v>5</v>
      </c>
      <c r="I634">
        <f>SUM(G712*H712)</f>
        <v/>
      </c>
    </row>
    <row r="635" ht="13.5" customHeight="1">
      <c r="A635" s="27" t="n"/>
      <c r="B635" s="27" t="inlineStr">
        <is>
          <t>b0fl6wtk7g</t>
        </is>
      </c>
      <c r="C635" s="27" t="inlineStr">
        <is>
          <t>946-a</t>
        </is>
      </c>
      <c r="D635" s="27" t="inlineStr">
        <is>
          <t>b0fl6wtk7g</t>
        </is>
      </c>
      <c r="E635" t="inlineStr">
        <is>
          <t>【セット品】いなば 鶏づくし とりささみ 5種 180g×5袋 合計5袋セット 猫用ウェットフード 猫用おやつ キャットフード ささみ ゼリータイプ 国産 食べ比べ バラエティアソート まぐろ チキン チーズ 貝柱 かつお節 水分補給 副食 間食 猫ごはん 成猫 シニア猫 まとめ買い</t>
        </is>
      </c>
      <c r="F635" t="n">
        <v>2180</v>
      </c>
      <c r="G635" t="n">
        <v>946</v>
      </c>
      <c r="H635" t="n">
        <v>3</v>
      </c>
      <c r="I635">
        <f>SUM(G713*H713)</f>
        <v/>
      </c>
    </row>
    <row r="636" ht="13.5" customHeight="1">
      <c r="A636" s="27" t="inlineStr">
        <is>
          <t>8720689046718</t>
        </is>
      </c>
      <c r="B636" s="27" t="inlineStr">
        <is>
          <t>b0fmkmwlhh</t>
        </is>
      </c>
      <c r="C636" s="27" t="inlineStr">
        <is>
          <t>6718/13480-a</t>
        </is>
      </c>
      <c r="D636" s="27" t="inlineStr">
        <is>
          <t>b0fmkmwlhh</t>
        </is>
      </c>
      <c r="E636" t="inlineStr">
        <is>
          <t>フィリップス 電動歯ブラシ ソニッケアー プロテクトクリーン 5500 HX7111/02 ブラック プレミアムクリーンブラシヘッド 充電器台・トラベルケース付き 歯磨き ケア 持ち運び 旅行 口臭</t>
        </is>
      </c>
      <c r="F636" t="n">
        <v>19800</v>
      </c>
      <c r="G636" t="n">
        <v>13480</v>
      </c>
      <c r="H636" t="n">
        <v>5</v>
      </c>
      <c r="I636">
        <f>SUM(G714*H714)</f>
        <v/>
      </c>
    </row>
    <row r="637" ht="13.5" customHeight="1">
      <c r="A637" s="27" t="inlineStr">
        <is>
          <t>4987176180292</t>
        </is>
      </c>
      <c r="B637" s="27" t="inlineStr">
        <is>
          <t>b0fq3g4hyb</t>
        </is>
      </c>
      <c r="C637" s="27" t="inlineStr">
        <is>
          <t>0292/7907-a</t>
        </is>
      </c>
      <c r="D637" s="27" t="inlineStr">
        <is>
          <t>b0fq3g4hyb</t>
        </is>
      </c>
      <c r="E637" t="inlineStr">
        <is>
          <t>ブラウン 電気シェーバ 3枚刃 52-A1200S Series5 メンズシェーバー キワゾリトリマー 防水設計 充電式 コードレス ディープキャッチ網刃 BRAUN シリーズ5</t>
        </is>
      </c>
      <c r="F637" t="n">
        <v>14980</v>
      </c>
      <c r="G637" t="n">
        <v>7907</v>
      </c>
      <c r="H637" t="n">
        <v>10</v>
      </c>
      <c r="I637">
        <f>SUM(G719*H719)</f>
        <v/>
      </c>
      <c r="J637" t="inlineStr">
        <is>
          <t>✓ 一致（SKU）</t>
        </is>
      </c>
      <c r="K637" t="inlineStr">
        <is>
          <t>4987176180292</t>
        </is>
      </c>
    </row>
    <row r="638" ht="13.5" customHeight="1">
      <c r="A638" s="27" t="inlineStr">
        <is>
          <t>4901770955247</t>
        </is>
      </c>
      <c r="B638" s="27" t="inlineStr">
        <is>
          <t>b0fr92j75h</t>
        </is>
      </c>
      <c r="C638" s="27" t="inlineStr">
        <is>
          <t>5247/1210</t>
        </is>
      </c>
      <c r="D638" s="27" t="inlineStr">
        <is>
          <t>b0fr92j75h</t>
        </is>
      </c>
      <c r="E638" t="inlineStr">
        <is>
          <t>サンスター文具(Sun-Star Stationery) マイメロディ サンリオキャラクターズ グッズ シールバインダー マイメロディ</t>
        </is>
      </c>
      <c r="F638" t="n">
        <v>2780</v>
      </c>
      <c r="G638" t="n">
        <v>1210</v>
      </c>
      <c r="H638" t="n">
        <v>3</v>
      </c>
      <c r="I638">
        <f>SUM(G720*H720)</f>
        <v/>
      </c>
      <c r="J638" t="inlineStr">
        <is>
          <t>✓ 一致（SKU）</t>
        </is>
      </c>
      <c r="K638" t="inlineStr">
        <is>
          <t>4901770955247</t>
        </is>
      </c>
    </row>
    <row r="639" ht="13.5" customHeight="1">
      <c r="A639" s="27" t="inlineStr">
        <is>
          <t>4550391912131</t>
        </is>
      </c>
      <c r="B639" s="27" t="inlineStr">
        <is>
          <t>b0frs8pb58</t>
        </is>
      </c>
      <c r="C639" s="27" t="inlineStr">
        <is>
          <t>1469,1476,1360,3903,2131/1133</t>
        </is>
      </c>
      <c r="D639" s="27" t="inlineStr">
        <is>
          <t>B0DVSV4W6Q-2131</t>
        </is>
      </c>
      <c r="E639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639" t="n">
        <v>3980</v>
      </c>
      <c r="G639" t="n">
        <v>1133</v>
      </c>
      <c r="H639" t="n">
        <v>2</v>
      </c>
      <c r="I639">
        <f>SUM(G721*H721)</f>
        <v/>
      </c>
      <c r="J639" t="inlineStr">
        <is>
          <t>✓ 一致（SKU）</t>
        </is>
      </c>
      <c r="K639" t="inlineStr">
        <is>
          <t>4550391912131</t>
        </is>
      </c>
    </row>
    <row r="640" ht="13.5" customHeight="1">
      <c r="A640" s="27" t="inlineStr">
        <is>
          <t>4550391912094</t>
        </is>
      </c>
      <c r="B640" s="27" t="inlineStr">
        <is>
          <t>b0frs8pb58</t>
        </is>
      </c>
      <c r="C640" s="27" t="inlineStr">
        <is>
          <t>1469,1476,1360,3903,2131/1133</t>
        </is>
      </c>
      <c r="D640" s="27" t="inlineStr">
        <is>
          <t>B0DVSW1YS7-2094</t>
        </is>
      </c>
      <c r="E640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640" t="n">
        <v>3980</v>
      </c>
      <c r="G640" t="n">
        <v>1133</v>
      </c>
      <c r="H640" t="n">
        <v>2</v>
      </c>
      <c r="I640">
        <f>SUM(G722*H722)</f>
        <v/>
      </c>
      <c r="J640" t="inlineStr">
        <is>
          <t>✓ 一致（SKU）</t>
        </is>
      </c>
      <c r="K640" t="inlineStr">
        <is>
          <t>4550391912094</t>
        </is>
      </c>
    </row>
    <row r="641" ht="13.5" customHeight="1">
      <c r="A641" s="27" t="inlineStr">
        <is>
          <t>4550391011469</t>
        </is>
      </c>
      <c r="B641" s="27" t="inlineStr">
        <is>
          <t>b0frs8pb58</t>
        </is>
      </c>
      <c r="C641" s="27" t="inlineStr">
        <is>
          <t>1469,1476,1360,3903,2131/1133</t>
        </is>
      </c>
      <c r="D641" s="27" t="inlineStr">
        <is>
          <t>B0FRS8PB58-1469</t>
        </is>
      </c>
      <c r="E641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641" t="n">
        <v>3980</v>
      </c>
      <c r="G641" t="n">
        <v>1133</v>
      </c>
      <c r="H641" t="n">
        <v>2</v>
      </c>
      <c r="I641">
        <f>SUM(G723*H723)</f>
        <v/>
      </c>
      <c r="J641" t="inlineStr">
        <is>
          <t>✓ 一致（SKU）</t>
        </is>
      </c>
      <c r="K641" t="inlineStr">
        <is>
          <t>4550391011469</t>
        </is>
      </c>
    </row>
    <row r="642" ht="13.5" customHeight="1">
      <c r="A642" s="27" t="inlineStr">
        <is>
          <t>4550391011360</t>
        </is>
      </c>
      <c r="B642" s="27" t="inlineStr">
        <is>
          <t>b0frs8pb58</t>
        </is>
      </c>
      <c r="C642" s="27" t="inlineStr">
        <is>
          <t>1469,1476,1360,3903,2131/1133</t>
        </is>
      </c>
      <c r="D642" s="27" t="inlineStr">
        <is>
          <t>B0FRS8X8M7-1360</t>
        </is>
      </c>
      <c r="E642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642" t="n">
        <v>3980</v>
      </c>
      <c r="G642" t="n">
        <v>1133</v>
      </c>
      <c r="H642" t="n">
        <v>2</v>
      </c>
      <c r="I642">
        <f>SUM(G724*H724)</f>
        <v/>
      </c>
      <c r="J642" t="inlineStr">
        <is>
          <t>✓ 一致（SKU）</t>
        </is>
      </c>
      <c r="K642" t="inlineStr">
        <is>
          <t>4550391011360</t>
        </is>
      </c>
    </row>
    <row r="643" ht="13.5" customHeight="1">
      <c r="A643" s="27" t="inlineStr">
        <is>
          <t>4550391011476</t>
        </is>
      </c>
      <c r="B643" s="27" t="inlineStr">
        <is>
          <t>b0frs8pb58</t>
        </is>
      </c>
      <c r="C643" s="27" t="inlineStr">
        <is>
          <t>1469,1476,1360,3903,2131/1133</t>
        </is>
      </c>
      <c r="D643" s="27" t="inlineStr">
        <is>
          <t>B0FRS9W3FT-1476</t>
        </is>
      </c>
      <c r="E643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643" t="n">
        <v>3980</v>
      </c>
      <c r="G643" t="n">
        <v>1133</v>
      </c>
      <c r="H643" t="n">
        <v>2</v>
      </c>
      <c r="I643">
        <f>SUM(G725*H725)</f>
        <v/>
      </c>
      <c r="J643" t="inlineStr">
        <is>
          <t>✓ 一致（SKU）</t>
        </is>
      </c>
      <c r="K643" t="inlineStr">
        <is>
          <t>4550391011476</t>
        </is>
      </c>
    </row>
    <row r="644" ht="13.5" customHeight="1">
      <c r="A644" s="27" t="inlineStr">
        <is>
          <t>4550391043903</t>
        </is>
      </c>
      <c r="B644" s="27" t="inlineStr">
        <is>
          <t>b0frs8pb58</t>
        </is>
      </c>
      <c r="C644" s="27" t="inlineStr">
        <is>
          <t>1469,1476,1360,3903,2131/1133</t>
        </is>
      </c>
      <c r="D644" s="27" t="inlineStr">
        <is>
          <t>B0FW4K6VZY-3903</t>
        </is>
      </c>
      <c r="E644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644" t="n">
        <v>3980</v>
      </c>
      <c r="G644" t="n">
        <v>1133</v>
      </c>
      <c r="H644" t="n">
        <v>2</v>
      </c>
      <c r="I644">
        <f>SUM(G726*H726)</f>
        <v/>
      </c>
      <c r="J644" t="inlineStr">
        <is>
          <t>✓ 一致（SKU）</t>
        </is>
      </c>
      <c r="K644" t="inlineStr">
        <is>
          <t>4550391043903</t>
        </is>
      </c>
    </row>
    <row r="645" ht="13.5" customHeight="1">
      <c r="A645" s="27" t="inlineStr">
        <is>
          <t>4550391011155</t>
        </is>
      </c>
      <c r="B645" s="27" t="inlineStr">
        <is>
          <t>b0frs8q4sr</t>
        </is>
      </c>
      <c r="C645" s="27" t="inlineStr">
        <is>
          <t>1131,1148,1155,1162,1179,1186-a</t>
        </is>
      </c>
      <c r="D645" s="27" t="inlineStr">
        <is>
          <t>B0FRS8BY3V</t>
        </is>
      </c>
      <c r="E645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F645" t="n">
        <v>1480</v>
      </c>
      <c r="G645" t="n">
        <v>504</v>
      </c>
      <c r="H645" t="n">
        <v>3</v>
      </c>
      <c r="I645">
        <f>SUM(G727*H727)</f>
        <v/>
      </c>
    </row>
    <row r="646" ht="13.5" customHeight="1">
      <c r="A646" s="27" t="inlineStr">
        <is>
          <t>4550391011131</t>
        </is>
      </c>
      <c r="B646" s="27" t="inlineStr">
        <is>
          <t>b0frs8q4sr</t>
        </is>
      </c>
      <c r="C646" s="27" t="inlineStr">
        <is>
          <t>1131,1148,1155,1162,1179,1186-a</t>
        </is>
      </c>
      <c r="D646" s="27" t="inlineStr">
        <is>
          <t>B0FRS8Q4SR</t>
        </is>
      </c>
      <c r="E646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F646" t="n">
        <v>1480</v>
      </c>
      <c r="G646" t="n">
        <v>504</v>
      </c>
      <c r="H646" t="n">
        <v>3</v>
      </c>
      <c r="I646">
        <f>SUM(G728*H728)</f>
        <v/>
      </c>
    </row>
    <row r="647" ht="13.5" customHeight="1">
      <c r="A647" s="27" t="inlineStr">
        <is>
          <t>4550391011186</t>
        </is>
      </c>
      <c r="B647" s="27" t="inlineStr">
        <is>
          <t>b0frs8q4sr</t>
        </is>
      </c>
      <c r="C647" s="27" t="inlineStr">
        <is>
          <t>1131,1148,1155,1162,1179,1186-a</t>
        </is>
      </c>
      <c r="D647" s="27" t="inlineStr">
        <is>
          <t>B0FRS98197</t>
        </is>
      </c>
      <c r="E647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F647" t="n">
        <v>1480</v>
      </c>
      <c r="G647" t="n">
        <v>504</v>
      </c>
      <c r="H647" t="n">
        <v>3</v>
      </c>
      <c r="I647">
        <f>SUM(G729*H729)</f>
        <v/>
      </c>
    </row>
    <row r="648" ht="13.5" customHeight="1">
      <c r="A648" s="27" t="inlineStr">
        <is>
          <t>4550391011148</t>
        </is>
      </c>
      <c r="B648" s="27" t="inlineStr">
        <is>
          <t>b0frs8q4sr</t>
        </is>
      </c>
      <c r="C648" s="27" t="inlineStr">
        <is>
          <t>1131,1148,1155,1162,1179,1186-a</t>
        </is>
      </c>
      <c r="D648" s="27" t="inlineStr">
        <is>
          <t>B0FRS9RLPL</t>
        </is>
      </c>
      <c r="E648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F648" t="n">
        <v>1480</v>
      </c>
      <c r="G648" t="n">
        <v>504</v>
      </c>
      <c r="H648" t="n">
        <v>3</v>
      </c>
      <c r="I648">
        <f>SUM(G730*H730)</f>
        <v/>
      </c>
    </row>
    <row r="649" ht="13.5" customHeight="1">
      <c r="A649" s="27" t="inlineStr">
        <is>
          <t>4550391011179</t>
        </is>
      </c>
      <c r="B649" s="27" t="inlineStr">
        <is>
          <t>b0frs8q4sr</t>
        </is>
      </c>
      <c r="C649" s="27" t="inlineStr">
        <is>
          <t>1131,1148,1155,1162,1179,1186-a</t>
        </is>
      </c>
      <c r="D649" s="27" t="inlineStr">
        <is>
          <t>B0FRS9YW3T</t>
        </is>
      </c>
      <c r="E649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F649" t="n">
        <v>1480</v>
      </c>
      <c r="G649" t="n">
        <v>504</v>
      </c>
      <c r="H649" t="n">
        <v>3</v>
      </c>
      <c r="I649">
        <f>SUM(G731*H731)</f>
        <v/>
      </c>
    </row>
    <row r="650" ht="13.5" customHeight="1">
      <c r="A650" s="27" t="inlineStr">
        <is>
          <t>4550391011162</t>
        </is>
      </c>
      <c r="B650" s="27" t="inlineStr">
        <is>
          <t>b0frs8q4sr</t>
        </is>
      </c>
      <c r="C650" s="27" t="inlineStr">
        <is>
          <t>1131,1148,1155,1162,1179,1186-a</t>
        </is>
      </c>
      <c r="D650" s="27" t="inlineStr">
        <is>
          <t>B0FRSBPK5W</t>
        </is>
      </c>
      <c r="E650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F650" t="n">
        <v>1480</v>
      </c>
      <c r="G650" t="n">
        <v>504</v>
      </c>
      <c r="H650" t="n">
        <v>3</v>
      </c>
      <c r="I650">
        <f>SUM(G732*H732)</f>
        <v/>
      </c>
    </row>
    <row r="651" ht="13.5" customHeight="1">
      <c r="A651" s="27" t="inlineStr">
        <is>
          <t>4550391912131</t>
        </is>
      </c>
      <c r="B651" s="27" t="inlineStr">
        <is>
          <t>b0frs9w3ft</t>
        </is>
      </c>
      <c r="C651" s="27" t="inlineStr">
        <is>
          <t>1469,1476,1360,3903,2131/1133</t>
        </is>
      </c>
      <c r="D651" s="27" t="inlineStr">
        <is>
          <t>B0DVSV4W6Q-2131</t>
        </is>
      </c>
      <c r="E651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651" t="n">
        <v>3980</v>
      </c>
      <c r="G651" t="n">
        <v>1133</v>
      </c>
      <c r="H651" t="n">
        <v>2</v>
      </c>
      <c r="I651">
        <f>SUM(G733*H733)</f>
        <v/>
      </c>
      <c r="J651" t="inlineStr">
        <is>
          <t>✓ 一致（SKU）</t>
        </is>
      </c>
      <c r="K651" t="inlineStr">
        <is>
          <t>4550391912131</t>
        </is>
      </c>
    </row>
    <row r="652" ht="13.5" customHeight="1">
      <c r="A652" s="27" t="inlineStr">
        <is>
          <t>4550391912094</t>
        </is>
      </c>
      <c r="B652" s="27" t="inlineStr">
        <is>
          <t>b0frs9w3ft</t>
        </is>
      </c>
      <c r="C652" s="27" t="inlineStr">
        <is>
          <t>1469,1476,1360,3903,2131/1133</t>
        </is>
      </c>
      <c r="D652" s="27" t="inlineStr">
        <is>
          <t>B0DVSW1YS7-2094</t>
        </is>
      </c>
      <c r="E652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652" t="n">
        <v>3980</v>
      </c>
      <c r="G652" t="n">
        <v>1133</v>
      </c>
      <c r="H652" t="n">
        <v>2</v>
      </c>
      <c r="I652">
        <f>SUM(G734*H734)</f>
        <v/>
      </c>
      <c r="J652" t="inlineStr">
        <is>
          <t>✓ 一致（SKU）</t>
        </is>
      </c>
      <c r="K652" t="inlineStr">
        <is>
          <t>4550391912094</t>
        </is>
      </c>
    </row>
    <row r="653" ht="13.5" customHeight="1">
      <c r="A653" s="27" t="inlineStr">
        <is>
          <t>4550391011469</t>
        </is>
      </c>
      <c r="B653" s="27" t="inlineStr">
        <is>
          <t>b0frs9w3ft</t>
        </is>
      </c>
      <c r="C653" s="27" t="inlineStr">
        <is>
          <t>1469,1476,1360,3903,2131/1133</t>
        </is>
      </c>
      <c r="D653" s="27" t="inlineStr">
        <is>
          <t>B0FRS8PB58-1469</t>
        </is>
      </c>
      <c r="E653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653" t="n">
        <v>3980</v>
      </c>
      <c r="G653" t="n">
        <v>1133</v>
      </c>
      <c r="H653" t="n">
        <v>2</v>
      </c>
      <c r="I653">
        <f>SUM(G735*H735)</f>
        <v/>
      </c>
      <c r="J653" t="inlineStr">
        <is>
          <t>✓ 一致（SKU）</t>
        </is>
      </c>
      <c r="K653" t="inlineStr">
        <is>
          <t>4550391011469</t>
        </is>
      </c>
    </row>
    <row r="654" ht="13.5" customHeight="1">
      <c r="A654" s="27" t="inlineStr">
        <is>
          <t>4550391011360</t>
        </is>
      </c>
      <c r="B654" s="27" t="inlineStr">
        <is>
          <t>b0frs9w3ft</t>
        </is>
      </c>
      <c r="C654" s="27" t="inlineStr">
        <is>
          <t>1469,1476,1360,3903,2131/1133</t>
        </is>
      </c>
      <c r="D654" s="27" t="inlineStr">
        <is>
          <t>B0FRS8X8M7-1360</t>
        </is>
      </c>
      <c r="E654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654" t="n">
        <v>3980</v>
      </c>
      <c r="G654" t="n">
        <v>1133</v>
      </c>
      <c r="H654" t="n">
        <v>2</v>
      </c>
      <c r="I654">
        <f>SUM(G736*H736)</f>
        <v/>
      </c>
      <c r="J654" t="inlineStr">
        <is>
          <t>✓ 一致（SKU）</t>
        </is>
      </c>
      <c r="K654" t="inlineStr">
        <is>
          <t>4550391011360</t>
        </is>
      </c>
    </row>
    <row r="655" ht="13.5" customHeight="1">
      <c r="A655" s="27" t="inlineStr">
        <is>
          <t>4550391011476</t>
        </is>
      </c>
      <c r="B655" s="27" t="inlineStr">
        <is>
          <t>b0frs9w3ft</t>
        </is>
      </c>
      <c r="C655" s="27" t="inlineStr">
        <is>
          <t>1469,1476,1360,3903,2131/1133</t>
        </is>
      </c>
      <c r="D655" s="27" t="inlineStr">
        <is>
          <t>B0FRS9W3FT-1476</t>
        </is>
      </c>
      <c r="E655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655" t="n">
        <v>3980</v>
      </c>
      <c r="G655" t="n">
        <v>1133</v>
      </c>
      <c r="H655" t="n">
        <v>2</v>
      </c>
      <c r="I655">
        <f>SUM(G737*H737)</f>
        <v/>
      </c>
      <c r="J655" t="inlineStr">
        <is>
          <t>✓ 一致（SKU）</t>
        </is>
      </c>
      <c r="K655" t="inlineStr">
        <is>
          <t>4550391011476</t>
        </is>
      </c>
    </row>
    <row r="656" ht="13.5" customHeight="1">
      <c r="A656" s="27" t="inlineStr">
        <is>
          <t>4550391043903</t>
        </is>
      </c>
      <c r="B656" s="27" t="inlineStr">
        <is>
          <t>b0frs9w3ft</t>
        </is>
      </c>
      <c r="C656" s="27" t="inlineStr">
        <is>
          <t>1469,1476,1360,3903,2131/1133</t>
        </is>
      </c>
      <c r="D656" s="27" t="inlineStr">
        <is>
          <t>B0FW4K6VZY-3903</t>
        </is>
      </c>
      <c r="E656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656" t="n">
        <v>3980</v>
      </c>
      <c r="G656" t="n">
        <v>1133</v>
      </c>
      <c r="H656" t="n">
        <v>2</v>
      </c>
      <c r="I656">
        <f>SUM(G738*H738)</f>
        <v/>
      </c>
      <c r="J656" t="inlineStr">
        <is>
          <t>✓ 一致（SKU）</t>
        </is>
      </c>
      <c r="K656" t="inlineStr">
        <is>
          <t>4550391043903</t>
        </is>
      </c>
    </row>
    <row r="657" ht="13.5" customHeight="1">
      <c r="A657" s="27" t="inlineStr">
        <is>
          <t>4901301436481</t>
        </is>
      </c>
      <c r="B657" s="27" t="inlineStr">
        <is>
          <t>b0ftv1bb4j</t>
        </is>
      </c>
      <c r="C657" s="27" t="inlineStr">
        <is>
          <t>6481/840</t>
        </is>
      </c>
      <c r="D657" s="27" t="inlineStr">
        <is>
          <t>b0ftv1bb4j</t>
        </is>
      </c>
      <c r="E657" t="inlineStr">
        <is>
          <t>めぐりズム 蒸気の温熱シート 肌に直接貼るタイプ オアシスローズの香り 7枚入×2個セット 簡易包装 シート 防寒 防寒対策</t>
        </is>
      </c>
      <c r="F657" t="n">
        <v>1980</v>
      </c>
      <c r="G657" t="n">
        <v>840</v>
      </c>
      <c r="H657" t="n">
        <v>54</v>
      </c>
      <c r="I657">
        <f>SUM(G739*H739)</f>
        <v/>
      </c>
      <c r="J657" t="inlineStr">
        <is>
          <t>✓ 一致（SKU）</t>
        </is>
      </c>
      <c r="K657" t="inlineStr">
        <is>
          <t>4901301436481</t>
        </is>
      </c>
    </row>
    <row r="658" ht="13.5" customHeight="1">
      <c r="A658" s="27" t="inlineStr">
        <is>
          <t>4901301461001</t>
        </is>
      </c>
      <c r="B658" s="27" t="inlineStr">
        <is>
          <t>b0ftv1fvnh</t>
        </is>
      </c>
      <c r="C658" s="27" t="inlineStr">
        <is>
          <t>1001/330</t>
        </is>
      </c>
      <c r="D658" s="27" t="inlineStr">
        <is>
          <t>b0ftv1fvnh</t>
        </is>
      </c>
      <c r="E658" t="inlineStr">
        <is>
          <t>めぐりズム 蒸気めぐる 首もとシート グッドナイト 無香料 12枚入 首 肩 温熱シート リラックス 首こり 温めグッズ 仕事疲れ 寝る前ケア 温感シート 花王 ホットシート 蒸気タイプ 首用シート 快眠サポート 日本製 使い捨て</t>
        </is>
      </c>
      <c r="F658" t="n">
        <v>1680</v>
      </c>
      <c r="G658" t="n">
        <v>330</v>
      </c>
      <c r="H658" t="n">
        <v>1</v>
      </c>
      <c r="I658">
        <f>SUM(G740*H740)</f>
        <v/>
      </c>
      <c r="J658" t="inlineStr">
        <is>
          <t>✓ 一致（SKU）</t>
        </is>
      </c>
      <c r="K658" t="inlineStr">
        <is>
          <t>4901301461001</t>
        </is>
      </c>
    </row>
    <row r="659" ht="13.5" customHeight="1">
      <c r="A659" s="27" t="n"/>
      <c r="B659" s="27" t="inlineStr">
        <is>
          <t>b0fv7ts5y7</t>
        </is>
      </c>
      <c r="C659" s="27" t="inlineStr">
        <is>
          <t>8485/835-a</t>
        </is>
      </c>
      <c r="D659" s="27" t="inlineStr">
        <is>
          <t>b0fv7ts5y7</t>
        </is>
      </c>
      <c r="E659" t="inlineStr">
        <is>
          <t>【セット品】 いなば トッパーまぜて ちゅ～るボール 5種 (まぐろ/かつお/とりささみ/まぐろかつお節味/とりささみ本格だし) 猫 猫用 おやつ キャットフード アソート まとめ買い</t>
        </is>
      </c>
      <c r="F659" t="n">
        <v>1680</v>
      </c>
      <c r="G659" t="n">
        <v>835</v>
      </c>
      <c r="H659" t="n">
        <v>39</v>
      </c>
      <c r="I659">
        <f>SUM(G741*H741)</f>
        <v/>
      </c>
    </row>
    <row r="660" ht="13.5" customHeight="1">
      <c r="A660" s="27" t="n"/>
      <c r="B660" s="27" t="inlineStr">
        <is>
          <t>b0fvf8nvdl</t>
        </is>
      </c>
      <c r="C660" s="27" t="inlineStr">
        <is>
          <t>AST-0003-a</t>
        </is>
      </c>
      <c r="D660" s="27" t="inlineStr">
        <is>
          <t>b0fvf8nvdl</t>
        </is>
      </c>
      <c r="E660" t="inlineStr">
        <is>
          <t>【セット品】トゥルースト バイエスフリー 酸熱TRシャンプー+酸熱トリートメント レフィル 詰め替え400ml 酸熱 シャンプー トリートメント かみ 髪 ヘア ヘアケア ケア</t>
        </is>
      </c>
      <c r="F660" t="n">
        <v>2480</v>
      </c>
      <c r="G660" t="n">
        <v>650</v>
      </c>
      <c r="H660" t="n">
        <v>5</v>
      </c>
      <c r="I660">
        <f>SUM(G743*H743)</f>
        <v/>
      </c>
    </row>
    <row r="661" ht="13.5" customHeight="1">
      <c r="A661" s="27" t="inlineStr">
        <is>
          <t>4987176266897</t>
        </is>
      </c>
      <c r="B661" s="27" t="inlineStr">
        <is>
          <t>b0fwjyg1bs</t>
        </is>
      </c>
      <c r="C661" s="27" t="inlineStr">
        <is>
          <t>6897/39800-a</t>
        </is>
      </c>
      <c r="D661" s="27" t="inlineStr">
        <is>
          <t>b0fwjyg1bs</t>
        </is>
      </c>
      <c r="E661" t="inlineStr">
        <is>
          <t>ブラウン 電気シェーバー シリーズ9 PRO+ 電動 髭剃り 9587cc-V 2023年モデル 6in1アルコール洗浄システム・美顔器ヘッド付き シルバー</t>
        </is>
      </c>
      <c r="F661" t="n">
        <v>59800</v>
      </c>
      <c r="G661" t="n">
        <v>39800</v>
      </c>
      <c r="H661" t="n">
        <v>5</v>
      </c>
      <c r="I661">
        <f>SUM(G744*H744)</f>
        <v/>
      </c>
      <c r="J661" t="inlineStr">
        <is>
          <t>✓ 一致（SKU）</t>
        </is>
      </c>
      <c r="K661" t="inlineStr">
        <is>
          <t>4987176266897</t>
        </is>
      </c>
    </row>
    <row r="662" ht="13.5" customHeight="1">
      <c r="A662" s="27" t="inlineStr">
        <is>
          <t>4971710617214</t>
        </is>
      </c>
      <c r="B662" s="27" t="inlineStr">
        <is>
          <t>b0fyct4ql2</t>
        </is>
      </c>
      <c r="C662" s="27" t="inlineStr">
        <is>
          <t>7214/11071</t>
        </is>
      </c>
      <c r="D662" s="27" t="inlineStr">
        <is>
          <t>b0fyct4ql2</t>
        </is>
      </c>
      <c r="E662" t="inlineStr">
        <is>
          <t>JILL STUART ジル スチュアート リボンファッションショー コレクション 2025 化粧品 コスメ ジルスチュアート</t>
        </is>
      </c>
      <c r="F662" t="n">
        <v>15980</v>
      </c>
      <c r="G662" t="n">
        <v>11071</v>
      </c>
      <c r="H662" t="n">
        <v>1</v>
      </c>
      <c r="I662">
        <f>SUM(G745*H745)</f>
        <v/>
      </c>
    </row>
    <row r="663" ht="13.5" customHeight="1">
      <c r="A663" s="27" t="inlineStr">
        <is>
          <t>4932804366104</t>
        </is>
      </c>
      <c r="B663" s="27" t="inlineStr">
        <is>
          <t>b0g2xtw9p2</t>
        </is>
      </c>
      <c r="C663" s="27" t="inlineStr">
        <is>
          <t>4932804366104-2-a</t>
        </is>
      </c>
      <c r="D663" s="27" t="inlineStr">
        <is>
          <t>b0g2xtw9p2</t>
        </is>
      </c>
      <c r="E663" t="inlineStr">
        <is>
          <t>【2個セット】ナチュラルペットフーズ エクセル セキセイインコ 1.3kg×2袋セット インコ 餌 主食 鳥用フード 小鳥用フード セキセイインコフード 総合栄養食 大容量 まとめ買い 小鳥 鳥 エサ ペットフード バードフード 栄養バランス 健康維持 国産 小鳥用品 鳥用品</t>
        </is>
      </c>
      <c r="F663" t="n">
        <v>2580</v>
      </c>
      <c r="G663" t="n">
        <v>1320</v>
      </c>
      <c r="H663" t="n">
        <v>5</v>
      </c>
      <c r="I663">
        <f>SUM(G746*H746)</f>
        <v/>
      </c>
    </row>
    <row r="664" ht="13.5" customHeight="1">
      <c r="A664" s="27" t="inlineStr">
        <is>
          <t>4901477100445</t>
        </is>
      </c>
      <c r="B664" s="27" t="inlineStr">
        <is>
          <t>b0g5gjxzjg</t>
        </is>
      </c>
      <c r="C664" s="27" t="inlineStr">
        <is>
          <t>4901477100445-2-a</t>
        </is>
      </c>
      <c r="D664" s="27" t="inlineStr">
        <is>
          <t>b0g5gjxzjg</t>
        </is>
      </c>
      <c r="E664" t="inlineStr">
        <is>
          <t>【2個セット】ハイスキン ぷるっとワセリン モイストジェルN フローラル 190g 全身保湿ジェル 顔 体 手 ベタつかない ワセリン由来 保湿 乾燥肌対策 ハンドクリーム ボディケア オールインワン スキンケア 大容量 日本製 まとめ買い 日用品</t>
        </is>
      </c>
      <c r="F664" t="n">
        <v>2580</v>
      </c>
      <c r="G664" t="n">
        <v>1100</v>
      </c>
      <c r="H664" t="n">
        <v>2</v>
      </c>
      <c r="I664">
        <f>SUM(G747*H747)</f>
        <v/>
      </c>
    </row>
    <row r="665" ht="13.5" customHeight="1">
      <c r="A665" s="27" t="inlineStr">
        <is>
          <t>4903111021208</t>
        </is>
      </c>
      <c r="B665" s="27" t="inlineStr">
        <is>
          <t>b0gbtpj63f</t>
        </is>
      </c>
      <c r="C665" s="27" t="inlineStr">
        <is>
          <t>1208,3632/1394-a</t>
        </is>
      </c>
      <c r="D665" s="27" t="inlineStr">
        <is>
          <t>b0gbtpj63f</t>
        </is>
      </c>
      <c r="E665" t="inlineStr">
        <is>
          <t>ユニ・チャーム ウェーブ ハンディワイパー 本体＋取り替えシート12枚×2個セット 掃除 ハンディモップ ホコリ取り 抗菌 ダスター ほこり取り すき間掃除 家具 家電 ブラック お掃除用品 まとめ買い</t>
        </is>
      </c>
      <c r="F665" t="n">
        <v>2480</v>
      </c>
      <c r="G665" t="n">
        <v>1394</v>
      </c>
      <c r="H665" t="n">
        <v>3</v>
      </c>
      <c r="I665">
        <f>SUM(G748*H748)</f>
        <v/>
      </c>
      <c r="J665" t="inlineStr">
        <is>
          <t>✓ 一致（SKU）</t>
        </is>
      </c>
      <c r="K665" t="inlineStr">
        <is>
          <t>4903111021208</t>
        </is>
      </c>
    </row>
    <row r="666" ht="13.5" customHeight="1">
      <c r="A666" s="27" t="inlineStr">
        <is>
          <t>4580543942990</t>
        </is>
      </c>
      <c r="B666" s="27" t="inlineStr">
        <is>
          <t>b0gmpz962k</t>
        </is>
      </c>
      <c r="C666" s="27" t="inlineStr">
        <is>
          <t>2990,2976,2983/3224</t>
        </is>
      </c>
      <c r="D666" s="27" t="inlineStr">
        <is>
          <t>b0gmpz962k</t>
        </is>
      </c>
      <c r="E666" t="inlineStr">
        <is>
          <t>バルサン ちいかわ 虫こないもん 吊り＆置きタイプ 270日 3種セット ちいかわ ハチワレ うさぎ 虫よけ 虫除け 吊り下げ 置き型 防虫グッズ 虫対策 ベランダ 玄関 室内 火不要 電池不要 コンセント不要 長持ち 日本製 キャラクター雑貨 夏対策 かわいい 防虫用品 まとめ買い</t>
        </is>
      </c>
      <c r="F666" t="n">
        <v>5480</v>
      </c>
      <c r="G666" t="n">
        <v>3234</v>
      </c>
      <c r="H666" t="n">
        <v>30</v>
      </c>
      <c r="I666">
        <f>SUM(G750*H750)</f>
        <v/>
      </c>
      <c r="J666" t="inlineStr">
        <is>
          <t>✓ 一致（SKU）</t>
        </is>
      </c>
      <c r="K666" t="inlineStr">
        <is>
          <t>4580543942990</t>
        </is>
      </c>
    </row>
    <row r="667" ht="13.5" customHeight="1">
      <c r="A667" s="27" t="inlineStr">
        <is>
          <t>4974824702067</t>
        </is>
      </c>
      <c r="B667" s="27" t="inlineStr">
        <is>
          <t>b0gmw6x6kr</t>
        </is>
      </c>
      <c r="C667" s="27" t="inlineStr">
        <is>
          <t>2067/2900</t>
        </is>
      </c>
      <c r="D667" s="27" t="inlineStr">
        <is>
          <t>b0gmw6x6kr</t>
        </is>
      </c>
      <c r="E667" t="inlineStr">
        <is>
          <t>大日産業 ニトリル手袋 ブルー Lサイズ 100枚×2箱 パウダーフリー 使い捨て手袋 食品衛生対応 衛生手袋 ゴム手袋 掃除 料理 作業用 左右兼用</t>
        </is>
      </c>
      <c r="F667" t="n">
        <v>4480</v>
      </c>
      <c r="G667" t="n">
        <v>2900</v>
      </c>
      <c r="H667" t="n">
        <v>6</v>
      </c>
      <c r="I667">
        <f>SUM(G751*H751)</f>
        <v/>
      </c>
      <c r="J667" t="inlineStr">
        <is>
          <t>✓ 一致（SKU）</t>
        </is>
      </c>
      <c r="K667" t="inlineStr">
        <is>
          <t>4974824702067</t>
        </is>
      </c>
    </row>
    <row r="668" ht="13.5" customHeight="1">
      <c r="A668" s="27" t="inlineStr">
        <is>
          <t>4550391012244</t>
        </is>
      </c>
      <c r="B668" s="27" t="inlineStr">
        <is>
          <t>b0gsqcp1mx</t>
        </is>
      </c>
      <c r="C668" s="27" t="inlineStr">
        <is>
          <t>2220,2237,2244,2251/1148-a</t>
        </is>
      </c>
      <c r="D668" s="27" t="inlineStr">
        <is>
          <t>B0GSQ2Q1RY</t>
        </is>
      </c>
      <c r="E668" t="inlineStr">
        <is>
      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      </is>
      </c>
      <c r="F668" t="n">
        <v>2580</v>
      </c>
      <c r="G668" t="n">
        <v>1148</v>
      </c>
      <c r="H668" t="n">
        <v>3</v>
      </c>
      <c r="I668">
        <f>SUM(G752*H752)</f>
        <v/>
      </c>
    </row>
    <row r="669" ht="13.5" customHeight="1">
      <c r="A669" s="27" t="inlineStr">
        <is>
          <t>4550391012251</t>
        </is>
      </c>
      <c r="B669" s="27" t="inlineStr">
        <is>
          <t>b0gsqcp1mx</t>
        </is>
      </c>
      <c r="C669" s="27" t="inlineStr">
        <is>
          <t>2220,2237,2244,2251/1148-a</t>
        </is>
      </c>
      <c r="D669" s="27" t="inlineStr">
        <is>
          <t>B0GSQC8JP3</t>
        </is>
      </c>
      <c r="E669" t="inlineStr">
        <is>
      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      </is>
      </c>
      <c r="F669" t="n">
        <v>2580</v>
      </c>
      <c r="G669" t="n">
        <v>1148</v>
      </c>
      <c r="H669" t="n">
        <v>3</v>
      </c>
      <c r="I669">
        <f>SUM(G753*H753)</f>
        <v/>
      </c>
    </row>
    <row r="670" ht="13.5" customHeight="1">
      <c r="A670" s="27" t="inlineStr">
        <is>
          <t>4550391012220</t>
        </is>
      </c>
      <c r="B670" s="27" t="inlineStr">
        <is>
          <t>b0gsqcp1mx</t>
        </is>
      </c>
      <c r="C670" s="27" t="inlineStr">
        <is>
          <t>2220,2237,2244,2251/1148-a</t>
        </is>
      </c>
      <c r="D670" s="27" t="inlineStr">
        <is>
          <t>B0GSQCP1MX</t>
        </is>
      </c>
      <c r="E670" t="inlineStr">
        <is>
      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      </is>
      </c>
      <c r="F670" t="n">
        <v>2580</v>
      </c>
      <c r="G670" t="n">
        <v>1148</v>
      </c>
      <c r="H670" t="n">
        <v>3</v>
      </c>
      <c r="I670">
        <f>SUM(G754*H754)</f>
        <v/>
      </c>
    </row>
    <row r="671" ht="13.5" customHeight="1">
      <c r="A671" s="27" t="inlineStr">
        <is>
          <t>4550391012237</t>
        </is>
      </c>
      <c r="B671" s="27" t="inlineStr">
        <is>
          <t>b0gsqcp1mx</t>
        </is>
      </c>
      <c r="C671" s="27" t="inlineStr">
        <is>
          <t>2220,2237,2244,2251/1148-a</t>
        </is>
      </c>
      <c r="D671" s="27" t="inlineStr">
        <is>
          <t>B0GSQHQRV7</t>
        </is>
      </c>
      <c r="E671" t="inlineStr">
        <is>
          <t>クーリア ボンボンドロップシール シールバインダー セット キャンディツインズ エナガマーチ ナイトミャウ マイリボンクローゼット ボンドロ かわいい 立体 シール ぷっくり ぷくぷく シール交換 収集</t>
        </is>
      </c>
      <c r="F671" t="n">
        <v>2580</v>
      </c>
      <c r="G671" t="n">
        <v>1148</v>
      </c>
      <c r="H671" t="n">
        <v>3</v>
      </c>
      <c r="I671">
        <f>SUM(G755*H755)</f>
        <v/>
      </c>
    </row>
    <row r="672" ht="13.5" customHeight="1">
      <c r="A672" s="27" t="inlineStr">
        <is>
          <t>4550391012244</t>
        </is>
      </c>
      <c r="B672" s="27" t="inlineStr">
        <is>
          <t>b0gsqcp1mx-a</t>
        </is>
      </c>
      <c r="C672" s="27" t="inlineStr">
        <is>
          <t>2000</t>
        </is>
      </c>
      <c r="D672" s="27" t="inlineStr">
        <is>
          <t>B0GSQ2Q1RY</t>
        </is>
      </c>
      <c r="E672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F672" t="n">
        <v>4480</v>
      </c>
      <c r="G672" t="n">
        <v>2000</v>
      </c>
      <c r="H672" t="n">
        <v>5</v>
      </c>
      <c r="I672">
        <f>SUM(G756*H756)</f>
        <v/>
      </c>
    </row>
    <row r="673" ht="13.5" customHeight="1">
      <c r="A673" s="27" t="inlineStr">
        <is>
          <t>4550391012251</t>
        </is>
      </c>
      <c r="B673" s="27" t="inlineStr">
        <is>
          <t>b0gsqcp1mx-a</t>
        </is>
      </c>
      <c r="C673" s="27" t="inlineStr">
        <is>
          <t>2000</t>
        </is>
      </c>
      <c r="D673" s="27" t="inlineStr">
        <is>
          <t>B0GSQC8JP3</t>
        </is>
      </c>
      <c r="E673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F673" t="n">
        <v>4480</v>
      </c>
      <c r="G673" t="n">
        <v>2000</v>
      </c>
      <c r="H673" t="n">
        <v>5</v>
      </c>
      <c r="I673">
        <f>SUM(G757*H757)</f>
        <v/>
      </c>
    </row>
    <row r="674" ht="13.5" customHeight="1">
      <c r="A674" s="27" t="inlineStr">
        <is>
          <t>4550391012220</t>
        </is>
      </c>
      <c r="B674" s="27" t="inlineStr">
        <is>
          <t>b0gsqcp1mx-a</t>
        </is>
      </c>
      <c r="C674" s="27" t="inlineStr">
        <is>
          <t>2000</t>
        </is>
      </c>
      <c r="D674" s="27" t="inlineStr">
        <is>
          <t>B0GSQCP1MX</t>
        </is>
      </c>
      <c r="E674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F674" t="n">
        <v>4480</v>
      </c>
      <c r="G674" t="n">
        <v>2000</v>
      </c>
      <c r="H674" t="n">
        <v>5</v>
      </c>
      <c r="I674">
        <f>SUM(G758*H758)</f>
        <v/>
      </c>
    </row>
    <row r="675" ht="13.5" customHeight="1">
      <c r="A675" s="27" t="inlineStr">
        <is>
          <t>4550391012237</t>
        </is>
      </c>
      <c r="B675" s="27" t="inlineStr">
        <is>
          <t>b0gsqcp1mx-a</t>
        </is>
      </c>
      <c r="C675" s="27" t="inlineStr">
        <is>
          <t>2000</t>
        </is>
      </c>
      <c r="D675" s="27" t="inlineStr">
        <is>
          <t>B0GSQHQRV7</t>
        </is>
      </c>
      <c r="E675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F675" t="n">
        <v>4480</v>
      </c>
      <c r="G675" t="n">
        <v>2000</v>
      </c>
      <c r="H675" t="n">
        <v>5</v>
      </c>
      <c r="I675">
        <f>SUM(G759*H759)</f>
        <v/>
      </c>
    </row>
    <row r="676" ht="13.5" customHeight="1">
      <c r="A676" s="27" t="inlineStr">
        <is>
          <t>4550391012237</t>
        </is>
      </c>
      <c r="B676" s="27" t="inlineStr">
        <is>
          <t>b0gsqhqrv7</t>
        </is>
      </c>
      <c r="C676" s="27" t="inlineStr">
        <is>
          <t>2220,2237,2244,2251/4592-a</t>
        </is>
      </c>
      <c r="D676" s="27" t="inlineStr">
        <is>
          <t>B0GSQHQRV7</t>
        </is>
      </c>
      <c r="E676" t="inlineStr">
        <is>
          <t>【4種セット】 クーリア ボンボンドロップシール シールバインダー 4種 キャンディツインズ エナガマーチ ナイトミャウ マイリボンクローゼット ボンドロ かわいい 立体 シール ぷっくり ぷくぷく シール交換 収集</t>
        </is>
      </c>
      <c r="F676" t="n">
        <v>9480</v>
      </c>
      <c r="G676" t="n">
        <v>1148</v>
      </c>
      <c r="H676" t="n">
        <v>4</v>
      </c>
      <c r="I676">
        <f>SUM(G760*H760)</f>
        <v/>
      </c>
    </row>
    <row r="677" ht="13.5" customHeight="1">
      <c r="A677" s="27" t="inlineStr">
        <is>
          <t>4550391012411</t>
        </is>
      </c>
      <c r="B677" s="27" t="inlineStr">
        <is>
          <t>b0gsqjtck2</t>
        </is>
      </c>
      <c r="C677" s="27" t="inlineStr">
        <is>
          <t>2367/1014</t>
        </is>
      </c>
      <c r="D677" s="27" t="inlineStr">
        <is>
          <t>B0GSQ5TGBD</t>
        </is>
      </c>
      <c r="E677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677" t="n">
        <v>3980</v>
      </c>
      <c r="G677" t="n">
        <v>1014</v>
      </c>
      <c r="H677" t="n">
        <v>3</v>
      </c>
      <c r="I677">
        <f>SUM(G761*H761)</f>
        <v/>
      </c>
      <c r="J677" t="inlineStr">
        <is>
          <t>✓ 一致（SKU）</t>
        </is>
      </c>
      <c r="K677" t="inlineStr">
        <is>
          <t>4550391012411</t>
        </is>
      </c>
    </row>
    <row r="678" ht="13.5" customHeight="1">
      <c r="A678" s="27" t="inlineStr">
        <is>
          <t>4550391012428</t>
        </is>
      </c>
      <c r="B678" s="27" t="inlineStr">
        <is>
          <t>b0gsqjtck2</t>
        </is>
      </c>
      <c r="C678" s="27" t="inlineStr">
        <is>
          <t>2367/1014</t>
        </is>
      </c>
      <c r="D678" s="27" t="inlineStr">
        <is>
          <t>B0GSQ67Z26</t>
        </is>
      </c>
      <c r="E678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678" t="n">
        <v>3980</v>
      </c>
      <c r="G678" t="n">
        <v>1014</v>
      </c>
      <c r="H678" t="n">
        <v>3</v>
      </c>
      <c r="I678">
        <f>SUM(G762*H762)</f>
        <v/>
      </c>
      <c r="J678" t="inlineStr">
        <is>
          <t>✓ 一致（SKU）</t>
        </is>
      </c>
      <c r="K678" t="inlineStr">
        <is>
          <t>4550391012428</t>
        </is>
      </c>
    </row>
    <row r="679" ht="13.5" customHeight="1">
      <c r="A679" s="27" t="inlineStr">
        <is>
          <t>4550391012381</t>
        </is>
      </c>
      <c r="B679" s="27" t="inlineStr">
        <is>
          <t>b0gsqjtck2</t>
        </is>
      </c>
      <c r="C679" s="27" t="inlineStr">
        <is>
          <t>2367/1014</t>
        </is>
      </c>
      <c r="D679" s="27" t="inlineStr">
        <is>
          <t>B0GSQ99VRS</t>
        </is>
      </c>
      <c r="E679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679" t="n">
        <v>3980</v>
      </c>
      <c r="G679" t="n">
        <v>1014</v>
      </c>
      <c r="H679" t="n">
        <v>3</v>
      </c>
      <c r="I679">
        <f>SUM(G763*H763)</f>
        <v/>
      </c>
      <c r="J679" t="inlineStr">
        <is>
          <t>✓ 一致（SKU）</t>
        </is>
      </c>
      <c r="K679" t="inlineStr">
        <is>
          <t>4550391012381</t>
        </is>
      </c>
    </row>
    <row r="680" ht="13.5" customHeight="1">
      <c r="A680" s="27" t="inlineStr">
        <is>
          <t>4550391012435</t>
        </is>
      </c>
      <c r="B680" s="27" t="inlineStr">
        <is>
          <t>b0gsqjtck2</t>
        </is>
      </c>
      <c r="C680" s="27" t="inlineStr">
        <is>
          <t>2367/1014</t>
        </is>
      </c>
      <c r="D680" s="27" t="inlineStr">
        <is>
          <t>B0GSQCBT5P</t>
        </is>
      </c>
      <c r="E680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680" t="n">
        <v>3980</v>
      </c>
      <c r="G680" t="n">
        <v>1014</v>
      </c>
      <c r="H680" t="n">
        <v>3</v>
      </c>
      <c r="I680">
        <f>SUM(G764*H764)</f>
        <v/>
      </c>
      <c r="J680" t="inlineStr">
        <is>
          <t>✓ 一致（SKU）</t>
        </is>
      </c>
      <c r="K680" t="inlineStr">
        <is>
          <t>4550391012435</t>
        </is>
      </c>
    </row>
    <row r="681" ht="13.5" customHeight="1">
      <c r="A681" s="27" t="n"/>
      <c r="B681" s="27" t="inlineStr">
        <is>
          <t>b0gsqjtck2</t>
        </is>
      </c>
      <c r="C681" s="27" t="inlineStr">
        <is>
          <t>2367/1014</t>
        </is>
      </c>
      <c r="D681" s="27" t="inlineStr">
        <is>
          <t>B0GSQCP1MR</t>
        </is>
      </c>
      <c r="E681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681" t="n">
        <v>3980</v>
      </c>
      <c r="G681" t="n">
        <v>1014</v>
      </c>
      <c r="H681" t="n">
        <v>3</v>
      </c>
      <c r="I681">
        <f>SUM(G765*H765)</f>
        <v/>
      </c>
    </row>
    <row r="682" ht="13.5" customHeight="1">
      <c r="A682" s="27" t="inlineStr">
        <is>
          <t>4550391012404</t>
        </is>
      </c>
      <c r="B682" s="27" t="inlineStr">
        <is>
          <t>b0gsqjtck2</t>
        </is>
      </c>
      <c r="C682" s="27" t="inlineStr">
        <is>
          <t>2367/1014</t>
        </is>
      </c>
      <c r="D682" s="27" t="inlineStr">
        <is>
          <t>B0GSQCQXXY</t>
        </is>
      </c>
      <c r="E682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682" t="n">
        <v>3980</v>
      </c>
      <c r="G682" t="n">
        <v>1014</v>
      </c>
      <c r="H682" t="n">
        <v>3</v>
      </c>
      <c r="I682">
        <f>SUM(G766*H766)</f>
        <v/>
      </c>
      <c r="J682" t="inlineStr">
        <is>
          <t>✓ 一致（SKU）</t>
        </is>
      </c>
      <c r="K682" t="inlineStr">
        <is>
          <t>4550391012404</t>
        </is>
      </c>
    </row>
    <row r="683" ht="13.5" customHeight="1">
      <c r="A683" s="27" t="inlineStr">
        <is>
          <t>4550391012398</t>
        </is>
      </c>
      <c r="B683" s="27" t="inlineStr">
        <is>
          <t>b0gsqjtck2</t>
        </is>
      </c>
      <c r="C683" s="27" t="inlineStr">
        <is>
          <t>2367/1014</t>
        </is>
      </c>
      <c r="D683" s="27" t="inlineStr">
        <is>
          <t>B0GSQDN987</t>
        </is>
      </c>
      <c r="E68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683" t="n">
        <v>3980</v>
      </c>
      <c r="G683" t="n">
        <v>1014</v>
      </c>
      <c r="H683" t="n">
        <v>3</v>
      </c>
      <c r="I683">
        <f>SUM(G767*H767)</f>
        <v/>
      </c>
      <c r="J683" t="inlineStr">
        <is>
          <t>✓ 一致（SKU）</t>
        </is>
      </c>
      <c r="K683" t="inlineStr">
        <is>
          <t>4550391012398</t>
        </is>
      </c>
    </row>
    <row r="684" ht="13.5" customHeight="1">
      <c r="A684" s="27" t="inlineStr">
        <is>
          <t>4550391012367</t>
        </is>
      </c>
      <c r="B684" s="27" t="inlineStr">
        <is>
          <t>b0gsqjtck2</t>
        </is>
      </c>
      <c r="C684" s="27" t="inlineStr">
        <is>
          <t>2367/1014</t>
        </is>
      </c>
      <c r="D684" s="27" t="inlineStr">
        <is>
          <t>B0GSQJTCK2</t>
        </is>
      </c>
      <c r="E684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684" t="n">
        <v>3980</v>
      </c>
      <c r="G684" t="n">
        <v>1014</v>
      </c>
      <c r="H684" t="n">
        <v>2</v>
      </c>
      <c r="I684">
        <f>SUM(G768*H768)</f>
        <v/>
      </c>
      <c r="J684" t="inlineStr">
        <is>
          <t>✓ 一致（SKU）</t>
        </is>
      </c>
      <c r="K684" t="inlineStr">
        <is>
          <t>4550391012367</t>
        </is>
      </c>
    </row>
    <row r="685" ht="13.5" customHeight="1">
      <c r="A685" s="27" t="n"/>
      <c r="B685" s="27" t="inlineStr">
        <is>
          <t>b0gycl5f3r</t>
        </is>
      </c>
      <c r="C685" s="27" t="inlineStr">
        <is>
          <t>9656,8703/1584-a</t>
        </is>
      </c>
      <c r="D685" s="27" t="inlineStr">
        <is>
          <t>b0gycl5f3r</t>
        </is>
      </c>
      <c r="E685" t="inlineStr">
        <is>
          <t>【セット品】いなば チャオ 焼かつおディナー 高齢猫用 2種アソートセット 50g×16袋 国産 猫 猫用 キャットフード パウチ ウェットフード シニア猫 老猫 ほたて貝柱入り かつお節・ほたて貝柱入り 水分補給 食べ切り 個包装 キャットフード まとめ買い バラエティ 多頭飼い</t>
        </is>
      </c>
      <c r="F685" t="n">
        <v>2580</v>
      </c>
      <c r="G685" t="n">
        <v>1584</v>
      </c>
      <c r="H685" t="n">
        <v>2</v>
      </c>
      <c r="I685">
        <f>SUM(G769*H769)</f>
        <v/>
      </c>
    </row>
    <row r="686" ht="13.5" customHeight="1">
      <c r="A686" s="27" t="inlineStr">
        <is>
          <t>4982502082318</t>
        </is>
      </c>
      <c r="B686" s="27" t="inlineStr">
        <is>
          <t>b0gzfws395</t>
        </is>
      </c>
      <c r="C686" s="27" t="inlineStr">
        <is>
          <t>2318,2301,2332,2325/2860</t>
        </is>
      </c>
      <c r="D686" s="27" t="inlineStr">
        <is>
          <t>b0gzfws395</t>
        </is>
      </c>
      <c r="E686" t="inlineStr">
        <is>
          <t>【全4種セット】【正規品】 サンリオ サンリオキャラクターズ ストーンシール ミニ クロミ シナモロール MXマシュグミ ハローキティ ボンボンドロップシール ボンドロ かわいい 立体 シール ぷっくり ぷくぷく シール交換 収集 キラキラ コレクション 女の子 プレゼント</t>
        </is>
      </c>
      <c r="F686" t="n">
        <v>3980</v>
      </c>
      <c r="G686" t="n">
        <v>2852</v>
      </c>
      <c r="H686" t="n">
        <v>17</v>
      </c>
      <c r="I686">
        <f>SUM(G770*H770)</f>
        <v/>
      </c>
    </row>
    <row r="687" ht="13.5" customHeight="1">
      <c r="A687" s="27" t="n"/>
      <c r="B687" s="27" t="inlineStr">
        <is>
          <t>b0h143yckk</t>
        </is>
      </c>
      <c r="C687" s="27" t="inlineStr">
        <is>
          <t>7835,7859,7866,7811,7828/2640</t>
        </is>
      </c>
      <c r="D687" s="27" t="inlineStr">
        <is>
          <t>b0h143yckk</t>
        </is>
      </c>
      <c r="E687" t="inlineStr">
        <is>
          <t>【セット品】コロふわシールフレーク 5種セット マイメロディ クロミ パワーパフガールズ トムとジェリー ハローキティ 日焼け ギャル フロッキー加工 立体シール クラックス シールフレーク デコレーション 手帳デコ ノートデコ キャラクター雑貨 立体 シール かわいい</t>
        </is>
      </c>
      <c r="F687" t="n">
        <v>4980</v>
      </c>
      <c r="G687" t="n">
        <v>2640</v>
      </c>
      <c r="H687" t="n">
        <v>4</v>
      </c>
      <c r="I687">
        <f>SUM(G771*H771)</f>
        <v/>
      </c>
    </row>
    <row r="688" ht="13.5" customHeight="1">
      <c r="A688" s="27" t="inlineStr">
        <is>
          <t>4550433077941</t>
        </is>
      </c>
      <c r="B688" s="27" t="inlineStr">
        <is>
          <t>b0h1x7lkwn</t>
        </is>
      </c>
      <c r="C688" s="27" t="inlineStr">
        <is>
          <t>7934,7941/1144</t>
        </is>
      </c>
      <c r="D688" s="27" t="inlineStr">
        <is>
          <t>b0h1x7lkwn</t>
        </is>
      </c>
      <c r="E688" t="inlineStr">
        <is>
          <t>【セット品】ムーミン プチドロップステッカー 2種セット 雲と月と星 リトルミイときょうだい カミオジャパン MOOMIN シール ステッカー デコシール 手帳デコ ノートデコ キャラクター雑貨 北欧雑貨 コレクション プレゼント アソートセット 立体 かわいい プチドロップ</t>
        </is>
      </c>
      <c r="F688" t="n">
        <v>2980</v>
      </c>
      <c r="G688" t="n">
        <v>1144</v>
      </c>
      <c r="H688" t="n">
        <v>9</v>
      </c>
      <c r="I688">
        <f>SUM(G772*H772)</f>
        <v/>
      </c>
      <c r="J688" t="inlineStr">
        <is>
          <t>✓ 一致（SKU）</t>
        </is>
      </c>
      <c r="K688" t="inlineStr">
        <is>
          <t>4550433077941</t>
        </is>
      </c>
    </row>
    <row r="689" ht="13.5" customHeight="1">
      <c r="A689" s="27" t="inlineStr">
        <is>
          <t>4987176195234</t>
        </is>
      </c>
      <c r="B689" s="27" t="inlineStr">
        <is>
          <t>br-0001</t>
        </is>
      </c>
      <c r="C689" s="27" t="inlineStr">
        <is>
          <t>BR-0001-a</t>
        </is>
      </c>
      <c r="D689" s="27" t="inlineStr">
        <is>
          <t>B0CB648B93</t>
        </is>
      </c>
      <c r="E689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F689" t="n">
        <v>1780</v>
      </c>
      <c r="G689" t="n">
        <v>629</v>
      </c>
      <c r="H689" t="n">
        <v>5</v>
      </c>
      <c r="I689">
        <f>SUM(G773*H773)</f>
        <v/>
      </c>
    </row>
    <row r="690" ht="13.5" customHeight="1">
      <c r="A690" s="27" t="inlineStr">
        <is>
          <t>4987176195272</t>
        </is>
      </c>
      <c r="B690" s="27" t="inlineStr">
        <is>
          <t>br-0001</t>
        </is>
      </c>
      <c r="C690" s="27" t="inlineStr">
        <is>
          <t>BR-0001-a</t>
        </is>
      </c>
      <c r="D690" s="27" t="inlineStr">
        <is>
          <t>B0CB65C7W3</t>
        </is>
      </c>
      <c r="E690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F690" t="n">
        <v>1780</v>
      </c>
      <c r="G690" t="n">
        <v>525</v>
      </c>
      <c r="H690" t="n">
        <v>6</v>
      </c>
      <c r="I690">
        <f>SUM(G774*H774)</f>
        <v/>
      </c>
    </row>
    <row r="691" ht="13.5" customHeight="1">
      <c r="A691" s="27" t="inlineStr">
        <is>
          <t>4987176195265</t>
        </is>
      </c>
      <c r="B691" s="27" t="inlineStr">
        <is>
          <t>br-0001</t>
        </is>
      </c>
      <c r="C691" s="27" t="inlineStr">
        <is>
          <t>BR-0001-a</t>
        </is>
      </c>
      <c r="D691" s="27" t="inlineStr">
        <is>
          <t>B0CB65N8RC</t>
        </is>
      </c>
      <c r="E691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F691" t="n">
        <v>1780</v>
      </c>
      <c r="G691" t="n">
        <v>629</v>
      </c>
      <c r="H691" t="n">
        <v>2</v>
      </c>
      <c r="I691">
        <f>SUM(G775*H775)</f>
        <v/>
      </c>
    </row>
    <row r="692" ht="13.5" customHeight="1">
      <c r="A692" s="27" t="inlineStr">
        <is>
          <t>4987176195258</t>
        </is>
      </c>
      <c r="B692" s="27" t="inlineStr">
        <is>
          <t>br-0001</t>
        </is>
      </c>
      <c r="C692" s="27" t="inlineStr">
        <is>
          <t>BR-0001-a</t>
        </is>
      </c>
      <c r="D692" s="27" t="inlineStr">
        <is>
          <t>B0CB65SGYG</t>
        </is>
      </c>
      <c r="E692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F692" t="n">
        <v>1780</v>
      </c>
      <c r="G692" t="n">
        <v>629</v>
      </c>
      <c r="H692" t="n">
        <v>5</v>
      </c>
      <c r="I692">
        <f>SUM(G776*H776)</f>
        <v/>
      </c>
    </row>
    <row r="693" ht="13.5" customHeight="1">
      <c r="A693" s="27" t="inlineStr">
        <is>
          <t>4987176195289</t>
        </is>
      </c>
      <c r="B693" s="27" t="inlineStr">
        <is>
          <t>br-0001</t>
        </is>
      </c>
      <c r="C693" s="27" t="inlineStr">
        <is>
          <t>BR-0001-a</t>
        </is>
      </c>
      <c r="D693" s="27" t="inlineStr">
        <is>
          <t>B0CB68MNFL</t>
        </is>
      </c>
      <c r="E693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F693" t="n">
        <v>1780</v>
      </c>
      <c r="G693" t="n">
        <v>629</v>
      </c>
      <c r="H693" t="n">
        <v>4</v>
      </c>
      <c r="I693">
        <f>SUM(G777*H777)</f>
        <v/>
      </c>
    </row>
    <row r="694" ht="13.5" customHeight="1">
      <c r="A694" s="27" t="inlineStr">
        <is>
          <t>4987176232366</t>
        </is>
      </c>
      <c r="B694" s="27" t="inlineStr">
        <is>
          <t>br-0001</t>
        </is>
      </c>
      <c r="C694" s="27" t="inlineStr">
        <is>
          <t>BR-0001-a</t>
        </is>
      </c>
      <c r="D694" s="27" t="inlineStr">
        <is>
          <t>B0CSMGSZ94</t>
        </is>
      </c>
      <c r="E694" t="inlineStr">
        <is>
          <t>ファブリーズ トイレ用 消臭芳香剤 消臭＋抗菌 置き型 6.3mL×2個 全6種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F694" t="n">
        <v>1780</v>
      </c>
      <c r="G694" t="n">
        <v>525</v>
      </c>
      <c r="H694" t="n">
        <v>4</v>
      </c>
      <c r="I694">
        <f>SUM(G778*H778)</f>
        <v/>
      </c>
    </row>
    <row r="695" ht="13.5" customHeight="1">
      <c r="A695" s="27" t="inlineStr">
        <is>
          <t>4582191688985</t>
        </is>
      </c>
      <c r="B695" s="27" t="inlineStr">
        <is>
          <t>compass1699347902</t>
        </is>
      </c>
      <c r="C695" s="27" t="inlineStr">
        <is>
          <t>B00I94RYMG</t>
        </is>
      </c>
      <c r="D695" s="27" t="inlineStr">
        <is>
          <t>normal-inventory</t>
        </is>
      </c>
      <c r="E695" t="inlineStr">
        <is>
          <t>ペットライブラリー イヌネコネル 取っ手の付いたうんちパック (30枚) 犬用 猫用 エチケット袋 お散歩 イヌ ネコ</t>
        </is>
      </c>
      <c r="F695" t="n">
        <v>980</v>
      </c>
      <c r="G695" t="n">
        <v>0</v>
      </c>
      <c r="H695" t="n">
        <v>2</v>
      </c>
      <c r="I695">
        <f>SUM(G779*H779)</f>
        <v/>
      </c>
    </row>
    <row r="696" ht="13.5" customHeight="1">
      <c r="A696" s="27" t="n"/>
      <c r="B696" s="27" t="inlineStr">
        <is>
          <t>set-0001</t>
        </is>
      </c>
      <c r="C696" s="27" t="inlineStr">
        <is>
          <t>4723,5027/533</t>
        </is>
      </c>
      <c r="D696" s="27" t="inlineStr">
        <is>
          <t>SET-0001</t>
        </is>
      </c>
      <c r="E696" t="inlineStr">
        <is>
          <t>【セット品】ファブリーズ おそうじエイド ハウスダストをまとめて固めるスプレー 洗いたてのリネンの香り 本体 370mL 詰め替え 320mL 花粉対策 ダニ対策 ペットの毛 ホコリ対策 布団 カーペット ソファ カーテン クッション 掃除用品 布製品用 P&amp;G 日用 まとめ買い ストック</t>
        </is>
      </c>
      <c r="F696" t="n">
        <v>1980</v>
      </c>
      <c r="G696" t="n">
        <v>533</v>
      </c>
      <c r="H696" t="n">
        <v>3</v>
      </c>
      <c r="I696">
        <f>SUM(G780*H780)</f>
        <v/>
      </c>
    </row>
    <row r="697" ht="13.5" customHeight="1">
      <c r="A697" s="27" t="n"/>
      <c r="B697" s="27" t="inlineStr">
        <is>
          <t>set-0002</t>
        </is>
      </c>
      <c r="C697" s="27" t="inlineStr">
        <is>
          <t>set-0002-a</t>
        </is>
      </c>
      <c r="D697" s="27" t="inlineStr">
        <is>
          <t>SET-0002</t>
        </is>
      </c>
      <c r="E697" t="inlineStr">
        <is>
          <t>【セット品】ニベア クレンジングオイル ビューティースキン 本体195mL＋つめかえ用170mLセット メイク落とし クレンジングオイル 毛穴汚れ 角栓ケア ウォータープルーフ対応 濡れた手OK 美容オイル配合 保湿 スキンケア 花王 NIVEA</t>
        </is>
      </c>
      <c r="F697" t="n">
        <v>2980</v>
      </c>
      <c r="G697" t="n">
        <v>1682</v>
      </c>
      <c r="H697" t="n">
        <v>5</v>
      </c>
      <c r="I697">
        <f>SUM(G781*H781)</f>
        <v/>
      </c>
    </row>
    <row r="698" ht="13.5" customHeight="1">
      <c r="H698" t="inlineStr">
        <is>
          <t>合計金額の合計</t>
        </is>
      </c>
      <c r="I698">
        <f>SUM(G782*H782)</f>
        <v/>
      </c>
    </row>
    <row r="699" ht="13.5" customHeight="1">
      <c r="A699" s="27" t="n"/>
      <c r="B699" s="27" t="inlineStr">
        <is>
          <t>0192333006122</t>
        </is>
      </c>
      <c r="C699" s="27" t="inlineStr">
        <is>
          <t>6122/12400</t>
        </is>
      </c>
      <c r="D699" s="27" t="inlineStr">
        <is>
          <t>0192333006122</t>
        </is>
      </c>
      <c r="E699" t="inlineStr">
        <is>
          <t>クリニーク CLINIQUE アドベントカレンダー24 デイズ オブ クリニーク コスメ 化粧品</t>
        </is>
      </c>
      <c r="G699" t="n">
        <v>0</v>
      </c>
      <c r="H699" t="n">
        <v>1</v>
      </c>
      <c r="I699">
        <f>SUM(G783*H783)</f>
        <v/>
      </c>
    </row>
    <row r="700" ht="13.5" customHeight="1">
      <c r="A700" s="27" t="inlineStr">
        <is>
          <t>4562149054178</t>
        </is>
      </c>
      <c r="B700" s="27" t="inlineStr">
        <is>
          <t>4562149054178-2</t>
        </is>
      </c>
      <c r="C700" s="27" t="inlineStr">
        <is>
          <t>4562149054178-2</t>
        </is>
      </c>
      <c r="D700" s="27" t="inlineStr">
        <is>
          <t>4562149054178-2</t>
        </is>
      </c>
      <c r="E700" t="inlineStr">
        <is>
          <t>チューデント 超長持ち歯みがきガム ご褒美チキン風味 M～Lサイズ 5本入×2袋セット 犬用 歯磨きガム デンタルガム 国産 牛皮 ハーツ 犬 おやつ デンタルケア 歯垢除去 歯石対策 噛むおやつ 成犬 中型犬 大型犬 無添加 保存料不使用 着色料不使用 香料不使用 まとめ買い</t>
        </is>
      </c>
      <c r="G700" t="n">
        <v>1118</v>
      </c>
      <c r="H700" t="n">
        <v>3</v>
      </c>
      <c r="I700">
        <f>SUM(G784*H784)</f>
        <v/>
      </c>
    </row>
    <row r="701" ht="13.5" customHeight="1">
      <c r="A701" s="27" t="inlineStr">
        <is>
          <t>4902201213219</t>
        </is>
      </c>
      <c r="B701" s="27" t="inlineStr">
        <is>
          <t>4902201213219-12</t>
        </is>
      </c>
      <c r="C701" s="27" t="inlineStr">
        <is>
          <t>4902201213219-12</t>
        </is>
      </c>
      <c r="D701" s="27" t="inlineStr">
        <is>
          <t>4902201213219-12</t>
        </is>
      </c>
      <c r="E701" t="inlineStr">
        <is>
          <t>【12個セット】モンプチ プチリュクス ナチュラル 成猫用 まぐろのしらす添え 30g×12袋セット キャットフード ウェットフード パウチ 総合栄養食 猫用フード 成猫用 まぐろ しらす ごはん ペットフード 小分け 食べ切り 水分補給 愛猫 国産 まとめ買い ストック</t>
        </is>
      </c>
      <c r="G701" t="n">
        <v>1116</v>
      </c>
      <c r="H701" t="n">
        <v>1</v>
      </c>
      <c r="I701">
        <f>SUM(G786*H786)</f>
        <v/>
      </c>
    </row>
    <row r="702" ht="13.5" customHeight="1">
      <c r="A702" s="27" t="inlineStr">
        <is>
          <t>4903301186427</t>
        </is>
      </c>
      <c r="B702" s="27" t="inlineStr">
        <is>
          <t>4903301186427-3</t>
        </is>
      </c>
      <c r="C702" s="27" t="inlineStr">
        <is>
          <t>4903301186427-3</t>
        </is>
      </c>
      <c r="D702" s="27" t="inlineStr">
        <is>
          <t>4903301186427-3</t>
        </is>
      </c>
      <c r="E702" t="inlineStr">
        <is>
          <t>【3個セット】ライオン デンタークリアMAX ナチュラルミント 縦型 140g×3本セット 薬用ハミガキ 歯磨き粉 歯みがき粉 歯垢除去 虫歯予防 口臭予防 フッ素配合 クリーニングパウダー オーラルケア デンタルケア 家庭用 まとめ買い</t>
        </is>
      </c>
      <c r="G702" t="n">
        <v>327</v>
      </c>
      <c r="H702" t="n">
        <v>40</v>
      </c>
      <c r="I702">
        <f>SUM(G787*H787)</f>
        <v/>
      </c>
    </row>
    <row r="703" ht="13.5" customHeight="1">
      <c r="A703" s="27" t="inlineStr">
        <is>
          <t>4987176315830</t>
        </is>
      </c>
      <c r="B703" s="27" t="inlineStr">
        <is>
          <t>4987176315830</t>
        </is>
      </c>
      <c r="C703" s="27" t="inlineStr">
        <is>
          <t>4987176315830-a</t>
        </is>
      </c>
      <c r="D703" s="27" t="inlineStr">
        <is>
          <t>4987176315830</t>
        </is>
      </c>
      <c r="E703" t="inlineStr">
        <is>
          <t>ファブリーズ 消臭芳香剤 玄関用 ホワイトムスクの香り 本体ケース+詰め替え2個セット 置き型 消臭 芳香剤 玄関 靴箱 下駄箱 エントランス 室内 玄関消臭 消臭剤 防臭 ニオイ対策 フレグランス 来客対策 玄関用品 日用品 P&amp;G まとめ買い ストック 詰替え リビング 廊下</t>
        </is>
      </c>
      <c r="G703" s="6" t="n"/>
      <c r="H703" t="n">
        <v>5</v>
      </c>
      <c r="I703">
        <f>SUM(G789*H789)</f>
        <v/>
      </c>
    </row>
    <row r="704" ht="13.5" customHeight="1">
      <c r="A704" s="27" t="inlineStr">
        <is>
          <t>4571411204838</t>
        </is>
      </c>
      <c r="B704" s="27" t="inlineStr">
        <is>
          <t>4571411204838</t>
        </is>
      </c>
      <c r="C704" s="27" t="inlineStr">
        <is>
          <t>4571411204838</t>
        </is>
      </c>
      <c r="D704" s="27" t="inlineStr">
        <is>
          <t>A2039N21</t>
        </is>
      </c>
      <c r="E704" t="inlineStr">
        <is>
          <t>Anker 523 Charger Nano 3 47W ブラック ホワイト A2039N11  A2039N21 USB-C 急速充電器 GaN PD対応 最大47W 2ポート USB充電器 Type-C 折りたたみ式 コンパクト 小型 MacBook iPad iPhone Android ノートPC タブレット対応 USB-C充電アダプター 高速充電 持ち運び Anker</t>
        </is>
      </c>
      <c r="G704" t="n">
        <v>2990</v>
      </c>
      <c r="H704" t="n">
        <v>3</v>
      </c>
      <c r="I704">
        <f>SUM(G790*H790)</f>
        <v/>
      </c>
    </row>
    <row r="705" ht="13.5" customHeight="1">
      <c r="A705" s="27" t="n"/>
      <c r="B705" s="27" t="inlineStr">
        <is>
          <t>b08x11gd52</t>
        </is>
      </c>
      <c r="C705" s="27" t="inlineStr">
        <is>
          <t>4968/2690</t>
        </is>
      </c>
      <c r="D705" s="27" t="inlineStr">
        <is>
          <t>B08X11GD52</t>
        </is>
      </c>
      <c r="E705" t="inlineStr">
        <is>
          <t>Anker Nano II 65W PD充電器 USB-C ブラック ホワイト GaN II USB-C充電器 急速充電器 Power Delivery PPS対応 Type-C ACアダプター MacBook Air Pro iPad iPhone Android Galaxy Pixel ノートPC 折りたたみプラグ 小型 軽量 コンパクト PSE認証</t>
        </is>
      </c>
      <c r="G705" t="n">
        <v>2690</v>
      </c>
      <c r="H705" t="n">
        <v>12</v>
      </c>
      <c r="I705">
        <f>SUM(G791*H791)</f>
        <v/>
      </c>
    </row>
    <row r="706" ht="13.5" customHeight="1">
      <c r="A706" s="27" t="n"/>
      <c r="B706" s="27" t="inlineStr">
        <is>
          <t>b08x11gd52</t>
        </is>
      </c>
      <c r="C706" s="27" t="inlineStr">
        <is>
          <t>4968/2690</t>
        </is>
      </c>
      <c r="D706" s="27" t="inlineStr">
        <is>
          <t>B08X1GSFTT</t>
        </is>
      </c>
      <c r="E706" t="inlineStr">
        <is>
          <t>Anker Nano II 65W PD充電器 USB-C ブラック ホワイト GaN II USB-C充電器 急速充電器 Power Delivery PPS対応 Type-C ACアダプター MacBook Air Pro iPad iPhone Android Galaxy Pixel ノートPC 折りたたみプラグ 小型 軽量 コンパクト PSE認証</t>
        </is>
      </c>
      <c r="G706" t="n">
        <v>2690</v>
      </c>
      <c r="H706" t="n">
        <v>12</v>
      </c>
      <c r="I706">
        <f>SUM(G792*H792)</f>
        <v/>
      </c>
    </row>
    <row r="707" ht="13.5" customHeight="1">
      <c r="A707" s="27" t="n"/>
      <c r="B707" s="27" t="inlineStr">
        <is>
          <t>b0b3wg8d7t-3</t>
        </is>
      </c>
      <c r="C707" s="27" t="inlineStr">
        <is>
          <t>1317/3819-a</t>
        </is>
      </c>
      <c r="D707" s="27" t="inlineStr">
        <is>
          <t>B0B3WG8D7T-3</t>
        </is>
      </c>
      <c r="E707" t="inlineStr">
        <is>
          <t>【3個セット】アース製薬 アース虫よけ線香 モンスーン 100巻×3 大容量 300巻 ラベンダーの香り 虫除け線香 蚊取り線香 屋外用 虫よけ対策 アウトドア キャンプ 登山 農作業 ガーデニング ブヨ アブ ユスリカ 不快害虫 長時間燃焼 約7時間 業務用 家庭用 夏対策 防虫線香</t>
        </is>
      </c>
      <c r="G707" t="n">
        <v>3819</v>
      </c>
      <c r="H707" t="n">
        <v>5</v>
      </c>
      <c r="I707">
        <f>SUM(G793*H793)</f>
        <v/>
      </c>
    </row>
    <row r="708" ht="13.5" customHeight="1">
      <c r="A708" s="27" t="n"/>
      <c r="B708" s="27" t="inlineStr">
        <is>
          <t>b0cx4c1tvk</t>
        </is>
      </c>
      <c r="C708" s="27" t="inlineStr">
        <is>
          <t>B0CX4FKYCS</t>
        </is>
      </c>
      <c r="D708" s="27" t="inlineStr">
        <is>
          <t>B0CX4C1TVK</t>
        </is>
      </c>
      <c r="E708" t="inlineStr">
        <is>
          <t>Anker Power Bank (10000mAh, Fusion, Built-In USB-C ケーブル) ブラック ピンク ブルー ホワイト モバイルバッテリー USB-C ケーブル一体型 30W 急速充電 コンセント一体型 USB充電器 PD LEDディスプレイ 折りたたみプラグ iPhone Android iPad MacBook 小型 軽量 防災</t>
        </is>
      </c>
      <c r="G708" t="n">
        <v>5890</v>
      </c>
      <c r="H708" t="n">
        <v>7</v>
      </c>
      <c r="I708">
        <f>SUM(G794*H794)</f>
        <v/>
      </c>
    </row>
    <row r="709" ht="13.5" customHeight="1">
      <c r="A709" s="27" t="n"/>
      <c r="B709" s="27" t="inlineStr">
        <is>
          <t>b0cx4c1tvk</t>
        </is>
      </c>
      <c r="C709" s="27" t="inlineStr">
        <is>
          <t>B0CX4FKYCS</t>
        </is>
      </c>
      <c r="D709" s="27" t="inlineStr">
        <is>
          <t>B0CX4FKYCS</t>
        </is>
      </c>
      <c r="E709" t="inlineStr">
        <is>
          <t>Anker Power Bank (10000mAh, Fusion, Built-In USB-C ケーブル) ブラック ピンク ブルー ホワイト モバイルバッテリー USB-C ケーブル一体型 30W 急速充電 コンセント一体型 USB充電器 PD LEDディスプレイ 折りたたみプラグ iPhone Android iPad MacBook 小型 軽量 防災</t>
        </is>
      </c>
      <c r="G709" t="n">
        <v>5990</v>
      </c>
      <c r="H709" t="n">
        <v>1</v>
      </c>
      <c r="I709">
        <f>SUM(G795*H795)</f>
        <v/>
      </c>
    </row>
    <row r="710" ht="13.5" customHeight="1">
      <c r="A710" s="27" t="n"/>
      <c r="B710" s="27" t="inlineStr">
        <is>
          <t>b0cx4c1tvk</t>
        </is>
      </c>
      <c r="C710" s="27" t="inlineStr">
        <is>
          <t>B0CX4FKYCS</t>
        </is>
      </c>
      <c r="D710" s="27" t="inlineStr">
        <is>
          <t>B0CX4PBCKH</t>
        </is>
      </c>
      <c r="E710" t="inlineStr">
        <is>
          <t>Anker Power Bank (10000mAh, Fusion, Built-In USB-C ケーブル) ブラック ピンク ブルー ホワイト モバイルバッテリー USB-C ケーブル一体型 30W 急速充電 コンセント一体型 USB充電器 PD LEDディスプレイ 折りたたみプラグ iPhone Android iPad MacBook 小型 軽量 防災</t>
        </is>
      </c>
      <c r="G710" t="n">
        <v>5990</v>
      </c>
      <c r="H710" t="n">
        <v>0</v>
      </c>
      <c r="I710">
        <f>SUM(G796*H796)</f>
        <v/>
      </c>
    </row>
    <row r="711" ht="13.5" customHeight="1">
      <c r="A711" s="27" t="n"/>
      <c r="B711" s="27" t="inlineStr">
        <is>
          <t>b0cx4c1tvk</t>
        </is>
      </c>
      <c r="C711" s="27" t="inlineStr">
        <is>
          <t>B0CX4FKYCS</t>
        </is>
      </c>
      <c r="D711" s="27" t="inlineStr">
        <is>
          <t>B0CX4ZPLPK</t>
        </is>
      </c>
      <c r="E711" t="inlineStr">
        <is>
          <t>Anker Power Bank (10000mAh, Fusion, Built-In USB-C ケーブル) ブラック ピンク ブルー ホワイト モバイルバッテリー USB-C ケーブル一体型 30W 急速充電 コンセント一体型 USB充電器 PD LEDディスプレイ 折りたたみプラグ iPhone Android iPad MacBook 小型 軽量 防災</t>
        </is>
      </c>
      <c r="G711" t="n">
        <v>5990</v>
      </c>
      <c r="H711" t="n">
        <v>8</v>
      </c>
      <c r="I711">
        <f>SUM(G797*H797)</f>
        <v/>
      </c>
    </row>
    <row r="712" ht="13.5" customHeight="1">
      <c r="A712" s="27" t="inlineStr">
        <is>
          <t>4987176354273</t>
        </is>
      </c>
      <c r="B712" s="27" t="inlineStr">
        <is>
          <t>b0fy1j62w9-2</t>
        </is>
      </c>
      <c r="C712" s="27" t="inlineStr">
        <is>
          <t>4987176354273-2</t>
        </is>
      </c>
      <c r="D712" s="27" t="inlineStr">
        <is>
          <t>B0FY1J62W9-2</t>
        </is>
      </c>
      <c r="E712" t="inlineStr">
        <is>
          <t>【2個セット】レノア リセット セラム 柔軟剤 さくらフローラルの香り 詰め替え 680mL×2 期間限定 SAKURA 詰替え 大容量 衣類ケア シワ防止 ヨレ防止 毛玉防止 静電気防止 ふんわり 香り長続き 洗濯 ランドリー 部屋干し 花粉対策 防臭 消臭 まとめ買い ストック P&amp;G</t>
        </is>
      </c>
      <c r="G712" t="n">
        <v>874</v>
      </c>
      <c r="H712" t="n">
        <v>4</v>
      </c>
      <c r="I712">
        <f>SUM(G798*H798)</f>
        <v/>
      </c>
    </row>
    <row r="713" ht="13.5" customHeight="1">
      <c r="A713" s="27" t="n"/>
      <c r="B713" s="27" t="inlineStr">
        <is>
          <t>b0g1sql91q-2</t>
        </is>
      </c>
      <c r="C713" s="27" t="inlineStr">
        <is>
          <t>0299/2086</t>
        </is>
      </c>
      <c r="D713" s="27" t="inlineStr">
        <is>
          <t>B0G1SQL91Q-2</t>
        </is>
      </c>
      <c r="E713" t="inlineStr">
        <is>
          <t>【2個セット】レノア アロマジュエル SAKURA 衣料用香り付けビーズ さくらフローラルの香り 詰め替え 990mL×2 期間限定 柔軟剤 香り付けビーズ 洗濯 ビーズ 大容量 特大 詰替え 香り長続き 部屋干し 縦型 ドラム式 P&amp;G</t>
        </is>
      </c>
      <c r="G713" t="n">
        <v>2086</v>
      </c>
      <c r="H713" t="n">
        <v>2</v>
      </c>
      <c r="I713">
        <f>SUM(G799*H799)</f>
        <v/>
      </c>
    </row>
    <row r="714" ht="13.5" customHeight="1">
      <c r="A714" s="27" t="inlineStr">
        <is>
          <t>4901301466426</t>
        </is>
      </c>
      <c r="B714" s="27" t="inlineStr">
        <is>
          <t>b0gm6xjjst-2</t>
        </is>
      </c>
      <c r="C714" s="27" t="inlineStr">
        <is>
          <t>4901301466426-2</t>
        </is>
      </c>
      <c r="D714" s="27" t="inlineStr">
        <is>
          <t>B0GM6XJJST-2</t>
        </is>
      </c>
      <c r="E714" t="inlineStr">
        <is>
          <t>【2個セット】アタックZERO 部屋干し 詰め替え 1460g×2個セット 花王 洗濯洗剤 液体洗剤 部屋干し専用 超特大 大容量 詰替え 24時間部屋干し臭防止 抗菌 洗濯槽防カビ 洗濯槽除菌 自動投入対応 生乾き臭 ニオイ対策 ランドリー 日用品 まとめ買い</t>
        </is>
      </c>
      <c r="G714" t="n">
        <v>3460</v>
      </c>
      <c r="H714" t="n">
        <v>4</v>
      </c>
      <c r="I714">
        <f>SUM(G800*H800)</f>
        <v/>
      </c>
    </row>
    <row r="715" ht="13.5" customHeight="1">
      <c r="A715" s="27" t="inlineStr">
        <is>
          <t>4901301466303</t>
        </is>
      </c>
      <c r="B715" s="27" t="inlineStr">
        <is>
          <t>b0gm6y6yj4-2</t>
        </is>
      </c>
      <c r="C715" s="27" t="inlineStr">
        <is>
          <t>4901301466303-2</t>
        </is>
      </c>
      <c r="D715" s="27" t="inlineStr">
        <is>
          <t>B0GM6Y6YJ4-2</t>
        </is>
      </c>
      <c r="E715" t="inlineStr">
        <is>
          <t>【2個セット】アタックZERO 詰め替え 1460g×2個セット 花王 洗濯洗剤 液体洗剤 超特大 大容量 詰替え 最高峰の消臭 自動投入対応 抗菌 洗濯槽除菌 洗濯槽防カビ バイオフィルム除去 糸くずフィルターヌメリ除去 すすぎ1回 濃縮 ランドリー 日用品 まとめ買い</t>
        </is>
      </c>
      <c r="G715" t="n">
        <v>3460</v>
      </c>
      <c r="H715" t="n">
        <v>3</v>
      </c>
      <c r="I715">
        <f>SUM(G801*H801)</f>
        <v/>
      </c>
    </row>
    <row r="716" ht="13.5" customHeight="1">
      <c r="A716" s="27" t="n"/>
      <c r="B716" s="27" t="inlineStr">
        <is>
          <t>b0h9f4sxzp</t>
        </is>
      </c>
      <c r="C716" s="27" t="inlineStr">
        <is>
          <t>SET-3414-6317-a</t>
        </is>
      </c>
      <c r="D716" s="27" t="inlineStr">
        <is>
          <t>B0H9F4SXZP</t>
        </is>
      </c>
      <c r="E716" t="inlineStr">
        <is>
          <t>【セット品】サラテクト 虫よけスプレー 無香料 400mL＋虫よけシート BIGサイズ 20枚入 セット アース製薬 虫除けスプレー 虫よけウェットティッシュ 虫よけシート 蚊 ブヨ マダニ アウトドア キャンプ レジャー 公園 散歩 ガーデニング 外出 携帯用 家族 大人 子ども 防虫</t>
        </is>
      </c>
      <c r="G716" t="n">
        <v>1126</v>
      </c>
      <c r="H716" t="n">
        <v>5</v>
      </c>
      <c r="I716">
        <f>SUM(G802*H802)</f>
        <v/>
      </c>
    </row>
    <row r="717" ht="13.5" customHeight="1">
      <c r="A717" s="27" t="n"/>
      <c r="B717" s="27" t="inlineStr">
        <is>
          <t>set-0006</t>
        </is>
      </c>
      <c r="C717" s="27" t="inlineStr">
        <is>
          <t>6284,6345/1736</t>
        </is>
      </c>
      <c r="D717" s="27" t="inlineStr">
        <is>
          <t>SET-0006</t>
        </is>
      </c>
      <c r="E717" t="inlineStr">
        <is>
          <t>【セット品】ファブリーズ W除菌+消臭スプレー 衣類・布製品用 無香料 アルコール成分配合 本体370mL＋つめかえ4回分1280mL P&amp;G 布用 消臭スプレー 除菌スプレー 衣類 ソファ カーテン ベッド クッション 部屋干し タバコ 汗 ニオイ対策 大容量 詰替え まとめ買い</t>
        </is>
      </c>
      <c r="G717" t="n">
        <v>1736</v>
      </c>
      <c r="H717" t="n">
        <v>6</v>
      </c>
      <c r="I717">
        <f>SUM(G804*H804)</f>
        <v/>
      </c>
    </row>
    <row r="718" ht="13.5" customHeight="1">
      <c r="A718" s="27" t="n"/>
      <c r="B718" s="27" t="inlineStr">
        <is>
          <t>set-0007</t>
        </is>
      </c>
      <c r="C718" s="27" t="inlineStr">
        <is>
          <t>6307,6383/1736</t>
        </is>
      </c>
      <c r="D718" s="27" t="inlineStr">
        <is>
          <t>SET-0007</t>
        </is>
      </c>
      <c r="E718" t="inlineStr">
        <is>
          <t>【セット品】ファブリーズ W除菌+消臭スプレー 衣類・布製品用 香りが残らない 本体370mL＋つめかえ4回分1280mL P&amp;G 布用 消臭スプレー 除菌スプレー 衣類 ソファ カーテン ベッド クッション 部屋干し タバコ 汗 ニオイ対策 大容量 詰替え まとめ買い</t>
        </is>
      </c>
      <c r="G718" t="n">
        <v>1736</v>
      </c>
      <c r="H718" t="n">
        <v>1</v>
      </c>
      <c r="I718">
        <f>SUM(G805*H805)</f>
        <v/>
      </c>
    </row>
    <row r="719" ht="13.5" customHeight="1">
      <c r="A719" s="27" t="inlineStr">
        <is>
          <t>4544059032330</t>
        </is>
      </c>
      <c r="B719" s="27" t="inlineStr">
        <is>
          <t>b001ai51n2-2</t>
        </is>
      </c>
      <c r="C719" s="27" t="inlineStr">
        <is>
          <t>4544059032330-2-a</t>
        </is>
      </c>
      <c r="D719" s="27" t="inlineStr">
        <is>
          <t>b001ai51n2-2</t>
        </is>
      </c>
      <c r="E719" t="inlineStr">
        <is>
          <t>【2個セット】 日本カルシウム工業 ダイエットイオン整水器 38g 2個セット 水質改善 浄水パック ペットボトル用 携帯浄水 浄水スティック カルキ除去 アルカリイオン水 日本製 節約 防災対策 水道水 美味しく【お茶パック付き】</t>
        </is>
      </c>
      <c r="G719" s="6" t="n"/>
      <c r="H719" t="n">
        <v>0</v>
      </c>
      <c r="I719">
        <f>SUM(G806*H806)</f>
        <v/>
      </c>
    </row>
    <row r="720" ht="13.5" customHeight="1">
      <c r="A720" s="27" t="inlineStr">
        <is>
          <t>4544059032866</t>
        </is>
      </c>
      <c r="B720" s="27" t="inlineStr">
        <is>
          <t>b0174ujypa-2</t>
        </is>
      </c>
      <c r="C720" s="27" t="inlineStr">
        <is>
          <t>4544059032866-2-a</t>
        </is>
      </c>
      <c r="D720" s="27" t="inlineStr">
        <is>
          <t>b0174ujypa-2</t>
        </is>
      </c>
      <c r="E720" t="inlineStr">
        <is>
          <t>【2個セット】  日本カルシウム工業 パワー水素水×2個セット 水質改善 浄水パック ペットボトル用 携帯浄水器 浄水スティック カルキ除去 アルカリイオン水 日本製 節約 防災対策 水道水 美味しく【お茶パック付き】</t>
        </is>
      </c>
      <c r="G720" s="6" t="n"/>
      <c r="H720" t="n">
        <v>5</v>
      </c>
      <c r="I720">
        <f>SUM(G807*H807)</f>
        <v/>
      </c>
    </row>
    <row r="721" ht="13.5" customHeight="1">
      <c r="A721" s="27" t="inlineStr">
        <is>
          <t>4571104713265</t>
        </is>
      </c>
      <c r="B721" s="27" t="inlineStr">
        <is>
          <t>b0179h2jvo-6</t>
        </is>
      </c>
      <c r="C721" s="27" t="inlineStr">
        <is>
          <t>4571104713265-6</t>
        </is>
      </c>
      <c r="D721" s="27" t="inlineStr">
        <is>
          <t>b0179h2jvo-6</t>
        </is>
      </c>
      <c r="E721" t="inlineStr">
        <is>
          <t>【6個セット】健康缶 15歳からの健康缶パウチ とろとろまぐろペースト 40g×6袋セット シニア猫用 キャットフード ウェットフード パウチ まぐろ ペースト 総合栄養食 高齢猫 老猫 水分補給 やわらか 食べやすい ごはん 愛猫 国産 猫用フード まとめ買い</t>
        </is>
      </c>
      <c r="G721" t="n">
        <v>624</v>
      </c>
      <c r="H721" t="n">
        <v>1</v>
      </c>
      <c r="I721">
        <f>SUM(G808*H808)</f>
        <v/>
      </c>
    </row>
    <row r="722" ht="13.5" customHeight="1">
      <c r="A722" s="27" t="n"/>
      <c r="B722" s="27" t="inlineStr">
        <is>
          <t>b01g81swcm</t>
        </is>
      </c>
      <c r="C722" s="27" t="inlineStr">
        <is>
          <t>4901133863318-2-w</t>
        </is>
      </c>
      <c r="D722" s="27" t="inlineStr">
        <is>
          <t>b01g81swcm</t>
        </is>
      </c>
      <c r="E722" t="inlineStr">
        <is>
          <t>【訳あり】【12個入り】いなば 金のだしカップ まぐろ・かつお節入り 70g キャットフード ウェットフード 猫用 一般食 国産 ゼリータイプ まぐろ かつお節 猫 エサ ごはん 成猫 シニア 水分補給 食べ切り カップタイプ ペットフード いなばペットフード</t>
        </is>
      </c>
      <c r="G722" t="n">
        <v>1396</v>
      </c>
      <c r="H722" t="n">
        <v>2</v>
      </c>
      <c r="I722">
        <f>SUM(G809*H809)</f>
        <v/>
      </c>
    </row>
    <row r="723" ht="13.5" customHeight="1">
      <c r="A723" s="27" t="inlineStr">
        <is>
          <t>4544059033153</t>
        </is>
      </c>
      <c r="B723" s="27" t="inlineStr">
        <is>
          <t>b01gzq2xyi-2</t>
        </is>
      </c>
      <c r="C723" s="27" t="inlineStr">
        <is>
          <t>4544059033153-2-a</t>
        </is>
      </c>
      <c r="D723" s="27" t="inlineStr">
        <is>
          <t>b01gzq2xyi-2</t>
        </is>
      </c>
      <c r="E723" t="inlineStr">
        <is>
          <t>【2個セット】 日本カルシウム工業 アルカリイオン水素水×2個セット 浄水スティック 浄水パック ペットボトル用 携帯浄水器 水質改善 カルキ除去 アルカリイオン水 日本製 節約 防災対策 【お茶パック付き】</t>
        </is>
      </c>
      <c r="G723" t="n">
        <v>7304</v>
      </c>
      <c r="H723" t="n">
        <v>4</v>
      </c>
      <c r="I723">
        <f>SUM(G810*H810)</f>
        <v/>
      </c>
    </row>
    <row r="724" ht="13.5" customHeight="1">
      <c r="A724" s="27" t="inlineStr">
        <is>
          <t>4589530701046</t>
        </is>
      </c>
      <c r="B724" s="27" t="inlineStr">
        <is>
          <t>b01mtemme0</t>
        </is>
      </c>
      <c r="C724" s="27" t="inlineStr">
        <is>
          <t>4589530701046-2</t>
        </is>
      </c>
      <c r="D724" s="27" t="inlineStr">
        <is>
          <t>b01mtemme0</t>
        </is>
      </c>
      <c r="E724" t="inlineStr">
        <is>
          <t>【2本セット】ビュクレール クレンジングローション 500mL メイク落とし クレンジングウォーター 拭き取りクレンジング W洗顔不要 オイルフリー まつエクOK 化粧水 保湿 ブライトニング 大容量 毛穴汚れ 角質ケア 日本製 BEAUCLAIR</t>
        </is>
      </c>
      <c r="G724" t="n">
        <v>792</v>
      </c>
      <c r="H724" t="n">
        <v>3</v>
      </c>
      <c r="I724">
        <f>SUM(G811*H811)</f>
        <v/>
      </c>
    </row>
    <row r="725" ht="13.5" customHeight="1">
      <c r="A725" s="27" t="inlineStr">
        <is>
          <t>4514610005035</t>
        </is>
      </c>
      <c r="B725" s="27" t="inlineStr">
        <is>
          <t>b075gk2mzw</t>
        </is>
      </c>
      <c r="C725" s="27" t="inlineStr">
        <is>
          <t>4514610005035-a</t>
        </is>
      </c>
      <c r="D725" s="27" t="inlineStr">
        <is>
          <t>b075gk2mzw</t>
        </is>
      </c>
      <c r="E725" t="inlineStr">
        <is>
          <t>ドクターズチョイス ゴートミルク 120g ヤギミルク 犬 猫 無添加 ペットミルク 粉末ミルク 子犬 子猫 シニア犬 シニア猫 水分補給 栄養補給 カルシウム補給 トッピング 全年齢対応</t>
        </is>
      </c>
      <c r="G725" s="6" t="n"/>
      <c r="H725" t="n">
        <v>1</v>
      </c>
      <c r="I725">
        <f>SUM(G812*H812)</f>
        <v/>
      </c>
    </row>
    <row r="726" ht="13.5" customHeight="1">
      <c r="A726" s="27" t="n"/>
      <c r="B726" s="27" t="inlineStr">
        <is>
          <t>b075ssnk1l</t>
        </is>
      </c>
      <c r="C726" s="27" t="inlineStr">
        <is>
          <t>3693/4780</t>
        </is>
      </c>
      <c r="D726" s="27" t="inlineStr">
        <is>
          <t>b075ssnk1l</t>
        </is>
      </c>
      <c r="E726" t="inlineStr">
        <is>
          <t>【ブラウン】オーラルB 電動歯ブラシ D6015253P 回転式 電動歯ブラシ 歯垢除去 ホワイトニング 歯ぐきケア 充電式 防水設計 デンタルケア 口腔ケア Oral-B オーラルケア 歯ブラシ 電動ブラシ 替えブラシ対応 旅行 出張 身だしなみ ケア</t>
        </is>
      </c>
      <c r="G726" t="n">
        <v>4780</v>
      </c>
      <c r="H726" t="n">
        <v>6</v>
      </c>
      <c r="I726">
        <f>SUM(G813*H813)</f>
        <v/>
      </c>
    </row>
    <row r="727" ht="13.5" customHeight="1">
      <c r="A727" s="27" t="inlineStr">
        <is>
          <t>5060144645562</t>
        </is>
      </c>
      <c r="B727" s="27" t="inlineStr">
        <is>
          <t>b07vl5tf8z</t>
        </is>
      </c>
      <c r="C727" s="27" t="inlineStr">
        <is>
          <t>5060144645562</t>
        </is>
      </c>
      <c r="D727" s="27" t="inlineStr">
        <is>
          <t>b07vl5tf8z</t>
        </is>
      </c>
      <c r="E727" t="inlineStr">
        <is>
          <t>Bulldog ブルドッグ オリジナル 5枚刃 バンブーホルダー カミソリ 本体 替刃2個付き メンズ 髭剃り シェーバー 竹製ハンドル 首振り式 アロエスムーザー トリマー付き 男性用 シェービング スキンケア</t>
        </is>
      </c>
      <c r="G727" t="n">
        <v>1192</v>
      </c>
      <c r="H727" t="n">
        <v>19</v>
      </c>
      <c r="I727">
        <f>SUM(G814*H814)</f>
        <v/>
      </c>
    </row>
    <row r="728" ht="13.5" customHeight="1">
      <c r="A728" s="27" t="inlineStr">
        <is>
          <t>4903588265082</t>
        </is>
      </c>
      <c r="B728" s="27" t="inlineStr">
        <is>
          <t>b08xbhldw9</t>
        </is>
      </c>
      <c r="C728" s="27" t="inlineStr">
        <is>
          <t>4903588265082-a</t>
        </is>
      </c>
      <c r="D728" s="27" t="inlineStr">
        <is>
          <t>b08xbhldw9</t>
        </is>
      </c>
      <c r="E728" t="inlineStr">
        <is>
          <t>ペティオ (Petio)犬用食器 Porta 木目調 陶器食器 S</t>
        </is>
      </c>
      <c r="G728" t="n">
        <v>132</v>
      </c>
      <c r="H728" t="n">
        <v>5</v>
      </c>
      <c r="I728">
        <f>SUM(G816*H816)</f>
        <v/>
      </c>
    </row>
    <row r="729" ht="13.5" customHeight="1">
      <c r="A729" s="27" t="n"/>
      <c r="B729" s="27" t="inlineStr">
        <is>
          <t>b09dc4r8qq-3</t>
        </is>
      </c>
      <c r="C729" s="27" t="inlineStr">
        <is>
          <t>2546/13196</t>
        </is>
      </c>
      <c r="D729" s="27" t="inlineStr">
        <is>
          <t>b09dc4r8qq-3</t>
        </is>
      </c>
      <c r="E729" t="inlineStr">
        <is>
          <t>【3個セット】ジレット プロシールド 電動タイプ 本体＋替刃6個付（うち1個装着済） カミソリ 髭剃り メンズシェーバー 電動振動 深剃り 肌にやさしい 剃刀 シェービング 替刃式 Gillette 男性用 旅行 出張 身だしなみ ケア まとめ買い 大容量</t>
        </is>
      </c>
      <c r="G729" t="n">
        <v>13196</v>
      </c>
      <c r="H729" t="n">
        <v>1</v>
      </c>
      <c r="I729">
        <f>SUM(G818*H818)</f>
        <v/>
      </c>
    </row>
    <row r="730" ht="13.5" customHeight="1">
      <c r="A730" s="27" t="n"/>
      <c r="B730" s="27" t="inlineStr">
        <is>
          <t>b0b4nfdgn7</t>
        </is>
      </c>
      <c r="C730" s="27" t="inlineStr">
        <is>
          <t>4901301347541-5-h</t>
        </is>
      </c>
      <c r="D730" s="27" t="inlineStr">
        <is>
          <t>b0b4nfdgn7</t>
        </is>
      </c>
      <c r="E730" t="inlineStr">
        <is>
          <t>【5個セット】ビオレ さらさらパウダーシート さわやかせっけんの香り 携帯用 10枚 制汗シート ボディシート 汗拭きシート デオドラントシート ボディペーパー 汗ふきシート さらさら ベタつき ニオイ対策 外出 通勤 通学 スポーツ 花王</t>
        </is>
      </c>
      <c r="G730" t="n">
        <v>1070</v>
      </c>
      <c r="H730" t="n">
        <v>25</v>
      </c>
      <c r="I730">
        <f>SUM(G819*H819)</f>
        <v/>
      </c>
    </row>
    <row r="731" ht="13.5" customHeight="1">
      <c r="A731" s="27" t="inlineStr">
        <is>
          <t>4891228313036</t>
        </is>
      </c>
      <c r="B731" s="27" t="inlineStr">
        <is>
          <t>b0bs3k6d56</t>
        </is>
      </c>
      <c r="C731" s="27" t="inlineStr">
        <is>
          <t>4891228313036-a</t>
        </is>
      </c>
      <c r="D731" s="27" t="inlineStr">
        <is>
          <t>b0bs3k6d56</t>
        </is>
      </c>
      <c r="E731" t="inlineStr">
        <is>
          <t>ブルドッグ オリジナル 替刃 4個入 カミソリ替刃 5枚刃 アロエ配合 スムーザー 首振りヘッド キワ剃りトリマー シェービング 替え刃 メンズ 男性用 深剃り 肌にやさしい フェイスケア グルーミング バンブーホルダー対応 グラスホルダー対応 交換用 カートリッジ 純正 替え刃</t>
        </is>
      </c>
      <c r="G731" t="n">
        <v>1576</v>
      </c>
      <c r="H731" t="n">
        <v>33</v>
      </c>
      <c r="I731">
        <f>SUM(G820*H820)</f>
        <v/>
      </c>
    </row>
    <row r="732" ht="13.5" customHeight="1">
      <c r="A732" s="27" t="inlineStr">
        <is>
          <t>4903588271632</t>
        </is>
      </c>
      <c r="B732" s="27" t="inlineStr">
        <is>
          <t>b0bx2rl7zx</t>
        </is>
      </c>
      <c r="C732" s="27" t="inlineStr">
        <is>
          <t>4903588271632-a</t>
        </is>
      </c>
      <c r="D732" s="27" t="inlineStr">
        <is>
          <t>b0bx2rl7zx</t>
        </is>
      </c>
      <c r="E732" t="inlineStr">
        <is>
          <t>ペティオ (Petio) 猫用おもちゃ とぎぐるみ 組み替えられるハニワポール</t>
        </is>
      </c>
      <c r="G732" t="n">
        <v>605</v>
      </c>
      <c r="H732" t="n">
        <v>5</v>
      </c>
      <c r="I732">
        <f>SUM(G821*H821)</f>
        <v/>
      </c>
    </row>
    <row r="733" ht="13.5" customHeight="1">
      <c r="A733" s="27" t="n"/>
      <c r="B733" s="27" t="inlineStr">
        <is>
          <t>b0c3l32wkr-2</t>
        </is>
      </c>
      <c r="C733" s="27" t="inlineStr">
        <is>
          <t>6562/1116</t>
        </is>
      </c>
      <c r="D733" s="27" t="inlineStr">
        <is>
          <t>b0c3l32wkr-2</t>
        </is>
      </c>
      <c r="E733" t="inlineStr">
        <is>
          <t>【2個セット】友和 Tipo's 超撥水コーティング剤 弾き！ つめかえ用 500ml 撥水 コーティング剤 詰め替え 掃除 水回り シンク 洗面台 浴室 鏡 キッチン 蛇口 窓ガラス 車 ガラス 防汚 水アカ対策 汚れ防止 お手入れ 日本製 ティポス</t>
        </is>
      </c>
      <c r="G733" t="n">
        <v>1116</v>
      </c>
      <c r="H733" t="n">
        <v>22</v>
      </c>
      <c r="I733">
        <f>SUM(G822*H822)</f>
        <v/>
      </c>
    </row>
    <row r="734" ht="13.5" customHeight="1">
      <c r="A734" s="27" t="inlineStr">
        <is>
          <t>4987176194398</t>
        </is>
      </c>
      <c r="B734" s="27" t="inlineStr">
        <is>
          <t>b0ckj4fcmh-2</t>
        </is>
      </c>
      <c r="C734" s="27" t="inlineStr">
        <is>
          <t>4987176194398-2-a</t>
        </is>
      </c>
      <c r="D734" s="27" t="inlineStr">
        <is>
          <t>b0ckj4fcmh-2</t>
        </is>
      </c>
      <c r="E734" t="inlineStr">
        <is>
          <t>【2個セット】アリエール ジェルボール4D 微香 詰め替え メガジャンボ 83個×2個セット P&amp;G 洗濯洗剤 ジェルボール 洗剤 4D 抗菌 消臭 部屋干し すすぎ1回 詰替え 大容量 まとめ買い 黄ばみ 黒ずみ エリそで汚れ 洗濯槽防カビ ドラム式 縦型 ランドリー 日用品 ストック</t>
        </is>
      </c>
      <c r="G734" t="n">
        <v>3770</v>
      </c>
      <c r="H734" t="n">
        <v>1</v>
      </c>
      <c r="I734">
        <f>SUM(G823*H823)</f>
        <v/>
      </c>
    </row>
    <row r="735" ht="13.5" customHeight="1">
      <c r="A735" s="27" t="inlineStr">
        <is>
          <t>4582228251861</t>
        </is>
      </c>
      <c r="B735" s="27" t="inlineStr">
        <is>
          <t>b0cp51ckvd</t>
        </is>
      </c>
      <c r="C735" s="27" t="inlineStr">
        <is>
          <t>4582228251861-2</t>
        </is>
      </c>
      <c r="D735" s="27" t="inlineStr">
        <is>
          <t>b0cp51ckvd</t>
        </is>
      </c>
      <c r="E735" t="inlineStr">
        <is>
          <t>【20枚セット】アイリスオーヤマ 激熱家族 使い捨てカイロ 貼れない レギュラー 屋外専用 高温 約79℃ 寒さ対策 防寒 通勤 通学 スポーツ観戦 キャンプ アウトドア レジャー 作業 防災 10枚×2個セット</t>
        </is>
      </c>
      <c r="G735" t="n">
        <v>505</v>
      </c>
      <c r="H735" t="n">
        <v>12</v>
      </c>
      <c r="I735">
        <f>SUM(G824*H824)</f>
        <v/>
      </c>
    </row>
    <row r="736" ht="13.5" customHeight="1">
      <c r="A736" s="27" t="inlineStr">
        <is>
          <t>4902111776996</t>
        </is>
      </c>
      <c r="B736" s="27" t="inlineStr">
        <is>
          <t>b0ctbg4l1x</t>
        </is>
      </c>
      <c r="C736" s="27" t="inlineStr">
        <is>
          <t>4902111776996</t>
        </is>
      </c>
      <c r="D736" s="27" t="inlineStr">
        <is>
          <t>b0ctbg4l1x</t>
        </is>
      </c>
      <c r="E736" t="inlineStr">
        <is>
          <t>NEXXUS(ネクサス) リペアアンドカラープロテクト ヘアマスク トリートメント 本体 220g 日本製 色落ち防止 ケア ヘアケア</t>
        </is>
      </c>
      <c r="G736" t="n">
        <v>1043</v>
      </c>
      <c r="H736" t="n">
        <v>14</v>
      </c>
      <c r="I736">
        <f>SUM(G826*H826)</f>
        <v/>
      </c>
    </row>
    <row r="737" ht="13.5" customHeight="1">
      <c r="A737" s="27" t="inlineStr">
        <is>
          <t>4987176180261</t>
        </is>
      </c>
      <c r="B737" s="27" t="inlineStr">
        <is>
          <t>b0ctq1xfrl</t>
        </is>
      </c>
      <c r="C737" s="27" t="inlineStr">
        <is>
          <t>4987176180261-a</t>
        </is>
      </c>
      <c r="D737" s="27" t="inlineStr">
        <is>
          <t>b0ctq1xfrl</t>
        </is>
      </c>
      <c r="E737" t="inlineStr">
        <is>
          <t>ブラウン シリーズ5 電気シェーバー 52-M1200s ミント 髭剃り メンズ 電動シェーバー 防水 充電式 コードレス キワゾリトリマー ディープキャッチ網刃 深剃り 肌にやさしい 剃刀 シェービング 男性用 ヒゲ剃り フェイスケア スキンケア 旅行 出張 ケア トラベルケース付き</t>
        </is>
      </c>
      <c r="G737" t="n">
        <v>8980</v>
      </c>
      <c r="H737" t="n">
        <v>10</v>
      </c>
      <c r="I737">
        <f>SUM(G827*H827)</f>
        <v/>
      </c>
    </row>
    <row r="738" ht="13.5" customHeight="1">
      <c r="A738" s="27" t="n"/>
      <c r="B738" s="27" t="inlineStr">
        <is>
          <t>b0cw1d1cmg-2</t>
        </is>
      </c>
      <c r="C738" s="27" t="inlineStr">
        <is>
          <t>1241/998</t>
        </is>
      </c>
      <c r="D738" s="27" t="inlineStr">
        <is>
          <t>b0cw1d1cmg-2</t>
        </is>
      </c>
      <c r="E738" t="inlineStr">
        <is>
          <t>【2本セット】レブロン カラーステイ マルチプレイヤー アイ ペンシル 405 フォートレス 0.9g メタリックカーキ アイライナー アイシャドウ ウォータープルーフ ブレンディングブラシ シャープナー付き 高発色 落ちにくい にじみにくい 密着 アイメイク コスメ 化粧品</t>
        </is>
      </c>
      <c r="G738" t="n">
        <v>998</v>
      </c>
      <c r="H738" t="n">
        <v>8</v>
      </c>
      <c r="I738">
        <f>SUM(G828*H828)</f>
        <v/>
      </c>
    </row>
    <row r="739" ht="13.5" customHeight="1">
      <c r="A739" s="27" t="inlineStr">
        <is>
          <t>4901301432391</t>
        </is>
      </c>
      <c r="B739" s="27" t="inlineStr">
        <is>
          <t>b0czhr33rf-3</t>
        </is>
      </c>
      <c r="C739" s="27" t="inlineStr">
        <is>
          <t>4901301432391-3</t>
        </is>
      </c>
      <c r="D739" s="27" t="inlineStr">
        <is>
          <t>b0czhr33rf-3</t>
        </is>
      </c>
      <c r="E739" t="inlineStr">
        <is>
          <t>花王 ビオレZero シート 無香性 20枚×3個セット 汗拭きシート ボディシート 顔・からだ用 超さらさらタイプ 制汗シート デオドラントシート 大判シート ベタつき 汗対策 全身 さらさら パウダーヴェール 持続型 詰め合わせ ボディケア 日用品 まとめ買い</t>
        </is>
      </c>
      <c r="G739" t="n">
        <v>1083</v>
      </c>
      <c r="H739" t="n">
        <v>6</v>
      </c>
      <c r="I739">
        <f>SUM(G829*H829)</f>
        <v/>
      </c>
    </row>
    <row r="740" ht="13.5" customHeight="1">
      <c r="A740" s="27" t="inlineStr">
        <is>
          <t>4542750119701</t>
        </is>
      </c>
      <c r="B740" s="27" t="inlineStr">
        <is>
          <t>b0d1p44ht9</t>
        </is>
      </c>
      <c r="C740" s="27" t="inlineStr">
        <is>
          <t>4542750119701-a</t>
        </is>
      </c>
      <c r="D740" s="27" t="inlineStr">
        <is>
          <t>b0d1p44ht9</t>
        </is>
      </c>
      <c r="E740" t="inlineStr">
        <is>
          <t>エクセル コスモスラクト バード 30ml 鳥用 乳酸菌生成エキス インコ サプリメント 小鳥サプリ 鳥サプリ 栄養補給 腸内環境 健康維持 健康管理 セキセイインコ オカメインコ 文鳥 フィンチ 換羽期 栄養補助食品 乳酸菌サプリ 小鳥用品 鳥用品 ペットサプリ 国産</t>
        </is>
      </c>
      <c r="G740" t="n">
        <v>1287</v>
      </c>
      <c r="H740" t="n">
        <v>8</v>
      </c>
      <c r="I740">
        <f>SUM(G830*H830)</f>
        <v/>
      </c>
    </row>
    <row r="741" ht="13.5" customHeight="1">
      <c r="A741" s="27" t="inlineStr">
        <is>
          <t>4979750819926</t>
        </is>
      </c>
      <c r="B741" s="27" t="inlineStr">
        <is>
          <t>b0d8pmzsgc</t>
        </is>
      </c>
      <c r="C741" s="27" t="inlineStr">
        <is>
          <t>4979750819926</t>
        </is>
      </c>
      <c r="D741" s="27" t="inlineStr">
        <is>
          <t>b0d8pmzsgc</t>
        </is>
      </c>
      <c r="E741" t="inlineStr">
        <is>
          <t>セガフェイブ meスマホ+ サンリオキャラクターズ スマホトイ 充電式 カメラ ゲーム 音楽 アラーム 音声メッセージ 写真撮影 知育玩具 子ども用スマホ キッズトイ ハローキティ マイメロディ クロミ シナモロール ポムポムプリン</t>
        </is>
      </c>
      <c r="G741" t="n">
        <v>5580</v>
      </c>
      <c r="H741" t="n">
        <v>17</v>
      </c>
      <c r="I741">
        <f>SUM(G833*H833)</f>
        <v/>
      </c>
    </row>
    <row r="742" ht="13.5" customHeight="1">
      <c r="A742" s="27" t="inlineStr">
        <is>
          <t>4987176312822</t>
        </is>
      </c>
      <c r="B742" s="27" t="inlineStr">
        <is>
          <t>b0dvsjz4fn</t>
        </is>
      </c>
      <c r="C742" s="27" t="inlineStr">
        <is>
          <t>4987176312822-a</t>
        </is>
      </c>
      <c r="D742" s="27" t="inlineStr">
        <is>
          <t>b0dvsjz4fn</t>
        </is>
      </c>
      <c r="E742" t="inlineStr">
        <is>
          <t>レノア 超消臭1WEEK 柔軟剤 スポーツ フレッシュシトラスの香り 詰替用 1900mL 大容量 生乾き臭 汗臭 消臭 抗菌 部屋干し 静電気防止 花粉ブロック 衣類ケア タオル スポーツウェア 作業着 ユニフォーム 寝具 ふんわり P&amp;G</t>
        </is>
      </c>
      <c r="G742" t="n">
        <v>1194</v>
      </c>
      <c r="H742" t="n">
        <v>33</v>
      </c>
      <c r="I742">
        <f>SUM(G834*H834)</f>
        <v/>
      </c>
    </row>
    <row r="743" ht="13.5" customHeight="1">
      <c r="A743" s="27" t="inlineStr">
        <is>
          <t>0194644233532</t>
        </is>
      </c>
      <c r="B743" s="27" t="inlineStr">
        <is>
          <t>b0dwmpnclc</t>
        </is>
      </c>
      <c r="C743" s="27" t="inlineStr">
        <is>
          <t>0194644233532-2</t>
        </is>
      </c>
      <c r="D743" s="27" t="inlineStr">
        <is>
          <t>b0dwmpnclc</t>
        </is>
      </c>
      <c r="E743" t="inlineStr">
        <is>
          <t>Anker Eufy ユーフィ SmartTrack Card E30×2個セット 充電式紛失防止トラッカー スマートタグ 盗難防止タグ スマホが見つかる スマホ鳴らす 充電対応</t>
        </is>
      </c>
      <c r="G743" t="n">
        <v>5980</v>
      </c>
      <c r="H743" t="n">
        <v>3</v>
      </c>
      <c r="I743">
        <f>SUM(G835*H835)</f>
        <v/>
      </c>
    </row>
    <row r="744" ht="13.5" customHeight="1">
      <c r="A744" s="27" t="inlineStr">
        <is>
          <t>4901301450135</t>
        </is>
      </c>
      <c r="B744" s="27" t="inlineStr">
        <is>
          <t>b0dxnblx52-3</t>
        </is>
      </c>
      <c r="C744" s="27" t="inlineStr">
        <is>
          <t>4901301450135-3</t>
        </is>
      </c>
      <c r="D744" s="27" t="inlineStr">
        <is>
          <t>b0dxnblx52-3</t>
        </is>
      </c>
      <c r="E744" t="inlineStr">
        <is>
          <t>【3個セット】メリットキッズ 泡で出てくるシャンプー つめかえ用 270mL×3個セット 花王 キッズシャンプー 子供用 泡タイプ 詰替え用 弱酸性 ノンシリコーン パラベンフリー 合成着色料フリー 汗対策 ニオイケア 地肌ケア 毎日のお風呂 ヘアケア</t>
        </is>
      </c>
      <c r="G744" t="n">
        <v>1011</v>
      </c>
      <c r="H744" t="n">
        <v>6</v>
      </c>
      <c r="I744">
        <f>SUM(G836*H836)</f>
        <v/>
      </c>
    </row>
    <row r="745" ht="13.5" customHeight="1">
      <c r="A745" s="27" t="inlineStr">
        <is>
          <t>4987176305657</t>
        </is>
      </c>
      <c r="B745" s="27" t="inlineStr">
        <is>
          <t>b0f3d1ls31</t>
        </is>
      </c>
      <c r="C745" s="27" t="inlineStr">
        <is>
          <t>4987176305657</t>
        </is>
      </c>
      <c r="D745" s="27" t="inlineStr">
        <is>
          <t>b0f3d1ls31</t>
        </is>
      </c>
      <c r="E745" t="inlineStr">
        <is>
          <t>ファブリーズ プレミアム 消臭スプレー パステルフローラル＆ブロッサムの香り 詰め替え 4倍 1240mL P&amp;G 布用消臭剤 除菌 消臭 衣類 カーペット ソファ 布製品用 大容量 超特大 詰替用 まとめ買い 日用品</t>
        </is>
      </c>
      <c r="G745" t="n">
        <v>1039</v>
      </c>
      <c r="H745" t="n">
        <v>12</v>
      </c>
      <c r="I745">
        <f>SUM(G837*H837)</f>
        <v/>
      </c>
    </row>
    <row r="746" ht="13.5" customHeight="1">
      <c r="A746" s="27" t="inlineStr">
        <is>
          <t>0840414620421</t>
        </is>
      </c>
      <c r="B746" s="27" t="inlineStr">
        <is>
          <t>b0f7zf7w9p</t>
        </is>
      </c>
      <c r="C746" s="27" t="inlineStr">
        <is>
          <t>0840414620421</t>
        </is>
      </c>
      <c r="D746" s="27" t="inlineStr">
        <is>
          <t>b0f7zf7w9p</t>
        </is>
      </c>
      <c r="E746" t="inlineStr">
        <is>
          <t>Amazon Fire TV Stick 4K Plus ストリーミングメディアプレーヤー 4K対応 Wi-Fi 6 映画 動画配信 Alexa対応 音声認識リモコン付属 Prime Video Netflix YouTube TV Disney+ ABEMA U-NEXT 映像配信 高画質 Dolby Vision Dolby Atmos</t>
        </is>
      </c>
      <c r="G746" t="n">
        <v>5980</v>
      </c>
      <c r="H746" t="n">
        <v>6</v>
      </c>
      <c r="I746">
        <f>SUM(G838*H838)</f>
        <v/>
      </c>
    </row>
    <row r="747" ht="13.5" customHeight="1">
      <c r="A747" s="27" t="inlineStr">
        <is>
          <t>4903301375173</t>
        </is>
      </c>
      <c r="B747" s="27" t="inlineStr">
        <is>
          <t>b0fpvbqv49-2</t>
        </is>
      </c>
      <c r="C747" s="27" t="inlineStr">
        <is>
          <t>4903301375173-2</t>
        </is>
      </c>
      <c r="D747" s="27" t="inlineStr">
        <is>
          <t>b0fpvbqv49-2</t>
        </is>
      </c>
      <c r="E747" t="inlineStr">
        <is>
          <t>【2個セット】ソフラン アロマリッチ リラクシー ホワイトフラワーの香り 詰替用 1300mL 2個セット 柔軟剤 大容量 特大 つめかえ用 フローラル 部屋干し 抗菌 防臭 静電気防止 衣類ケア まとめ買い ライオン LION</t>
        </is>
      </c>
      <c r="G747" t="n">
        <v>1668</v>
      </c>
      <c r="H747" t="n">
        <v>5</v>
      </c>
      <c r="I747">
        <f>SUM(G840*H840)</f>
        <v/>
      </c>
    </row>
    <row r="748" ht="13.5" customHeight="1">
      <c r="A748" s="27" t="n"/>
      <c r="B748" s="27" t="inlineStr">
        <is>
          <t>b0fzk6z13j-2</t>
        </is>
      </c>
      <c r="C748" s="27" t="inlineStr">
        <is>
          <t>0465/1204</t>
        </is>
      </c>
      <c r="D748" s="27" t="inlineStr">
        <is>
          <t>b0fzk6z13j-2</t>
        </is>
      </c>
      <c r="E748" t="inlineStr">
        <is>
          <t>【2個セット】ファブリーズ レノアハピネスミスト 衣類・布製品用 消臭スプレー さくらフローラル＆ブロッサムの香り 詰め替え 610mL×2 期間限定 消臭 除菌 布用スプレー ファブリックスプレー 衣類 ソファ カーテン 寝具 クッション 部屋干し ニオイ対策 まとめ買い 大容量</t>
        </is>
      </c>
      <c r="G748" t="n">
        <v>1204</v>
      </c>
      <c r="H748" t="n">
        <v>6</v>
      </c>
      <c r="I748">
        <f>SUM(G841*H841)</f>
        <v/>
      </c>
    </row>
    <row r="749" ht="13.5" customHeight="1">
      <c r="A749" s="27" t="n"/>
      <c r="B749" s="27" t="inlineStr">
        <is>
          <t>b0g2ktk6wy-2</t>
        </is>
      </c>
      <c r="C749" s="27" t="inlineStr">
        <is>
          <t>3575/1532</t>
        </is>
      </c>
      <c r="D749" s="27" t="inlineStr">
        <is>
          <t>b0g2ktk6wy-2</t>
        </is>
      </c>
      <c r="E749" t="inlineStr">
        <is>
          <t>【2個セット】ランドリン 柔軟剤 サクラチェリーブロッサムの香り 2026 600mL×2 本体 期間限定 桜 柔軟剤 大容量 フレグランス オーガニック植物エキス配合 部屋干しOK 静電気防止 花粉対策 赤ちゃん衣類OK 衣類ケア なめらか ふんわり ランドリー 洗濯 まとめ買い ストック</t>
        </is>
      </c>
      <c r="G749" t="n">
        <v>1532</v>
      </c>
      <c r="H749" t="n">
        <v>12</v>
      </c>
      <c r="I749">
        <f>SUM(G842*H842)</f>
        <v/>
      </c>
    </row>
    <row r="750" ht="13.5" customHeight="1">
      <c r="A750" s="27" t="inlineStr">
        <is>
          <t>0840414684973</t>
        </is>
      </c>
      <c r="B750" s="27" t="inlineStr">
        <is>
          <t>b0g2tqzmy1</t>
        </is>
      </c>
      <c r="C750" s="27" t="inlineStr">
        <is>
          <t>0840414684973</t>
        </is>
      </c>
      <c r="D750" s="27" t="inlineStr">
        <is>
          <t>b0g2tqzmy1</t>
        </is>
      </c>
      <c r="E750" t="inlineStr">
        <is>
          <t>Amazon Fire TV Stick 4K Plus Alexa対応音声認識リモコン付 ストリーミングメディアプレーヤー Wi-Fi 6 4K Ultra HD Dolby Vision HDR10+ Dolby Atmos HDMI テレビ 動画配信 Netflix Prime Video YouTube TVer ABEMA U-NEXT Disney+ 音声操作</t>
        </is>
      </c>
      <c r="G750" t="n">
        <v>5980</v>
      </c>
      <c r="H750" t="n">
        <v>29</v>
      </c>
      <c r="I750">
        <f>SUM(G843*H843)</f>
        <v/>
      </c>
    </row>
    <row r="751" ht="13.5" customHeight="1">
      <c r="A751" s="27" t="inlineStr">
        <is>
          <t>0840414639447</t>
        </is>
      </c>
      <c r="B751" s="27" t="inlineStr">
        <is>
          <t>b0g3ycrjkx</t>
        </is>
      </c>
      <c r="C751" s="27" t="inlineStr">
        <is>
          <t>0840414639447</t>
        </is>
      </c>
      <c r="D751" s="27" t="inlineStr">
        <is>
          <t>b0g3ycrjkx</t>
        </is>
      </c>
      <c r="E751" t="inlineStr">
        <is>
          <t>Amazon Fire TV Stick HD Alexa対応音声認識リモコン付 ストリーミングメディアプレーヤー Wi-Fi 6対応 フルHD HDMI 動画配信 Netflix Prime Video YouTube TVer ABEMA U-NEXT Disney+ 音声操作 コンパクト テレビ 接続</t>
        </is>
      </c>
      <c r="G751" t="n">
        <v>3780</v>
      </c>
      <c r="H751" t="n">
        <v>0</v>
      </c>
      <c r="I751">
        <f>SUM(G844*H844)</f>
        <v/>
      </c>
    </row>
    <row r="752" ht="13.5" customHeight="1">
      <c r="A752" s="27" t="inlineStr">
        <is>
          <t>4987176364289</t>
        </is>
      </c>
      <c r="B752" s="27" t="inlineStr">
        <is>
          <t>b0g4mhkqp8-2</t>
        </is>
      </c>
      <c r="C752" s="27" t="inlineStr">
        <is>
          <t>4987176364289-2</t>
        </is>
      </c>
      <c r="D752" s="27" t="inlineStr">
        <is>
          <t>b0g4mhkqp8-2</t>
        </is>
      </c>
      <c r="E752" t="inlineStr">
        <is>
          <t>レノア アロマジュエル Perfume アンティークローズ&amp;フローラルの香り 詰め替え 1410mL×2個セット 香り付けビーズ 衣類用香りづけ剤 大容量 洗濯ビーズ アロマビーズ 消臭 防臭 洗濯 香り 長続き 詰替え ランドリー 衣類ケア 洗濯用品 日用品 まとめ買い ストック</t>
        </is>
      </c>
      <c r="G752" t="n">
        <v>3376</v>
      </c>
      <c r="H752" t="n">
        <v>5</v>
      </c>
      <c r="I752">
        <f>SUM(G846*H846)</f>
        <v/>
      </c>
    </row>
    <row r="753" ht="13.5" customHeight="1">
      <c r="A753" s="27" t="inlineStr">
        <is>
          <t>4901301466280</t>
        </is>
      </c>
      <c r="B753" s="27" t="inlineStr">
        <is>
          <t>b0gm6xmjmn-2</t>
        </is>
      </c>
      <c r="C753" s="27" t="inlineStr">
        <is>
          <t>4901301466280-2</t>
        </is>
      </c>
      <c r="D753" s="27" t="inlineStr">
        <is>
          <t>b0gm6xmjmn-2</t>
        </is>
      </c>
      <c r="E753" t="inlineStr">
        <is>
          <t>【2個セット】アタックZERO ドラム式専用 詰め替え 1460g×2個セット 花王 洗濯洗剤 液体洗剤 部屋干し 消臭 抗菌 ドラム式洗濯機専用 超特大 大容量 詰替え 衣類から洗濯槽まで 最高峰の消臭 エリ汚れ 皮脂汚れ ニオイ対策 洗濯 ランドリー 日用品 まとめ買い ストック</t>
        </is>
      </c>
      <c r="G753" t="n">
        <v>3460</v>
      </c>
      <c r="H753" t="n">
        <v>3</v>
      </c>
      <c r="I753">
        <f>SUM(G847*H847)</f>
        <v/>
      </c>
    </row>
    <row r="754" ht="13.5" customHeight="1">
      <c r="A754" s="27" t="inlineStr">
        <is>
          <t>4901301448330</t>
        </is>
      </c>
      <c r="B754" s="27" t="inlineStr">
        <is>
          <t>b0h6xvg97y-6</t>
        </is>
      </c>
      <c r="C754" s="27" t="inlineStr">
        <is>
          <t>4901301448330-6-a</t>
        </is>
      </c>
      <c r="D754" s="27" t="inlineStr">
        <is>
          <t>b0h6xvg97y-6</t>
        </is>
      </c>
      <c r="E754" t="inlineStr">
        <is>
          <t>【6個セット】ビオレ 冷タオル 子どもも使える 5本入×6 冷却タオル ひんやりタオル クールタオル 冷感タオル 熱中症対策 暑さ対策 首 冷やす 携帯用 冷感グッズ 外出用 夏 スポーツ アウトドア 通学 通園 部活 運動会 花王 まとめ買い</t>
        </is>
      </c>
      <c r="G754" t="n">
        <v>3294</v>
      </c>
      <c r="H754" t="n">
        <v>2</v>
      </c>
      <c r="I754">
        <f>SUM(G848*H848)</f>
        <v/>
      </c>
    </row>
    <row r="755" ht="13.5" customHeight="1">
      <c r="A755" s="27" t="n"/>
      <c r="B755" s="27" t="inlineStr">
        <is>
          <t>b0h9jy5p2b</t>
        </is>
      </c>
      <c r="C755" s="27" t="inlineStr">
        <is>
          <t>SET-3018-3001-a</t>
        </is>
      </c>
      <c r="D755" s="27" t="inlineStr">
        <is>
          <t>b0h9jy5p2b</t>
        </is>
      </c>
      <c r="E755" t="inlineStr">
        <is>
          <t>【セット品】アリエール ジェルボールPRO 爽快クール 涼感 リフレッシュクールの香り 大容量 85個+13個セット P&amp;G 洗濯洗剤 ジェルボール 洗剤 詰め合わせ 消臭 抗菌 部屋干し すすぎ1回 黄ばみ 黒ずみ エリそで汚れ ドラム式 縦型洗濯機 まとめ買い 日用品</t>
        </is>
      </c>
      <c r="G755" t="n">
        <v>2946</v>
      </c>
      <c r="H755" t="n">
        <v>5</v>
      </c>
      <c r="I755">
        <f>SUM(G849*H849)</f>
        <v/>
      </c>
    </row>
    <row r="756" ht="13.5" customHeight="1">
      <c r="A756" s="27" t="n"/>
      <c r="B756" s="27" t="inlineStr">
        <is>
          <t>b0h9qjns2q</t>
        </is>
      </c>
      <c r="C756" s="27" t="inlineStr">
        <is>
          <t>SET-5931-5924-a</t>
        </is>
      </c>
      <c r="D756" s="27" t="inlineStr">
        <is>
          <t>b0h9qjns2q</t>
        </is>
      </c>
      <c r="E756" t="inlineStr">
        <is>
          <t>【セット品】IROKA イロカ ミュゲインザエア 本体540mL+詰め替え650mLセット 花王 柔軟剤 液体柔軟剤 香水のような香り ミュゲ リリー 上質 透明感 限定 詰替え 消臭 静電気防止 シワ防止 衣類ケア フレグランス 大容量 ランドリー 日用品 ギフト まとめ買い</t>
        </is>
      </c>
      <c r="G756" t="n">
        <v>1988</v>
      </c>
      <c r="H756" t="n">
        <v>1</v>
      </c>
      <c r="I756">
        <f>SUM(G850*H850)</f>
        <v/>
      </c>
    </row>
    <row r="757" ht="13.5" customHeight="1">
      <c r="A757" s="27" t="n"/>
      <c r="B757" s="27" t="inlineStr">
        <is>
          <t>b0h9qpjhch</t>
        </is>
      </c>
      <c r="C757" s="27" t="inlineStr">
        <is>
          <t>SET-4879-4893-a</t>
        </is>
      </c>
      <c r="D757" s="27" t="inlineStr">
        <is>
          <t>b0h9qpjhch</t>
        </is>
      </c>
      <c r="E757" t="inlineStr">
        <is>
          <t>【セット品】アリエール MiRAi 超濃縮 液体洗剤 爽快COOL 本体410g+詰め替え920gセット 涼感 リフレッシュクールの香り P&amp;G 洗濯洗剤 コンパクト 消臭 抗菌 部屋干し 黄ばみ 黒ずみ エリそで汚れ すすぎ1回 ドラム式 縦型 省スペース 本体 詰替え 日用品 まとめ買い</t>
        </is>
      </c>
      <c r="G757" t="n">
        <v>1406</v>
      </c>
      <c r="H757" t="n">
        <v>5</v>
      </c>
      <c r="I757">
        <f>SUM(G851*H851)</f>
        <v/>
      </c>
    </row>
    <row r="758" ht="13.5" customHeight="1">
      <c r="A758" s="27" t="inlineStr">
        <is>
          <t>4901477705435</t>
        </is>
      </c>
      <c r="B758" s="27" t="inlineStr">
        <is>
          <t>b0hb31z1y8</t>
        </is>
      </c>
      <c r="C758" s="27" t="inlineStr">
        <is>
          <t>4901477705435-2-a</t>
        </is>
      </c>
      <c r="D758" s="27" t="inlineStr">
        <is>
          <t>b0hb31z1y8</t>
        </is>
      </c>
      <c r="E758" t="inlineStr">
        <is>
          <t>【2個セット】プライバシー UVパウダー SPF50+ PA++++ メイクの上から使える UVカット フェイスパウダー テカリ防止 化粧直し 日焼け止め 紫外線対策 ウォータープルーフ 透明パウダー 毛穴カバー 皮脂吸着 顔用 化粧品 UVケア メイクキープ 黒龍堂</t>
        </is>
      </c>
      <c r="G758" t="n">
        <v>1882</v>
      </c>
      <c r="H758" t="n">
        <v>3</v>
      </c>
      <c r="I758">
        <f>SUM(G852*H852)</f>
        <v/>
      </c>
    </row>
    <row r="759" ht="13.5" customHeight="1">
      <c r="A759" s="27" t="inlineStr">
        <is>
          <t>4936201100941</t>
        </is>
      </c>
      <c r="B759" s="27" t="inlineStr">
        <is>
          <t>b0hb3sfnpm</t>
        </is>
      </c>
      <c r="C759" s="27" t="inlineStr">
        <is>
          <t>4936201100941-4-a</t>
        </is>
      </c>
      <c r="D759" s="27" t="inlineStr">
        <is>
          <t>b0hb3sfnpm</t>
        </is>
      </c>
      <c r="E759" t="inlineStr">
        <is>
          <t>【4個セット】ロッシモイストエイド 馬油スキンクリーム 220g ボディクリーム 保湿クリーム ハンドクリーム フェイスクリーム 全身保湿 スキンケア 乾燥肌 高保湿 大容量 顔 手 足 ひじ ひざ かかと 無香料 しっとり 潤い 家族用 コスメテックスローランド</t>
        </is>
      </c>
      <c r="G759" s="6" t="n"/>
      <c r="H759" t="n">
        <v>5</v>
      </c>
      <c r="I759">
        <f>SUM(G853*H853)</f>
        <v/>
      </c>
    </row>
    <row r="760" ht="13.5" customHeight="1">
      <c r="A760" s="27" t="n"/>
      <c r="B760" s="27" t="inlineStr">
        <is>
          <t>b0hbsvxz7c</t>
        </is>
      </c>
      <c r="C760" s="27" t="inlineStr">
        <is>
          <t>AST-2923-2930-2947-2954-2961-a</t>
        </is>
      </c>
      <c r="D760" s="27" t="inlineStr">
        <is>
          <t>b0hbsvxz7c</t>
        </is>
      </c>
      <c r="E760" t="inlineStr">
        <is>
          <t>【6種セット】クーリア もっちもちシール シールセット クラウドポップタイム えながのおいしいごはん おやすみバニー なかよしうみあにまる ゆるかふぇびより ふわふわぽっぷ デコレーションシール 手帳 シール帳 ノート アルバム コレクション かわいい 文房具</t>
        </is>
      </c>
      <c r="G760" t="n">
        <v>1224</v>
      </c>
      <c r="H760" t="n">
        <v>10</v>
      </c>
      <c r="I760">
        <f>SUM(G854*H854)</f>
        <v/>
      </c>
    </row>
    <row r="761" ht="13.5" customHeight="1">
      <c r="A761" s="27" t="n"/>
      <c r="B761" s="27" t="inlineStr">
        <is>
          <t>b0hbt7bpct</t>
        </is>
      </c>
      <c r="C761" s="27" t="inlineStr">
        <is>
          <t>AST-3067-3074-3081-3098-3104-a</t>
        </is>
      </c>
      <c r="D761" s="27" t="inlineStr">
        <is>
          <t>b0hbt7bpct</t>
        </is>
      </c>
      <c r="E761" t="inlineStr">
        <is>
          <t>【6種セット】クーリア ウォーターシール スイートピンクタイム ハムハムエンジェル シュガーミエル シーグラスアイランド もちえなが キャンディツインズ デコシール キャラクター デコレーションシール 手帳 シール帳 ノート アルバム コレクション かわいい 文房具</t>
        </is>
      </c>
      <c r="G761" t="n">
        <v>1452</v>
      </c>
      <c r="H761" t="n">
        <v>10</v>
      </c>
      <c r="I761">
        <f>SUM(G855*H855)</f>
        <v/>
      </c>
    </row>
    <row r="762" ht="13.5" customHeight="1">
      <c r="A762" s="27" t="n"/>
      <c r="B762" s="27" t="inlineStr">
        <is>
          <t>b0hc1dp7rm</t>
        </is>
      </c>
      <c r="C762" s="27" t="inlineStr">
        <is>
          <t>AST-1759-1766-1773-1780-1797-a</t>
        </is>
      </c>
      <c r="D762" s="27" t="inlineStr">
        <is>
          <t>b0hc1dp7rm</t>
        </is>
      </c>
      <c r="E762" t="inlineStr">
        <is>
          <t>【6種セット】クーリア ウォーターシール スイートマジカル はむはむハムちゃん チャーミングルーム きらりんエナガマーチ ももいろみるく マイスパークル デコレーションシール シール 手帳 ノート アルバム スマホケース ステッカー まとめ買い 公式 本物 正規品</t>
        </is>
      </c>
      <c r="G762" t="n">
        <v>1452</v>
      </c>
      <c r="H762" t="n">
        <v>8</v>
      </c>
      <c r="I762">
        <f>SUM(G856*H856)</f>
        <v/>
      </c>
    </row>
    <row r="763" ht="13.5" customHeight="1">
      <c r="A763" s="27" t="n"/>
      <c r="B763" s="27" t="inlineStr">
        <is>
          <t>b0hc1kzx44</t>
        </is>
      </c>
      <c r="C763" s="27" t="inlineStr">
        <is>
          <t>93-84SQ-JQ69-a</t>
        </is>
      </c>
      <c r="D763" s="27" t="inlineStr">
        <is>
          <t>b0hc1kzx44</t>
        </is>
      </c>
      <c r="E763" t="inlineStr">
        <is>
          <t>【6種セット】クーリア クリアジェムステッカー エンジェル ストロベリー レモン グレープ ソーダ プラネット デコレーションシール クリアステッカー ジェムシール シール 手帳 ノート アルバム スマホケース ラッピング まとめ買い 公式 本物 正規品</t>
        </is>
      </c>
      <c r="G763" t="n">
        <v>1531</v>
      </c>
      <c r="H763" t="n">
        <v>6</v>
      </c>
      <c r="I763">
        <f>SUM(G857*H857)</f>
        <v/>
      </c>
    </row>
    <row r="764" ht="13.5" customHeight="1">
      <c r="A764" s="27" t="n"/>
      <c r="B764" s="27" t="inlineStr">
        <is>
          <t>set-0003</t>
        </is>
      </c>
      <c r="C764" s="27" t="inlineStr">
        <is>
          <t>6996,7009,7016/1182-a</t>
        </is>
      </c>
      <c r="D764" s="27" t="inlineStr">
        <is>
          <t>set-0003</t>
        </is>
      </c>
      <c r="E764" t="inlineStr">
        <is>
          <t>【セット品】いなば 鴨づくし 60g×18袋 3種セット キャットフード 猫用 パウチ ウェットフード かもだし仕立て かも軟骨入り かつお節入り ゼリータイプ 一般食 国産 猫 ごはん ねこ エサ 餌 レトルト パウチフード 水分補給 バラエティ アソート まとめ買い INABA</t>
        </is>
      </c>
      <c r="G764" t="n">
        <v>1182</v>
      </c>
      <c r="H764" t="n">
        <v>3</v>
      </c>
      <c r="I764">
        <f>SUM(G858*H858)</f>
        <v/>
      </c>
    </row>
    <row r="765" ht="13.5" customHeight="1">
      <c r="A765" s="27" t="n"/>
      <c r="B765" s="27" t="inlineStr">
        <is>
          <t>set-0004</t>
        </is>
      </c>
      <c r="C765" s="27" t="inlineStr">
        <is>
          <t>1317,3716/2649-a</t>
        </is>
      </c>
      <c r="D765" s="27" t="inlineStr">
        <is>
          <t>set-0004</t>
        </is>
      </c>
      <c r="E765" t="inlineStr">
        <is>
          <t>【セット品】アース モンスーン 虫よけ線香 100巻 保存缶セット アース製薬 防虫 蚊取り線香 線香立て付き 缶入り 屋外 キャンプ ガーデニング ベランダ 庭 アウトドア 虫除け 蚊 ハエ ブヨ ヤブ蚊 対策 大容量 まとめ買い</t>
        </is>
      </c>
      <c r="G765" t="n">
        <v>2649</v>
      </c>
      <c r="H765" t="n">
        <v>3</v>
      </c>
      <c r="I765">
        <f>SUM(G859*H859)</f>
        <v/>
      </c>
    </row>
    <row r="766" ht="13.5" customHeight="1">
      <c r="A766" s="27" t="n"/>
      <c r="B766" s="27" t="inlineStr">
        <is>
          <t>set-0008</t>
        </is>
      </c>
      <c r="C766" s="27" t="inlineStr">
        <is>
          <t>3873,3880/580</t>
        </is>
      </c>
      <c r="D766" s="27" t="inlineStr">
        <is>
          <t>set-0008</t>
        </is>
      </c>
      <c r="E766" t="inlineStr">
        <is>
          <t>【2種セット】しずくちゃん ウォーターシール しずくパーク しずくの森のなかまたち デコシール ぷっくりシール 立体シール キャラクターシール キラキラ シール 文具 手帳 ノート アルバム デコレーション 子ども キッズ 女の子 プレゼント ギフト アソート まとめ買い</t>
        </is>
      </c>
      <c r="G766" t="n">
        <v>580</v>
      </c>
      <c r="H766" t="n">
        <v>15</v>
      </c>
      <c r="I766">
        <f>SUM(G860*H860)</f>
        <v/>
      </c>
    </row>
    <row r="767" ht="13.5" customHeight="1">
      <c r="A767" s="27" t="n"/>
      <c r="B767" s="27" t="inlineStr">
        <is>
          <t>set-0009</t>
        </is>
      </c>
      <c r="C767" s="27" t="inlineStr">
        <is>
          <t>3828,3835/522</t>
        </is>
      </c>
      <c r="D767" s="27" t="inlineStr">
        <is>
          <t>set-0009</t>
        </is>
      </c>
      <c r="E767" t="inlineStr">
        <is>
          <t>【2種セット】しずくちゃん おはじきシール しずくちゃん みるみるちゃん キャラクターシール デコシール ぷっくりシール 立体シール キラキラ シール 文具 ステーショナリー 手帳 ノート アルバム デコレーション キッズ 子ども 女の子 プレゼント ギフト まとめ買い</t>
        </is>
      </c>
      <c r="G767" t="n">
        <v>522</v>
      </c>
      <c r="H767" t="n">
        <v>10</v>
      </c>
      <c r="I767">
        <f>SUM(G861*H861)</f>
        <v/>
      </c>
    </row>
    <row r="768" ht="13.5" customHeight="1">
      <c r="A768" s="27" t="n"/>
      <c r="B768" s="27" t="inlineStr">
        <is>
          <t>set-0010</t>
        </is>
      </c>
      <c r="C768" s="27" t="inlineStr">
        <is>
          <t>0561,0578,0585,0592/928</t>
        </is>
      </c>
      <c r="D768" s="27" t="inlineStr">
        <is>
          <t>set-0010</t>
        </is>
      </c>
      <c r="E768" t="inlineStr">
        <is>
          <t>【4種セット】エターナルジュエリークラウンシール フェアリーブルーコア トゥインクルクラウン ダークムーンエンジェル マジカルドリーミー デコシール ジュエリーシール 立体シール キラキラ シール 手帳 ノート アルバム デコレーション プレゼント ギフト まとめ買い</t>
        </is>
      </c>
      <c r="G768" t="n">
        <v>928</v>
      </c>
      <c r="H768" t="n">
        <v>9</v>
      </c>
      <c r="I768">
        <f>SUM(G862*H862)</f>
        <v/>
      </c>
    </row>
    <row r="769" ht="13.5" customHeight="1">
      <c r="A769" s="27" t="n"/>
      <c r="B769" s="27" t="inlineStr">
        <is>
          <t>set-0011</t>
        </is>
      </c>
      <c r="C769" s="27" t="inlineStr">
        <is>
          <t>1486,1493,1509,1516</t>
        </is>
      </c>
      <c r="D769" s="27" t="inlineStr">
        <is>
          <t>set-0011</t>
        </is>
      </c>
      <c r="E769" t="inlineStr">
        <is>
          <t>【4種セット】プレミアムオーロラスポンジシール おやすみバニー エアリーチュチュ スイートハニークラウド マジカルウィッシュ デコシール スポンジシール オーロラシール 立体シール 手帳 ノート アルバム 文具 デコレーション プレゼント ギフト</t>
        </is>
      </c>
      <c r="G769" t="n">
        <v>814</v>
      </c>
      <c r="H769" t="n">
        <v>10</v>
      </c>
      <c r="I769">
        <f>SUM(G863*H863)</f>
        <v/>
      </c>
    </row>
    <row r="770" ht="13.5" customHeight="1">
      <c r="A770" s="27" t="n"/>
      <c r="B770" s="27" t="inlineStr">
        <is>
          <t>set-0012</t>
        </is>
      </c>
      <c r="C770" s="27" t="inlineStr">
        <is>
          <t>2032,2056,2063/558</t>
        </is>
      </c>
      <c r="D770" s="27" t="inlineStr">
        <is>
          <t>set-0012</t>
        </is>
      </c>
      <c r="E770" t="inlineStr">
        <is>
          <t>【3種セット】ハピピチョアチョアポップシール 3種セット うさうさ わんわん ねこねこ キャラクターシール デコシール ステッカー ポップシール 手帳シール ノートデコ スマホデコ 韓国風文具 かわいいシール 女の子向け 雑貨 コレクションシール まとめ買い ギフト</t>
        </is>
      </c>
      <c r="G770" t="n">
        <v>558</v>
      </c>
      <c r="H770" t="n">
        <v>15</v>
      </c>
      <c r="I770">
        <f>SUM(G864*H864)</f>
        <v/>
      </c>
    </row>
    <row r="771" ht="13.5" customHeight="1">
      <c r="A771" s="27" t="n"/>
      <c r="B771" s="27" t="inlineStr">
        <is>
          <t>set-0013</t>
        </is>
      </c>
      <c r="C771" s="27" t="inlineStr">
        <is>
          <t>0998,1025/372</t>
        </is>
      </c>
      <c r="D771" s="27" t="inlineStr">
        <is>
          <t>set-0013</t>
        </is>
      </c>
      <c r="E771" t="inlineStr">
        <is>
          <t>【2種セット】おはじきシール スイートカフェ おやすみバニー デコシール ぷっくりシール 透明シール きらきらシール 立体風シール ステッカー 手帳 ノート アルバム デコレーション 文房具 小物デコ コレクション ギフト まとめ買い 女の子雑貨</t>
        </is>
      </c>
      <c r="G771" t="n">
        <v>372</v>
      </c>
      <c r="H771" t="n">
        <v>10</v>
      </c>
      <c r="I771">
        <f>SUM(G865*H865)</f>
        <v/>
      </c>
    </row>
    <row r="772" ht="13.5" customHeight="1">
      <c r="A772" s="27" t="n"/>
      <c r="B772" s="27" t="inlineStr">
        <is>
          <t>set-0014</t>
        </is>
      </c>
      <c r="C772" s="27" t="inlineStr">
        <is>
          <t>SET-0014/6668.6637</t>
        </is>
      </c>
      <c r="D772" s="27" t="inlineStr">
        <is>
          <t>set-0014</t>
        </is>
      </c>
      <c r="E772" t="inlineStr">
        <is>
          <t>【セット品】NEXXUS ネクサス リペアアンドカラープロテクト トリートメント セット ポンプ440g+詰め替え350g カラーケア ダメージケア 色落ち防止 サロン品質 保湿 補修 ヘアケア 日本製 ユニリーバ</t>
        </is>
      </c>
      <c r="G772" t="n">
        <v>1432</v>
      </c>
      <c r="H772" t="n">
        <v>7</v>
      </c>
      <c r="I772">
        <f>SUM(G866*H866)</f>
        <v/>
      </c>
    </row>
    <row r="773" ht="13.5" customHeight="1">
      <c r="A773" s="27" t="n"/>
      <c r="B773" s="27" t="inlineStr">
        <is>
          <t>14214143s1</t>
        </is>
      </c>
      <c r="C773" s="27" t="inlineStr">
        <is>
          <t>2486</t>
        </is>
      </c>
      <c r="D773" s="27" t="inlineStr">
        <is>
          <t>14214143s1</t>
        </is>
      </c>
      <c r="G773" s="28" t="n"/>
      <c r="H773" t="n">
        <v>0</v>
      </c>
    </row>
    <row r="774" ht="13.5" customHeight="1">
      <c r="A774" s="27" t="n"/>
      <c r="B774" s="27" t="inlineStr">
        <is>
          <t>4550391010394</t>
        </is>
      </c>
      <c r="C774" s="27" t="inlineStr">
        <is>
          <t>0400,0417,0424,1816,1823/3080</t>
        </is>
      </c>
      <c r="D774" s="27" t="inlineStr">
        <is>
          <t>4550391010394</t>
        </is>
      </c>
      <c r="G774" s="28" t="n"/>
      <c r="H774" t="n">
        <v>0</v>
      </c>
    </row>
    <row r="775" ht="13.5" customHeight="1">
      <c r="A775" s="27" t="n"/>
      <c r="B775" s="27" t="inlineStr">
        <is>
          <t>4550391010417</t>
        </is>
      </c>
      <c r="C775" s="27" t="inlineStr">
        <is>
          <t>0394,0424,1816,1823,1830/2640</t>
        </is>
      </c>
      <c r="D775" s="27" t="inlineStr">
        <is>
          <t>4550391010394</t>
        </is>
      </c>
      <c r="G775" s="28" t="n"/>
      <c r="H775" t="n">
        <v>0</v>
      </c>
    </row>
    <row r="776" ht="13.5" customHeight="1">
      <c r="A776" s="27" t="n"/>
      <c r="B776" s="27" t="inlineStr">
        <is>
          <t>4550391811816</t>
        </is>
      </c>
      <c r="C776" s="27" t="inlineStr">
        <is>
          <t>0349,0417,1816,1823/2200</t>
        </is>
      </c>
      <c r="D776" s="27" t="inlineStr">
        <is>
          <t>4550391811816</t>
        </is>
      </c>
      <c r="G776" s="28" t="n"/>
      <c r="H776" t="n">
        <v>0</v>
      </c>
    </row>
    <row r="777" ht="13.5" customHeight="1">
      <c r="A777" s="27" t="n"/>
      <c r="B777" s="27" t="inlineStr">
        <is>
          <t>4550391811823</t>
        </is>
      </c>
      <c r="C777" s="27" t="inlineStr">
        <is>
          <t>0417,1823,1830,0526,0564/1540</t>
        </is>
      </c>
      <c r="D777" s="27" t="inlineStr">
        <is>
          <t>4550391811823</t>
        </is>
      </c>
      <c r="G777" s="28" t="n"/>
      <c r="H777" t="n">
        <v>0</v>
      </c>
    </row>
    <row r="778" ht="13.5" customHeight="1">
      <c r="A778" s="27" t="n"/>
      <c r="B778" s="27" t="inlineStr">
        <is>
          <t>4550391811830</t>
        </is>
      </c>
      <c r="C778" s="27" t="inlineStr">
        <is>
          <t>0417,1830,0526,0564,1226/1110</t>
        </is>
      </c>
      <c r="D778" s="27" t="inlineStr">
        <is>
          <t>4550391811830</t>
        </is>
      </c>
      <c r="G778" s="28" t="n"/>
      <c r="H778" t="n">
        <v>0</v>
      </c>
    </row>
    <row r="779" ht="13.5" customHeight="1">
      <c r="A779" s="27" t="n"/>
      <c r="B779" s="27" t="inlineStr">
        <is>
          <t>4550391910526</t>
        </is>
      </c>
      <c r="C779" s="27" t="inlineStr">
        <is>
          <t>0417,0526,0564,1226/880</t>
        </is>
      </c>
      <c r="D779" s="27" t="inlineStr">
        <is>
          <t>4550391910526</t>
        </is>
      </c>
      <c r="G779" s="28" t="n"/>
      <c r="H779" t="n">
        <v>0</v>
      </c>
    </row>
    <row r="780" ht="13.5" customHeight="1">
      <c r="A780" s="27" t="n"/>
      <c r="B780" s="27" t="inlineStr">
        <is>
          <t>4550391911233</t>
        </is>
      </c>
      <c r="C780" s="27" t="inlineStr">
        <is>
          <t>0394,0417,1816,1823,1830/1980</t>
        </is>
      </c>
      <c r="D780" s="27" t="inlineStr">
        <is>
          <t>4550391911233</t>
        </is>
      </c>
      <c r="G780" s="28" t="n"/>
      <c r="H780" t="n">
        <v>0</v>
      </c>
    </row>
    <row r="781" ht="13.5" customHeight="1">
      <c r="A781" s="27" t="n"/>
      <c r="B781" s="27" t="inlineStr">
        <is>
          <t>b00irx6ztw</t>
        </is>
      </c>
      <c r="C781" s="27" t="inlineStr">
        <is>
          <t>8697/1900</t>
        </is>
      </c>
      <c r="D781" s="27" t="inlineStr">
        <is>
          <t>b00irx6ztw</t>
        </is>
      </c>
      <c r="G781" s="28" t="n"/>
      <c r="H781" t="n">
        <v>0</v>
      </c>
    </row>
    <row r="782" ht="13.5" customHeight="1">
      <c r="A782" s="27" t="n"/>
      <c r="B782" s="27" t="inlineStr">
        <is>
          <t>b00jrnlztq</t>
        </is>
      </c>
      <c r="C782" s="27" t="inlineStr">
        <is>
          <t>8697/1900</t>
        </is>
      </c>
      <c r="D782" s="27" t="inlineStr">
        <is>
          <t>b01lxs9muk</t>
        </is>
      </c>
      <c r="G782" s="28" t="n"/>
      <c r="H782" t="n">
        <v>0</v>
      </c>
    </row>
    <row r="783" ht="13.5" customHeight="1">
      <c r="A783" s="27" t="n"/>
      <c r="B783" s="27" t="inlineStr">
        <is>
          <t>b01lxs9muk</t>
        </is>
      </c>
      <c r="C783" s="27" t="inlineStr">
        <is>
          <t>9649/1980</t>
        </is>
      </c>
      <c r="D783" s="27" t="inlineStr">
        <is>
          <t>b01lxs9muk</t>
        </is>
      </c>
      <c r="G783" s="28" t="n"/>
      <c r="H783" t="n">
        <v>0</v>
      </c>
    </row>
    <row r="784" ht="13.5" customHeight="1">
      <c r="A784" s="27" t="n"/>
      <c r="B784" s="27" t="inlineStr">
        <is>
          <t>b074p66xkd</t>
        </is>
      </c>
      <c r="C784" s="27" t="inlineStr">
        <is>
          <t>6774/2900</t>
        </is>
      </c>
      <c r="D784" s="27" t="inlineStr">
        <is>
          <t>b074p66xkd</t>
        </is>
      </c>
      <c r="G784" s="28" t="n"/>
      <c r="H784" t="n">
        <v>0</v>
      </c>
    </row>
    <row r="785" ht="13.5" customHeight="1">
      <c r="A785" s="27" t="n"/>
      <c r="B785" s="27" t="inlineStr">
        <is>
          <t>b07b2t3nnj</t>
        </is>
      </c>
      <c r="C785" s="27" t="inlineStr">
        <is>
          <t>0164/1900</t>
        </is>
      </c>
      <c r="D785" s="27" t="inlineStr">
        <is>
          <t>b07b2t3nnj</t>
        </is>
      </c>
      <c r="G785" s="28" t="n"/>
      <c r="H785" t="n">
        <v>0</v>
      </c>
    </row>
    <row r="786" ht="13.5" customHeight="1">
      <c r="A786" s="27" t="n"/>
      <c r="B786" s="27" t="inlineStr">
        <is>
          <t>b084tnp2b4</t>
        </is>
      </c>
      <c r="C786" s="27" t="inlineStr">
        <is>
          <t>0163,1154/8980,8980</t>
        </is>
      </c>
      <c r="D786" s="27" t="inlineStr">
        <is>
          <t>B084TNH1CY</t>
        </is>
      </c>
      <c r="G786" s="28" t="n"/>
      <c r="H786" t="n">
        <v>0</v>
      </c>
    </row>
    <row r="787" ht="13.5" customHeight="1">
      <c r="A787" s="27" t="n"/>
      <c r="B787" s="27" t="inlineStr">
        <is>
          <t>b084tnp2b4</t>
        </is>
      </c>
      <c r="C787" s="27" t="inlineStr">
        <is>
          <t>0163,1154/8980,8980</t>
        </is>
      </c>
      <c r="D787" s="27" t="inlineStr">
        <is>
          <t>B084TNP2B4</t>
        </is>
      </c>
      <c r="G787" s="28" t="n"/>
      <c r="H787" t="n">
        <v>0</v>
      </c>
    </row>
    <row r="788" ht="13.5" customHeight="1">
      <c r="A788" s="27" t="n"/>
      <c r="B788" s="27" t="inlineStr">
        <is>
          <t>b08kjp7326</t>
        </is>
      </c>
      <c r="C788" s="27" t="inlineStr">
        <is>
          <t>4151/3980</t>
        </is>
      </c>
      <c r="D788" s="27" t="inlineStr">
        <is>
          <t>b08kjp7326</t>
        </is>
      </c>
      <c r="G788" s="28" t="n"/>
      <c r="H788" t="n">
        <v>0</v>
      </c>
    </row>
    <row r="789" ht="13.5" customHeight="1">
      <c r="A789" s="27" t="n"/>
      <c r="B789" s="27" t="inlineStr">
        <is>
          <t>b09b8szllg</t>
        </is>
      </c>
      <c r="C789" s="27" t="inlineStr">
        <is>
          <t>4980</t>
        </is>
      </c>
      <c r="D789" s="27" t="inlineStr">
        <is>
          <t>B09B8P3RK1</t>
        </is>
      </c>
      <c r="G789" s="28" t="n"/>
      <c r="H789" t="n">
        <v>0</v>
      </c>
    </row>
    <row r="790" ht="13.5" customHeight="1">
      <c r="A790" s="27" t="n"/>
      <c r="B790" s="27" t="inlineStr">
        <is>
          <t>b09b8szllg</t>
        </is>
      </c>
      <c r="C790" s="27" t="inlineStr">
        <is>
          <t>4980</t>
        </is>
      </c>
      <c r="D790" s="27" t="inlineStr">
        <is>
          <t>B09B8SZLLG</t>
        </is>
      </c>
      <c r="G790" s="28" t="n"/>
      <c r="H790" t="n">
        <v>0</v>
      </c>
    </row>
    <row r="791" ht="13.5" customHeight="1">
      <c r="A791" s="27" t="n"/>
      <c r="B791" s="27" t="inlineStr">
        <is>
          <t>b09b8szllg</t>
        </is>
      </c>
      <c r="C791" s="27" t="inlineStr">
        <is>
          <t>4980</t>
        </is>
      </c>
      <c r="D791" s="27" t="inlineStr">
        <is>
          <t>B09B97Q4NX</t>
        </is>
      </c>
      <c r="G791" s="28" t="n"/>
      <c r="H791" t="n">
        <v>0</v>
      </c>
    </row>
    <row r="792" ht="13.5" customHeight="1">
      <c r="A792" s="27" t="n"/>
      <c r="B792" s="27" t="inlineStr">
        <is>
          <t>b09b9b49gt</t>
        </is>
      </c>
      <c r="C792" s="27" t="inlineStr">
        <is>
          <t>1254/3730</t>
        </is>
      </c>
      <c r="D792" s="27" t="inlineStr">
        <is>
          <t>b09b9b49gt</t>
        </is>
      </c>
      <c r="G792" s="28" t="n"/>
      <c r="H792" t="n">
        <v>0</v>
      </c>
    </row>
    <row r="793" ht="13.5" customHeight="1">
      <c r="A793" s="27" t="inlineStr">
        <is>
          <t>4901301401816</t>
        </is>
      </c>
      <c r="B793" s="27" t="inlineStr">
        <is>
          <t>b09fz1rdwv</t>
        </is>
      </c>
      <c r="C793" s="27" t="inlineStr">
        <is>
          <t>4901301401816-2</t>
        </is>
      </c>
      <c r="D793" s="27" t="inlineStr">
        <is>
          <t>b09fz1rdwv</t>
        </is>
      </c>
      <c r="G793" s="28" t="n"/>
      <c r="H793" t="n">
        <v>0</v>
      </c>
    </row>
    <row r="794" ht="13.5" customHeight="1">
      <c r="A794" s="27" t="inlineStr">
        <is>
          <t>4901301401809</t>
        </is>
      </c>
      <c r="B794" s="27" t="inlineStr">
        <is>
          <t>b09fz2jz2n</t>
        </is>
      </c>
      <c r="C794" s="27" t="inlineStr">
        <is>
          <t>4901301401809-2</t>
        </is>
      </c>
      <c r="D794" s="27" t="inlineStr">
        <is>
          <t>B09FZ2JZ2N</t>
        </is>
      </c>
      <c r="G794" s="28" t="n"/>
      <c r="H794" t="n">
        <v>0</v>
      </c>
    </row>
    <row r="795" ht="13.5" customHeight="1">
      <c r="A795" s="27" t="n"/>
      <c r="B795" s="27" t="inlineStr">
        <is>
          <t>b0bn895c4s</t>
        </is>
      </c>
      <c r="C795" s="27" t="inlineStr">
        <is>
          <t>1588/2200</t>
        </is>
      </c>
      <c r="D795" s="27" t="inlineStr">
        <is>
          <t>b0cg9crlpf</t>
        </is>
      </c>
      <c r="G795" s="28" t="n"/>
      <c r="H795" t="n">
        <v>0</v>
      </c>
    </row>
    <row r="796" ht="13.5" customHeight="1">
      <c r="A796" s="27" t="n"/>
      <c r="B796" s="27" t="inlineStr">
        <is>
          <t>b0bqvpl3q5</t>
        </is>
      </c>
      <c r="C796" s="27" t="inlineStr">
        <is>
          <t>5144/2980</t>
        </is>
      </c>
      <c r="D796" s="27" t="inlineStr">
        <is>
          <t>b0bqvpl3q5</t>
        </is>
      </c>
      <c r="G796" s="28" t="n"/>
      <c r="H796" t="n">
        <v>0</v>
      </c>
    </row>
    <row r="797" ht="13.5" customHeight="1">
      <c r="A797" s="27" t="n"/>
      <c r="B797" s="27" t="inlineStr">
        <is>
          <t>b0bqvvbsnb</t>
        </is>
      </c>
      <c r="C797" s="27" t="inlineStr">
        <is>
          <t>2726/3980</t>
        </is>
      </c>
      <c r="D797" s="27" t="inlineStr">
        <is>
          <t>B0BQVVBSNB</t>
        </is>
      </c>
      <c r="G797" s="28" t="n"/>
      <c r="H797" t="n">
        <v>0</v>
      </c>
    </row>
    <row r="798" ht="13.5" customHeight="1">
      <c r="A798" s="27" t="n"/>
      <c r="B798" s="27" t="inlineStr">
        <is>
          <t>b0bt4dc34l</t>
        </is>
      </c>
      <c r="C798" s="27" t="inlineStr">
        <is>
          <t>1476/1500</t>
        </is>
      </c>
      <c r="D798" s="27" t="inlineStr">
        <is>
          <t>b0bt4dc34l</t>
        </is>
      </c>
      <c r="G798" s="28" t="n"/>
      <c r="H798" t="n">
        <v>0</v>
      </c>
    </row>
    <row r="799" ht="13.5" customHeight="1">
      <c r="A799" s="27" t="n"/>
      <c r="B799" s="27" t="inlineStr">
        <is>
          <t>b0bt4g61dk</t>
        </is>
      </c>
      <c r="C799" s="27" t="inlineStr">
        <is>
          <t>1513/1500</t>
        </is>
      </c>
      <c r="D799" s="27" t="inlineStr">
        <is>
          <t>b0bt4g61dk</t>
        </is>
      </c>
      <c r="G799" s="28" t="n"/>
      <c r="H799" t="n">
        <v>0</v>
      </c>
    </row>
    <row r="800" ht="13.5" customHeight="1">
      <c r="A800" s="27" t="n"/>
      <c r="B800" s="27" t="inlineStr">
        <is>
          <t>b0bt4pngbt</t>
        </is>
      </c>
      <c r="C800" s="27" t="inlineStr">
        <is>
          <t>1490/1500</t>
        </is>
      </c>
      <c r="D800" s="27" t="inlineStr">
        <is>
          <t>b0bt4pngbt</t>
        </is>
      </c>
      <c r="G800" s="28" t="n"/>
      <c r="H800" t="n">
        <v>0</v>
      </c>
    </row>
    <row r="801" ht="13.5" customHeight="1">
      <c r="A801" s="27" t="inlineStr">
        <is>
          <t>4987176171801</t>
        </is>
      </c>
      <c r="B801" s="27" t="inlineStr">
        <is>
          <t>b0c6ld957k</t>
        </is>
      </c>
      <c r="C801" s="27" t="inlineStr">
        <is>
          <t>4987176171801</t>
        </is>
      </c>
      <c r="D801" s="27" t="inlineStr">
        <is>
          <t>B0C6LD957K</t>
        </is>
      </c>
      <c r="G801" s="28" t="n"/>
      <c r="H801" t="n">
        <v>0</v>
      </c>
    </row>
    <row r="802" ht="13.5" customHeight="1">
      <c r="A802" s="27" t="n"/>
      <c r="B802" s="27" t="inlineStr">
        <is>
          <t>b0dd3wzntt</t>
        </is>
      </c>
      <c r="C802" s="27" t="inlineStr">
        <is>
          <t>4978/4950</t>
        </is>
      </c>
      <c r="D802" s="27" t="inlineStr">
        <is>
          <t>b0dd3wzntt</t>
        </is>
      </c>
      <c r="G802" s="28" t="n"/>
      <c r="H802" t="n">
        <v>0</v>
      </c>
    </row>
    <row r="803" ht="13.5" customHeight="1">
      <c r="A803" s="27" t="n"/>
      <c r="B803" s="27" t="inlineStr">
        <is>
          <t>b0dg346fb7</t>
        </is>
      </c>
      <c r="C803" s="27" t="inlineStr">
        <is>
          <t>8997/773</t>
        </is>
      </c>
      <c r="D803" s="27" t="inlineStr">
        <is>
          <t>b0dg346fb7</t>
        </is>
      </c>
      <c r="G803" s="28" t="n"/>
      <c r="H803" t="n">
        <v>0</v>
      </c>
    </row>
    <row r="804" ht="13.5" customHeight="1">
      <c r="A804" s="27" t="inlineStr">
        <is>
          <t>4987176260659</t>
        </is>
      </c>
      <c r="B804" s="27" t="inlineStr">
        <is>
          <t>b0dktchdgk</t>
        </is>
      </c>
      <c r="C804" s="27" t="inlineStr">
        <is>
          <t>4987176260659-2</t>
        </is>
      </c>
      <c r="D804" s="27" t="inlineStr">
        <is>
          <t>b0dktchdgk</t>
        </is>
      </c>
      <c r="G804" s="28" t="n"/>
      <c r="H804" t="n">
        <v>4</v>
      </c>
    </row>
    <row r="805" ht="13.5" customHeight="1">
      <c r="A805" s="27" t="n"/>
      <c r="B805" s="27" t="inlineStr">
        <is>
          <t>b0drbhvjlr</t>
        </is>
      </c>
      <c r="C805" s="27" t="inlineStr">
        <is>
          <t>4834/1650</t>
        </is>
      </c>
      <c r="D805" s="27" t="inlineStr">
        <is>
          <t>b0drbhvjlr</t>
        </is>
      </c>
      <c r="G805" s="28" t="n"/>
      <c r="H805" t="n">
        <v>0</v>
      </c>
    </row>
    <row r="806" ht="13.5" customHeight="1">
      <c r="A806" s="27" t="inlineStr">
        <is>
          <t>4533898731665</t>
        </is>
      </c>
      <c r="B806" s="27" t="inlineStr">
        <is>
          <t>b0f9dzl2mg</t>
        </is>
      </c>
      <c r="C806" s="27" t="inlineStr">
        <is>
          <t>4533898731665-2</t>
        </is>
      </c>
      <c r="D806" s="27" t="inlineStr">
        <is>
          <t>b0f9dzl2mg</t>
        </is>
      </c>
      <c r="G806" s="28" t="n"/>
      <c r="H806" t="n">
        <v>2</v>
      </c>
    </row>
    <row r="807" ht="13.5" customHeight="1">
      <c r="A807" s="27" t="inlineStr">
        <is>
          <t>4901301451217</t>
        </is>
      </c>
      <c r="B807" s="27" t="inlineStr">
        <is>
          <t>b0fl7trx5v</t>
        </is>
      </c>
      <c r="C807" s="27" t="inlineStr">
        <is>
          <t>4901301451217-2-a</t>
        </is>
      </c>
      <c r="D807" s="27" t="inlineStr">
        <is>
          <t>b0fl7trx5v</t>
        </is>
      </c>
      <c r="G807" s="28" t="n"/>
      <c r="H807" t="n">
        <v>3</v>
      </c>
    </row>
    <row r="808" ht="13.5" customHeight="1">
      <c r="A808" s="27" t="inlineStr">
        <is>
          <t>4580632133896</t>
        </is>
      </c>
      <c r="B808" s="27" t="inlineStr">
        <is>
          <t>b0gvxq7xpv</t>
        </is>
      </c>
      <c r="C808" s="27" t="inlineStr">
        <is>
          <t>4580632133896-a</t>
        </is>
      </c>
      <c r="D808" s="27" t="inlineStr">
        <is>
          <t>b0gvxq7xpv</t>
        </is>
      </c>
      <c r="G808" s="28" t="n"/>
      <c r="H808" t="n">
        <v>46</v>
      </c>
    </row>
    <row r="809" ht="13.5" customHeight="1">
      <c r="A809" s="27" t="n"/>
      <c r="B809" s="27" t="inlineStr">
        <is>
          <t>b0hd77wvwr</t>
        </is>
      </c>
      <c r="C809" s="27" t="inlineStr">
        <is>
          <t>SET-4169-4183-a</t>
        </is>
      </c>
      <c r="D809" s="27" t="inlineStr">
        <is>
          <t>b0hd77wvwr</t>
        </is>
      </c>
      <c r="G809" s="28" t="n"/>
      <c r="H809" t="n">
        <v>1</v>
      </c>
    </row>
    <row r="810" ht="13.5" customHeight="1">
      <c r="A810" s="27" t="n"/>
      <c r="B810" s="27" t="inlineStr">
        <is>
          <t>b0hg1dql38</t>
        </is>
      </c>
      <c r="C810" s="27" t="inlineStr">
        <is>
          <t>SET7054-7047-a</t>
        </is>
      </c>
      <c r="D810" s="27" t="inlineStr">
        <is>
          <t>b0hg1dql38</t>
        </is>
      </c>
      <c r="G810" s="28" t="n"/>
      <c r="H810" t="n">
        <v>5</v>
      </c>
    </row>
    <row r="811" ht="13.5" customHeight="1">
      <c r="A811" s="27" t="n"/>
      <c r="B811" s="27" t="inlineStr">
        <is>
          <t>b0hg1f5b7t</t>
        </is>
      </c>
      <c r="C811" s="27" t="inlineStr">
        <is>
          <t>SET7092-7115-a</t>
        </is>
      </c>
      <c r="D811" s="27" t="inlineStr">
        <is>
          <t>b0hg1f5b7t</t>
        </is>
      </c>
      <c r="G811" s="28" t="n"/>
      <c r="H811" t="n">
        <v>5</v>
      </c>
    </row>
    <row r="812" ht="13.5" customHeight="1">
      <c r="A812" s="27" t="n"/>
      <c r="B812" s="27" t="inlineStr">
        <is>
          <t>b0hg1t7vg8</t>
        </is>
      </c>
      <c r="C812" s="27" t="inlineStr">
        <is>
          <t>SET-1616-1609-a</t>
        </is>
      </c>
      <c r="D812" s="27" t="inlineStr">
        <is>
          <t>b0hg1t7vg8</t>
        </is>
      </c>
      <c r="G812" s="28" t="n"/>
      <c r="H812" t="n">
        <v>5</v>
      </c>
    </row>
    <row r="813" ht="13.5" customHeight="1">
      <c r="A813" s="27" t="inlineStr">
        <is>
          <t>4550391160198</t>
        </is>
      </c>
      <c r="B813" s="27" t="inlineStr">
        <is>
          <t>b0hg6v7qy1</t>
        </is>
      </c>
      <c r="C813" s="27" t="inlineStr">
        <is>
          <t>4550391160198-6-a</t>
        </is>
      </c>
      <c r="D813" s="27" t="inlineStr">
        <is>
          <t>b0hg6v7qy1</t>
        </is>
      </c>
      <c r="G813" s="28" t="n"/>
      <c r="H813" t="n">
        <v>10</v>
      </c>
    </row>
    <row r="814" ht="13.5" customHeight="1">
      <c r="A814" s="27" t="inlineStr">
        <is>
          <t>4987176347176</t>
        </is>
      </c>
      <c r="B814" s="27" t="inlineStr">
        <is>
          <t>b0hg9ng2n2</t>
        </is>
      </c>
      <c r="C814" s="27" t="inlineStr">
        <is>
          <t>4987176347176-2-a</t>
        </is>
      </c>
      <c r="D814" s="27" t="inlineStr">
        <is>
          <t>b0hg9ng2n2</t>
        </is>
      </c>
      <c r="G814" s="28" t="n"/>
      <c r="H814" t="n">
        <v>5</v>
      </c>
    </row>
    <row r="815" ht="13.5" customHeight="1">
      <c r="A815" s="27" t="inlineStr">
        <is>
          <t>4901301451163</t>
        </is>
      </c>
      <c r="B815" s="27" t="inlineStr">
        <is>
          <t>b0hgb9dw51</t>
        </is>
      </c>
      <c r="C815" s="27" t="inlineStr">
        <is>
          <t>4901301451163-2-a</t>
        </is>
      </c>
      <c r="D815" s="27" t="inlineStr">
        <is>
          <t>b0hgb9dw51</t>
        </is>
      </c>
      <c r="G815" s="28" t="n"/>
      <c r="H815" t="n">
        <v>5</v>
      </c>
    </row>
    <row r="816" ht="13.5" customHeight="1">
      <c r="A816" s="27" t="n"/>
      <c r="B816" s="27" t="inlineStr">
        <is>
          <t>b0hgy7nbdj</t>
        </is>
      </c>
      <c r="C816" s="27" t="inlineStr">
        <is>
          <t>SET-6083-6106-a</t>
        </is>
      </c>
      <c r="D816" s="27" t="inlineStr">
        <is>
          <t>b0hgy7nbdj</t>
        </is>
      </c>
      <c r="G816" s="28" t="n"/>
      <c r="H816" t="n">
        <v>4</v>
      </c>
    </row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5" right="0.75" top="1" bottom="1" header="0" footer="0"/>
  <pageSetup orientation="portrait"/>
  <headerFooter>
    <oddHeader/>
    <oddFooter>&amp;C 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9.33203125" customWidth="1" min="3" max="3"/>
    <col width="18" customWidth="1" min="4" max="4"/>
    <col width="55" customWidth="1" min="5" max="5"/>
    <col width="12" customWidth="1" min="6" max="6"/>
    <col width="10" customWidth="1" min="7" max="7"/>
    <col width="13" customWidth="1" min="8" max="8"/>
    <col width="12" customWidth="1" min="9" max="9"/>
    <col width="30" customWidth="1" min="10" max="10"/>
    <col width="20" customWidth="1" min="11" max="11"/>
  </cols>
  <sheetData>
    <row r="1">
      <c r="A1" s="29" t="inlineStr">
        <is>
          <t>JAN</t>
        </is>
      </c>
      <c r="B1" s="30" t="inlineStr">
        <is>
          <t>楽天商品管理番号（ASIN)</t>
        </is>
      </c>
      <c r="C1" s="29" t="inlineStr">
        <is>
          <t>商品番号</t>
        </is>
      </c>
      <c r="D1" s="29" t="inlineStr">
        <is>
          <t>SKU管理番号</t>
        </is>
      </c>
      <c r="E1" s="29" t="inlineStr">
        <is>
          <t>商品名</t>
        </is>
      </c>
      <c r="F1" s="29" t="inlineStr">
        <is>
          <t>販売価格</t>
        </is>
      </c>
      <c r="G1" s="29" t="inlineStr">
        <is>
          <t>単価</t>
        </is>
      </c>
      <c r="H1" s="29" t="inlineStr">
        <is>
          <t>在庫数</t>
        </is>
      </c>
      <c r="I1" s="31" t="inlineStr">
        <is>
          <t>合計金額</t>
        </is>
      </c>
      <c r="J1" s="5" t="inlineStr">
        <is>
          <t>JAN検証結果</t>
        </is>
      </c>
      <c r="K1" s="5" t="inlineStr">
        <is>
          <t>AmazonのJAN</t>
        </is>
      </c>
    </row>
    <row r="2">
      <c r="A2" s="27" t="n"/>
      <c r="B2" s="27" t="inlineStr">
        <is>
          <t>14942298s1</t>
        </is>
      </c>
      <c r="C2" s="27" t="inlineStr">
        <is>
          <t>1100</t>
        </is>
      </c>
      <c r="D2" s="27" t="inlineStr">
        <is>
          <t>14942298s1</t>
        </is>
      </c>
      <c r="E2" t="inlineStr">
        <is>
          <t>【2個セット】スクイーズ 作成キット ステーキ パキパキ ロウ ASMR おもちゃ 子供用 手作り もちもち 知育玩具 ストレス解消 DIY squishy プレゼント 人気</t>
        </is>
      </c>
      <c r="F2" t="n">
        <v>2980</v>
      </c>
      <c r="G2" t="n">
        <v>1100</v>
      </c>
      <c r="H2" t="n">
        <v>4</v>
      </c>
      <c r="I2">
        <f>SUM(G2*H2)</f>
        <v/>
      </c>
    </row>
    <row r="3">
      <c r="A3" s="27" t="n"/>
      <c r="B3" s="27" t="inlineStr">
        <is>
          <t>14993499s1</t>
        </is>
      </c>
      <c r="C3" s="27" t="inlineStr">
        <is>
          <t>14993499s1-3</t>
        </is>
      </c>
      <c r="D3" s="27" t="inlineStr">
        <is>
          <t>14993499s1</t>
        </is>
      </c>
      <c r="E3" t="inlineStr">
        <is>
          <t>スクイーズ もっちりバター 3個セット おもちゃ 子供用 低反発 もちもち 香り付き ストレス解消 squishy 柔らかい 人気 かわいい プレゼント</t>
        </is>
      </c>
      <c r="F3" t="n">
        <v>2980</v>
      </c>
      <c r="G3" t="n">
        <v>1122</v>
      </c>
      <c r="H3" t="n">
        <v>5</v>
      </c>
      <c r="I3">
        <f>SUM(G3*H3)</f>
        <v/>
      </c>
    </row>
    <row r="4">
      <c r="A4" s="27" t="inlineStr">
        <is>
          <t>3264680009754</t>
        </is>
      </c>
      <c r="B4" s="27" t="inlineStr">
        <is>
          <t>3264680009754</t>
        </is>
      </c>
      <c r="C4" s="27" t="inlineStr">
        <is>
          <t>9754/2700</t>
        </is>
      </c>
      <c r="D4" s="27" t="inlineStr">
        <is>
          <t>3264680009754</t>
        </is>
      </c>
      <c r="E4" t="inlineStr">
        <is>
          <t>Nuxe(ニュクス) プロディジューオイル 100mL ボディケア 美容 ケア</t>
        </is>
      </c>
      <c r="F4" t="n">
        <v>3980</v>
      </c>
      <c r="G4" t="n">
        <v>2700</v>
      </c>
      <c r="H4" t="n">
        <v>14</v>
      </c>
      <c r="I4">
        <f>SUM(G4*H4)</f>
        <v/>
      </c>
    </row>
    <row r="5">
      <c r="A5" s="27" t="inlineStr">
        <is>
          <t>3264680009761</t>
        </is>
      </c>
      <c r="B5" s="27" t="inlineStr">
        <is>
          <t>3264680009761</t>
        </is>
      </c>
      <c r="C5" s="27" t="inlineStr">
        <is>
          <t>9761,4382,9785</t>
        </is>
      </c>
      <c r="D5" s="27" t="inlineStr">
        <is>
          <t>3264680009761-a</t>
        </is>
      </c>
      <c r="E5" t="inlineStr">
        <is>
          <t>【選べる】NUXE プロディジュー オイル 50mL（定番/フローラル/ゴールド）ボディケア 美容 ケア</t>
        </is>
      </c>
      <c r="F5" t="n">
        <v>3480</v>
      </c>
      <c r="G5" t="n">
        <v>0</v>
      </c>
      <c r="H5" t="n">
        <v>3</v>
      </c>
      <c r="I5">
        <f>SUM(G5*H5)</f>
        <v/>
      </c>
    </row>
    <row r="6">
      <c r="A6" s="27" t="inlineStr">
        <is>
          <t>3264680009761</t>
        </is>
      </c>
      <c r="B6" s="27" t="inlineStr">
        <is>
          <t>3264680009761</t>
        </is>
      </c>
      <c r="C6" s="27" t="inlineStr">
        <is>
          <t>9761,4382,9785</t>
        </is>
      </c>
      <c r="D6" s="27" t="inlineStr">
        <is>
          <t>3264680009761-b</t>
        </is>
      </c>
      <c r="E6" t="inlineStr">
        <is>
          <t>【選べる】NUXE プロディジュー オイル 50mL（定番/フローラル/ゴールド）ボディケア 美容 ケア</t>
        </is>
      </c>
      <c r="F6" t="n">
        <v>3580</v>
      </c>
      <c r="G6" t="n">
        <v>0</v>
      </c>
      <c r="H6" t="n">
        <v>17</v>
      </c>
      <c r="I6">
        <f>SUM(G6*H6)</f>
        <v/>
      </c>
    </row>
    <row r="7">
      <c r="A7" s="27" t="inlineStr">
        <is>
          <t>3264680009761</t>
        </is>
      </c>
      <c r="B7" s="27" t="inlineStr">
        <is>
          <t>3264680009761</t>
        </is>
      </c>
      <c r="C7" s="27" t="inlineStr">
        <is>
          <t>9761,4382,9785</t>
        </is>
      </c>
      <c r="D7" s="27" t="inlineStr">
        <is>
          <t>3264680009761-c</t>
        </is>
      </c>
      <c r="E7" t="inlineStr">
        <is>
          <t>【選べる】NUXE プロディジュー オイル 50mL（定番/フローラル/ゴールド）ボディケア 美容 ケア</t>
        </is>
      </c>
      <c r="F7" t="n">
        <v>3980</v>
      </c>
      <c r="G7" t="n">
        <v>0</v>
      </c>
      <c r="H7" t="n">
        <v>1</v>
      </c>
      <c r="I7">
        <f>SUM(G7*H7)</f>
        <v/>
      </c>
    </row>
    <row r="8">
      <c r="A8" s="27" t="inlineStr">
        <is>
          <t>3264680009808</t>
        </is>
      </c>
      <c r="B8" s="27" t="inlineStr">
        <is>
          <t>3264680009808</t>
        </is>
      </c>
      <c r="C8" s="27" t="inlineStr">
        <is>
          <t>9808/2762</t>
        </is>
      </c>
      <c r="D8" s="27" t="inlineStr">
        <is>
          <t>3264680009808</t>
        </is>
      </c>
      <c r="E8" t="inlineStr">
        <is>
          <t>【並行輸入品】ニュクス プロディジュー オイル リッチ 100ml ボディケア 美容 ケア</t>
        </is>
      </c>
      <c r="F8" t="n">
        <v>4280</v>
      </c>
      <c r="G8" t="n">
        <v>2762</v>
      </c>
      <c r="H8" t="n">
        <v>14</v>
      </c>
      <c r="I8">
        <f>SUM(G8*H8)</f>
        <v/>
      </c>
    </row>
    <row r="9">
      <c r="A9" s="27" t="inlineStr">
        <is>
          <t>3264680015946</t>
        </is>
      </c>
      <c r="B9" s="27" t="inlineStr">
        <is>
          <t>3264680015946</t>
        </is>
      </c>
      <c r="C9" s="27" t="inlineStr">
        <is>
          <t>5946</t>
        </is>
      </c>
      <c r="D9" s="27" t="inlineStr">
        <is>
          <t>3264680015946</t>
        </is>
      </c>
      <c r="E9" t="inlineStr">
        <is>
          <t>Nuxe(ニュクス) プロディジュー フローラル オイル 100ml ボディケア 美容 ケア</t>
        </is>
      </c>
      <c r="F9" t="n">
        <v>4180</v>
      </c>
      <c r="G9" t="n">
        <v>0</v>
      </c>
      <c r="H9" t="n">
        <v>1</v>
      </c>
      <c r="I9">
        <f>SUM(G9*H9)</f>
        <v/>
      </c>
    </row>
    <row r="10">
      <c r="A10" s="27" t="inlineStr">
        <is>
          <t>4513574020337</t>
        </is>
      </c>
      <c r="B10" s="27" t="inlineStr">
        <is>
          <t>4513574020337</t>
        </is>
      </c>
      <c r="C10" s="27" t="inlineStr">
        <is>
          <t>0337/420</t>
        </is>
      </c>
      <c r="D10" s="27" t="inlineStr">
        <is>
          <t>4513574020337</t>
        </is>
      </c>
      <c r="E10" t="inlineStr">
        <is>
          <t>Ｖサポート スタイリングジェル スーパーハード 微香 220g×3個セット スタイリング メンズ</t>
        </is>
      </c>
      <c r="F10" t="n">
        <v>1980</v>
      </c>
      <c r="G10" t="n">
        <v>420</v>
      </c>
      <c r="H10" t="n">
        <v>10</v>
      </c>
      <c r="I10">
        <f>SUM(G10*H10)</f>
        <v/>
      </c>
    </row>
    <row r="11">
      <c r="A11" s="27" t="inlineStr">
        <is>
          <t>4550391011919</t>
        </is>
      </c>
      <c r="B11" s="27" t="inlineStr">
        <is>
          <t>4550391011919</t>
        </is>
      </c>
      <c r="C11" s="27" t="inlineStr">
        <is>
          <t>AST-0007</t>
        </is>
      </c>
      <c r="D11" s="27" t="inlineStr">
        <is>
          <t>4550391011919</t>
        </is>
      </c>
      <c r="E11" t="inlineStr">
        <is>
          <t>【セット品】 クーリア スペシャルもっちもちシール 6種セット キャンディツインズ みずいろうさベビー ナイトミャウ パクッとモグモグフード ハムハムエンジェル キャロットうさちゃん ボンボンドロップ ボンドロ かわいい 立体 シール ぷっくり ぷくぷく 正規品 本物 本家</t>
        </is>
      </c>
      <c r="F11" t="n">
        <v>2980</v>
      </c>
      <c r="G11" t="n">
        <v>1224</v>
      </c>
      <c r="H11" t="n">
        <v>2</v>
      </c>
      <c r="I11">
        <f>SUM(G11*H11)</f>
        <v/>
      </c>
    </row>
    <row r="12">
      <c r="A12" s="27" t="inlineStr">
        <is>
          <t>4550391011926</t>
        </is>
      </c>
      <c r="B12" s="27" t="inlineStr">
        <is>
          <t>4550391011926</t>
        </is>
      </c>
      <c r="C12" s="27" t="inlineStr">
        <is>
          <t>AST-0006</t>
        </is>
      </c>
      <c r="D12" s="27" t="inlineStr">
        <is>
          <t>4550391011926</t>
        </is>
      </c>
      <c r="E12" t="inlineStr">
        <is>
          <t>【セット品】 クーリア スペシャルもっちもちシール 4種セット みずいろうさベビー パクッとモグモグフード ハムハムエンジェル キャロットうさちゃん ボンボンドロップ ボンドロ かわいい 立体 シール ぷっくり ぷくぷく 正規品 本物 本家</t>
        </is>
      </c>
      <c r="F12" t="n">
        <v>1980</v>
      </c>
      <c r="G12" t="n">
        <v>816</v>
      </c>
      <c r="H12" t="n">
        <v>6</v>
      </c>
      <c r="I12">
        <f>SUM(G12*H12)</f>
        <v/>
      </c>
    </row>
    <row r="13">
      <c r="A13" s="27" t="inlineStr">
        <is>
          <t>4550391011940</t>
        </is>
      </c>
      <c r="B13" s="27" t="inlineStr">
        <is>
          <t>4550391011940</t>
        </is>
      </c>
      <c r="C13" s="27" t="inlineStr">
        <is>
          <t>AST-0005</t>
        </is>
      </c>
      <c r="D13" s="27" t="inlineStr">
        <is>
          <t>4550391011940</t>
        </is>
      </c>
      <c r="E13" t="inlineStr">
        <is>
          <t>【セット品】 クーリア スペシャルもっちもちシール 3種セット パクッとモグモグフード ハムハムエンジェル キャロットうさちゃん ボンボンドロップ ボンドロ かわいい 立体 シール ぷっくり ぷくぷく 正規品 本物 本家</t>
        </is>
      </c>
      <c r="F13" t="n">
        <v>1480</v>
      </c>
      <c r="G13" t="n">
        <v>612</v>
      </c>
      <c r="H13" t="n">
        <v>5</v>
      </c>
      <c r="I13">
        <f>SUM(G13*H13)</f>
        <v/>
      </c>
    </row>
    <row r="14">
      <c r="A14" s="27" t="inlineStr">
        <is>
          <t>4550391012053</t>
        </is>
      </c>
      <c r="B14" s="27" t="inlineStr">
        <is>
          <t>4550391012053</t>
        </is>
      </c>
      <c r="C14" s="27" t="inlineStr">
        <is>
          <t>2053,2060,2077,2084,2091/1116</t>
        </is>
      </c>
      <c r="D14" s="27" t="inlineStr">
        <is>
          <t>4550391012053</t>
        </is>
      </c>
      <c r="E14" t="inlineStr">
        <is>
          <t>【全6種セット】【正規品】クーリア キラシャカ ジュエリーシール クラウドポップタイム ミータイムホーミーズ フラッフィーコットンキャンディ ナイトミャウ キャンディツインズ きらりんエナガマーチ ボンボンドロップシール ボンドロ かわいい キラキラ 3D立体 ぷっくり</t>
        </is>
      </c>
      <c r="F14" t="n">
        <v>2980</v>
      </c>
      <c r="G14" t="n">
        <v>1116</v>
      </c>
      <c r="H14" t="n">
        <v>43</v>
      </c>
      <c r="I14">
        <f>SUM(G14*H14)</f>
        <v/>
      </c>
    </row>
    <row r="15">
      <c r="A15" s="27" t="inlineStr">
        <is>
          <t>4550391012121</t>
        </is>
      </c>
      <c r="B15" s="27" t="inlineStr">
        <is>
          <t>4550391012121</t>
        </is>
      </c>
      <c r="C15" s="27" t="inlineStr">
        <is>
          <t>AST-0008</t>
        </is>
      </c>
      <c r="D15" s="27" t="inlineStr">
        <is>
          <t>4550391012121</t>
        </is>
      </c>
      <c r="E15" t="inlineStr">
        <is>
          <t>【全4種セット】【正規品】 クーリア ボンボンドロップシール ちょこみん まじょねこ ういっしゅ すいーつ シール セット ボンドロ かわいい キラキラ 3D立体 ぷっくり ぷくぷく ご褒美シール 女の子 平成女子 シール帳 シール交換 収集 本物 本家 【新商品】</t>
        </is>
      </c>
      <c r="F15" t="n">
        <v>7980</v>
      </c>
      <c r="G15" t="n">
        <v>1020</v>
      </c>
      <c r="H15" t="n">
        <v>28</v>
      </c>
      <c r="I15">
        <f>SUM(G15*H15)</f>
        <v/>
      </c>
    </row>
    <row r="16">
      <c r="A16" s="27" t="inlineStr">
        <is>
          <t>4550391012435</t>
        </is>
      </c>
      <c r="B16" s="27" t="inlineStr">
        <is>
          <t>4550391012435</t>
        </is>
      </c>
      <c r="C16" s="27" t="inlineStr">
        <is>
          <t>2435,2527/347,157</t>
        </is>
      </c>
      <c r="D16" s="27" t="inlineStr">
        <is>
          <t>4550391012435</t>
        </is>
      </c>
      <c r="E16" t="inlineStr">
        <is>
          <t>【セット品】クーリア マイシールバインダー + シール台帳 セット クラウドポップタイム ボンドロ かわいい 立体 シール ぷっくり ぷくぷく シール交換 収集</t>
        </is>
      </c>
      <c r="F16" t="n">
        <v>1180</v>
      </c>
      <c r="G16" t="n">
        <v>347.2</v>
      </c>
      <c r="H16" t="n">
        <v>2</v>
      </c>
      <c r="I16">
        <f>SUM(G16*H16)</f>
        <v/>
      </c>
    </row>
    <row r="17">
      <c r="A17" s="27" t="inlineStr">
        <is>
          <t>4550391042821</t>
        </is>
      </c>
      <c r="B17" s="27" t="inlineStr">
        <is>
          <t>4550391042821</t>
        </is>
      </c>
      <c r="C17" s="27" t="inlineStr">
        <is>
          <t>2821,2838,2845,2852/ 1160</t>
        </is>
      </c>
      <c r="D17" s="27" t="inlineStr">
        <is>
          <t>4550391042821</t>
        </is>
      </c>
      <c r="E17" t="inlineStr">
        <is>
          <t>【セット品】クーリア しずくちゃん ボンボンドロップシール （ミニ） 4種セット 正規品 うるおいちゃん みるみるちゃん しずくの森のなかまたち ボンドロ かわいい 立体 シール ぷっくり ぷくぷく シール交換 収集 本物 本家</t>
        </is>
      </c>
      <c r="F17" t="n">
        <v>5980</v>
      </c>
      <c r="G17" t="n">
        <v>1160</v>
      </c>
      <c r="H17" t="n">
        <v>45</v>
      </c>
      <c r="I17">
        <f>SUM(G17*H17)</f>
        <v/>
      </c>
    </row>
    <row r="18">
      <c r="A18" s="27" t="inlineStr">
        <is>
          <t>4550391910564</t>
        </is>
      </c>
      <c r="B18" s="27" t="inlineStr">
        <is>
          <t>4550391910564</t>
        </is>
      </c>
      <c r="C18" s="27" t="inlineStr">
        <is>
          <t>0417,0564/440</t>
        </is>
      </c>
      <c r="D18" s="27" t="inlineStr">
        <is>
          <t>4550391910564</t>
        </is>
      </c>
      <c r="E18" t="inlineStr">
        <is>
          <t>【セット品】クーリア ボンボンドロップシール 2種セット 正規品 ゆにこん ももいろ ボンドロ かわいい 立体 シール ぷっくり ぷくぷく シール交換 収集 本物 本家</t>
        </is>
      </c>
      <c r="F18" t="n">
        <v>3980</v>
      </c>
      <c r="G18" t="n">
        <v>440</v>
      </c>
      <c r="H18" t="n">
        <v>4</v>
      </c>
      <c r="I18">
        <f>SUM(G18*H18)</f>
        <v/>
      </c>
    </row>
    <row r="19">
      <c r="A19" s="27" t="inlineStr">
        <is>
          <t>4550391911226</t>
        </is>
      </c>
      <c r="B19" s="27" t="inlineStr">
        <is>
          <t>4550391911226</t>
        </is>
      </c>
      <c r="C19" s="27" t="inlineStr">
        <is>
          <t>0417,0526,0564/660</t>
        </is>
      </c>
      <c r="D19" s="27" t="inlineStr">
        <is>
          <t>4550391911226</t>
        </is>
      </c>
      <c r="E19" t="inlineStr">
        <is>
          <t>【セット品】クーリア ボンボンドロップシール 3種セット 正規品 ゆにこん きぐるみ ももいろ ボンドロ かわいい 立体 シール ぷっくり ぷくぷく シール交換 収集 本物 本家</t>
        </is>
      </c>
      <c r="F19" t="n">
        <v>5980</v>
      </c>
      <c r="G19" t="n">
        <v>660</v>
      </c>
      <c r="H19" t="n">
        <v>3</v>
      </c>
      <c r="I19">
        <f>SUM(G19*H19)</f>
        <v/>
      </c>
    </row>
    <row r="20">
      <c r="A20" s="27" t="inlineStr">
        <is>
          <t>4550432282988</t>
        </is>
      </c>
      <c r="B20" s="27" t="inlineStr">
        <is>
          <t>4550432282988</t>
        </is>
      </c>
      <c r="C20" s="27" t="inlineStr">
        <is>
          <t>2988,2995,3008,3015,3022/4752</t>
        </is>
      </c>
      <c r="D20" s="27" t="inlineStr">
        <is>
          <t>4550432282988</t>
        </is>
      </c>
      <c r="E20" t="inlineStr">
        <is>
          <t>【セット品】ちいかわ ドロップブロックシール タイルシール 8種セット ちいかわ ハチワレ うさぎ モモンガ くりまんじゅう シーサー 着ぐるみ みんな デコシール キャラクターシール ステッカー アソートセット 文房具 手帳 ノート アルバム 立体 シール かわいい</t>
        </is>
      </c>
      <c r="F20" t="n">
        <v>7980</v>
      </c>
      <c r="G20" t="n">
        <v>594</v>
      </c>
      <c r="H20" t="n">
        <v>4</v>
      </c>
      <c r="I20">
        <f>SUM(G20*H20)</f>
        <v/>
      </c>
    </row>
    <row r="21">
      <c r="A21" s="27" t="inlineStr">
        <is>
          <t>4550451352129</t>
        </is>
      </c>
      <c r="B21" s="27" t="inlineStr">
        <is>
          <t>4550451352129</t>
        </is>
      </c>
      <c r="C21" s="27" t="inlineStr">
        <is>
          <t>2129,2167,2136/1815</t>
        </is>
      </c>
      <c r="D21" s="27" t="inlineStr">
        <is>
          <t>4550451352129</t>
        </is>
      </c>
      <c r="E21" t="inlineStr">
        <is>
          <t>【セット品】サンリオ コットンパフィーシール 3種セット マイメロディ クロミ シナモロール ハローキティ レオパード クラックス COTTON PUFFY ぷっくりシール デコシール 手帳デコ ノートデコ キャラクターシール 文房具 ステッカー アソートセット シール 立体 かわいい</t>
        </is>
      </c>
      <c r="F21" t="n">
        <v>4480</v>
      </c>
      <c r="G21" t="n">
        <v>605</v>
      </c>
      <c r="H21" t="n">
        <v>3</v>
      </c>
      <c r="I21">
        <f>SUM(G21*H21)</f>
        <v/>
      </c>
    </row>
    <row r="22">
      <c r="A22" s="27" t="inlineStr">
        <is>
          <t>4550451352129</t>
        </is>
      </c>
      <c r="B22" s="27" t="inlineStr">
        <is>
          <t>4550451352167</t>
        </is>
      </c>
      <c r="C22" s="27" t="inlineStr">
        <is>
          <t>2129,2167/1210</t>
        </is>
      </c>
      <c r="D22" s="27" t="inlineStr">
        <is>
          <t>4550451352129</t>
        </is>
      </c>
      <c r="E22" t="inlineStr">
        <is>
          <t>【セット品】サンリオ コットンパフィーシール 2種セット マイメロディ クロミ ハローキティ レオパード クラックス COTTON PUFFY ぷっくりシール デコシール 手帳デコ ノートデコ キャラクターシール 文房具 ステッカー アソートセット シール 立体 かわいい</t>
        </is>
      </c>
      <c r="F22" t="n">
        <v>3080</v>
      </c>
      <c r="G22" t="n">
        <v>605</v>
      </c>
      <c r="H22" t="n">
        <v>7</v>
      </c>
      <c r="I22">
        <f>SUM(G22*H22)</f>
        <v/>
      </c>
    </row>
    <row r="23">
      <c r="A23" s="27" t="inlineStr">
        <is>
          <t>4550451375821</t>
        </is>
      </c>
      <c r="B23" s="27" t="inlineStr">
        <is>
          <t>4550451375821</t>
        </is>
      </c>
      <c r="C23" s="27" t="inlineStr">
        <is>
          <t>5821,5814,6682,5791,5791/3630</t>
        </is>
      </c>
      <c r="D23" s="27" t="inlineStr">
        <is>
          <t>4550451375821</t>
        </is>
      </c>
      <c r="E23" t="inlineStr">
        <is>
          <t>【セット品】コットンパフィーシール 6種セット トイ・ストーリー スティッチ パワーパフガールズ mojojojo 実写 mojojojo ドラえもん クラックス シール ステッカー デコレーション 手帳 ノート コレクション キャラクター雑貨 まとめ買い アソート かわいい 立体 コットン</t>
        </is>
      </c>
      <c r="F23" t="n">
        <v>5980</v>
      </c>
      <c r="G23" t="n">
        <v>605</v>
      </c>
      <c r="H23" t="n">
        <v>2</v>
      </c>
      <c r="I23">
        <f>SUM(G23*H23)</f>
        <v/>
      </c>
    </row>
    <row r="24">
      <c r="A24" s="27" t="inlineStr">
        <is>
          <t>4562201211907</t>
        </is>
      </c>
      <c r="B24" s="27" t="inlineStr">
        <is>
          <t>4562201211907</t>
        </is>
      </c>
      <c r="C24" s="27" t="inlineStr">
        <is>
          <t>1907/19800</t>
        </is>
      </c>
      <c r="D24" s="27" t="inlineStr">
        <is>
          <t>4562201211907</t>
        </is>
      </c>
      <c r="E24" t="inlineStr">
        <is>
          <t>ショットナビ GPSゴルフナビ Shot Navi Evolve PRO エボルブプロ ブラック×レッド EVOLVE-PRO-EXR 腕時計型 距離計測 高精度GPS ゴルフウォッチ スコア管理 グリーン距離計測 ラウンド用 ゴルフ距離計 正規品 ゴルフ 測定 スコア スコア測定</t>
        </is>
      </c>
      <c r="F24" t="n">
        <v>29800</v>
      </c>
      <c r="G24" t="n">
        <v>19800</v>
      </c>
      <c r="H24" t="n">
        <v>3</v>
      </c>
      <c r="I24">
        <f>SUM(G24*H24)</f>
        <v/>
      </c>
    </row>
    <row r="25">
      <c r="A25" s="27" t="inlineStr">
        <is>
          <t>4571411204838</t>
        </is>
      </c>
      <c r="B25" s="27" t="inlineStr">
        <is>
          <t>4571411204838</t>
        </is>
      </c>
      <c r="C25" s="27" t="inlineStr">
        <is>
          <t>4571411204838</t>
        </is>
      </c>
      <c r="D25" s="27" t="inlineStr">
        <is>
          <t>4571411204838</t>
        </is>
      </c>
      <c r="E25" t="inlineStr">
        <is>
          <t>Anker 523 Charger Nano 3 47W ブラック A2039N11 USB-C 急速充電器 GaN PD対応 最大47W 2ポート USB充電器 Type-C 折りたたみ式 コンパクト 小型 MacBook iPad iPhone Android ノートPC タブレット対応 USB-C充電アダプター 高速充電 持ち運び Anker</t>
        </is>
      </c>
      <c r="F25" t="n">
        <v>8480</v>
      </c>
      <c r="G25" t="n">
        <v>3848</v>
      </c>
      <c r="H25" t="n">
        <v>3</v>
      </c>
      <c r="I25">
        <f>SUM(G25*H25)</f>
        <v/>
      </c>
    </row>
    <row r="26">
      <c r="A26" s="27" t="inlineStr">
        <is>
          <t>4571411205538</t>
        </is>
      </c>
      <c r="B26" s="27" t="inlineStr">
        <is>
          <t>4571411205538</t>
        </is>
      </c>
      <c r="C26" s="27" t="inlineStr">
        <is>
          <t>5538/2637</t>
        </is>
      </c>
      <c r="D26" s="27" t="inlineStr">
        <is>
          <t>4571411205538</t>
        </is>
      </c>
      <c r="E26" t="inlineStr">
        <is>
          <t>ANKER Anker 322 高耐久ナイロン USB-C &amp; USB-C ケーブル 0.9m ブラック×3個セット A81F5N11 PD対応 最大60W 急速充電 Type-C USB-Cケーブル 高耐久 ナイロン編み 断線防止 スマホ タブレット ノートPC Switch対応 充電コード データ転送 USB-IF認証 黒</t>
        </is>
      </c>
      <c r="F26" t="n">
        <v>4780</v>
      </c>
      <c r="G26" t="n">
        <v>2637</v>
      </c>
      <c r="H26" t="n">
        <v>2</v>
      </c>
      <c r="I26">
        <f>SUM(G26*H26)</f>
        <v/>
      </c>
    </row>
    <row r="27">
      <c r="A27" s="27" t="inlineStr">
        <is>
          <t>4571411208300</t>
        </is>
      </c>
      <c r="B27" s="27" t="inlineStr">
        <is>
          <t>4571411208300</t>
        </is>
      </c>
      <c r="C27" s="27" t="inlineStr">
        <is>
          <t>8300/1978</t>
        </is>
      </c>
      <c r="D27" s="27" t="inlineStr">
        <is>
          <t>4571411208300</t>
        </is>
      </c>
      <c r="E27" t="inlineStr">
        <is>
          <t>ANKER 322 USB-C &amp; USB-A ケーブル 0.9m ブラック×2個セット A81H5N11 USB2.0対応 Type-C USB-Cケーブル 高耐久 断線防止 USB-A Android スマホ タブレット モバイルバッテリー ゲーム機対応 データ転送 充電コード USB-IF認証 持ち運び 車載用 Anker</t>
        </is>
      </c>
      <c r="F27" t="n">
        <v>3980</v>
      </c>
      <c r="G27" t="n">
        <v>1978</v>
      </c>
      <c r="H27" t="n">
        <v>1</v>
      </c>
      <c r="I27">
        <f>SUM(G27*H27)</f>
        <v/>
      </c>
    </row>
    <row r="28">
      <c r="A28" s="27" t="inlineStr">
        <is>
          <t>4571411208324</t>
        </is>
      </c>
      <c r="B28" s="27" t="inlineStr">
        <is>
          <t>4571411208324</t>
        </is>
      </c>
      <c r="C28" s="27" t="inlineStr">
        <is>
          <t>8324/2197</t>
        </is>
      </c>
      <c r="D28" s="27" t="inlineStr">
        <is>
          <t>4571411208324</t>
        </is>
      </c>
      <c r="E28" t="inlineStr">
        <is>
          <t>Anker 322 USB-C &amp; USB-A ケーブル 1.8m ブラック×2個セット A81H6N11 USB2.0対応 Type-C USB-Cケーブル 高耐久 断線防止 USB-A Android スマホ タブレット モバイルバッテリー ゲーム機対応 データ転送 USB-IF認証 ロングケーブル 持ち運び 車載用 充電コード Anker</t>
        </is>
      </c>
      <c r="F28" t="n">
        <v>3980</v>
      </c>
      <c r="G28" t="n">
        <v>2197</v>
      </c>
      <c r="H28" t="n">
        <v>1</v>
      </c>
      <c r="I28">
        <f>SUM(G28*H28)</f>
        <v/>
      </c>
    </row>
    <row r="29">
      <c r="A29" s="27" t="inlineStr">
        <is>
          <t>4571411215971</t>
        </is>
      </c>
      <c r="B29" s="27" t="inlineStr">
        <is>
          <t>4571411215971</t>
        </is>
      </c>
      <c r="C29" s="27" t="inlineStr">
        <is>
          <t>5971/3297</t>
        </is>
      </c>
      <c r="D29" s="27" t="inlineStr">
        <is>
          <t>4571411215971</t>
        </is>
      </c>
      <c r="E29" t="inlineStr">
        <is>
          <t>ANKER Anker Charger (20W 2-Port) with USB-C &amp; USB-C ケーブル ブラック×2個セット B2348N11 急速充電器 USB PD対応 20W USB-C USB-A 2ポート PowerIQ コンパクト 小型 ACアダプター Type-C iPhone Android iPad スマホ タブレット 充電器 ケーブル付き PSE対応</t>
        </is>
      </c>
      <c r="F29" t="n">
        <v>5980</v>
      </c>
      <c r="G29" t="n">
        <v>3297</v>
      </c>
      <c r="H29" t="n">
        <v>1</v>
      </c>
      <c r="I29">
        <f>SUM(G29*H29)</f>
        <v/>
      </c>
    </row>
    <row r="30">
      <c r="A30" s="27" t="inlineStr">
        <is>
          <t>4571509303191</t>
        </is>
      </c>
      <c r="B30" s="27" t="inlineStr">
        <is>
          <t>4571509303191</t>
        </is>
      </c>
      <c r="C30" s="27" t="inlineStr">
        <is>
          <t>3191/539</t>
        </is>
      </c>
      <c r="D30" s="27" t="inlineStr">
        <is>
          <t>4571509303191</t>
        </is>
      </c>
      <c r="E30" t="inlineStr">
        <is>
          <t>ululis(ウルリス) パープル ウォーターコンク エクストラモイスト ハンドクリーム 65g 手 ケア 美容 乾燥</t>
        </is>
      </c>
      <c r="F30" t="n">
        <v>1680</v>
      </c>
      <c r="G30" t="n">
        <v>539</v>
      </c>
      <c r="H30" t="n">
        <v>4</v>
      </c>
      <c r="I30">
        <f>SUM(G30*H30)</f>
        <v/>
      </c>
    </row>
    <row r="31">
      <c r="A31" s="27" t="inlineStr">
        <is>
          <t>4580313723736</t>
        </is>
      </c>
      <c r="B31" s="27" t="inlineStr">
        <is>
          <t>4580313723736</t>
        </is>
      </c>
      <c r="C31" s="27" t="inlineStr">
        <is>
          <t>3736/40</t>
        </is>
      </c>
      <c r="D31" s="27" t="inlineStr">
        <is>
          <t>4580313723736-1</t>
        </is>
      </c>
      <c r="E31" t="inlineStr">
        <is>
          <t>ヴォイス マナッチ マナーズバッグ 30枚入り 犬 散歩袋 さんぽ</t>
        </is>
      </c>
      <c r="F31" t="n">
        <v>278</v>
      </c>
      <c r="G31" t="n">
        <v>40</v>
      </c>
      <c r="H31" t="n">
        <v>59</v>
      </c>
      <c r="I31">
        <f>SUM(G31*H31)</f>
        <v/>
      </c>
    </row>
    <row r="32">
      <c r="A32" s="27" t="inlineStr">
        <is>
          <t>4580313723736</t>
        </is>
      </c>
      <c r="B32" s="27" t="inlineStr">
        <is>
          <t>4580313723736</t>
        </is>
      </c>
      <c r="C32" s="27" t="inlineStr">
        <is>
          <t>3736/40</t>
        </is>
      </c>
      <c r="D32" s="27" t="inlineStr">
        <is>
          <t>4580313723736-2</t>
        </is>
      </c>
      <c r="E32" t="inlineStr">
        <is>
          <t>ヴォイス マナッチ マナーズバッグ 30枚入り 犬 散歩袋 さんぽ</t>
        </is>
      </c>
      <c r="F32" t="n">
        <v>1380</v>
      </c>
      <c r="G32" t="n">
        <v>40</v>
      </c>
      <c r="H32" t="n">
        <v>10</v>
      </c>
      <c r="I32">
        <f>SUM(G32*H32)</f>
        <v/>
      </c>
    </row>
    <row r="33">
      <c r="A33" s="27" t="inlineStr">
        <is>
          <t>4580313723736</t>
        </is>
      </c>
      <c r="B33" s="27" t="inlineStr">
        <is>
          <t>4580313723736</t>
        </is>
      </c>
      <c r="C33" s="27" t="inlineStr">
        <is>
          <t>3736/40</t>
        </is>
      </c>
      <c r="D33" s="27" t="inlineStr">
        <is>
          <t>4580313723736-3</t>
        </is>
      </c>
      <c r="E33" t="inlineStr">
        <is>
          <t>ヴォイス マナッチ マナーズバッグ 30枚入り 犬 散歩袋 さんぽ</t>
        </is>
      </c>
      <c r="F33" t="n">
        <v>9980</v>
      </c>
      <c r="G33" t="n">
        <v>40</v>
      </c>
      <c r="H33" t="n">
        <v>1</v>
      </c>
      <c r="I33">
        <f>SUM(G33*H33)</f>
        <v/>
      </c>
    </row>
    <row r="34">
      <c r="A34" s="27" t="inlineStr">
        <is>
          <t>4901301419859</t>
        </is>
      </c>
      <c r="B34" s="27" t="inlineStr">
        <is>
          <t>4901301419859</t>
        </is>
      </c>
      <c r="C34" s="27" t="inlineStr">
        <is>
          <t>9859/1800</t>
        </is>
      </c>
      <c r="D34" s="27" t="inlineStr">
        <is>
          <t>4901301419859</t>
        </is>
      </c>
      <c r="E34" t="inlineStr">
        <is>
          <t>花王 IROKA ホーリージャスミン 本体 540ml×2個セット 柔軟剤 部屋干し 雨の日 部屋 かろやか 香る きれい 清潔 衣類 防臭 抗菌 洗濯</t>
        </is>
      </c>
      <c r="F34" t="n">
        <v>2980</v>
      </c>
      <c r="G34" t="n">
        <v>1800</v>
      </c>
      <c r="H34" t="n">
        <v>11</v>
      </c>
      <c r="I34">
        <f>SUM(G34*H34)</f>
        <v/>
      </c>
    </row>
    <row r="35">
      <c r="A35" s="27" t="inlineStr">
        <is>
          <t>4901416183737</t>
        </is>
      </c>
      <c r="B35" s="27" t="inlineStr">
        <is>
          <t>4901416183737</t>
        </is>
      </c>
      <c r="C35" s="27" t="inlineStr">
        <is>
          <t>3737/3432</t>
        </is>
      </c>
      <c r="D35" s="27" t="inlineStr">
        <is>
          <t>4901416183737</t>
        </is>
      </c>
      <c r="E35" t="inlineStr">
        <is>
          <t>クラブ すっぴんパウダーC ホワイトフローラルブーケの香り 26g×3個セット 洗顔不要 フェイスパウダー ナイトパウダー つけたまま寝られる 毛穴カバー 透明感 スキンケアパウダー さらさら 保湿 ベースメイク お泊まりメイク 日本製 コスメ</t>
        </is>
      </c>
      <c r="F35" t="n">
        <v>4980</v>
      </c>
      <c r="G35" t="n">
        <v>3432</v>
      </c>
      <c r="H35" t="n">
        <v>14</v>
      </c>
      <c r="I35">
        <f>SUM(G35*H35)</f>
        <v/>
      </c>
    </row>
    <row r="36">
      <c r="A36" s="27" t="inlineStr">
        <is>
          <t>4901609017221</t>
        </is>
      </c>
      <c r="B36" s="27" t="inlineStr">
        <is>
          <t>4901609017221</t>
        </is>
      </c>
      <c r="C36" s="27" t="inlineStr">
        <is>
          <t>7221/1308</t>
        </is>
      </c>
      <c r="D36" s="27" t="inlineStr">
        <is>
          <t>4901609017221</t>
        </is>
      </c>
      <c r="E36" t="inlineStr">
        <is>
          <t>【2個セット】カビキラー お風呂に置くだけ防カビジェル お試しパック 本体1個＋カートリッジ2個×3セット ジョンソン 防カビ剤 浴室カビ対策 カビ予防 カビ防止 バスルーム掃除 お風呂掃除 カビ対策グッズ 置くだけ簡単 まとめ買い ストック カビ 掃除 水回り</t>
        </is>
      </c>
      <c r="F36" t="n">
        <v>4780</v>
      </c>
      <c r="G36" t="n">
        <v>1308</v>
      </c>
      <c r="H36" t="n">
        <v>2</v>
      </c>
      <c r="I36">
        <f>SUM(G36*H36)</f>
        <v/>
      </c>
    </row>
    <row r="37">
      <c r="A37" s="27" t="inlineStr">
        <is>
          <t>4903301377597</t>
        </is>
      </c>
      <c r="B37" s="27" t="inlineStr">
        <is>
          <t>4903301377597</t>
        </is>
      </c>
      <c r="C37" s="27" t="inlineStr">
        <is>
          <t>7597/1020</t>
        </is>
      </c>
      <c r="D37" s="27" t="inlineStr">
        <is>
          <t>4903301377597</t>
        </is>
      </c>
      <c r="E37" t="inlineStr">
        <is>
          <t>NANOXone 本体大600g＋超特大１６８０ｇ/ナノックス 洗剤 ニオイ 洗濯 洗濯洗剤 部屋干し 雨の日 部屋 きれい 清潔 衣類 静電気 防臭 抗菌 赤ちゃん ベビー 洗濯 ライオン</t>
        </is>
      </c>
      <c r="F37" t="n">
        <v>2080</v>
      </c>
      <c r="G37" t="n">
        <v>1020</v>
      </c>
      <c r="H37" t="n">
        <v>15</v>
      </c>
      <c r="I37">
        <f>SUM(G37*H37)</f>
        <v/>
      </c>
    </row>
    <row r="38">
      <c r="A38" s="27" t="inlineStr">
        <is>
          <t>4965858009567</t>
        </is>
      </c>
      <c r="B38" s="27" t="inlineStr">
        <is>
          <t>4965858009567</t>
        </is>
      </c>
      <c r="C38" s="27" t="inlineStr">
        <is>
          <t>9567/770</t>
        </is>
      </c>
      <c r="D38" s="27" t="inlineStr">
        <is>
          <t>4965858009567</t>
        </is>
      </c>
      <c r="E38" t="inlineStr">
        <is>
          <t>CIAOちゅ～る＆ハローキティ ラウンドベッド 【限定品】</t>
        </is>
      </c>
      <c r="F38" t="n">
        <v>2980</v>
      </c>
      <c r="G38" t="n">
        <v>770</v>
      </c>
      <c r="H38" t="n">
        <v>1</v>
      </c>
      <c r="I38">
        <f>SUM(G38*H38)</f>
        <v/>
      </c>
    </row>
    <row r="39">
      <c r="A39" s="27" t="inlineStr">
        <is>
          <t>4965858009581</t>
        </is>
      </c>
      <c r="B39" s="27" t="inlineStr">
        <is>
          <t>4965858009581</t>
        </is>
      </c>
      <c r="C39" s="27" t="inlineStr">
        <is>
          <t>9581/770</t>
        </is>
      </c>
      <c r="D39" s="27" t="inlineStr">
        <is>
          <t>4965858009581</t>
        </is>
      </c>
      <c r="E39" t="inlineStr">
        <is>
          <t>チャオ CIAO ちゅーる ラウンドベッド イエロー ペット用 【限定品】</t>
        </is>
      </c>
      <c r="F39" t="n">
        <v>2980</v>
      </c>
      <c r="G39" t="n">
        <v>770</v>
      </c>
      <c r="H39" t="n">
        <v>4</v>
      </c>
      <c r="I39">
        <f>SUM(G39*H39)</f>
        <v/>
      </c>
    </row>
    <row r="40">
      <c r="A40" s="27" t="inlineStr">
        <is>
          <t>4971710623789</t>
        </is>
      </c>
      <c r="B40" s="27" t="inlineStr">
        <is>
          <t>4971710623789</t>
        </is>
      </c>
      <c r="C40" s="27" t="inlineStr">
        <is>
          <t>3789/17050</t>
        </is>
      </c>
      <c r="D40" s="27" t="inlineStr">
        <is>
          <t>4971710623789</t>
        </is>
      </c>
      <c r="E40" t="inlineStr">
        <is>
          <t>COSME DECORTE コスメデコルテ リポソーム アドバンスト リペアセラム パープルリボン 2025 限定セット 美容液 化粧水 美肌ケア 美容 クリスマス コフレ 【数量限定】</t>
        </is>
      </c>
      <c r="F40" t="n">
        <v>22980</v>
      </c>
      <c r="G40" t="n">
        <v>17050</v>
      </c>
      <c r="H40" t="n">
        <v>44</v>
      </c>
      <c r="I40">
        <f>SUM(G40*H40)</f>
        <v/>
      </c>
    </row>
    <row r="41">
      <c r="A41" s="27" t="inlineStr">
        <is>
          <t>4973307685309</t>
        </is>
      </c>
      <c r="B41" s="27" t="inlineStr">
        <is>
          <t>4973307685309</t>
        </is>
      </c>
      <c r="C41" s="27" t="n"/>
      <c r="D41" s="27" t="inlineStr">
        <is>
          <t>4973307685309</t>
        </is>
      </c>
      <c r="E41" t="inlineStr">
        <is>
          <t>スケーター(Skater) 子供用 箸 箸箱セット 16.5cm 子供用 お弁当用 抗菌加工 男の子 女の子 開けやすいスライド式 日本製 竹下ぱらだいす ABS2AMAG</t>
        </is>
      </c>
      <c r="F41" t="n">
        <v>798</v>
      </c>
      <c r="G41" t="n">
        <v>110</v>
      </c>
      <c r="H41" t="n">
        <v>5</v>
      </c>
      <c r="I41">
        <f>SUM(G41*H41)</f>
        <v/>
      </c>
    </row>
    <row r="42">
      <c r="A42" s="27" t="inlineStr">
        <is>
          <t>4973307685354</t>
        </is>
      </c>
      <c r="B42" s="27" t="inlineStr">
        <is>
          <t>4973307685354</t>
        </is>
      </c>
      <c r="C42" s="27" t="inlineStr">
        <is>
          <t>5354/100</t>
        </is>
      </c>
      <c r="D42" s="27" t="inlineStr">
        <is>
          <t>4973307685354</t>
        </is>
      </c>
      <c r="E42" t="inlineStr">
        <is>
          <t>スケーター ランチクロス 竹下☆ぱらだいす お弁当 skater ナフキン 685354 入園 入学 日本製 給食 男の子 女の子 人気 キッズ グッズ</t>
        </is>
      </c>
      <c r="F42" t="n">
        <v>698</v>
      </c>
      <c r="G42" t="n">
        <v>110</v>
      </c>
      <c r="H42" t="n">
        <v>3</v>
      </c>
      <c r="I42">
        <f>SUM(G42*H42)</f>
        <v/>
      </c>
    </row>
    <row r="43">
      <c r="A43" s="27" t="inlineStr">
        <is>
          <t>4987176266804</t>
        </is>
      </c>
      <c r="B43" s="27" t="inlineStr">
        <is>
          <t>4987176266804</t>
        </is>
      </c>
      <c r="C43" s="27" t="inlineStr">
        <is>
          <t>6804/28800</t>
        </is>
      </c>
      <c r="D43" s="27" t="inlineStr">
        <is>
          <t>4987176266804</t>
        </is>
      </c>
      <c r="E43" t="inlineStr">
        <is>
          <t>ブラウン BRAUN 電気シェーバー シリーズ8 ［3枚刃 /AC100V-240V］ マットシルバー 8567CC-V アルコール洗浄システム付 シェーバーケース付 電動 髭剃り メンズ 防水設計 充電式 コードレス</t>
        </is>
      </c>
      <c r="F43" t="n">
        <v>39800</v>
      </c>
      <c r="G43" t="n">
        <v>28800</v>
      </c>
      <c r="H43" t="n">
        <v>2</v>
      </c>
      <c r="I43">
        <f>SUM(G43*H43)</f>
        <v/>
      </c>
    </row>
    <row r="44">
      <c r="A44" s="27" t="inlineStr">
        <is>
          <t>6941057452425</t>
        </is>
      </c>
      <c r="B44" s="27" t="inlineStr">
        <is>
          <t>6941057452425</t>
        </is>
      </c>
      <c r="C44" s="27" t="inlineStr">
        <is>
          <t>272</t>
        </is>
      </c>
      <c r="D44" s="27" t="inlineStr">
        <is>
          <t>6941057452425</t>
        </is>
      </c>
      <c r="E44" t="inlineStr">
        <is>
          <t>INTEX インテックス 子供用 浮き輪 オーシャンリーフリング 61cm プール 海 川 水遊び フロート キッズ うきわ かわいい トランスペアレント 色柄指定不可</t>
        </is>
      </c>
      <c r="F44" t="n">
        <v>999</v>
      </c>
      <c r="G44" t="n">
        <v>272</v>
      </c>
      <c r="H44" t="n">
        <v>19</v>
      </c>
      <c r="I44">
        <f>SUM(G44*H44)</f>
        <v/>
      </c>
    </row>
    <row r="45">
      <c r="A45" s="27" t="inlineStr">
        <is>
          <t>840064400329</t>
        </is>
      </c>
      <c r="B45" s="27" t="inlineStr">
        <is>
          <t>840064400329</t>
        </is>
      </c>
      <c r="C45" s="27" t="inlineStr">
        <is>
          <t>0329</t>
        </is>
      </c>
      <c r="D45" s="27" t="inlineStr">
        <is>
          <t>840064400329</t>
        </is>
      </c>
      <c r="E45" t="inlineStr">
        <is>
          <t>EPOS / sennheiser ワイヤレスゲーミングヘッドセット GSP 370 Xbox One ヘッドセット サラウンドサウンド RGB LED照明 ノイズアイソレーション オーバーイヤーゲームヘッドセット 調節可能なマイク付き PS4 Xbox One Nintendo Switch PC ノートパソコン用</t>
        </is>
      </c>
      <c r="F45" t="n">
        <v>17800</v>
      </c>
      <c r="G45" t="n">
        <v>5000</v>
      </c>
      <c r="H45" t="n">
        <v>1</v>
      </c>
      <c r="I45">
        <f>SUM(G45*H45)</f>
        <v/>
      </c>
    </row>
    <row r="46">
      <c r="A46" s="27" t="inlineStr">
        <is>
          <t>8720689024570</t>
        </is>
      </c>
      <c r="B46" s="27" t="inlineStr">
        <is>
          <t>8720689024570</t>
        </is>
      </c>
      <c r="C46" s="27" t="inlineStr">
        <is>
          <t>4570/5980</t>
        </is>
      </c>
      <c r="D46" s="27" t="inlineStr">
        <is>
          <t>8720689024570</t>
        </is>
      </c>
      <c r="E46" t="inlineStr">
        <is>
          <t>フィリップス PHILIPS 電気シェーバー X305200 ダークフォレストグリーン 3000Xシリーズ 電動 髭剃り メンズ 27枚刃 回転式 急速充電 丸洗い可 4Dフレックスヘッド</t>
        </is>
      </c>
      <c r="F46" t="n">
        <v>7980</v>
      </c>
      <c r="G46" t="n">
        <v>5980</v>
      </c>
      <c r="H46" t="n">
        <v>3</v>
      </c>
      <c r="I46">
        <f>SUM(G46*H46)</f>
        <v/>
      </c>
    </row>
    <row r="47">
      <c r="A47" s="27" t="inlineStr">
        <is>
          <t>6941057420004</t>
        </is>
      </c>
      <c r="B47" s="27" t="inlineStr">
        <is>
          <t>b00004ysym</t>
        </is>
      </c>
      <c r="C47" s="27" t="inlineStr">
        <is>
          <t>0004/540</t>
        </is>
      </c>
      <c r="D47" s="27" t="inlineStr">
        <is>
          <t>b00004ysym</t>
        </is>
      </c>
      <c r="E47" t="inlineStr">
        <is>
          <t>INTEX(インテックス) フィルターカートリッジ プール 除菌 水遊び 夏 浄化装置 濾過 ろ過 夏 プール用品</t>
        </is>
      </c>
      <c r="F47" t="n">
        <v>1980</v>
      </c>
      <c r="G47" t="n">
        <v>540</v>
      </c>
      <c r="H47" t="n">
        <v>7</v>
      </c>
      <c r="I47">
        <f>SUM(G47*H47)</f>
        <v/>
      </c>
      <c r="J47" t="inlineStr">
        <is>
          <t>✓ 一致（SKU）</t>
        </is>
      </c>
      <c r="K47" t="inlineStr">
        <is>
          <t>6941057420004</t>
        </is>
      </c>
    </row>
    <row r="48">
      <c r="A48" s="27" t="inlineStr">
        <is>
          <t>6941057420004</t>
        </is>
      </c>
      <c r="B48" s="27" t="inlineStr">
        <is>
          <t>b00004ysym-1</t>
        </is>
      </c>
      <c r="C48" s="27" t="inlineStr">
        <is>
          <t>0004/1620</t>
        </is>
      </c>
      <c r="D48" s="27" t="inlineStr">
        <is>
          <t>B00004YSYM-1</t>
        </is>
      </c>
      <c r="E48" t="inlineStr">
        <is>
          <t>INTEX インテックス フィルターカートリッジ 3個セット プール用 浄化フィルター ろ過フィルター 除菌 循環ポンプ対応 家庭用プール 水遊び 夏 プール用品 交換用フィルター</t>
        </is>
      </c>
      <c r="F48" t="n">
        <v>3980</v>
      </c>
      <c r="G48" t="n">
        <v>1620</v>
      </c>
      <c r="H48" t="n">
        <v>2</v>
      </c>
      <c r="I48">
        <f>SUM(G48*H48)</f>
        <v/>
      </c>
      <c r="J48" t="inlineStr">
        <is>
          <t>✓ 一致（SKU）</t>
        </is>
      </c>
      <c r="K48" t="inlineStr">
        <is>
          <t>6941057420004</t>
        </is>
      </c>
    </row>
    <row r="49">
      <c r="A49" s="27" t="inlineStr">
        <is>
          <t>3264680009785</t>
        </is>
      </c>
      <c r="B49" s="27" t="inlineStr">
        <is>
          <t>b000o7lk1c</t>
        </is>
      </c>
      <c r="C49" s="27" t="inlineStr">
        <is>
          <t>9785</t>
        </is>
      </c>
      <c r="D49" s="27" t="inlineStr">
        <is>
          <t>b000o7lk1c</t>
        </is>
      </c>
      <c r="E49" t="inlineStr">
        <is>
          <t>Nuxe(ニュクス) プロディジュー ゴールドオイル 50mL ヘアオイル ボディオイル フェイスオイル 全身用 マルチ美容オイル 香り ドライオイル 保湿 乾燥 潤い ツヤ肌 さらさら キラキラ フレグランスオイル 魅惑の香り ギフト</t>
        </is>
      </c>
      <c r="F49" t="n">
        <v>3980</v>
      </c>
      <c r="G49" t="n">
        <v>0</v>
      </c>
      <c r="H49" t="n">
        <v>3</v>
      </c>
      <c r="I49">
        <f>SUM(G49*H49)</f>
        <v/>
      </c>
      <c r="J49" t="inlineStr">
        <is>
          <t>✓ 一致（SKU）</t>
        </is>
      </c>
      <c r="K49" t="inlineStr">
        <is>
          <t>3264680009785</t>
        </is>
      </c>
    </row>
    <row r="50">
      <c r="A50" s="27" t="inlineStr">
        <is>
          <t>4902424424430</t>
        </is>
      </c>
      <c r="B50" s="27" t="inlineStr">
        <is>
          <t>b000v2f0aw</t>
        </is>
      </c>
      <c r="C50" s="27" t="inlineStr">
        <is>
          <t>4430/878</t>
        </is>
      </c>
      <c r="D50" s="27" t="inlineStr">
        <is>
          <t>b000v2f0aw</t>
        </is>
      </c>
      <c r="E50" t="inlineStr">
        <is>
          <t>フマキラー 蚊取り線香 レギュラー 箱 30巻×2個セット 蚊 線香 むし 虫 虫除け</t>
        </is>
      </c>
      <c r="F50" t="n">
        <v>1980</v>
      </c>
      <c r="G50" t="n">
        <v>878</v>
      </c>
      <c r="H50" t="n">
        <v>7</v>
      </c>
      <c r="I50">
        <f>SUM(G50*H50)</f>
        <v/>
      </c>
      <c r="J50" t="inlineStr">
        <is>
          <t>✓ 一致（SKU）</t>
        </is>
      </c>
      <c r="K50" t="inlineStr">
        <is>
          <t>4902424424430</t>
        </is>
      </c>
    </row>
    <row r="51">
      <c r="A51" s="27" t="inlineStr">
        <is>
          <t>4901422152505</t>
        </is>
      </c>
      <c r="B51" s="27" t="inlineStr">
        <is>
          <t>b000vicipq</t>
        </is>
      </c>
      <c r="C51" s="27" t="inlineStr">
        <is>
          <t>2505/1112</t>
        </is>
      </c>
      <c r="D51" s="27" t="inlineStr">
        <is>
          <t>B000VICIPQ</t>
        </is>
      </c>
      <c r="E51" t="inlineStr">
        <is>
          <t>【3本セット】NEWクレラップ お徳用 22cm×50m 日本製 キッチンラップ 電子レンジ対応 食品保存 冷蔵保存 冷凍保存 作り置き 密着フィルム 家庭用ラップ キッチン用品 台所用品 消耗品 日用品 ストック まとめ買い 食材保存 キッチン消耗品 調理用品 料理 下ごしらえ 常備品</t>
        </is>
      </c>
      <c r="F51" t="n">
        <v>2780</v>
      </c>
      <c r="G51" t="n">
        <v>1112</v>
      </c>
      <c r="H51" t="n">
        <v>1</v>
      </c>
      <c r="I51">
        <f>SUM(G51*H51)</f>
        <v/>
      </c>
    </row>
    <row r="52">
      <c r="A52" s="27" t="inlineStr">
        <is>
          <t>4901422153502</t>
        </is>
      </c>
      <c r="B52" s="27" t="inlineStr">
        <is>
          <t>b0012vqlky</t>
        </is>
      </c>
      <c r="C52" s="27" t="inlineStr">
        <is>
          <t>3502/2634</t>
        </is>
      </c>
      <c r="D52" s="27" t="inlineStr">
        <is>
          <t>b0012vqlky</t>
        </is>
      </c>
      <c r="E52" t="inlineStr">
        <is>
          <t>NEWクレラップ お徳用 レギュラー 30cm×50m 6本セット 食品ラップ キッチンラップ 日用品 まとめ買い ストック 保存用 送料無料 保存用ラップ ラップ まとめ買い 食品保存 キッチン用品 台所用品 消耗品</t>
        </is>
      </c>
      <c r="F52" t="n">
        <v>4780</v>
      </c>
      <c r="G52" t="n">
        <v>1370</v>
      </c>
      <c r="H52" t="n">
        <v>5</v>
      </c>
      <c r="I52">
        <f>SUM(G52*H52)</f>
        <v/>
      </c>
      <c r="J52" t="inlineStr">
        <is>
          <t>✓ 一致（SKU）</t>
        </is>
      </c>
      <c r="K52" t="inlineStr">
        <is>
          <t>4901422153502</t>
        </is>
      </c>
    </row>
    <row r="53">
      <c r="A53" s="27" t="inlineStr">
        <is>
          <t>4901422153205</t>
        </is>
      </c>
      <c r="B53" s="27" t="inlineStr">
        <is>
          <t>b0018b5c30</t>
        </is>
      </c>
      <c r="C53" s="27" t="inlineStr">
        <is>
          <t>3205/1540</t>
        </is>
      </c>
      <c r="D53" s="27" t="inlineStr">
        <is>
          <t>b0018b5c30</t>
        </is>
      </c>
      <c r="E53" t="inlineStr">
        <is>
          <t>【8個セット】NEWクレラップ レギュラー 30cm×20m×8個セット クレラップ ラップ 食品保存ラップ キッチンラップ 保存用ラップ 電子レンジ対応 冷凍保存 食材保存 作り置き お弁当 キッチン用品 台所用品 日用品 消耗品 ストック まとめ買い 家庭用 クレハ KUREHA</t>
        </is>
      </c>
      <c r="F53" t="n">
        <v>2980</v>
      </c>
      <c r="G53" t="n">
        <v>1540</v>
      </c>
      <c r="H53" t="n">
        <v>5</v>
      </c>
      <c r="I53">
        <f>SUM(G53*H53)</f>
        <v/>
      </c>
      <c r="J53" t="inlineStr">
        <is>
          <t>✓ 一致（SKU）</t>
        </is>
      </c>
      <c r="K53" t="inlineStr">
        <is>
          <t>4901422153205</t>
        </is>
      </c>
    </row>
    <row r="54">
      <c r="A54" s="27" t="inlineStr">
        <is>
          <t>4901422151508</t>
        </is>
      </c>
      <c r="B54" s="27" t="inlineStr">
        <is>
          <t>b0018b8fx4</t>
        </is>
      </c>
      <c r="C54" s="27" t="inlineStr">
        <is>
          <t>1508/1544</t>
        </is>
      </c>
      <c r="D54" s="27" t="inlineStr">
        <is>
          <t>B0018B8FX4</t>
        </is>
      </c>
      <c r="E54" t="inlineStr">
        <is>
          <t>NEWクレラップ ミニ 15cm×50m×6個セット ラップ クレラップ 台所 料理</t>
        </is>
      </c>
      <c r="F54" t="n">
        <v>3080</v>
      </c>
      <c r="G54" t="n">
        <v>1544</v>
      </c>
      <c r="H54" t="n">
        <v>1</v>
      </c>
      <c r="I54">
        <f>SUM(G54*H54)</f>
        <v/>
      </c>
      <c r="J54" t="inlineStr">
        <is>
          <t>✓ 一致（SKU）</t>
        </is>
      </c>
      <c r="K54" t="inlineStr">
        <is>
          <t>4901422151508</t>
        </is>
      </c>
    </row>
    <row r="55">
      <c r="A55" s="27" t="inlineStr">
        <is>
          <t>4987072061725</t>
        </is>
      </c>
      <c r="B55" s="27" t="inlineStr">
        <is>
          <t>b003al01iw</t>
        </is>
      </c>
      <c r="C55" s="27" t="inlineStr">
        <is>
          <t>1725/1575</t>
        </is>
      </c>
      <c r="D55" s="27" t="inlineStr">
        <is>
          <t>b003al01iw</t>
        </is>
      </c>
      <c r="E55" t="inlineStr">
        <is>
          <t>小林製薬 やわらか歯間ブラシ SS～Mサイズ お徳用 40本入×3個セット 歯 歯間 ブラシ 歯間ブラシ ケア</t>
        </is>
      </c>
      <c r="F55" t="n">
        <v>2580</v>
      </c>
      <c r="G55" t="n">
        <v>1575</v>
      </c>
      <c r="H55" t="n">
        <v>27</v>
      </c>
      <c r="I55">
        <f>SUM(G55*H55)</f>
        <v/>
      </c>
      <c r="J55" t="inlineStr">
        <is>
          <t>✓ 一致（SKU）</t>
        </is>
      </c>
      <c r="K55" t="inlineStr">
        <is>
          <t>4987072061725</t>
        </is>
      </c>
    </row>
    <row r="56">
      <c r="A56" s="27" t="inlineStr">
        <is>
          <t>4901422361112</t>
        </is>
      </c>
      <c r="B56" s="27" t="inlineStr">
        <is>
          <t>b003m76vj2</t>
        </is>
      </c>
      <c r="C56" s="27" t="inlineStr">
        <is>
          <t>1112/446</t>
        </is>
      </c>
      <c r="D56" s="27" t="inlineStr">
        <is>
          <t>b003m76vj2</t>
        </is>
      </c>
      <c r="E56" t="inlineStr">
        <is>
          <t>【2個セット】ダストマン○(マル) 浅型 30枚×2個セット 抗菌 水切りネット 排水口ネット 水切りゴミ袋 ストッキングタイプ 浅型排水口用 三角コーナー 生ごみ処理 キッチン シンク 水切れ抜群 細かい網目 ゴミキャッチ ヌメリ対策 清潔 衛生用品 台所用品 日用品 まとめ買い</t>
        </is>
      </c>
      <c r="F56" t="n">
        <v>1180</v>
      </c>
      <c r="G56" t="n">
        <v>446</v>
      </c>
      <c r="H56" t="n">
        <v>36</v>
      </c>
      <c r="I56">
        <f>SUM(G56*H56)</f>
        <v/>
      </c>
    </row>
    <row r="57">
      <c r="A57" s="27" t="inlineStr">
        <is>
          <t>4250278603472</t>
        </is>
      </c>
      <c r="B57" s="27" t="inlineStr">
        <is>
          <t>b006wtxlxq</t>
        </is>
      </c>
      <c r="C57" s="27" t="inlineStr">
        <is>
          <t>3472/5600</t>
        </is>
      </c>
      <c r="D57" s="27" t="inlineStr">
        <is>
          <t>b006wtxlxq</t>
        </is>
      </c>
      <c r="E57" t="inlineStr">
        <is>
          <t>Kaweco カヴェコ シャープペンシル スペシャル ブラック PS-05 0.5mm 正規輸入品 シャーペン</t>
        </is>
      </c>
      <c r="F57" t="n">
        <v>7150</v>
      </c>
      <c r="G57" t="n">
        <v>5600</v>
      </c>
      <c r="H57" t="n">
        <v>2</v>
      </c>
      <c r="I57">
        <f>SUM(G57*H57)</f>
        <v/>
      </c>
      <c r="J57" t="inlineStr">
        <is>
          <t>✓ 一致（SKU）</t>
        </is>
      </c>
      <c r="K57" t="inlineStr">
        <is>
          <t>4250278603472</t>
        </is>
      </c>
    </row>
    <row r="58">
      <c r="A58" s="27" t="inlineStr">
        <is>
          <t>4903588240669</t>
        </is>
      </c>
      <c r="B58" s="27" t="inlineStr">
        <is>
          <t>b0082mtvt4</t>
        </is>
      </c>
      <c r="C58" s="27" t="inlineStr">
        <is>
          <t>0669/1496</t>
        </is>
      </c>
      <c r="D58" s="27" t="inlineStr">
        <is>
          <t>b0082mtvt4</t>
        </is>
      </c>
      <c r="E58" t="inlineStr">
        <is>
          <t>ペティオ (Petio) プレシャンテ部分カットバリカン 犬 猫 犬用 猫用 カット バリカン</t>
        </is>
      </c>
      <c r="F58" t="n">
        <v>2980</v>
      </c>
      <c r="G58" t="n">
        <v>1496</v>
      </c>
      <c r="H58" t="n">
        <v>4</v>
      </c>
      <c r="I58">
        <f>SUM(G58*H58)</f>
        <v/>
      </c>
    </row>
    <row r="59">
      <c r="A59" s="27" t="inlineStr">
        <is>
          <t>4562248604564</t>
        </is>
      </c>
      <c r="B59" s="27" t="inlineStr">
        <is>
          <t>b00jpussb4</t>
        </is>
      </c>
      <c r="C59" s="27" t="inlineStr">
        <is>
          <t>4654/3993</t>
        </is>
      </c>
      <c r="D59" s="27" t="inlineStr">
        <is>
          <t>b00jpussb4</t>
        </is>
      </c>
      <c r="E59" t="inlineStr">
        <is>
          <t>スリー THREE フローレスエシリアル フルイド ファンデーション 30mL 202 化粧 化粧品 ファンデ</t>
        </is>
      </c>
      <c r="F59" t="n">
        <v>5980</v>
      </c>
      <c r="G59" t="n">
        <v>3993</v>
      </c>
      <c r="H59" t="n">
        <v>1</v>
      </c>
      <c r="I59">
        <f>SUM(G59*H59)</f>
        <v/>
      </c>
      <c r="J59" t="inlineStr">
        <is>
          <t>✓ 一致（SKU）</t>
        </is>
      </c>
      <c r="K59" t="inlineStr">
        <is>
          <t>4562248604564</t>
        </is>
      </c>
    </row>
    <row r="60">
      <c r="A60" s="27" t="inlineStr">
        <is>
          <t>4901133618680</t>
        </is>
      </c>
      <c r="B60" s="27" t="inlineStr">
        <is>
          <t>b00jrnlz1o</t>
        </is>
      </c>
      <c r="C60" s="27" t="inlineStr">
        <is>
          <t>8680/1440</t>
        </is>
      </c>
      <c r="D60" s="27" t="inlineStr">
        <is>
          <t>b00jrnlz1o</t>
        </is>
      </c>
      <c r="E60" t="inlineStr">
        <is>
          <t>チャオ (CIAO) CIAO (チャオ) 焼かつおディナー ほたて貝柱入り 50g×16コ 焼かつお 猫 猫用 おやつ ゼリー ウェット キャットフード 人気</t>
        </is>
      </c>
      <c r="F60" t="n">
        <v>2480</v>
      </c>
      <c r="G60" t="n">
        <v>1440</v>
      </c>
      <c r="H60" t="n">
        <v>5</v>
      </c>
      <c r="I60">
        <f>SUM(G60*H60)</f>
        <v/>
      </c>
    </row>
    <row r="61">
      <c r="A61" s="27" t="inlineStr">
        <is>
          <t>4901080281012</t>
        </is>
      </c>
      <c r="B61" s="27" t="inlineStr">
        <is>
          <t>b00layzmas</t>
        </is>
      </c>
      <c r="C61" s="27" t="inlineStr">
        <is>
          <t>1012/2211</t>
        </is>
      </c>
      <c r="D61" s="27" t="inlineStr">
        <is>
          <t>b00layzmas</t>
        </is>
      </c>
      <c r="E61" t="inlineStr">
        <is>
          <t>アース製薬 カメムシコロリ 300ml ×3個セット ニオイを出す前に一発撃退! ガーデン 害虫対策 駆除 虫 殺虫剤</t>
        </is>
      </c>
      <c r="F61" t="n">
        <v>5980</v>
      </c>
      <c r="G61" t="n">
        <v>1884</v>
      </c>
      <c r="H61" t="n">
        <v>3</v>
      </c>
      <c r="I61">
        <f>SUM(G61*H61)</f>
        <v/>
      </c>
      <c r="J61" t="inlineStr">
        <is>
          <t>✓ 一致（SKU）</t>
        </is>
      </c>
      <c r="K61" t="inlineStr">
        <is>
          <t>4901080281012</t>
        </is>
      </c>
    </row>
    <row r="62">
      <c r="A62" s="27" t="inlineStr">
        <is>
          <t>4901080281012</t>
        </is>
      </c>
      <c r="B62" s="27" t="inlineStr">
        <is>
          <t>b00layzmas-1</t>
        </is>
      </c>
      <c r="C62" s="27" t="inlineStr">
        <is>
          <t>1012/1474</t>
        </is>
      </c>
      <c r="D62" s="27" t="inlineStr">
        <is>
          <t>B00LAYZMAS-1</t>
        </is>
      </c>
      <c r="E62" t="inlineStr">
        <is>
          <t>【2個セット】アース製薬 カメムシコロリ 300mL×2個セット カメムシ駆除スプレー 害虫対策 カメムシ退治 殺虫スプレー 屋外用 ベランダ 玄関 窓まわり 網戸 ガーデニング 農作業前後 忌避 駆除対策 不快害虫対策 まとめ買い ストック 日用品</t>
        </is>
      </c>
      <c r="F62" t="n">
        <v>4380</v>
      </c>
      <c r="G62" t="n">
        <v>1474</v>
      </c>
      <c r="H62" t="n">
        <v>5</v>
      </c>
      <c r="I62">
        <f>SUM(G62*H62)</f>
        <v/>
      </c>
      <c r="J62" t="inlineStr">
        <is>
          <t>✓ 一致（SKU）</t>
        </is>
      </c>
      <c r="K62" t="inlineStr">
        <is>
          <t>4901080281012</t>
        </is>
      </c>
    </row>
    <row r="63">
      <c r="A63" s="27" t="inlineStr">
        <is>
          <t>4992440034539</t>
        </is>
      </c>
      <c r="B63" s="27" t="inlineStr">
        <is>
          <t>b00x3e44d4</t>
        </is>
      </c>
      <c r="C63" s="27" t="inlineStr">
        <is>
          <t>4539/660</t>
        </is>
      </c>
      <c r="D63" s="27" t="inlineStr">
        <is>
          <t>b00x3e44d4</t>
        </is>
      </c>
      <c r="E63" t="inlineStr">
        <is>
          <t>歯磨撫子 重曹つるつるハミガキ 黄ばみ 重曹 白い歯 ペースト 歯磨き粉 140g ペパーミント 歯磨き ケア 口臭 口内 口臭ケア</t>
        </is>
      </c>
      <c r="F63" t="n">
        <v>1980</v>
      </c>
      <c r="G63" t="n">
        <v>660</v>
      </c>
      <c r="H63" t="n">
        <v>1</v>
      </c>
      <c r="I63">
        <f>SUM(G63*H63)</f>
        <v/>
      </c>
      <c r="J63" t="inlineStr">
        <is>
          <t>✓ 一致（SKU）</t>
        </is>
      </c>
      <c r="K63" t="inlineStr">
        <is>
          <t>4992440034539</t>
        </is>
      </c>
    </row>
    <row r="64">
      <c r="A64" s="27" t="inlineStr">
        <is>
          <t>4987072025581</t>
        </is>
      </c>
      <c r="B64" s="27" t="inlineStr">
        <is>
          <t>b00xj3iark</t>
        </is>
      </c>
      <c r="C64" s="27" t="inlineStr">
        <is>
          <t>5581/690</t>
        </is>
      </c>
      <c r="D64" s="27" t="inlineStr">
        <is>
          <t>b00xj3iark</t>
        </is>
      </c>
      <c r="E64" t="inlineStr">
        <is>
          <t>小林製薬 やわらか歯間ブラシ SSS-Sサイズ 20本×3個セット ゴムタイプ ワイヤー不使用 極細 歯垢除去 食べかす除去 歯周病対策 虫歯予防 口臭対策 歯ぐきケア 歯肉ケア 口腔ケア デンタルケア オーラルケア 歯間清掃 先端先細加工 狭い歯間 柔軟ブラシ 歯周ポケットケア</t>
        </is>
      </c>
      <c r="F64" t="n">
        <v>1980</v>
      </c>
      <c r="G64" t="n">
        <v>690</v>
      </c>
      <c r="H64" t="n">
        <v>5</v>
      </c>
      <c r="I64">
        <f>SUM(G64*H64)</f>
        <v/>
      </c>
      <c r="J64" t="inlineStr">
        <is>
          <t>✓ 一致（SKU）</t>
        </is>
      </c>
      <c r="K64" t="inlineStr">
        <is>
          <t>4987072025581</t>
        </is>
      </c>
    </row>
    <row r="65">
      <c r="A65" s="27" t="inlineStr">
        <is>
          <t>4905009678969</t>
        </is>
      </c>
      <c r="B65" s="27" t="inlineStr">
        <is>
          <t>b00xtvxexw</t>
        </is>
      </c>
      <c r="C65" s="27" t="inlineStr">
        <is>
          <t>8969/1182</t>
        </is>
      </c>
      <c r="D65" s="27" t="inlineStr">
        <is>
          <t>B00XTVXEXW</t>
        </is>
      </c>
      <c r="E65" t="inlineStr">
        <is>
          <t>【最短当日発送】カイロ ミニ 60個（10個入×6）アイリスオーヤマ ぽかぽか家族 貼らない 使い捨てカイロ 防寒 寒さ対策 冬用品 防災 備蓄 持ち運び ホッカイロ 小型 まとめ買い</t>
        </is>
      </c>
      <c r="F65" t="n">
        <v>3980</v>
      </c>
      <c r="G65" t="n">
        <v>1182</v>
      </c>
      <c r="H65" t="n">
        <v>4</v>
      </c>
      <c r="I65">
        <f>SUM(G65*H65)</f>
        <v/>
      </c>
    </row>
    <row r="66">
      <c r="A66" s="27" t="inlineStr">
        <is>
          <t>4901422360153</t>
        </is>
      </c>
      <c r="B66" s="27" t="inlineStr">
        <is>
          <t>b00xtyr0js</t>
        </is>
      </c>
      <c r="C66" s="27" t="inlineStr">
        <is>
          <t>0153/396</t>
        </is>
      </c>
      <c r="D66" s="27" t="inlineStr">
        <is>
          <t>b00xtyr0js</t>
        </is>
      </c>
      <c r="E66" t="inlineStr">
        <is>
          <t>クレハ ダストマン ○(マル) 20枚×2個セット スタンド 三角コーナー 水切り ゴミ袋</t>
        </is>
      </c>
      <c r="F66" t="n">
        <v>1380</v>
      </c>
      <c r="G66" t="n">
        <v>396</v>
      </c>
      <c r="H66" t="n">
        <v>4</v>
      </c>
      <c r="I66">
        <f>SUM(G66*H66)</f>
        <v/>
      </c>
      <c r="J66" t="inlineStr">
        <is>
          <t>✓ 一致（SKU）</t>
        </is>
      </c>
      <c r="K66" t="inlineStr">
        <is>
          <t>4901422360153</t>
        </is>
      </c>
    </row>
    <row r="67">
      <c r="A67" s="27" t="inlineStr">
        <is>
          <t>4905009678938</t>
        </is>
      </c>
      <c r="B67" s="27" t="inlineStr">
        <is>
          <t>b00xtzzlei</t>
        </is>
      </c>
      <c r="C67" s="27" t="inlineStr">
        <is>
          <t>4905009678938-2</t>
        </is>
      </c>
      <c r="D67" s="27" t="inlineStr">
        <is>
          <t>B00XTZZLEI</t>
        </is>
      </c>
      <c r="E67" t="inlineStr">
        <is>
          <t>アイリスオーヤマ カイロ レギュラー 10個入×2個セット 使い捨てカイロ 貼らないタイプ 防寒 寒さ対策 冬 防災 備蓄 ぽかぽか家族 ホッカイロ まとめ買い あったかグッズ</t>
        </is>
      </c>
      <c r="F67" t="n">
        <v>1780</v>
      </c>
      <c r="G67" t="n">
        <v>416</v>
      </c>
      <c r="H67" t="n">
        <v>15</v>
      </c>
      <c r="I67">
        <f>SUM(G67*H67)</f>
        <v/>
      </c>
      <c r="J67" t="inlineStr">
        <is>
          <t>✓ 一致（SKU）</t>
        </is>
      </c>
      <c r="K67" t="inlineStr">
        <is>
          <t>4905009678938</t>
        </is>
      </c>
    </row>
    <row r="68">
      <c r="A68" s="27" t="inlineStr">
        <is>
          <t>4905009678938</t>
        </is>
      </c>
      <c r="B68" s="27" t="inlineStr">
        <is>
          <t>b00xtzzlei-1</t>
        </is>
      </c>
      <c r="C68" s="27" t="inlineStr">
        <is>
          <t>4905009678938-4</t>
        </is>
      </c>
      <c r="D68" s="27" t="inlineStr">
        <is>
          <t>B00XTZZLEI-1</t>
        </is>
      </c>
      <c r="E68" t="inlineStr">
        <is>
          <t>【4個セット】アイリスオーヤマ カイロ レギュラー 10個入×4個セット 合計40枚 使い捨てカイロ 貼らないタイプ ぽかぽか家族 ホッカイロ 日本製 約16時間持続 防寒 寒さ対策 防災 備蓄 通勤 通学 アウトドア スポーツ観戦 キャンプ まとめ買い あったかグッズ</t>
        </is>
      </c>
      <c r="F68" t="n">
        <v>3480</v>
      </c>
      <c r="G68" t="n">
        <v>832</v>
      </c>
      <c r="H68" t="n">
        <v>2</v>
      </c>
      <c r="I68">
        <f>SUM(G68*H68)</f>
        <v/>
      </c>
      <c r="J68" t="inlineStr">
        <is>
          <t>✓ 一致（SKU）</t>
        </is>
      </c>
      <c r="K68" t="inlineStr">
        <is>
          <t>4905009678938</t>
        </is>
      </c>
    </row>
    <row r="69">
      <c r="A69" s="27" t="inlineStr">
        <is>
          <t>9000103868003</t>
        </is>
      </c>
      <c r="B69" s="27" t="inlineStr">
        <is>
          <t>b011q7trhc</t>
        </is>
      </c>
      <c r="C69" s="27" t="inlineStr">
        <is>
          <t>1133/522</t>
        </is>
      </c>
      <c r="D69" s="27" t="inlineStr">
        <is>
          <t>b011q7trhc</t>
        </is>
      </c>
      <c r="E69" t="inlineStr">
        <is>
          <t>チャオ (CIAO) 焼本かつお 高齢猫用 かつお節味 1本 6個セット 高齢猫 猫 かつお かつお節 キャットフード おやつ</t>
        </is>
      </c>
      <c r="F69" t="n">
        <v>1380</v>
      </c>
      <c r="G69" t="n">
        <v>522</v>
      </c>
      <c r="H69" t="n">
        <v>1</v>
      </c>
      <c r="I69">
        <f>SUM(G69*H69)</f>
        <v/>
      </c>
      <c r="J69" t="inlineStr">
        <is>
          <t>✓ 一致（SKU）</t>
        </is>
      </c>
      <c r="K69" t="inlineStr">
        <is>
          <t>9000103868003</t>
        </is>
      </c>
    </row>
    <row r="70">
      <c r="A70" s="27" t="inlineStr">
        <is>
          <t>4573234190312</t>
        </is>
      </c>
      <c r="B70" s="27" t="inlineStr">
        <is>
          <t>b014kk2b98</t>
        </is>
      </c>
      <c r="C70" s="27" t="inlineStr">
        <is>
          <t>0312/1978</t>
        </is>
      </c>
      <c r="D70" s="27" t="inlineStr">
        <is>
          <t>b014kk2b98</t>
        </is>
      </c>
      <c r="E70" t="inlineStr">
        <is>
          <t>トリコロール W stem(ダブルステム) REVIVAL ヒト幹細胞エキス配合 保湿クリーム 50g×2個セット 肌 肌ケア ケア</t>
        </is>
      </c>
      <c r="F70" t="n">
        <v>3280</v>
      </c>
      <c r="G70" t="n">
        <v>1978</v>
      </c>
      <c r="H70" t="n">
        <v>3</v>
      </c>
      <c r="I70">
        <f>SUM(G70*H70)</f>
        <v/>
      </c>
      <c r="J70" t="inlineStr">
        <is>
          <t>✓ 一致（SKU）</t>
        </is>
      </c>
      <c r="K70" t="inlineStr">
        <is>
          <t>4573234190312</t>
        </is>
      </c>
    </row>
    <row r="71">
      <c r="A71" s="27" t="inlineStr">
        <is>
          <t>0848061036985</t>
        </is>
      </c>
      <c r="B71" s="27" t="inlineStr">
        <is>
          <t>b016xkhlck</t>
        </is>
      </c>
      <c r="C71" s="27" t="inlineStr">
        <is>
          <t>6985/3500</t>
        </is>
      </c>
      <c r="D71" s="27" t="inlineStr">
        <is>
          <t>b016xkhlck</t>
        </is>
      </c>
      <c r="E71" t="inlineStr">
        <is>
          <t>Anker SoundCore ブラック ポータブル Bluetooth5.0 スピーカー 24時間連続再生可能【デュアルドライバー / IPX5防水規格 / ワイヤレススピーカー/内蔵マイク搭載】</t>
        </is>
      </c>
      <c r="F71" t="n">
        <v>6980</v>
      </c>
      <c r="G71" t="n">
        <v>3500</v>
      </c>
      <c r="H71" t="n">
        <v>1</v>
      </c>
      <c r="I71">
        <f>SUM(G71*H71)</f>
        <v/>
      </c>
      <c r="J71" t="inlineStr">
        <is>
          <t>✓ 一致（SKU）</t>
        </is>
      </c>
      <c r="K71" t="inlineStr">
        <is>
          <t>0848061036985</t>
        </is>
      </c>
    </row>
    <row r="72">
      <c r="A72" s="27" t="inlineStr">
        <is>
          <t>4903367092458</t>
        </is>
      </c>
      <c r="B72" s="27" t="inlineStr">
        <is>
          <t>b018rmwuhi</t>
        </is>
      </c>
      <c r="C72" s="27" t="inlineStr">
        <is>
          <t>2458/876</t>
        </is>
      </c>
      <c r="D72" s="27" t="inlineStr">
        <is>
          <t>b018rmwuhi</t>
        </is>
      </c>
      <c r="E72" t="inlineStr">
        <is>
          <t>ロケット石鹸 フラガンシア ローズ 大容量 詰替用 1500ml×2個セット 部屋干し 雨の日 部屋 かろやか 香る きれい 清潔 衣類 静電気 防臭 抗菌 赤ちゃん ベビー 洗濯 まとめ買い</t>
        </is>
      </c>
      <c r="F72" t="n">
        <v>1980</v>
      </c>
      <c r="G72" t="n">
        <v>876</v>
      </c>
      <c r="H72" t="n">
        <v>5</v>
      </c>
      <c r="I72">
        <f>SUM(G72*H72)</f>
        <v/>
      </c>
      <c r="J72" t="inlineStr">
        <is>
          <t>✓ 一致（SKU）</t>
        </is>
      </c>
      <c r="K72" t="inlineStr">
        <is>
          <t>4903367092458</t>
        </is>
      </c>
    </row>
    <row r="73">
      <c r="A73" s="27" t="inlineStr">
        <is>
          <t>4901417621733</t>
        </is>
      </c>
      <c r="B73" s="27" t="inlineStr">
        <is>
          <t>b019skzy3u</t>
        </is>
      </c>
      <c r="C73" s="27" t="inlineStr">
        <is>
          <t>1733/1612</t>
        </is>
      </c>
      <c r="D73" s="27" t="inlineStr">
        <is>
          <t>b019skzy3u</t>
        </is>
      </c>
      <c r="E73" t="inlineStr">
        <is>
          <t>肌美精 大人のニキビ対策 薬用 美白 クリーム 50g×2個セット ニキビケア ニキビ跡 スキンケア 角質 保湿 殺菌 消炎 ビタミンc</t>
        </is>
      </c>
      <c r="F73" t="n">
        <v>2980</v>
      </c>
      <c r="G73" t="n">
        <v>1612</v>
      </c>
      <c r="H73" t="n">
        <v>10</v>
      </c>
      <c r="I73">
        <f>SUM(G73*H73)</f>
        <v/>
      </c>
      <c r="J73" t="inlineStr">
        <is>
          <t>✓ 一致（SKU）</t>
        </is>
      </c>
      <c r="K73" t="inlineStr">
        <is>
          <t>4901417621733</t>
        </is>
      </c>
    </row>
    <row r="74">
      <c r="A74" s="27" t="inlineStr">
        <is>
          <t>4972547032492</t>
        </is>
      </c>
      <c r="B74" s="27" t="inlineStr">
        <is>
          <t>b01dlmhmja</t>
        </is>
      </c>
      <c r="C74" s="27" t="inlineStr">
        <is>
          <t>2492/2528</t>
        </is>
      </c>
      <c r="D74" s="27" t="inlineStr">
        <is>
          <t>b01dlmhmja</t>
        </is>
      </c>
      <c r="E74" t="inlineStr">
        <is>
          <t>ジェックス ファン専用 サーモスタット FE-101N 水槽 魚 観賞魚 温度管理</t>
        </is>
      </c>
      <c r="F74" t="n">
        <v>4480</v>
      </c>
      <c r="G74" t="n">
        <v>2528</v>
      </c>
      <c r="H74" t="n">
        <v>5</v>
      </c>
      <c r="I74">
        <f>SUM(G74*H74)</f>
        <v/>
      </c>
      <c r="J74" t="inlineStr">
        <is>
          <t>✓ 一致（SKU）</t>
        </is>
      </c>
      <c r="K74" t="inlineStr">
        <is>
          <t>4972547032492</t>
        </is>
      </c>
    </row>
    <row r="75">
      <c r="A75" s="27" t="inlineStr">
        <is>
          <t>4987072042779</t>
        </is>
      </c>
      <c r="B75" s="27" t="inlineStr">
        <is>
          <t>b01fqca29k</t>
        </is>
      </c>
      <c r="C75" s="27" t="inlineStr">
        <is>
          <t>2779/1547</t>
        </is>
      </c>
      <c r="D75" s="27" t="inlineStr">
        <is>
          <t>b01fqca29k</t>
        </is>
      </c>
      <c r="E75" t="inlineStr">
        <is>
          <t>小林製薬 糸ようじ スルッと入るタイプ お徳用60本×3個セット 歯 歯間 ようじ 歯ケア ケア</t>
        </is>
      </c>
      <c r="F75" t="n">
        <v>2980</v>
      </c>
      <c r="G75" t="n">
        <v>1547</v>
      </c>
      <c r="H75" t="n">
        <v>18</v>
      </c>
      <c r="I75">
        <f>SUM(G75*H75)</f>
        <v/>
      </c>
      <c r="J75" t="inlineStr">
        <is>
          <t>✓ 一致（SKU）</t>
        </is>
      </c>
      <c r="K75" t="inlineStr">
        <is>
          <t>4987072042779</t>
        </is>
      </c>
    </row>
    <row r="76">
      <c r="A76" s="27" t="inlineStr">
        <is>
          <t>4905009678983</t>
        </is>
      </c>
      <c r="B76" s="27" t="inlineStr">
        <is>
          <t>b01lzqkw6a</t>
        </is>
      </c>
      <c r="C76" s="27" t="inlineStr">
        <is>
          <t>8983/1116</t>
        </is>
      </c>
      <c r="D76" s="27" t="inlineStr">
        <is>
          <t>b01lzqkw6a</t>
        </is>
      </c>
      <c r="E76" t="inlineStr">
        <is>
          <t>【まとめ買い60個】アイリスオーヤマ カイロ ミニ 10個入×6個セット ぽかぽか家族 使い捨てカイロ 貼らないタイプ 防寒 寒さ対策 冬 防災 非常用 持ち運び コンパクト ハンドウォーマー</t>
        </is>
      </c>
      <c r="F76" t="n">
        <v>3980</v>
      </c>
      <c r="G76" t="n">
        <v>1116</v>
      </c>
      <c r="H76" t="n">
        <v>3</v>
      </c>
      <c r="I76">
        <f>SUM(G76*H76)</f>
        <v/>
      </c>
      <c r="J76" t="inlineStr">
        <is>
          <t>✓ 一致（SKU）</t>
        </is>
      </c>
      <c r="K76" t="inlineStr">
        <is>
          <t>4905009678983</t>
        </is>
      </c>
    </row>
    <row r="77">
      <c r="A77" s="27" t="inlineStr">
        <is>
          <t>4902430720700</t>
        </is>
      </c>
      <c r="B77" s="27" t="inlineStr">
        <is>
          <t>b01mze6x6h</t>
        </is>
      </c>
      <c r="C77" s="27" t="inlineStr">
        <is>
          <t>0700/1086</t>
        </is>
      </c>
      <c r="D77" s="27" t="inlineStr">
        <is>
          <t>b01mze6x6h</t>
        </is>
      </c>
      <c r="E77" t="inlineStr">
        <is>
          <t>レノア オードリュクス アロマジュエル リラックスの香り 520ml イノセントビジュ リリー ジャスミン ベルガモット 部屋干し 雨の日 部屋 かろやか 香る きれい 清潔 衣類 静電気 防臭 抗菌 赤ちゃん ベビー 洗濯</t>
        </is>
      </c>
      <c r="F77" t="n">
        <v>1980</v>
      </c>
      <c r="G77" t="n">
        <v>1086</v>
      </c>
      <c r="H77" t="n">
        <v>8</v>
      </c>
      <c r="I77">
        <f>SUM(G77*H77)</f>
        <v/>
      </c>
      <c r="J77" t="inlineStr">
        <is>
          <t>✓ 一致（SKU）</t>
        </is>
      </c>
      <c r="K77" t="inlineStr">
        <is>
          <t>4902430720700</t>
        </is>
      </c>
    </row>
    <row r="78">
      <c r="A78" s="27" t="inlineStr">
        <is>
          <t>4902430720700</t>
        </is>
      </c>
      <c r="B78" s="27" t="inlineStr">
        <is>
          <t>b01mze6x6h-1</t>
        </is>
      </c>
      <c r="C78" s="27" t="inlineStr">
        <is>
          <t>0700/2172</t>
        </is>
      </c>
      <c r="D78" s="27" t="inlineStr">
        <is>
          <t>B01MZE6X6H-1</t>
        </is>
      </c>
      <c r="E78" t="inlineStr">
        <is>
          <t>Lenor レノア オードリュクス 香り付け専用ビーズ マインドフルネスシリーズ リラックス 本体 520mL×2個セット 部屋干し 雨の日 部屋 かろやか 香る きれい 清潔 衣類 静電気 防臭 抗菌 赤ちゃん ベビー 洗濯</t>
        </is>
      </c>
      <c r="F78" t="n">
        <v>2980</v>
      </c>
      <c r="G78" t="n">
        <v>2172</v>
      </c>
      <c r="H78" t="n">
        <v>2</v>
      </c>
      <c r="I78">
        <f>SUM(G78*H78)</f>
        <v/>
      </c>
      <c r="J78" t="inlineStr">
        <is>
          <t>✓ 一致（SKU）</t>
        </is>
      </c>
      <c r="K78" t="inlineStr">
        <is>
          <t>4902430720700</t>
        </is>
      </c>
    </row>
    <row r="79">
      <c r="A79" s="27" t="inlineStr">
        <is>
          <t>0848061064377</t>
        </is>
      </c>
      <c r="B79" s="27" t="inlineStr">
        <is>
          <t>b01n411r1a</t>
        </is>
      </c>
      <c r="C79" s="27" t="inlineStr">
        <is>
          <t>4377/1190</t>
        </is>
      </c>
      <c r="D79" s="27" t="inlineStr">
        <is>
          <t>b01n411r1a</t>
        </is>
      </c>
      <c r="E79" t="inlineStr">
        <is>
          <t>Anker PowerLine II ライトニングUSBケーブル【Apple MFi認証取得 / 超高耐久】iPhone / iPad / iPod各種対応 (1.8m ブラック)</t>
        </is>
      </c>
      <c r="F79" t="n">
        <v>2280</v>
      </c>
      <c r="G79" t="n">
        <v>1190</v>
      </c>
      <c r="H79" t="n">
        <v>3</v>
      </c>
      <c r="I79">
        <f>SUM(G79*H79)</f>
        <v/>
      </c>
      <c r="J79" t="inlineStr">
        <is>
          <t>✓ 一致（SKU）</t>
        </is>
      </c>
      <c r="K79" t="inlineStr">
        <is>
          <t>0848061064377</t>
        </is>
      </c>
    </row>
    <row r="80">
      <c r="A80" s="27" t="inlineStr">
        <is>
          <t>0848061034912</t>
        </is>
      </c>
      <c r="B80" s="27" t="inlineStr">
        <is>
          <t>b01navanrx</t>
        </is>
      </c>
      <c r="C80" s="27" t="inlineStr">
        <is>
          <t>2512184180/3990</t>
        </is>
      </c>
      <c r="D80" s="27" t="inlineStr">
        <is>
          <t>b01navanrx</t>
        </is>
      </c>
      <c r="E80" t="inlineStr">
        <is>
          <t>Anker Soundcore 2 (USB Type-C充電 12W Bluetooth 5 スピーカー 24時間連続再生)【完全ワイヤレスステレオ対応/強化された低音 / IPX7防水規格 / デュアルドライバー/マイク内蔵】(ブラック)</t>
        </is>
      </c>
      <c r="F80" t="n">
        <v>5980</v>
      </c>
      <c r="G80" t="n">
        <v>3990</v>
      </c>
      <c r="H80" t="n">
        <v>3</v>
      </c>
      <c r="I80">
        <f>SUM(G80*H80)</f>
        <v/>
      </c>
      <c r="J80" t="inlineStr">
        <is>
          <t>✓ 一致（SKU）</t>
        </is>
      </c>
      <c r="K80" t="inlineStr">
        <is>
          <t>0848061034912</t>
        </is>
      </c>
    </row>
    <row r="81">
      <c r="A81" s="27" t="inlineStr">
        <is>
          <t>4537130101797</t>
        </is>
      </c>
      <c r="B81" s="27" t="inlineStr">
        <is>
          <t>b01nguindv</t>
        </is>
      </c>
      <c r="C81" s="27" t="inlineStr">
        <is>
          <t>1797/1284</t>
        </is>
      </c>
      <c r="D81" s="27" t="inlineStr">
        <is>
          <t>b01nguindv</t>
        </is>
      </c>
      <c r="E81" t="inlineStr">
        <is>
          <t>ミヨシ石鹸 そよ風 液体せっけん 詰替 1000ml×3個セット 無添加 洗濯洗剤 ベビー 赤ちゃん 敏感肌 大容量 まとめ買い 柔軟剤不要 部屋干しOK</t>
        </is>
      </c>
      <c r="F81" t="n">
        <v>2980</v>
      </c>
      <c r="G81" t="n">
        <v>1284</v>
      </c>
      <c r="H81" t="n">
        <v>8</v>
      </c>
      <c r="I81">
        <f>SUM(G81*H81)</f>
        <v/>
      </c>
      <c r="J81" t="inlineStr">
        <is>
          <t>✓ 一致（SKU）</t>
        </is>
      </c>
      <c r="K81" t="inlineStr">
        <is>
          <t>4537130101797</t>
        </is>
      </c>
    </row>
    <row r="82">
      <c r="A82" s="27" t="inlineStr">
        <is>
          <t>4987072048986</t>
        </is>
      </c>
      <c r="B82" s="27" t="inlineStr">
        <is>
          <t>b06xprwsz5</t>
        </is>
      </c>
      <c r="C82" s="27" t="inlineStr">
        <is>
          <t>4987072048986-2</t>
        </is>
      </c>
      <c r="D82" s="27" t="inlineStr">
        <is>
          <t>b06xprwsz5</t>
        </is>
      </c>
      <c r="E82" t="inlineStr">
        <is>
          <t>熱さまシート ストロング 大人用 12枚×2個セット 小林製薬 冷凍庫用 強冷感 冷却シート 冷感シート 発熱対策 熱中症対策 暑さ対策 おでこ用 ジェルシート 長時間冷却 ひんやりシート 日本製 常備用</t>
        </is>
      </c>
      <c r="F82" t="n">
        <v>2180</v>
      </c>
      <c r="G82" t="n">
        <v>852</v>
      </c>
      <c r="H82" t="n">
        <v>22</v>
      </c>
      <c r="I82">
        <f>SUM(G82*H82)</f>
        <v/>
      </c>
      <c r="J82" t="inlineStr">
        <is>
          <t>✓ 一致（SKU）</t>
        </is>
      </c>
      <c r="K82" t="inlineStr">
        <is>
          <t>4987072048986</t>
        </is>
      </c>
    </row>
    <row r="83">
      <c r="A83" s="27" t="inlineStr">
        <is>
          <t>4961641011687</t>
        </is>
      </c>
      <c r="B83" s="27" t="inlineStr">
        <is>
          <t>b06xw4t8n4</t>
        </is>
      </c>
      <c r="C83" s="27" t="inlineStr">
        <is>
          <t>1687/1647</t>
        </is>
      </c>
      <c r="D83" s="27" t="inlineStr">
        <is>
          <t>b06xw4t8n4</t>
        </is>
      </c>
      <c r="E83" t="inlineStr">
        <is>
          <t>金星製紙 キッチンペーパー ガーゼロール 不織布 10m×3個セット ミシン目入り 使い捨てガーゼ 料理用 清潔 油切り 水切り 拭き取り キッチン衛生 やわらか 日本製</t>
        </is>
      </c>
      <c r="F83" t="n">
        <v>2980</v>
      </c>
      <c r="G83" t="n">
        <v>1647</v>
      </c>
      <c r="H83" t="n">
        <v>22</v>
      </c>
      <c r="I83">
        <f>SUM(G83*H83)</f>
        <v/>
      </c>
      <c r="J83" t="inlineStr">
        <is>
          <t>✓ 一致（SKU）</t>
        </is>
      </c>
      <c r="K83" t="inlineStr">
        <is>
          <t>4961641011687</t>
        </is>
      </c>
    </row>
    <row r="84">
      <c r="A84" s="27" t="inlineStr">
        <is>
          <t>3264680009761</t>
        </is>
      </c>
      <c r="B84" s="27" t="inlineStr">
        <is>
          <t>b06y13f2sg</t>
        </is>
      </c>
      <c r="C84" s="27" t="inlineStr">
        <is>
          <t>9761</t>
        </is>
      </c>
      <c r="D84" s="27" t="inlineStr">
        <is>
          <t>b06y13f2sg</t>
        </is>
      </c>
      <c r="E84" t="inlineStr">
        <is>
          <t>Nuxe(ニュクス) プロディジューオイル 50mL ヘアオイル ボディオイル フェイスオイル 全身用 マルチ美容オイル ドライオイル 保湿 乾燥 潤い ツヤ肌 さらさら まとまり フレグランスオイル 魅惑の香り ロングセラー ギフト</t>
        </is>
      </c>
      <c r="F84" t="n">
        <v>3480</v>
      </c>
      <c r="G84" t="n">
        <v>0</v>
      </c>
      <c r="H84" t="n">
        <v>0</v>
      </c>
      <c r="I84">
        <f>SUM(G84*H84)</f>
        <v/>
      </c>
    </row>
    <row r="85">
      <c r="A85" s="27" t="inlineStr">
        <is>
          <t>4902424441727</t>
        </is>
      </c>
      <c r="B85" s="27" t="inlineStr">
        <is>
          <t>b0752p9qt9</t>
        </is>
      </c>
      <c r="C85" s="27" t="inlineStr">
        <is>
          <t>1727/1052</t>
        </is>
      </c>
      <c r="D85" s="27" t="inlineStr">
        <is>
          <t>b0752p9qt9</t>
        </is>
      </c>
      <c r="E85" t="inlineStr">
        <is>
          <t>アルコール除菌 キッチン用アルコール除菌スプレー 詰め替え 720ml×2個セット 食卓 調理台の除菌 消臭 抗菌コートが1ヵ月持続 100%天然生まれ</t>
        </is>
      </c>
      <c r="F85" t="n">
        <v>1980</v>
      </c>
      <c r="G85" t="n">
        <v>1052</v>
      </c>
      <c r="H85" t="n">
        <v>2</v>
      </c>
      <c r="I85">
        <f>SUM(G85*H85)</f>
        <v/>
      </c>
      <c r="J85" t="inlineStr">
        <is>
          <t>✓ 一致（SKU）</t>
        </is>
      </c>
      <c r="K85" t="inlineStr">
        <is>
          <t>4902424441727</t>
        </is>
      </c>
    </row>
    <row r="86">
      <c r="A86" s="27" t="inlineStr">
        <is>
          <t>4992440036182</t>
        </is>
      </c>
      <c r="B86" s="27" t="inlineStr">
        <is>
          <t>b076vdntgg</t>
        </is>
      </c>
      <c r="C86" s="27" t="inlineStr">
        <is>
          <t>4992440036182</t>
        </is>
      </c>
      <c r="D86" s="27" t="inlineStr">
        <is>
          <t>b076vdntgg</t>
        </is>
      </c>
      <c r="E86" t="inlineStr">
        <is>
          <t>歯磨撫子 重曹すっきり洗口液 口臭ケア 毛穴撫子 マウスウォッシュ lemon 200ml 口 口臭 口臭ケア ケア</t>
        </is>
      </c>
      <c r="F86" t="n">
        <v>2280</v>
      </c>
      <c r="G86" t="n">
        <v>825</v>
      </c>
      <c r="H86" t="n">
        <v>9</v>
      </c>
      <c r="I86">
        <f>SUM(G86*H86)</f>
        <v/>
      </c>
      <c r="J86" t="inlineStr">
        <is>
          <t>✓ 一致（SKU）</t>
        </is>
      </c>
      <c r="K86" t="inlineStr">
        <is>
          <t>4992440036182</t>
        </is>
      </c>
    </row>
    <row r="87">
      <c r="A87" s="27" t="inlineStr">
        <is>
          <t>4560401500203</t>
        </is>
      </c>
      <c r="B87" s="27" t="inlineStr">
        <is>
          <t>b079fnj832</t>
        </is>
      </c>
      <c r="C87" s="27" t="inlineStr">
        <is>
          <t>0203/3069</t>
        </is>
      </c>
      <c r="D87" s="27" t="inlineStr">
        <is>
          <t>b079fnj832</t>
        </is>
      </c>
      <c r="E87" t="inlineStr">
        <is>
          <t>スズキ機工 LSベルハンマーゴールド スプレー420ml 潤滑剤 潤滑油 潤滑オイル 自転車 バイク チェーン 自動車</t>
        </is>
      </c>
      <c r="F87" t="n">
        <v>4380</v>
      </c>
      <c r="G87" t="n">
        <v>3069</v>
      </c>
      <c r="H87" t="n">
        <v>4</v>
      </c>
      <c r="I87">
        <f>SUM(G87*H87)</f>
        <v/>
      </c>
      <c r="J87" t="inlineStr">
        <is>
          <t>✓ 一致（SKU）</t>
        </is>
      </c>
      <c r="K87" t="inlineStr">
        <is>
          <t>4560401500203</t>
        </is>
      </c>
    </row>
    <row r="88">
      <c r="A88" s="27" t="inlineStr">
        <is>
          <t>4906456646488</t>
        </is>
      </c>
      <c r="B88" s="27" t="inlineStr">
        <is>
          <t>b07fs56gbx</t>
        </is>
      </c>
      <c r="C88" s="27" t="inlineStr">
        <is>
          <t>6488/268</t>
        </is>
      </c>
      <c r="D88" s="27" t="inlineStr">
        <is>
          <t>b07fs56gbx</t>
        </is>
      </c>
      <c r="E88" t="inlineStr">
        <is>
          <t>マルカン ミニマルフード ビタシロップ 5ml×10本 MR-70</t>
        </is>
      </c>
      <c r="F88" t="n">
        <v>648</v>
      </c>
      <c r="G88" t="n">
        <v>268</v>
      </c>
      <c r="H88" t="n">
        <v>1</v>
      </c>
      <c r="I88">
        <f>SUM(G88*H88)</f>
        <v/>
      </c>
      <c r="J88" t="inlineStr">
        <is>
          <t>✓ 一致（SKU）</t>
        </is>
      </c>
      <c r="K88" t="inlineStr">
        <is>
          <t>4906456646488</t>
        </is>
      </c>
    </row>
    <row r="89">
      <c r="A89" s="27" t="inlineStr">
        <is>
          <t>6941057416106</t>
        </is>
      </c>
      <c r="B89" s="27" t="inlineStr">
        <is>
          <t>b07q5846pr</t>
        </is>
      </c>
      <c r="C89" s="27" t="inlineStr">
        <is>
          <t>6106/1429</t>
        </is>
      </c>
      <c r="D89" s="27" t="inlineStr">
        <is>
          <t>b07q5846pr</t>
        </is>
      </c>
      <c r="E89" t="inlineStr">
        <is>
          <t>INTEX(インテックス) 空気入れ ポンプ AC エレクトリックポンプ 100V 66639 [日本正規品] 浮き輪 プール ボール</t>
        </is>
      </c>
      <c r="F89" t="n">
        <v>2480</v>
      </c>
      <c r="G89" t="n">
        <v>1429</v>
      </c>
      <c r="H89" t="n">
        <v>2</v>
      </c>
      <c r="I89">
        <f>SUM(G89*H89)</f>
        <v/>
      </c>
      <c r="J89" t="inlineStr">
        <is>
          <t>✓ 一致（SKU）</t>
        </is>
      </c>
      <c r="K89" t="inlineStr">
        <is>
          <t>6941057416106</t>
        </is>
      </c>
    </row>
    <row r="90">
      <c r="A90" s="27" t="inlineStr">
        <is>
          <t>4987241162130</t>
        </is>
      </c>
      <c r="B90" s="27" t="inlineStr">
        <is>
          <t>b07sqfg1yg</t>
        </is>
      </c>
      <c r="C90" s="27" t="inlineStr">
        <is>
          <t>2130/1641</t>
        </is>
      </c>
      <c r="D90" s="27" t="inlineStr">
        <is>
          <t>b07sqfg1yg</t>
        </is>
      </c>
      <c r="E90" t="inlineStr">
        <is>
          <t>スキンアクア(SKIN AQUA) トーンアップUVエッセンスミントグリーン 80g×3個セット 透明感アップ カラーコントロールUV 日焼け止め SPF50+ PA++++ 化粧下地</t>
        </is>
      </c>
      <c r="F90" t="n">
        <v>2980</v>
      </c>
      <c r="G90" t="n">
        <v>1641</v>
      </c>
      <c r="H90" t="n">
        <v>5</v>
      </c>
      <c r="I90">
        <f>SUM(G90*H90)</f>
        <v/>
      </c>
      <c r="J90" t="inlineStr">
        <is>
          <t>✓ 一致（SKU）</t>
        </is>
      </c>
      <c r="K90" t="inlineStr">
        <is>
          <t>4987241162130</t>
        </is>
      </c>
    </row>
    <row r="91">
      <c r="A91" s="27" t="inlineStr">
        <is>
          <t>0848061014365</t>
        </is>
      </c>
      <c r="B91" s="27" t="inlineStr">
        <is>
          <t>b07st84pf5</t>
        </is>
      </c>
      <c r="C91" s="27" t="inlineStr">
        <is>
          <t>4365/990</t>
        </is>
      </c>
      <c r="D91" s="27" t="inlineStr">
        <is>
          <t>b07st84pf5</t>
        </is>
      </c>
      <c r="E91" t="inlineStr">
        <is>
          <t>Anker USB3.0 ウルトラスリム 4ポートハブ USB ハブ 60cm ブラック ケーブル 5Gbps高速転送 バスパワー 軽量 コンパクト MacBook/iMac/Surface Pro 等 ノートPC 他対応 USBハブ テレワーク リモート 在宅勤務</t>
        </is>
      </c>
      <c r="F91" t="n">
        <v>1980</v>
      </c>
      <c r="G91" t="n">
        <v>990</v>
      </c>
      <c r="H91" t="n">
        <v>2</v>
      </c>
      <c r="I91">
        <f>SUM(G91*H91)</f>
        <v/>
      </c>
      <c r="J91" t="inlineStr">
        <is>
          <t>✓ 一致（SKU）</t>
        </is>
      </c>
      <c r="K91" t="inlineStr">
        <is>
          <t>0848061014365</t>
        </is>
      </c>
    </row>
    <row r="92">
      <c r="A92" s="27" t="inlineStr">
        <is>
          <t>4901872973590</t>
        </is>
      </c>
      <c r="B92" s="27" t="inlineStr">
        <is>
          <t>b07tr6ft6t</t>
        </is>
      </c>
      <c r="C92" s="27" t="inlineStr">
        <is>
          <t>3590/1099</t>
        </is>
      </c>
      <c r="D92" s="27" t="inlineStr">
        <is>
          <t>b07tr6ft6t</t>
        </is>
      </c>
      <c r="E92" t="inlineStr">
        <is>
          <t>資生堂 インテグレート プロフィニッシュリキッド オークル10 30mL ファンデーション リキッドファンデーション ベースメイク 毛穴カバー くずれにくい ツヤ肌 自然な仕上がり カバー力 化粧下地併用 メイクアップ オークル SPF配合 化粧品 コスメ 資生堂ファンデーション</t>
        </is>
      </c>
      <c r="F92" t="n">
        <v>2180</v>
      </c>
      <c r="G92" t="n">
        <v>1099</v>
      </c>
      <c r="H92" t="n">
        <v>29</v>
      </c>
      <c r="I92">
        <f>SUM(G92*H92)</f>
        <v/>
      </c>
      <c r="J92" t="inlineStr">
        <is>
          <t>✓ 一致（SKU）</t>
        </is>
      </c>
      <c r="K92" t="inlineStr">
        <is>
          <t>4901872973590</t>
        </is>
      </c>
    </row>
    <row r="93">
      <c r="A93" s="27" t="inlineStr">
        <is>
          <t>4902430886369</t>
        </is>
      </c>
      <c r="B93" s="27" t="inlineStr">
        <is>
          <t>b07vv4cmrb</t>
        </is>
      </c>
      <c r="C93" s="27" t="inlineStr">
        <is>
          <t>6369,1632</t>
        </is>
      </c>
      <c r="D93" s="27" t="inlineStr">
        <is>
          <t>b07vv4cmrb</t>
        </is>
      </c>
      <c r="E93" t="inlineStr">
        <is>
          <t>【2個セット】PANTENE パンテーン エフォートレス クイックリペアカプセル ヴィタミルク 90ml×2 洗い流さないトリートメント ヘアミルク ダメージ補修 パサつき うねり 広がり 集中補修 サラサラ しっとり アウトバス ヘアケア 美容乳液 トリートメント 保湿 艶髪</t>
        </is>
      </c>
      <c r="F93" t="n">
        <v>2980</v>
      </c>
      <c r="G93" t="n">
        <v>1632</v>
      </c>
      <c r="H93" t="n">
        <v>10</v>
      </c>
      <c r="I93">
        <f>SUM(G93*H93)</f>
        <v/>
      </c>
      <c r="J93" t="inlineStr">
        <is>
          <t>✓ 一致（SKU）</t>
        </is>
      </c>
      <c r="K93" t="inlineStr">
        <is>
          <t>4902430886369</t>
        </is>
      </c>
    </row>
    <row r="94">
      <c r="A94" s="27" t="inlineStr">
        <is>
          <t>0194644141165</t>
        </is>
      </c>
      <c r="B94" s="27" t="inlineStr">
        <is>
          <t>b07znfr6bf</t>
        </is>
      </c>
      <c r="C94" s="27" t="inlineStr">
        <is>
          <t>1165/3190</t>
        </is>
      </c>
      <c r="D94" s="27" t="inlineStr">
        <is>
          <t>b07znfr6bf</t>
        </is>
      </c>
      <c r="E94" t="inlineStr">
        <is>
          <t>Anker PowerPort Atom III Slim (Four Ports) ブラック 65W 4ポート USB-C 充電器 PowerIQ3.0搭載, PD対応 GaN(窒素ガリウム)採用 iPhone/iPad/iPod/MacBook Air/その他USB-C機器対応</t>
        </is>
      </c>
      <c r="F94" t="n">
        <v>6980</v>
      </c>
      <c r="G94" t="n">
        <v>3190</v>
      </c>
      <c r="H94" t="n">
        <v>3</v>
      </c>
      <c r="I94">
        <f>SUM(G94*H94)</f>
        <v/>
      </c>
      <c r="J94" t="inlineStr">
        <is>
          <t>✓ 一致（SKU）</t>
        </is>
      </c>
      <c r="K94" t="inlineStr">
        <is>
          <t>0194644141165</t>
        </is>
      </c>
    </row>
    <row r="95">
      <c r="A95" s="27" t="inlineStr">
        <is>
          <t>4901301381965</t>
        </is>
      </c>
      <c r="B95" s="27" t="inlineStr">
        <is>
          <t>b085p2f2v8</t>
        </is>
      </c>
      <c r="C95" s="27" t="inlineStr">
        <is>
          <t>1965</t>
        </is>
      </c>
      <c r="D95" s="27" t="inlineStr">
        <is>
          <t>b085p2f2v8</t>
        </is>
      </c>
      <c r="E95" t="inlineStr">
        <is>
          <t>ソフィーナiP ベースケア セラム 土台美容液 リフレッシュタイプ 本体(90g) 花王 化粧品 肌 肌ケア ケア</t>
        </is>
      </c>
      <c r="F95" t="n">
        <v>5980</v>
      </c>
      <c r="G95" t="n">
        <v>0</v>
      </c>
      <c r="H95" t="n">
        <v>2</v>
      </c>
      <c r="I95">
        <f>SUM(G95*H95)</f>
        <v/>
      </c>
      <c r="J95" t="inlineStr">
        <is>
          <t>✓ 一致（SKU）</t>
        </is>
      </c>
      <c r="K95" t="inlineStr">
        <is>
          <t>4901301381965</t>
        </is>
      </c>
    </row>
    <row r="96">
      <c r="A96" s="27" t="inlineStr">
        <is>
          <t>0840080511207</t>
        </is>
      </c>
      <c r="B96" s="27" t="inlineStr">
        <is>
          <t>b085wv8664</t>
        </is>
      </c>
      <c r="C96" s="27" t="inlineStr">
        <is>
          <t>1207/5980</t>
        </is>
      </c>
      <c r="D96" s="27" t="inlineStr">
        <is>
          <t>b085wv8664</t>
        </is>
      </c>
      <c r="E96" t="inlineStr">
        <is>
          <t>Echo Buds (エコーバッズ) 第2世代 - アクティブ ノイズキャンセリング 付き完全 ワイヤレスイヤホン with Alexa｜グレーシャーホワイト イヤホン Bluetooth</t>
        </is>
      </c>
      <c r="F96" t="n">
        <v>9980</v>
      </c>
      <c r="G96" t="n">
        <v>5980</v>
      </c>
      <c r="H96" t="n">
        <v>3</v>
      </c>
      <c r="I96">
        <f>SUM(G96*H96)</f>
        <v/>
      </c>
      <c r="J96" t="inlineStr">
        <is>
          <t>✓ 一致（SKU）</t>
        </is>
      </c>
      <c r="K96" t="inlineStr">
        <is>
          <t>0840080511207</t>
        </is>
      </c>
    </row>
    <row r="97">
      <c r="A97" s="27" t="inlineStr">
        <is>
          <t>3264680024382</t>
        </is>
      </c>
      <c r="B97" s="27" t="inlineStr">
        <is>
          <t>b0866fcr7t</t>
        </is>
      </c>
      <c r="C97" s="27" t="inlineStr">
        <is>
          <t>4382</t>
        </is>
      </c>
      <c r="D97" s="27" t="inlineStr">
        <is>
          <t>b0866fcr7t</t>
        </is>
      </c>
      <c r="E97" t="inlineStr">
        <is>
          <t>Nuxe(ニュクス) プロディジュー フローラル オイル 50ml ヘア ボディ フェイス 全身用 マルチ 香り 保湿 乾燥 潤い ツヤ肌 さらさら まとまり フレグランス ギフト フローラル</t>
        </is>
      </c>
      <c r="F97" t="n">
        <v>3580</v>
      </c>
      <c r="G97" t="n">
        <v>0</v>
      </c>
      <c r="H97" t="n">
        <v>15</v>
      </c>
      <c r="I97">
        <f>SUM(G97*H97)</f>
        <v/>
      </c>
      <c r="J97" t="inlineStr">
        <is>
          <t>✓ 一致（SKU）</t>
        </is>
      </c>
      <c r="K97" t="inlineStr">
        <is>
          <t>3264680024382</t>
        </is>
      </c>
    </row>
    <row r="98">
      <c r="A98" s="27" t="inlineStr">
        <is>
          <t>4971710396478</t>
        </is>
      </c>
      <c r="B98" s="27" t="inlineStr">
        <is>
          <t>b086sndmbv</t>
        </is>
      </c>
      <c r="C98" s="27" t="inlineStr">
        <is>
          <t>6478/1140</t>
        </is>
      </c>
      <c r="D98" s="27" t="inlineStr">
        <is>
          <t>b086sndmbv</t>
        </is>
      </c>
      <c r="E98" t="inlineStr">
        <is>
          <t>コーセーコスメポート フォーチュン リップイルミネイト 5.5ml×2個セット リップ美容液 リップケア 唇ケア 保湿 うるおい 透明感 グロス 下地 乾燥対策 KOSE FORTUNE</t>
        </is>
      </c>
      <c r="F98" t="n">
        <v>1980</v>
      </c>
      <c r="G98" t="n">
        <v>1140</v>
      </c>
      <c r="H98" t="n">
        <v>5</v>
      </c>
      <c r="I98">
        <f>SUM(G98*H98)</f>
        <v/>
      </c>
      <c r="J98" t="inlineStr">
        <is>
          <t>✓ 一致（SKU）</t>
        </is>
      </c>
      <c r="K98" t="inlineStr">
        <is>
          <t>4971710396478</t>
        </is>
      </c>
    </row>
    <row r="99">
      <c r="A99" s="27" t="inlineStr">
        <is>
          <t>4971710396485</t>
        </is>
      </c>
      <c r="B99" s="27" t="inlineStr">
        <is>
          <t>b086snzlfb</t>
        </is>
      </c>
      <c r="C99" s="27" t="inlineStr">
        <is>
          <t>6485/1140</t>
        </is>
      </c>
      <c r="D99" s="27" t="inlineStr">
        <is>
          <t>b086snzlfb</t>
        </is>
      </c>
      <c r="E99" t="inlineStr">
        <is>
          <t>コーセー フォーチュン リップスターダム 5.5ml ×2個セット【正規品】リップ美容液 唇ケア 保湿 ツヤ ピンクリップ 乾燥対策 うるおい 口紅下地 KOSE FORTUNE</t>
        </is>
      </c>
      <c r="F99" t="n">
        <v>1980</v>
      </c>
      <c r="G99" t="n">
        <v>1140</v>
      </c>
      <c r="H99" t="n">
        <v>5</v>
      </c>
      <c r="I99">
        <f>SUM(G99*H99)</f>
        <v/>
      </c>
      <c r="J99" t="inlineStr">
        <is>
          <t>✓ 一致（SKU）</t>
        </is>
      </c>
      <c r="K99" t="inlineStr">
        <is>
          <t>4971710396485</t>
        </is>
      </c>
    </row>
    <row r="100">
      <c r="A100" s="27" t="inlineStr">
        <is>
          <t>4903588262715</t>
        </is>
      </c>
      <c r="B100" s="27" t="inlineStr">
        <is>
          <t>b087lzdd59</t>
        </is>
      </c>
      <c r="C100" s="27" t="inlineStr">
        <is>
          <t>5036/1273</t>
        </is>
      </c>
      <c r="D100" s="27" t="inlineStr">
        <is>
          <t>B087LZDD59</t>
        </is>
      </c>
      <c r="E100" t="inlineStr">
        <is>
          <t>ペティオ (Petio) Self Trimmer コードレスバリカン 犬・猫用 ディテール ホワイト 散髪 トリミング バリカン お手入れ カット</t>
        </is>
      </c>
      <c r="F100" t="n">
        <v>2780</v>
      </c>
      <c r="G100" t="n">
        <v>1273</v>
      </c>
      <c r="H100" t="n">
        <v>10</v>
      </c>
      <c r="I100">
        <f>SUM(G100*H100)</f>
        <v/>
      </c>
      <c r="J100" t="inlineStr">
        <is>
          <t>✓ 一致（SKU）</t>
        </is>
      </c>
      <c r="K100" t="inlineStr">
        <is>
          <t>4903588262715</t>
        </is>
      </c>
    </row>
    <row r="101">
      <c r="A101" s="27" t="inlineStr">
        <is>
          <t>0194644143206</t>
        </is>
      </c>
      <c r="B101" s="27" t="inlineStr">
        <is>
          <t>b087tb7ym7</t>
        </is>
      </c>
      <c r="C101" s="27" t="inlineStr">
        <is>
          <t>3206/4490</t>
        </is>
      </c>
      <c r="D101" s="27" t="inlineStr">
        <is>
          <t>b087tb7ym7</t>
        </is>
      </c>
      <c r="E101" t="inlineStr">
        <is>
          <t>Anker PowerExpand 8-in-1 USB-C PD 10Gbps データ ハブ 100W USB Power Delivery 対応 USB-Cポート 4K (60Hz) 出力対応 HDMIポート 10Gbps 高速データ転送 USB-Cポート USB-Aポート 1Gbps イーサネット microSD&amp;SDカード スロット搭載 MacBook Pro iPad Pro対応</t>
        </is>
      </c>
      <c r="F101" t="n">
        <v>12280</v>
      </c>
      <c r="G101" t="n">
        <v>4490</v>
      </c>
      <c r="H101" t="n">
        <v>10</v>
      </c>
      <c r="I101">
        <f>SUM(G101*H101)</f>
        <v/>
      </c>
      <c r="J101" t="inlineStr">
        <is>
          <t>✓ 一致（SKU）</t>
        </is>
      </c>
      <c r="K101" t="inlineStr">
        <is>
          <t>0194644143206</t>
        </is>
      </c>
    </row>
    <row r="102">
      <c r="A102" s="27" t="inlineStr">
        <is>
          <t>4901301370174</t>
        </is>
      </c>
      <c r="B102" s="27" t="inlineStr">
        <is>
          <t>b08bscmwln</t>
        </is>
      </c>
      <c r="C102" s="27" t="inlineStr">
        <is>
          <t>0174/1267</t>
        </is>
      </c>
      <c r="D102" s="27" t="inlineStr">
        <is>
          <t>b08bscmwln</t>
        </is>
      </c>
      <c r="E102" t="inlineStr">
        <is>
          <t>ニベア ロイヤルブルー ボディミルク 美容ケア 200g 〔医薬部外品〕【乾燥によってくすみがちな肌に】 ロイヤルブルーガーデンの香り</t>
        </is>
      </c>
      <c r="F102" t="n">
        <v>2580</v>
      </c>
      <c r="G102" t="n">
        <v>1267</v>
      </c>
      <c r="H102" t="n">
        <v>6</v>
      </c>
      <c r="I102">
        <f>SUM(G102*H102)</f>
        <v/>
      </c>
      <c r="J102" t="inlineStr">
        <is>
          <t>✓ 一致（SKU）</t>
        </is>
      </c>
      <c r="K102" t="inlineStr">
        <is>
          <t>4901301370174</t>
        </is>
      </c>
    </row>
    <row r="103">
      <c r="A103" s="27" t="inlineStr">
        <is>
          <t>4897039351632</t>
        </is>
      </c>
      <c r="B103" s="27" t="inlineStr">
        <is>
          <t>b08f2zf5cv</t>
        </is>
      </c>
      <c r="C103" s="27" t="inlineStr">
        <is>
          <t>1632/2499</t>
        </is>
      </c>
      <c r="D103" s="27" t="inlineStr">
        <is>
          <t>b08f2zf5cv</t>
        </is>
      </c>
      <c r="E103" t="inlineStr">
        <is>
          <t>ジョーゼン(Jozen) ダートマックスカム 1/24スケールラジコン ジープラングラー ルビコン ラジコン ジープ ラングラー</t>
        </is>
      </c>
      <c r="F103" t="n">
        <v>6480</v>
      </c>
      <c r="G103" t="n">
        <v>2499</v>
      </c>
      <c r="H103" t="n">
        <v>0</v>
      </c>
      <c r="I103">
        <f>SUM(G103*H103)</f>
        <v/>
      </c>
      <c r="J103" t="inlineStr">
        <is>
          <t>✓ 一致（SKU）</t>
        </is>
      </c>
      <c r="K103" t="inlineStr">
        <is>
          <t>4897039351632</t>
        </is>
      </c>
    </row>
    <row r="104">
      <c r="A104" s="27" t="inlineStr">
        <is>
          <t>4571263111773</t>
        </is>
      </c>
      <c r="B104" s="27" t="inlineStr">
        <is>
          <t>b08f5bq5yd</t>
        </is>
      </c>
      <c r="C104" s="27" t="inlineStr">
        <is>
          <t>4571263111773</t>
        </is>
      </c>
      <c r="D104" s="27" t="inlineStr">
        <is>
          <t>b08f5bq5yd</t>
        </is>
      </c>
      <c r="E104" t="inlineStr">
        <is>
          <t>リッツ リバイバル オーバーナイトセラム 夜用美容液 20g EGF 植物幹細胞 保湿 ハリ 弾力 エイジングケア ナイトセラム 無添加 アロマの香り LITS スキンケア 乾燥対策 うるおい 角質ケア 夜間集中ケア フェイスセラム</t>
        </is>
      </c>
      <c r="F104" t="n">
        <v>2980</v>
      </c>
      <c r="G104" t="n">
        <v>1738</v>
      </c>
      <c r="H104" t="n">
        <v>17</v>
      </c>
      <c r="I104">
        <f>SUM(G104*H104)</f>
        <v/>
      </c>
      <c r="J104" t="inlineStr">
        <is>
          <t>✓ 一致（SKU）</t>
        </is>
      </c>
      <c r="K104" t="inlineStr">
        <is>
          <t>4571263111773</t>
        </is>
      </c>
    </row>
    <row r="105">
      <c r="A105" s="27" t="inlineStr">
        <is>
          <t>4904740633077</t>
        </is>
      </c>
      <c r="B105" s="27" t="inlineStr">
        <is>
          <t>b08gkwglsg</t>
        </is>
      </c>
      <c r="C105" s="27" t="inlineStr">
        <is>
          <t>0809,0823</t>
        </is>
      </c>
      <c r="D105" s="27" t="inlineStr">
        <is>
          <t>b08gkwglsg</t>
        </is>
      </c>
      <c r="E105" t="inlineStr">
        <is>
          <t>さらさ 無添加 植物由来の成分入り 洗濯洗剤 ジェルボール 3D 本体 14個 + 詰め替え 特大 26個 (約2倍) セット販売 液体 詰替 衣料用洗剤 液体洗剤 しっかり洗浄 植物由来成分 赤ちゃん すすぎ1回 ペット アロマの香り つめかえ用 P&amp;G 送料無料</t>
        </is>
      </c>
      <c r="F105" t="n">
        <v>19320</v>
      </c>
      <c r="G105" t="n">
        <v>0</v>
      </c>
      <c r="H105" t="n">
        <v>1</v>
      </c>
      <c r="I105">
        <f>SUM(G105*H105)</f>
        <v/>
      </c>
      <c r="J105" t="inlineStr">
        <is>
          <t>✓ 一致（SKU）</t>
        </is>
      </c>
      <c r="K105" t="inlineStr">
        <is>
          <t>4904740633077</t>
        </is>
      </c>
    </row>
    <row r="106">
      <c r="A106" s="27" t="inlineStr">
        <is>
          <t>4902430898768</t>
        </is>
      </c>
      <c r="B106" s="27" t="inlineStr">
        <is>
          <t>b08gp5xftt</t>
        </is>
      </c>
      <c r="C106" s="27" t="inlineStr">
        <is>
          <t>8768/3771</t>
        </is>
      </c>
      <c r="D106" s="27" t="inlineStr">
        <is>
          <t>b08gp5xftt</t>
        </is>
      </c>
      <c r="E106" t="inlineStr">
        <is>
          <t>ブラウン シェーバー 替刃 シリーズ5 F/C52B-b ブラック 髭剃り メンズ ひげ 髭</t>
        </is>
      </c>
      <c r="F106" t="n">
        <v>5280</v>
      </c>
      <c r="G106" t="n">
        <v>3771</v>
      </c>
      <c r="H106" t="n">
        <v>0</v>
      </c>
      <c r="I106">
        <f>SUM(G106*H106)</f>
        <v/>
      </c>
      <c r="J106" t="inlineStr">
        <is>
          <t>✓ 一致（SKU）</t>
        </is>
      </c>
      <c r="K106" t="inlineStr">
        <is>
          <t>4902430898768</t>
        </is>
      </c>
    </row>
    <row r="107">
      <c r="A107" s="27" t="inlineStr">
        <is>
          <t>4580171667401</t>
        </is>
      </c>
      <c r="B107" s="27" t="inlineStr">
        <is>
          <t>b08kw4by71</t>
        </is>
      </c>
      <c r="C107" s="27" t="inlineStr">
        <is>
          <t>7401/438</t>
        </is>
      </c>
      <c r="D107" s="27" t="inlineStr">
        <is>
          <t>b08kw4by71</t>
        </is>
      </c>
      <c r="E107" t="inlineStr">
        <is>
          <t>パラドゥ ParaDo スタイリングマスカラ RD 褒められバーガンディ マスカラ 化粧 化粧品 撥水</t>
        </is>
      </c>
      <c r="F107" t="n">
        <v>1780</v>
      </c>
      <c r="G107" t="n">
        <v>438</v>
      </c>
      <c r="H107" t="n">
        <v>3</v>
      </c>
      <c r="I107">
        <f>SUM(G107*H107)</f>
        <v/>
      </c>
      <c r="J107" t="inlineStr">
        <is>
          <t>✓ 一致（SKU）</t>
        </is>
      </c>
      <c r="K107" t="inlineStr">
        <is>
          <t>4580171667401</t>
        </is>
      </c>
    </row>
    <row r="108">
      <c r="A108" s="27" t="inlineStr">
        <is>
          <t>4953685201155</t>
        </is>
      </c>
      <c r="B108" s="27" t="inlineStr">
        <is>
          <t>b08lgjljsk</t>
        </is>
      </c>
      <c r="C108" s="27" t="inlineStr">
        <is>
          <t>1155/1136</t>
        </is>
      </c>
      <c r="D108" s="27" t="inlineStr">
        <is>
          <t>b08lgjljsk</t>
        </is>
      </c>
      <c r="E108" t="inlineStr">
        <is>
          <t>何も入れないささみだけのたまの伝説 70g ×8個セット 猫 猫用 国産 おやつ 缶詰 キャットフード 人気 大容量 まとめ買い</t>
        </is>
      </c>
      <c r="F108" t="n">
        <v>1980</v>
      </c>
      <c r="G108" t="n">
        <v>1136</v>
      </c>
      <c r="H108" t="n">
        <v>22</v>
      </c>
      <c r="I108">
        <f>SUM(G108*H108)</f>
        <v/>
      </c>
      <c r="J108" t="inlineStr">
        <is>
          <t>✓ 一致（SKU）</t>
        </is>
      </c>
      <c r="K108" t="inlineStr">
        <is>
          <t>4953685201155</t>
        </is>
      </c>
    </row>
    <row r="109">
      <c r="A109" s="27" t="inlineStr">
        <is>
          <t>4589967505330</t>
        </is>
      </c>
      <c r="B109" s="27" t="inlineStr">
        <is>
          <t>b08lh2tj1l</t>
        </is>
      </c>
      <c r="C109" s="27" t="inlineStr">
        <is>
          <t>5330/5630</t>
        </is>
      </c>
      <c r="D109" s="27" t="inlineStr">
        <is>
          <t>b08lh2tj1l</t>
        </is>
      </c>
      <c r="E109" t="inlineStr">
        <is>
          <t>Razer Kishi for iPhone モバイル コントローラー iOS RZ06-03360100-R3M1 折りたたみ 持ち運び</t>
        </is>
      </c>
      <c r="F109" t="n">
        <v>15980</v>
      </c>
      <c r="G109" t="n">
        <v>5630</v>
      </c>
      <c r="H109" t="n">
        <v>1</v>
      </c>
      <c r="I109">
        <f>SUM(G109*H109)</f>
        <v/>
      </c>
      <c r="J109" t="inlineStr">
        <is>
          <t>✓ 一致（SKU）</t>
        </is>
      </c>
      <c r="K109" t="inlineStr">
        <is>
          <t>4589967505330</t>
        </is>
      </c>
    </row>
    <row r="110">
      <c r="A110" s="27" t="inlineStr">
        <is>
          <t>4901301388544</t>
        </is>
      </c>
      <c r="B110" s="27" t="inlineStr">
        <is>
          <t>b08m3st1rj</t>
        </is>
      </c>
      <c r="C110" s="27" t="inlineStr">
        <is>
          <t>8544/1292</t>
        </is>
      </c>
      <c r="D110" s="27" t="inlineStr">
        <is>
          <t>b08m3st1rj</t>
        </is>
      </c>
      <c r="E110" t="inlineStr">
        <is>
          <t>リセッシュ除菌EX デオドラントパワー 香りが残らないタイプ つめかえ用 680ml×2個セット 消臭芳香剤 液体 消臭スプレー</t>
        </is>
      </c>
      <c r="F110" t="n">
        <v>2480</v>
      </c>
      <c r="G110" t="n">
        <v>1292</v>
      </c>
      <c r="H110" t="n">
        <v>6</v>
      </c>
      <c r="I110">
        <f>SUM(G110*H110)</f>
        <v/>
      </c>
      <c r="J110" t="inlineStr">
        <is>
          <t>✓ 一致（SKU）</t>
        </is>
      </c>
      <c r="K110" t="inlineStr">
        <is>
          <t>4901301388544</t>
        </is>
      </c>
    </row>
    <row r="111">
      <c r="A111" s="27" t="inlineStr">
        <is>
          <t>4901080024619</t>
        </is>
      </c>
      <c r="B111" s="27" t="inlineStr">
        <is>
          <t>b08rdrw831</t>
        </is>
      </c>
      <c r="C111" s="27" t="inlineStr">
        <is>
          <t>4619/1596</t>
        </is>
      </c>
      <c r="D111" s="27" t="inlineStr">
        <is>
          <t>b08rdrw831</t>
        </is>
      </c>
      <c r="E111" t="inlineStr">
        <is>
          <t>【2個セット】アース製薬 ダニがホイホイ 3枚入×2個セット ダニ捕りシート ダニ対策 ダニ取り ダニ捕獲シート 誘引剤配合 粘着シート 殺虫成分不使用 布団 ベッド マットレス ソファ カーペット ハウスダスト対策 約3ヵ月持続 日本製</t>
        </is>
      </c>
      <c r="F111" t="n">
        <v>1780</v>
      </c>
      <c r="G111" t="n">
        <v>1596</v>
      </c>
      <c r="H111" t="n">
        <v>3</v>
      </c>
      <c r="I111">
        <f>SUM(G111*H111)</f>
        <v/>
      </c>
      <c r="J111" t="inlineStr">
        <is>
          <t>✓ 一致（SKU）</t>
        </is>
      </c>
      <c r="K111" t="inlineStr">
        <is>
          <t>4901080024619</t>
        </is>
      </c>
    </row>
    <row r="112">
      <c r="A112" s="27" t="inlineStr">
        <is>
          <t>4902407024787</t>
        </is>
      </c>
      <c r="B112" s="27" t="inlineStr">
        <is>
          <t>b08vn5jgjx</t>
        </is>
      </c>
      <c r="C112" s="27" t="inlineStr">
        <is>
          <t>4787/878</t>
        </is>
      </c>
      <c r="D112" s="27" t="inlineStr">
        <is>
          <t>b08vn5jgjx</t>
        </is>
      </c>
      <c r="E112" t="inlineStr">
        <is>
          <t>【2個セット】アイスノン 極冷えタオル ピンク 2個セット 冷感タオル ひんやりタオル 首掛けタオル 冷却タオル 熱中症対策 暑さ対策 猛暑対策 スポーツ アウトドア 通勤 通学 屋外作業 レディース 女性向け クールタオル 夏用品</t>
        </is>
      </c>
      <c r="F112" t="n">
        <v>1980</v>
      </c>
      <c r="G112" t="n">
        <v>878</v>
      </c>
      <c r="H112" t="n">
        <v>12</v>
      </c>
      <c r="I112">
        <f>SUM(G112*H112)</f>
        <v/>
      </c>
      <c r="J112" t="inlineStr">
        <is>
          <t>✓ 一致（SKU）</t>
        </is>
      </c>
      <c r="K112" t="inlineStr">
        <is>
          <t>4902407024787</t>
        </is>
      </c>
    </row>
    <row r="113">
      <c r="A113" s="27" t="inlineStr">
        <is>
          <t>4987072060674</t>
        </is>
      </c>
      <c r="B113" s="27" t="inlineStr">
        <is>
          <t>b08x2gkrbk</t>
        </is>
      </c>
      <c r="C113" s="27" t="inlineStr">
        <is>
          <t>4987072060674-2</t>
        </is>
      </c>
      <c r="D113" s="27" t="inlineStr">
        <is>
          <t>b08x2gkrbk</t>
        </is>
      </c>
      <c r="E113" t="inlineStr">
        <is>
          <t>【2個セット】ハウメル 知覚過敏ケア ペースト 薬用ハミガキ 100g×2個セット 薬用歯みがき 知覚過敏 歯磨き粉 歯周病予防 むし歯予防 口臭予防 口腔ケア オーラルケア デンタルケア 歯ぐきケア 歯垢除去 歯石沈着予防 薬用ハミガキ 医薬部外品 まとめ買い</t>
        </is>
      </c>
      <c r="F113" t="n">
        <v>1980</v>
      </c>
      <c r="G113" t="n">
        <v>898</v>
      </c>
      <c r="H113" t="n">
        <v>20</v>
      </c>
      <c r="I113">
        <f>SUM(G113*H113)</f>
        <v/>
      </c>
      <c r="J113" t="inlineStr">
        <is>
          <t>✓ 一致（SKU）</t>
        </is>
      </c>
      <c r="K113" t="inlineStr">
        <is>
          <t>4987072060674</t>
        </is>
      </c>
    </row>
    <row r="114">
      <c r="A114" s="27" t="inlineStr">
        <is>
          <t>4571138555268</t>
        </is>
      </c>
      <c r="B114" s="27" t="inlineStr">
        <is>
          <t>b08xylwxs6</t>
        </is>
      </c>
      <c r="C114" s="27" t="inlineStr">
        <is>
          <t>5268/1094</t>
        </is>
      </c>
      <c r="D114" s="27" t="inlineStr">
        <is>
          <t>b08xylwxs6</t>
        </is>
      </c>
      <c r="E114" t="inlineStr">
        <is>
          <t>ブレーンコスモス ブライトセルＣ 20g×2個セット 肌 肌ケア ケア</t>
        </is>
      </c>
      <c r="F114" t="n">
        <v>2480</v>
      </c>
      <c r="G114" t="n">
        <v>1094</v>
      </c>
      <c r="H114" t="n">
        <v>10</v>
      </c>
      <c r="I114">
        <f>SUM(G114*H114)</f>
        <v/>
      </c>
    </row>
    <row r="115">
      <c r="A115" s="27" t="inlineStr">
        <is>
          <t>4901301388919</t>
        </is>
      </c>
      <c r="B115" s="27" t="inlineStr">
        <is>
          <t>b08y95skcr-2</t>
        </is>
      </c>
      <c r="C115" s="27" t="inlineStr">
        <is>
          <t>4901301388919-2</t>
        </is>
      </c>
      <c r="D115" s="27" t="inlineStr">
        <is>
          <t>b08y95skcr-2</t>
        </is>
      </c>
      <c r="E115" t="inlineStr">
        <is>
          <t>【2個セット】ニベア クレンジングオイル ビューティースキン つめかえ用 170mL×2個セット 詰め替え メイク落とし クレンジングオイル 毛穴 角栓 ウォータープルーフ まつエクOK 濡れた手OK 美容オイル配合 保湿 花王 NIVEA まとめ買い</t>
        </is>
      </c>
      <c r="F115" t="n">
        <v>2980</v>
      </c>
      <c r="G115" t="n">
        <v>1463</v>
      </c>
      <c r="H115" t="n">
        <v>7</v>
      </c>
      <c r="I115">
        <f>SUM(G115*H115)</f>
        <v/>
      </c>
      <c r="J115" t="inlineStr">
        <is>
          <t>✓ 一致（SKU）</t>
        </is>
      </c>
      <c r="K115" t="inlineStr">
        <is>
          <t>4901301388919</t>
        </is>
      </c>
    </row>
    <row r="116">
      <c r="A116" s="27" t="inlineStr">
        <is>
          <t>0194644145262</t>
        </is>
      </c>
      <c r="B116" s="27" t="inlineStr">
        <is>
          <t>b093l5cmmt</t>
        </is>
      </c>
      <c r="C116" s="27" t="inlineStr">
        <is>
          <t>5286/1390</t>
        </is>
      </c>
      <c r="D116" s="27" t="inlineStr">
        <is>
          <t>B093L53HM4</t>
        </is>
      </c>
      <c r="E116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116" t="n">
        <v>2980</v>
      </c>
      <c r="G116" t="n">
        <v>1390</v>
      </c>
      <c r="H116" t="n">
        <v>2</v>
      </c>
      <c r="I116">
        <f>SUM(G116*H116)</f>
        <v/>
      </c>
      <c r="J116" t="inlineStr">
        <is>
          <t>✓ 一致（SKU）</t>
        </is>
      </c>
      <c r="K116" t="inlineStr">
        <is>
          <t>0194644145262</t>
        </is>
      </c>
    </row>
    <row r="117">
      <c r="A117" s="27" t="inlineStr">
        <is>
          <t>0194644145286</t>
        </is>
      </c>
      <c r="B117" s="27" t="inlineStr">
        <is>
          <t>b093l5cmmt</t>
        </is>
      </c>
      <c r="C117" s="27" t="inlineStr">
        <is>
          <t>5286/1390</t>
        </is>
      </c>
      <c r="D117" s="27" t="inlineStr">
        <is>
          <t>B093L5CMMT</t>
        </is>
      </c>
      <c r="E117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117" t="n">
        <v>2980</v>
      </c>
      <c r="G117" t="n">
        <v>1390</v>
      </c>
      <c r="H117" t="n">
        <v>0</v>
      </c>
      <c r="I117">
        <f>SUM(G117*H117)</f>
        <v/>
      </c>
      <c r="J117" t="inlineStr">
        <is>
          <t>✓ 一致（SKU）</t>
        </is>
      </c>
      <c r="K117" t="inlineStr">
        <is>
          <t>0194644145286</t>
        </is>
      </c>
    </row>
    <row r="118">
      <c r="A118" s="27" t="inlineStr">
        <is>
          <t>0194644145248</t>
        </is>
      </c>
      <c r="B118" s="27" t="inlineStr">
        <is>
          <t>b093l5cmmt</t>
        </is>
      </c>
      <c r="C118" s="27" t="inlineStr">
        <is>
          <t>5286/1390</t>
        </is>
      </c>
      <c r="D118" s="27" t="inlineStr">
        <is>
          <t>B093L5CQ6H</t>
        </is>
      </c>
      <c r="E118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118" t="n">
        <v>2980</v>
      </c>
      <c r="G118" t="n">
        <v>1390</v>
      </c>
      <c r="H118" t="n">
        <v>5</v>
      </c>
      <c r="I118">
        <f>SUM(G118*H118)</f>
        <v/>
      </c>
      <c r="J118" t="inlineStr">
        <is>
          <t>✓ 一致（SKU）</t>
        </is>
      </c>
      <c r="K118" t="inlineStr">
        <is>
          <t>0194644145248</t>
        </is>
      </c>
    </row>
    <row r="119">
      <c r="A119" s="27" t="inlineStr">
        <is>
          <t>0194644145255</t>
        </is>
      </c>
      <c r="B119" s="27" t="inlineStr">
        <is>
          <t>b093l5cmmt</t>
        </is>
      </c>
      <c r="C119" s="27" t="inlineStr">
        <is>
          <t>5286/1390</t>
        </is>
      </c>
      <c r="D119" s="27" t="inlineStr">
        <is>
          <t>B093L6MJKJ</t>
        </is>
      </c>
      <c r="E119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119" t="n">
        <v>2980</v>
      </c>
      <c r="G119" t="n">
        <v>1390</v>
      </c>
      <c r="H119" t="n">
        <v>4</v>
      </c>
      <c r="I119">
        <f>SUM(G119*H119)</f>
        <v/>
      </c>
      <c r="J119" t="inlineStr">
        <is>
          <t>✓ 一致（SKU）</t>
        </is>
      </c>
      <c r="K119" t="inlineStr">
        <is>
          <t>0194644145255</t>
        </is>
      </c>
    </row>
    <row r="120">
      <c r="A120" s="27" t="inlineStr">
        <is>
          <t>0194644084677</t>
        </is>
      </c>
      <c r="B120" s="27" t="inlineStr">
        <is>
          <t>b093l5cmmt</t>
        </is>
      </c>
      <c r="C120" s="27" t="inlineStr">
        <is>
          <t>5286/1390</t>
        </is>
      </c>
      <c r="D120" s="27" t="inlineStr">
        <is>
          <t>B09FXWZK98</t>
        </is>
      </c>
      <c r="E120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120" t="n">
        <v>2980</v>
      </c>
      <c r="G120" t="n">
        <v>1390</v>
      </c>
      <c r="H120" t="n">
        <v>5</v>
      </c>
      <c r="I120">
        <f>SUM(G120*H120)</f>
        <v/>
      </c>
      <c r="J120" t="inlineStr">
        <is>
          <t>✓ 一致（SKU）</t>
        </is>
      </c>
      <c r="K120" t="inlineStr">
        <is>
          <t>0194644084677</t>
        </is>
      </c>
    </row>
    <row r="121">
      <c r="A121" s="27" t="inlineStr">
        <is>
          <t>0194644084691</t>
        </is>
      </c>
      <c r="B121" s="27" t="inlineStr">
        <is>
          <t>b093l5cmmt</t>
        </is>
      </c>
      <c r="C121" s="27" t="inlineStr">
        <is>
          <t>5286/1390</t>
        </is>
      </c>
      <c r="D121" s="27" t="inlineStr">
        <is>
          <t>B09FXXKNKZ</t>
        </is>
      </c>
      <c r="E121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F121" t="n">
        <v>2980</v>
      </c>
      <c r="G121" t="n">
        <v>1390</v>
      </c>
      <c r="H121" t="n">
        <v>4</v>
      </c>
      <c r="I121">
        <f>SUM(G121*H121)</f>
        <v/>
      </c>
      <c r="J121" t="inlineStr">
        <is>
          <t>✓ 一致（SKU）</t>
        </is>
      </c>
      <c r="K121" t="inlineStr">
        <is>
          <t>0194644084691</t>
        </is>
      </c>
    </row>
    <row r="122">
      <c r="A122" s="27" t="inlineStr">
        <is>
          <t>0194644145262</t>
        </is>
      </c>
      <c r="B122" s="27" t="inlineStr">
        <is>
          <t>b093l5cmmt-1</t>
        </is>
      </c>
      <c r="C122" s="27" t="inlineStr">
        <is>
          <t>5286/2780</t>
        </is>
      </c>
      <c r="D122" s="27" t="inlineStr">
        <is>
          <t>B093L53HM4-1</t>
        </is>
      </c>
      <c r="E122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122" t="n">
        <v>5780</v>
      </c>
      <c r="G122" t="n">
        <v>2780</v>
      </c>
      <c r="H122" t="n">
        <v>5</v>
      </c>
      <c r="I122">
        <f>SUM(G122*H122)</f>
        <v/>
      </c>
      <c r="J122" t="inlineStr">
        <is>
          <t>✓ 一致（SKU）</t>
        </is>
      </c>
      <c r="K122" t="inlineStr">
        <is>
          <t>0194644145262</t>
        </is>
      </c>
    </row>
    <row r="123">
      <c r="A123" s="27" t="inlineStr">
        <is>
          <t>0194644145286</t>
        </is>
      </c>
      <c r="B123" s="27" t="inlineStr">
        <is>
          <t>b093l5cmmt-1</t>
        </is>
      </c>
      <c r="C123" s="27" t="inlineStr">
        <is>
          <t>5286/2780</t>
        </is>
      </c>
      <c r="D123" s="27" t="inlineStr">
        <is>
          <t>B093L5CMMT-1</t>
        </is>
      </c>
      <c r="E123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123" t="n">
        <v>5780</v>
      </c>
      <c r="G123" t="n">
        <v>2780</v>
      </c>
      <c r="H123" t="n">
        <v>5</v>
      </c>
      <c r="I123">
        <f>SUM(G123*H123)</f>
        <v/>
      </c>
      <c r="J123" t="inlineStr">
        <is>
          <t>✓ 一致（SKU）</t>
        </is>
      </c>
      <c r="K123" t="inlineStr">
        <is>
          <t>0194644145286</t>
        </is>
      </c>
    </row>
    <row r="124">
      <c r="A124" s="27" t="inlineStr">
        <is>
          <t>0194644145248</t>
        </is>
      </c>
      <c r="B124" s="27" t="inlineStr">
        <is>
          <t>b093l5cmmt-1</t>
        </is>
      </c>
      <c r="C124" s="27" t="inlineStr">
        <is>
          <t>5286/2780</t>
        </is>
      </c>
      <c r="D124" s="27" t="inlineStr">
        <is>
          <t>B093L5CQ6H-1</t>
        </is>
      </c>
      <c r="E124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124" t="n">
        <v>5780</v>
      </c>
      <c r="G124" t="n">
        <v>2780</v>
      </c>
      <c r="H124" t="n">
        <v>5</v>
      </c>
      <c r="I124">
        <f>SUM(G124*H124)</f>
        <v/>
      </c>
      <c r="J124" t="inlineStr">
        <is>
          <t>✓ 一致（SKU）</t>
        </is>
      </c>
      <c r="K124" t="inlineStr">
        <is>
          <t>0194644145248</t>
        </is>
      </c>
    </row>
    <row r="125">
      <c r="A125" s="27" t="inlineStr">
        <is>
          <t>0194644145255</t>
        </is>
      </c>
      <c r="B125" s="27" t="inlineStr">
        <is>
          <t>b093l5cmmt-1</t>
        </is>
      </c>
      <c r="C125" s="27" t="inlineStr">
        <is>
          <t>5286/2780</t>
        </is>
      </c>
      <c r="D125" s="27" t="inlineStr">
        <is>
          <t>B093L6MJKJ-1</t>
        </is>
      </c>
      <c r="E125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125" t="n">
        <v>5780</v>
      </c>
      <c r="G125" t="n">
        <v>2780</v>
      </c>
      <c r="H125" t="n">
        <v>5</v>
      </c>
      <c r="I125">
        <f>SUM(G125*H125)</f>
        <v/>
      </c>
      <c r="J125" t="inlineStr">
        <is>
          <t>✓ 一致（SKU）</t>
        </is>
      </c>
      <c r="K125" t="inlineStr">
        <is>
          <t>0194644145255</t>
        </is>
      </c>
    </row>
    <row r="126">
      <c r="A126" s="27" t="inlineStr">
        <is>
          <t>0194644084677</t>
        </is>
      </c>
      <c r="B126" s="27" t="inlineStr">
        <is>
          <t>b093l5cmmt-1</t>
        </is>
      </c>
      <c r="C126" s="27" t="inlineStr">
        <is>
          <t>5286/2780</t>
        </is>
      </c>
      <c r="D126" s="27" t="inlineStr">
        <is>
          <t>B09FXWZK98-1</t>
        </is>
      </c>
      <c r="E126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126" t="n">
        <v>5780</v>
      </c>
      <c r="G126" t="n">
        <v>2780</v>
      </c>
      <c r="H126" t="n">
        <v>5</v>
      </c>
      <c r="I126">
        <f>SUM(G126*H126)</f>
        <v/>
      </c>
      <c r="J126" t="inlineStr">
        <is>
          <t>✓ 一致（SKU）</t>
        </is>
      </c>
      <c r="K126" t="inlineStr">
        <is>
          <t>0194644084677</t>
        </is>
      </c>
    </row>
    <row r="127">
      <c r="A127" s="27" t="inlineStr">
        <is>
          <t>0194644084691</t>
        </is>
      </c>
      <c r="B127" s="27" t="inlineStr">
        <is>
          <t>b093l5cmmt-1</t>
        </is>
      </c>
      <c r="C127" s="27" t="inlineStr">
        <is>
          <t>5286/2780</t>
        </is>
      </c>
      <c r="D127" s="27" t="inlineStr">
        <is>
          <t>B09FXXKNKZ-1</t>
        </is>
      </c>
      <c r="E127" t="inlineStr">
        <is>
          <t>【2個セット】Anker PowerLine III Flow USB-C &amp; USB-C ケーブル 240W 1.8m×2個セット ミッドナイトブラック クラウドホワイト アイスブルー ミントグリーン ラベンダーグレー ライトパープル USB PD対応 急速充電 データ転送 iPhone Mac iPad Android Type-C ケーブル</t>
        </is>
      </c>
      <c r="F127" t="n">
        <v>5780</v>
      </c>
      <c r="G127" t="n">
        <v>2780</v>
      </c>
      <c r="H127" t="n">
        <v>5</v>
      </c>
      <c r="I127">
        <f>SUM(G127*H127)</f>
        <v/>
      </c>
      <c r="J127" t="inlineStr">
        <is>
          <t>✓ 一致（SKU）</t>
        </is>
      </c>
      <c r="K127" t="inlineStr">
        <is>
          <t>0194644084691</t>
        </is>
      </c>
    </row>
    <row r="128">
      <c r="A128" s="27" t="inlineStr">
        <is>
          <t>0194644145316</t>
        </is>
      </c>
      <c r="B128" s="27" t="inlineStr">
        <is>
          <t>b093lnhzq2</t>
        </is>
      </c>
      <c r="C128" s="27" t="inlineStr">
        <is>
          <t>5309/1290</t>
        </is>
      </c>
      <c r="D128" s="27" t="inlineStr">
        <is>
          <t>B093L6298K</t>
        </is>
      </c>
      <c r="E128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128" t="n">
        <v>2780</v>
      </c>
      <c r="G128" t="n">
        <v>1290</v>
      </c>
      <c r="H128" t="n">
        <v>5</v>
      </c>
      <c r="I128">
        <f>SUM(G128*H128)</f>
        <v/>
      </c>
      <c r="J128" t="inlineStr">
        <is>
          <t>✓ 一致（SKU）</t>
        </is>
      </c>
      <c r="K128" t="inlineStr">
        <is>
          <t>0194644145316</t>
        </is>
      </c>
    </row>
    <row r="129">
      <c r="A129" s="27" t="inlineStr">
        <is>
          <t>0194644145293</t>
        </is>
      </c>
      <c r="B129" s="27" t="inlineStr">
        <is>
          <t>b093lnhzq2</t>
        </is>
      </c>
      <c r="C129" s="27" t="inlineStr">
        <is>
          <t>5309/1290</t>
        </is>
      </c>
      <c r="D129" s="27" t="inlineStr">
        <is>
          <t>B093L81YVZ</t>
        </is>
      </c>
      <c r="E129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129" t="n">
        <v>2780</v>
      </c>
      <c r="G129" t="n">
        <v>1290</v>
      </c>
      <c r="H129" t="n">
        <v>5</v>
      </c>
      <c r="I129">
        <f>SUM(G129*H129)</f>
        <v/>
      </c>
      <c r="J129" t="inlineStr">
        <is>
          <t>✓ 一致（SKU）</t>
        </is>
      </c>
      <c r="K129" t="inlineStr">
        <is>
          <t>0194644145293</t>
        </is>
      </c>
    </row>
    <row r="130">
      <c r="A130" s="27" t="inlineStr">
        <is>
          <t>0194644145279</t>
        </is>
      </c>
      <c r="B130" s="27" t="inlineStr">
        <is>
          <t>b093lnhzq2</t>
        </is>
      </c>
      <c r="C130" s="27" t="inlineStr">
        <is>
          <t>5309/1290</t>
        </is>
      </c>
      <c r="D130" s="27" t="inlineStr">
        <is>
          <t>B093L878QZ</t>
        </is>
      </c>
      <c r="E130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130" t="n">
        <v>2780</v>
      </c>
      <c r="G130" t="n">
        <v>1290</v>
      </c>
      <c r="H130" t="n">
        <v>5</v>
      </c>
      <c r="I130">
        <f>SUM(G130*H130)</f>
        <v/>
      </c>
      <c r="J130" t="inlineStr">
        <is>
          <t>✓ 一致（SKU）</t>
        </is>
      </c>
      <c r="K130" t="inlineStr">
        <is>
          <t>0194644145279</t>
        </is>
      </c>
    </row>
    <row r="131">
      <c r="A131" s="27" t="inlineStr">
        <is>
          <t>0194644145309</t>
        </is>
      </c>
      <c r="B131" s="27" t="inlineStr">
        <is>
          <t>b093lnhzq2</t>
        </is>
      </c>
      <c r="C131" s="27" t="inlineStr">
        <is>
          <t>5309/1290</t>
        </is>
      </c>
      <c r="D131" s="27" t="inlineStr">
        <is>
          <t>B093LNHZQ2</t>
        </is>
      </c>
      <c r="E131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131" t="n">
        <v>2780</v>
      </c>
      <c r="G131" t="n">
        <v>1290</v>
      </c>
      <c r="H131" t="n">
        <v>5</v>
      </c>
      <c r="I131">
        <f>SUM(G131*H131)</f>
        <v/>
      </c>
      <c r="J131" t="inlineStr">
        <is>
          <t>✓ 一致（SKU）</t>
        </is>
      </c>
      <c r="K131" t="inlineStr">
        <is>
          <t>0194644145309</t>
        </is>
      </c>
    </row>
    <row r="132">
      <c r="A132" s="27" t="inlineStr">
        <is>
          <t>0194644084738</t>
        </is>
      </c>
      <c r="B132" s="27" t="inlineStr">
        <is>
          <t>b093lnhzq2</t>
        </is>
      </c>
      <c r="C132" s="27" t="inlineStr">
        <is>
          <t>5309/1290</t>
        </is>
      </c>
      <c r="D132" s="27" t="inlineStr">
        <is>
          <t>B09G2XJQG2</t>
        </is>
      </c>
      <c r="E13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132" t="n">
        <v>2780</v>
      </c>
      <c r="G132" t="n">
        <v>1290</v>
      </c>
      <c r="H132" t="n">
        <v>5</v>
      </c>
      <c r="I132">
        <f>SUM(G132*H132)</f>
        <v/>
      </c>
      <c r="J132" t="inlineStr">
        <is>
          <t>✓ 一致（SKU）</t>
        </is>
      </c>
      <c r="K132" t="inlineStr">
        <is>
          <t>0194644084738</t>
        </is>
      </c>
    </row>
    <row r="133">
      <c r="A133" s="27" t="inlineStr">
        <is>
          <t>0194644084721</t>
        </is>
      </c>
      <c r="B133" s="27" t="inlineStr">
        <is>
          <t>b093lnhzq2</t>
        </is>
      </c>
      <c r="C133" s="27" t="inlineStr">
        <is>
          <t>5309/1290</t>
        </is>
      </c>
      <c r="D133" s="27" t="inlineStr">
        <is>
          <t>B09G2XKXFF</t>
        </is>
      </c>
      <c r="E13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133" t="n">
        <v>2780</v>
      </c>
      <c r="G133" t="n">
        <v>1290</v>
      </c>
      <c r="H133" t="n">
        <v>5</v>
      </c>
      <c r="I133">
        <f>SUM(G133*H133)</f>
        <v/>
      </c>
      <c r="J133" t="inlineStr">
        <is>
          <t>✓ 一致（SKU）</t>
        </is>
      </c>
      <c r="K133" t="inlineStr">
        <is>
          <t>0194644084721</t>
        </is>
      </c>
    </row>
    <row r="134">
      <c r="A134" s="27" t="inlineStr">
        <is>
          <t>0194644084745</t>
        </is>
      </c>
      <c r="B134" s="27" t="inlineStr">
        <is>
          <t>b093lnhzq2</t>
        </is>
      </c>
      <c r="C134" s="27" t="inlineStr">
        <is>
          <t>5309/1290</t>
        </is>
      </c>
      <c r="D134" s="27" t="inlineStr">
        <is>
          <t>B09G2YH53K</t>
        </is>
      </c>
      <c r="E134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F134" t="n">
        <v>2780</v>
      </c>
      <c r="G134" t="n">
        <v>1290</v>
      </c>
      <c r="H134" t="n">
        <v>5</v>
      </c>
      <c r="I134">
        <f>SUM(G134*H134)</f>
        <v/>
      </c>
      <c r="J134" t="inlineStr">
        <is>
          <t>✓ 一致（SKU）</t>
        </is>
      </c>
      <c r="K134" t="inlineStr">
        <is>
          <t>0194644084745</t>
        </is>
      </c>
    </row>
    <row r="135">
      <c r="A135" s="27" t="inlineStr">
        <is>
          <t>0194644145316</t>
        </is>
      </c>
      <c r="B135" s="27" t="inlineStr">
        <is>
          <t>b093lnhzq2-1</t>
        </is>
      </c>
      <c r="C135" s="27" t="inlineStr">
        <is>
          <t>5309/2580</t>
        </is>
      </c>
      <c r="D135" s="27" t="inlineStr">
        <is>
          <t>B093L6298K-1</t>
        </is>
      </c>
      <c r="E135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135" t="n">
        <v>3980</v>
      </c>
      <c r="G135" t="n">
        <v>2580</v>
      </c>
      <c r="H135" t="n">
        <v>4</v>
      </c>
      <c r="I135">
        <f>SUM(G135*H135)</f>
        <v/>
      </c>
      <c r="J135" t="inlineStr">
        <is>
          <t>✓ 一致（SKU）</t>
        </is>
      </c>
      <c r="K135" t="inlineStr">
        <is>
          <t>0194644145316</t>
        </is>
      </c>
    </row>
    <row r="136">
      <c r="A136" s="27" t="inlineStr">
        <is>
          <t>0194644145293</t>
        </is>
      </c>
      <c r="B136" s="27" t="inlineStr">
        <is>
          <t>b093lnhzq2-1</t>
        </is>
      </c>
      <c r="C136" s="27" t="inlineStr">
        <is>
          <t>5309/2580</t>
        </is>
      </c>
      <c r="D136" s="27" t="inlineStr">
        <is>
          <t>B093L81YVZ-1</t>
        </is>
      </c>
      <c r="E136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136" t="n">
        <v>3980</v>
      </c>
      <c r="G136" t="n">
        <v>2580</v>
      </c>
      <c r="H136" t="n">
        <v>4</v>
      </c>
      <c r="I136">
        <f>SUM(G136*H136)</f>
        <v/>
      </c>
      <c r="J136" t="inlineStr">
        <is>
          <t>✓ 一致（SKU）</t>
        </is>
      </c>
      <c r="K136" t="inlineStr">
        <is>
          <t>0194644145293</t>
        </is>
      </c>
    </row>
    <row r="137">
      <c r="A137" s="27" t="inlineStr">
        <is>
          <t>0194644145279</t>
        </is>
      </c>
      <c r="B137" s="27" t="inlineStr">
        <is>
          <t>b093lnhzq2-1</t>
        </is>
      </c>
      <c r="C137" s="27" t="inlineStr">
        <is>
          <t>5309/2580</t>
        </is>
      </c>
      <c r="D137" s="27" t="inlineStr">
        <is>
          <t>B093L878QZ-1</t>
        </is>
      </c>
      <c r="E137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137" t="n">
        <v>3980</v>
      </c>
      <c r="G137" t="n">
        <v>2580</v>
      </c>
      <c r="H137" t="n">
        <v>3</v>
      </c>
      <c r="I137">
        <f>SUM(G137*H137)</f>
        <v/>
      </c>
      <c r="J137" t="inlineStr">
        <is>
          <t>✓ 一致（SKU）</t>
        </is>
      </c>
      <c r="K137" t="inlineStr">
        <is>
          <t>0194644145279</t>
        </is>
      </c>
    </row>
    <row r="138">
      <c r="A138" s="27" t="inlineStr">
        <is>
          <t>0194644145309</t>
        </is>
      </c>
      <c r="B138" s="27" t="inlineStr">
        <is>
          <t>b093lnhzq2-1</t>
        </is>
      </c>
      <c r="C138" s="27" t="inlineStr">
        <is>
          <t>5309/2580</t>
        </is>
      </c>
      <c r="D138" s="27" t="inlineStr">
        <is>
          <t>B093LNHZQ2-1</t>
        </is>
      </c>
      <c r="E138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138" t="n">
        <v>3980</v>
      </c>
      <c r="G138" t="n">
        <v>2580</v>
      </c>
      <c r="H138" t="n">
        <v>4</v>
      </c>
      <c r="I138">
        <f>SUM(G138*H138)</f>
        <v/>
      </c>
      <c r="J138" t="inlineStr">
        <is>
          <t>✓ 一致（SKU）</t>
        </is>
      </c>
      <c r="K138" t="inlineStr">
        <is>
          <t>0194644145309</t>
        </is>
      </c>
    </row>
    <row r="139">
      <c r="A139" s="27" t="inlineStr">
        <is>
          <t>0194644084738</t>
        </is>
      </c>
      <c r="B139" s="27" t="inlineStr">
        <is>
          <t>b093lnhzq2-1</t>
        </is>
      </c>
      <c r="C139" s="27" t="inlineStr">
        <is>
          <t>5309/2580</t>
        </is>
      </c>
      <c r="D139" s="27" t="inlineStr">
        <is>
          <t>B09G2XJQG2-1</t>
        </is>
      </c>
      <c r="E139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139" t="n">
        <v>3980</v>
      </c>
      <c r="G139" t="n">
        <v>2580</v>
      </c>
      <c r="H139" t="n">
        <v>3</v>
      </c>
      <c r="I139">
        <f>SUM(G139*H139)</f>
        <v/>
      </c>
      <c r="J139" t="inlineStr">
        <is>
          <t>✓ 一致（SKU）</t>
        </is>
      </c>
      <c r="K139" t="inlineStr">
        <is>
          <t>0194644084738</t>
        </is>
      </c>
    </row>
    <row r="140">
      <c r="A140" s="27" t="inlineStr">
        <is>
          <t>0194644084721</t>
        </is>
      </c>
      <c r="B140" s="27" t="inlineStr">
        <is>
          <t>b093lnhzq2-1</t>
        </is>
      </c>
      <c r="C140" s="27" t="inlineStr">
        <is>
          <t>5309/2580</t>
        </is>
      </c>
      <c r="D140" s="27" t="inlineStr">
        <is>
          <t>B09G2XKXFF-1</t>
        </is>
      </c>
      <c r="E140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140" t="n">
        <v>3980</v>
      </c>
      <c r="G140" t="n">
        <v>2580</v>
      </c>
      <c r="H140" t="n">
        <v>3</v>
      </c>
      <c r="I140">
        <f>SUM(G140*H140)</f>
        <v/>
      </c>
      <c r="J140" t="inlineStr">
        <is>
          <t>✓ 一致（SKU）</t>
        </is>
      </c>
      <c r="K140" t="inlineStr">
        <is>
          <t>0194644084721</t>
        </is>
      </c>
    </row>
    <row r="141">
      <c r="A141" s="27" t="inlineStr">
        <is>
          <t>0194644084745</t>
        </is>
      </c>
      <c r="B141" s="27" t="inlineStr">
        <is>
          <t>b093lnhzq2-1</t>
        </is>
      </c>
      <c r="C141" s="27" t="inlineStr">
        <is>
          <t>5309/2580</t>
        </is>
      </c>
      <c r="D141" s="27" t="inlineStr">
        <is>
          <t>B09G2YH53K-1</t>
        </is>
      </c>
      <c r="E141" t="inlineStr">
        <is>
          <t>Anker PowerLine III Flow USB-C &amp; USB-C ケーブル Anker絡まないケーブル 240W 0.9m×2個セット ホワイト ミッドナイトブラック アイスブルー ライトパープル レモンイエロー ラベンダーグレー ミントグリーン 結束バンド付き USB PD対応 シリコン素材採用 iPhone 17 / 16</t>
        </is>
      </c>
      <c r="F141" t="n">
        <v>3980</v>
      </c>
      <c r="G141" t="n">
        <v>2580</v>
      </c>
      <c r="H141" t="n">
        <v>4</v>
      </c>
      <c r="I141">
        <f>SUM(G141*H141)</f>
        <v/>
      </c>
      <c r="J141" t="inlineStr">
        <is>
          <t>✓ 一致（SKU）</t>
        </is>
      </c>
      <c r="K141" t="inlineStr">
        <is>
          <t>0194644084745</t>
        </is>
      </c>
    </row>
    <row r="142">
      <c r="A142" s="27" t="inlineStr">
        <is>
          <t>4580295033632</t>
        </is>
      </c>
      <c r="B142" s="27" t="inlineStr">
        <is>
          <t>b09871bcr4</t>
        </is>
      </c>
      <c r="C142" s="27" t="inlineStr">
        <is>
          <t>3649,3632/1188</t>
        </is>
      </c>
      <c r="D142" s="27" t="inlineStr">
        <is>
          <t>B0986W9XVZ</t>
        </is>
      </c>
      <c r="E142" t="inlineStr">
        <is>
          <t>タイムシークレット ミネラルエッセンス BB SPF25 PA++ 12g ナチュラルオークル/ミディアムオークル ファンデーション ファンデ</t>
        </is>
      </c>
      <c r="F142" t="n">
        <v>2480</v>
      </c>
      <c r="G142" t="n">
        <v>1188</v>
      </c>
      <c r="H142" t="n">
        <v>7</v>
      </c>
      <c r="I142">
        <f>SUM(G142*H142)</f>
        <v/>
      </c>
    </row>
    <row r="143">
      <c r="A143" s="27" t="inlineStr">
        <is>
          <t>4580295033649</t>
        </is>
      </c>
      <c r="B143" s="27" t="inlineStr">
        <is>
          <t>b09871bcr4</t>
        </is>
      </c>
      <c r="C143" s="27" t="inlineStr">
        <is>
          <t>3649,3632/1188</t>
        </is>
      </c>
      <c r="D143" s="27" t="inlineStr">
        <is>
          <t>B09871BCR4</t>
        </is>
      </c>
      <c r="E143" t="inlineStr">
        <is>
          <t>タイムシークレット ミネラルエッセンス BB SPF25 PA++ 12g ナチュラルオークル/ミディアムオークル ファンデーション ファンデ</t>
        </is>
      </c>
      <c r="F143" t="n">
        <v>2480</v>
      </c>
      <c r="G143" t="n">
        <v>1188</v>
      </c>
      <c r="H143" t="n">
        <v>0</v>
      </c>
      <c r="I143">
        <f>SUM(G143*H143)</f>
        <v/>
      </c>
    </row>
    <row r="144">
      <c r="A144" s="27" t="inlineStr">
        <is>
          <t>4902430644723</t>
        </is>
      </c>
      <c r="B144" s="27" t="inlineStr">
        <is>
          <t>b098mh987h</t>
        </is>
      </c>
      <c r="C144" s="27" t="inlineStr">
        <is>
          <t>4723/294</t>
        </is>
      </c>
      <c r="D144" s="27" t="inlineStr">
        <is>
          <t>b098mh987h</t>
        </is>
      </c>
      <c r="E144" t="inlineStr">
        <is>
          <t>ファブリーズ おそうじエイド ハウスダストをまとめて固めるスプレー 洗いたてのリネンの香り 370ml 本体 除菌 P&amp;Gジャパン スプレー</t>
        </is>
      </c>
      <c r="F144" t="n">
        <v>1180</v>
      </c>
      <c r="G144" t="n">
        <v>294</v>
      </c>
      <c r="H144" t="n">
        <v>111</v>
      </c>
      <c r="I144">
        <f>SUM(G144*H144)</f>
        <v/>
      </c>
      <c r="J144" t="inlineStr">
        <is>
          <t>✓ 一致（SKU）</t>
        </is>
      </c>
      <c r="K144" t="inlineStr">
        <is>
          <t>4902430644723</t>
        </is>
      </c>
    </row>
    <row r="145">
      <c r="A145" s="27" t="inlineStr">
        <is>
          <t>4902430644723</t>
        </is>
      </c>
      <c r="B145" s="27" t="inlineStr">
        <is>
          <t>b098mh987h-1</t>
        </is>
      </c>
      <c r="C145" s="27" t="inlineStr">
        <is>
          <t>4723/1425</t>
        </is>
      </c>
      <c r="D145" s="27" t="inlineStr">
        <is>
          <t>B098MH987H-1</t>
        </is>
      </c>
      <c r="E145" t="inlineStr">
        <is>
          <t>【5個セット】ファブリーズ おそうじエイド ハウスダストをまとめて固めるスプレー 洗いたてのリネンの香り 本体 370mL×5個セット P&amp;G ハウスダスト対策 ダニ 花粉 PM2.5 ペットの毛 掃除用スプレー 布製品 カーペット ソファ 除菌 清掃用品 日用品 まとめ買い ストック</t>
        </is>
      </c>
      <c r="F145" t="n">
        <v>3980</v>
      </c>
      <c r="G145" t="n">
        <v>1425</v>
      </c>
      <c r="H145" t="n">
        <v>5</v>
      </c>
      <c r="I145">
        <f>SUM(G145*H145)</f>
        <v/>
      </c>
      <c r="J145" t="inlineStr">
        <is>
          <t>✓ 一致（SKU）</t>
        </is>
      </c>
      <c r="K145" t="inlineStr">
        <is>
          <t>4902430644723</t>
        </is>
      </c>
    </row>
    <row r="146">
      <c r="A146" s="27" t="inlineStr">
        <is>
          <t>4902430645041</t>
        </is>
      </c>
      <c r="B146" s="27" t="inlineStr">
        <is>
          <t>b098mjm99x</t>
        </is>
      </c>
      <c r="C146" s="27" t="inlineStr">
        <is>
          <t>5041/285</t>
        </is>
      </c>
      <c r="D146" s="27" t="inlineStr">
        <is>
          <t>b098mjm99x</t>
        </is>
      </c>
      <c r="E146" t="inlineStr">
        <is>
          <t>ファブリーズ おそうじエイド ハウスダストをまとめて固めるスプレー 香料無添加 370ml 本体 除菌 P&amp;Gジャパン スプレー</t>
        </is>
      </c>
      <c r="F146" t="n">
        <v>1280</v>
      </c>
      <c r="G146" t="n">
        <v>285</v>
      </c>
      <c r="H146" t="n">
        <v>110</v>
      </c>
      <c r="I146">
        <f>SUM(G146*H146)</f>
        <v/>
      </c>
      <c r="J146" t="inlineStr">
        <is>
          <t>✓ 一致（SKU）</t>
        </is>
      </c>
      <c r="K146" t="inlineStr">
        <is>
          <t>4902430645041</t>
        </is>
      </c>
    </row>
    <row r="147">
      <c r="A147" s="27" t="inlineStr">
        <is>
          <t>4902430645041</t>
        </is>
      </c>
      <c r="B147" s="27" t="inlineStr">
        <is>
          <t>b098mjm99x-1</t>
        </is>
      </c>
      <c r="C147" s="27" t="inlineStr">
        <is>
          <t>5041,4914/533</t>
        </is>
      </c>
      <c r="D147" s="27" t="inlineStr">
        <is>
          <t>b098mjm99x-1</t>
        </is>
      </c>
      <c r="E147" t="inlineStr">
        <is>
          <t>【セット品】 ファブリーズ おそうじエイド ハウスダストをまとめて固めるスプレー 無香料 本体370ml+詰替320mlセット 除菌 ハウスダスト対策 布製品 ソファ カーペット ふとん 寝具 室内 清潔 掃除 お手入れ スプレータイプ 本体+詰替 セット P&amp;G</t>
        </is>
      </c>
      <c r="F147" t="n">
        <v>1980</v>
      </c>
      <c r="G147" t="n">
        <v>533</v>
      </c>
      <c r="H147" t="n">
        <v>5</v>
      </c>
      <c r="I147">
        <f>SUM(G147*H147)</f>
        <v/>
      </c>
      <c r="J147" t="inlineStr">
        <is>
          <t>✓ 一致（SKU）</t>
        </is>
      </c>
      <c r="K147" t="inlineStr">
        <is>
          <t>4902430645041</t>
        </is>
      </c>
    </row>
    <row r="148">
      <c r="A148" s="27" t="inlineStr">
        <is>
          <t>4902430645041</t>
        </is>
      </c>
      <c r="B148" s="27" t="inlineStr">
        <is>
          <t>b098mjm99x-2</t>
        </is>
      </c>
      <c r="C148" s="27" t="inlineStr">
        <is>
          <t>5041/1425</t>
        </is>
      </c>
      <c r="D148" s="27" t="inlineStr">
        <is>
          <t>B098MJM99X-2</t>
        </is>
      </c>
      <c r="E148" t="inlineStr">
        <is>
          <t>【5個セット】ファブリーズ おそうじエイド ハウスダストをまとめて固めるスプレー 香料無添加 本体 370mL×5個セット P&amp;G 掃除用スプレー ハウスダスト対策 ダニのフン 花粉 ホコリ対策 無香料 清掃用品 掃除グッズ 家庭用 大容量 まとめ買い ストック 日用品</t>
        </is>
      </c>
      <c r="F148" t="n">
        <v>3980</v>
      </c>
      <c r="G148" t="n">
        <v>1425</v>
      </c>
      <c r="H148" t="n">
        <v>5</v>
      </c>
      <c r="I148">
        <f>SUM(G148*H148)</f>
        <v/>
      </c>
      <c r="J148" t="inlineStr">
        <is>
          <t>✓ 一致（SKU）</t>
        </is>
      </c>
      <c r="K148" t="inlineStr">
        <is>
          <t>4902430645041</t>
        </is>
      </c>
    </row>
    <row r="149">
      <c r="A149" s="27" t="inlineStr">
        <is>
          <t>4902430645027</t>
        </is>
      </c>
      <c r="B149" s="27" t="inlineStr">
        <is>
          <t>b098qfn95n</t>
        </is>
      </c>
      <c r="C149" s="27" t="inlineStr">
        <is>
          <t>5027/220</t>
        </is>
      </c>
      <c r="D149" s="27" t="inlineStr">
        <is>
          <t>b098qfn95n</t>
        </is>
      </c>
      <c r="E149" t="inlineStr">
        <is>
          <t>ファブリーズ おそうじエイド ハウスダストをまとめて固めるスプレー 洗い立てリネンの香り つめかえ 320ml 除菌 P&amp;Gジャパン スプレー</t>
        </is>
      </c>
      <c r="F149" t="n">
        <v>999</v>
      </c>
      <c r="G149" t="n">
        <v>220</v>
      </c>
      <c r="H149" t="n">
        <v>34</v>
      </c>
      <c r="I149">
        <f>SUM(G149*H149)</f>
        <v/>
      </c>
      <c r="J149" t="inlineStr">
        <is>
          <t>✓ 一致（SKU）</t>
        </is>
      </c>
      <c r="K149" t="inlineStr">
        <is>
          <t>4902430645027</t>
        </is>
      </c>
    </row>
    <row r="150">
      <c r="A150" s="27" t="inlineStr">
        <is>
          <t>4902430644914</t>
        </is>
      </c>
      <c r="B150" s="27" t="inlineStr">
        <is>
          <t>b098qhm24d</t>
        </is>
      </c>
      <c r="C150" s="27" t="inlineStr">
        <is>
          <t>4914/250</t>
        </is>
      </c>
      <c r="D150" s="27" t="inlineStr">
        <is>
          <t>b098qhm24d</t>
        </is>
      </c>
      <c r="E150" t="inlineStr">
        <is>
          <t>ファブリーズ おそうじエイド ハウスダストをまとめて固めるスプレー 香料無添加 つめかえ 320ml 除菌 P&amp;Gジャパン スプレー</t>
        </is>
      </c>
      <c r="F150" t="n">
        <v>999</v>
      </c>
      <c r="G150" t="n">
        <v>250</v>
      </c>
      <c r="H150" t="n">
        <v>76</v>
      </c>
      <c r="I150">
        <f>SUM(G150*H150)</f>
        <v/>
      </c>
      <c r="J150" t="inlineStr">
        <is>
          <t>✓ 一致（SKU）</t>
        </is>
      </c>
      <c r="K150" t="inlineStr">
        <is>
          <t>4902430644914</t>
        </is>
      </c>
    </row>
    <row r="151">
      <c r="A151" s="27" t="inlineStr">
        <is>
          <t>4902430644914</t>
        </is>
      </c>
      <c r="B151" s="27" t="inlineStr">
        <is>
          <t>b098qhm24d-3</t>
        </is>
      </c>
      <c r="C151" s="27" t="inlineStr">
        <is>
          <t>4902430644914-3</t>
        </is>
      </c>
      <c r="D151" s="27" t="inlineStr">
        <is>
          <t>B098QHM24D-3</t>
        </is>
      </c>
      <c r="E151" t="inlineStr">
        <is>
          <t>【3個セット】ファブリーズ おそうじエイド ハウスダストをまとめて固めるスプレー 香料無添加 詰め替え 320mL×3袋セット ハウスダスト 花粉 PM2.5 ペットの毛 ホコリ 布団 カーペット ソファ 消臭 除菌 掃除 詰替用 P&amp;G</t>
        </is>
      </c>
      <c r="F151" t="n">
        <v>2480</v>
      </c>
      <c r="G151" t="n">
        <v>750</v>
      </c>
      <c r="H151" t="n">
        <v>5</v>
      </c>
      <c r="I151">
        <f>SUM(G151*H151)</f>
        <v/>
      </c>
      <c r="J151" t="inlineStr">
        <is>
          <t>✓ 一致（SKU）</t>
        </is>
      </c>
      <c r="K151" t="inlineStr">
        <is>
          <t>4902430644914</t>
        </is>
      </c>
    </row>
    <row r="152">
      <c r="A152" s="27" t="inlineStr">
        <is>
          <t>0840080535111</t>
        </is>
      </c>
      <c r="B152" s="27" t="inlineStr">
        <is>
          <t>b09b2rlplv</t>
        </is>
      </c>
      <c r="C152" s="27" t="inlineStr">
        <is>
          <t>7480</t>
        </is>
      </c>
      <c r="D152" s="27" t="inlineStr">
        <is>
          <t>B09B2PF8S4</t>
        </is>
      </c>
      <c r="E152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F152" t="n">
        <v>10980</v>
      </c>
      <c r="G152" t="n">
        <v>7480</v>
      </c>
      <c r="H152" t="n">
        <v>8</v>
      </c>
      <c r="I152">
        <f>SUM(G152*H152)</f>
        <v/>
      </c>
    </row>
    <row r="153">
      <c r="A153" s="27" t="inlineStr">
        <is>
          <t>0840080537337</t>
        </is>
      </c>
      <c r="B153" s="27" t="inlineStr">
        <is>
          <t>b09b2rlplv</t>
        </is>
      </c>
      <c r="C153" s="27" t="inlineStr">
        <is>
          <t>7480</t>
        </is>
      </c>
      <c r="D153" s="27" t="inlineStr">
        <is>
          <t>B09B2RLPLV</t>
        </is>
      </c>
      <c r="E153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F153" t="n">
        <v>10980</v>
      </c>
      <c r="G153" t="n">
        <v>7480</v>
      </c>
      <c r="H153" t="n">
        <v>8</v>
      </c>
      <c r="I153">
        <f>SUM(G153*H153)</f>
        <v/>
      </c>
    </row>
    <row r="154">
      <c r="A154" s="27" t="inlineStr">
        <is>
          <t>0840080525952</t>
        </is>
      </c>
      <c r="B154" s="27" t="inlineStr">
        <is>
          <t>b09b2rlplv</t>
        </is>
      </c>
      <c r="C154" s="27" t="inlineStr">
        <is>
          <t>7480</t>
        </is>
      </c>
      <c r="D154" s="27" t="inlineStr">
        <is>
          <t>B09B2T3QBN</t>
        </is>
      </c>
      <c r="E154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F154" t="n">
        <v>10980</v>
      </c>
      <c r="G154" t="n">
        <v>7480</v>
      </c>
      <c r="H154" t="n">
        <v>9</v>
      </c>
      <c r="I154">
        <f>SUM(G154*H154)</f>
        <v/>
      </c>
    </row>
    <row r="155">
      <c r="A155" s="27" t="inlineStr">
        <is>
          <t>4987176032454</t>
        </is>
      </c>
      <c r="B155" s="27" t="inlineStr">
        <is>
          <t>b09dc7q6kl-1</t>
        </is>
      </c>
      <c r="C155" s="27" t="inlineStr">
        <is>
          <t>2454/6000</t>
        </is>
      </c>
      <c r="D155" s="27" t="inlineStr">
        <is>
          <t>B09DC7Q6KL-1</t>
        </is>
      </c>
      <c r="E155" t="inlineStr">
        <is>
          <t>【2個セット】ジレット フュージョン 電動タイプ 替刃 8コ入×2セット 合計16個 Gillette 髭剃り カミソリ 替え刃 シェーバー メンズシェービング 深剃り 剃刀 刃交換 ヒゲ剃り 男性用 カミソリ替刃 スキンガード 剃り味長持ち まとめ買い ストック 正規品 メンズ 男性 男</t>
        </is>
      </c>
      <c r="F155" t="n">
        <v>8980</v>
      </c>
      <c r="G155" t="n">
        <v>6000</v>
      </c>
      <c r="H155" t="n">
        <v>4</v>
      </c>
      <c r="I155">
        <f>SUM(G155*H155)</f>
        <v/>
      </c>
      <c r="J155" t="inlineStr">
        <is>
          <t>✓ 一致（SKU）</t>
        </is>
      </c>
      <c r="K155" t="inlineStr">
        <is>
          <t>4987176032454</t>
        </is>
      </c>
    </row>
    <row r="156">
      <c r="A156" s="27" t="inlineStr">
        <is>
          <t>4961310157685</t>
        </is>
      </c>
      <c r="B156" s="27" t="inlineStr">
        <is>
          <t>b09dl6dc59</t>
        </is>
      </c>
      <c r="C156" s="27" t="inlineStr">
        <is>
          <t>4961310157685</t>
        </is>
      </c>
      <c r="D156" s="27" t="inlineStr">
        <is>
          <t>b09dl6dc59</t>
        </is>
      </c>
      <c r="E156" t="inlineStr">
        <is>
          <t>オーディオテクニカ AT2020GM コンデンサーマイク XLR 動画配信 宅録 ポッドキャスト 実況 DTM ゲーミング ゲーム 【国内正規品】ガンメタリック</t>
        </is>
      </c>
      <c r="F156" t="n">
        <v>16480</v>
      </c>
      <c r="G156" t="n">
        <v>9980</v>
      </c>
      <c r="H156" t="n">
        <v>8</v>
      </c>
      <c r="I156">
        <f>SUM(G156*H156)</f>
        <v/>
      </c>
      <c r="J156" t="inlineStr">
        <is>
          <t>✓ 一致（SKU）</t>
        </is>
      </c>
      <c r="K156" t="inlineStr">
        <is>
          <t>4961310157685</t>
        </is>
      </c>
    </row>
    <row r="157">
      <c r="A157" s="27" t="inlineStr">
        <is>
          <t>4571390307698</t>
        </is>
      </c>
      <c r="B157" s="27" t="inlineStr">
        <is>
          <t>b09gvt2ls1</t>
        </is>
      </c>
      <c r="C157" s="27" t="inlineStr">
        <is>
          <t>4571390307698</t>
        </is>
      </c>
      <c r="D157" s="27" t="inlineStr">
        <is>
          <t>B09GVT2LS1</t>
        </is>
      </c>
      <c r="E157" t="inlineStr">
        <is>
          <t>ソウイジャパン 本格コーヒー生豆焙煎機 SOUYI コーヒー焙煎機(微調整機能付き) SY-121N コーヒー コンパクト 家庭用</t>
        </is>
      </c>
      <c r="F157" t="n">
        <v>23980</v>
      </c>
      <c r="G157" t="n">
        <v>16700</v>
      </c>
      <c r="H157" t="n">
        <v>6</v>
      </c>
      <c r="I157">
        <f>SUM(G157*H157)</f>
        <v/>
      </c>
    </row>
    <row r="158">
      <c r="A158" s="27" t="inlineStr">
        <is>
          <t>4550207690475</t>
        </is>
      </c>
      <c r="B158" s="27" t="inlineStr">
        <is>
          <t>b09jbyt2cz</t>
        </is>
      </c>
      <c r="C158" s="27" t="inlineStr">
        <is>
          <t>0475/1285</t>
        </is>
      </c>
      <c r="D158" s="27" t="inlineStr">
        <is>
          <t>b09jbyt2cz</t>
        </is>
      </c>
      <c r="E158" t="inlineStr">
        <is>
          <t>Speedo スピード Mariner Pro マリナープロ SE02201 ブルー スイミングゴーグル フィットネスゴーグル 水泳用ゴーグル UVカット 曇り止め 調節可能ノーズブリッジ シリコーンストラップ プール ジム 水中ウォーキング アクアエクササイズ ユニセックス ONE SIZE</t>
        </is>
      </c>
      <c r="F158" t="n">
        <v>2980</v>
      </c>
      <c r="G158" t="n">
        <v>1285</v>
      </c>
      <c r="H158" t="n">
        <v>8</v>
      </c>
      <c r="I158">
        <f>SUM(G158*H158)</f>
        <v/>
      </c>
      <c r="J158" t="inlineStr">
        <is>
          <t>✓ 一致（SKU）</t>
        </is>
      </c>
      <c r="K158" t="inlineStr">
        <is>
          <t>4550207690475</t>
        </is>
      </c>
    </row>
    <row r="159">
      <c r="A159" s="27" t="inlineStr">
        <is>
          <t>4901008314679</t>
        </is>
      </c>
      <c r="B159" s="27" t="inlineStr">
        <is>
          <t>b09ltnc8bs</t>
        </is>
      </c>
      <c r="C159" s="27" t="inlineStr">
        <is>
          <t>4679/328</t>
        </is>
      </c>
      <c r="D159" s="27" t="inlineStr">
        <is>
          <t>b09ltnc8bs</t>
        </is>
      </c>
      <c r="E159" t="inlineStr">
        <is>
          <t>CANMAKE キャンメイク プランプリップケアスクラブ 03 みかんイエロー 角質ケア 保湿 唇</t>
        </is>
      </c>
      <c r="F159" t="n">
        <v>999</v>
      </c>
      <c r="G159" t="n">
        <v>328</v>
      </c>
      <c r="H159" t="n">
        <v>2</v>
      </c>
      <c r="I159">
        <f>SUM(G159*H159)</f>
        <v/>
      </c>
      <c r="J159" t="inlineStr">
        <is>
          <t>✓ 一致（SKU）</t>
        </is>
      </c>
      <c r="K159" t="inlineStr">
        <is>
          <t>4901008314679</t>
        </is>
      </c>
    </row>
    <row r="160">
      <c r="A160" s="27" t="inlineStr">
        <is>
          <t>0078332582495</t>
        </is>
      </c>
      <c r="B160" s="27" t="inlineStr">
        <is>
          <t>b09mj5g5z7</t>
        </is>
      </c>
      <c r="C160" s="27" t="inlineStr">
        <is>
          <t>4949,2495/7500</t>
        </is>
      </c>
      <c r="D160" s="27" t="inlineStr">
        <is>
          <t>B09MJ4L9NG</t>
        </is>
      </c>
      <c r="E160" t="inlineStr">
        <is>
          <t>SkyPAD Glass 3.0 XL ゲーミング マウスパッド クラウド ロゴ付き ブラック ホワイト プロフェッショナル大型マウスマット 400 x 500mm 精度と速度が向上した特殊なガラス表面</t>
        </is>
      </c>
      <c r="F160" t="n">
        <v>16500</v>
      </c>
      <c r="G160" t="n">
        <v>7500</v>
      </c>
      <c r="H160" t="n">
        <v>2</v>
      </c>
      <c r="I160">
        <f>SUM(G160*H160)</f>
        <v/>
      </c>
    </row>
    <row r="161">
      <c r="A161" s="27" t="inlineStr">
        <is>
          <t>0783325824949</t>
        </is>
      </c>
      <c r="B161" s="27" t="inlineStr">
        <is>
          <t>b09mj5g5z7</t>
        </is>
      </c>
      <c r="C161" s="27" t="inlineStr">
        <is>
          <t>4949,2495/7500</t>
        </is>
      </c>
      <c r="D161" s="27" t="inlineStr">
        <is>
          <t>B09MJ5G5Z7</t>
        </is>
      </c>
      <c r="E161" t="inlineStr">
        <is>
          <t>SkyPAD Glass 3.0 XL ゲーミング マウスパッド クラウド ロゴ付き ブラック ホワイト プロフェッショナル大型マウスマット 400 x 500mm 精度と速度が向上した特殊なガラス表面</t>
        </is>
      </c>
      <c r="F161" t="n">
        <v>16500</v>
      </c>
      <c r="G161" t="n">
        <v>7500</v>
      </c>
      <c r="H161" t="n">
        <v>0</v>
      </c>
      <c r="I161">
        <f>SUM(G161*H161)</f>
        <v/>
      </c>
    </row>
    <row r="162">
      <c r="A162" s="27" t="inlineStr">
        <is>
          <t>4987241173242</t>
        </is>
      </c>
      <c r="B162" s="27" t="inlineStr">
        <is>
          <t>b09py4134y</t>
        </is>
      </c>
      <c r="C162" s="27" t="inlineStr">
        <is>
          <t>3242/2935</t>
        </is>
      </c>
      <c r="D162" s="27" t="inlineStr">
        <is>
          <t>b09py4134y</t>
        </is>
      </c>
      <c r="E162" t="inlineStr">
        <is>
          <t>メラノCC ディープクリア酵素洗顔 130g×5個セット 酵素洗顔 洗顔フォーム 毛穴ケア ビタミンC配合 酵素配合 クレイ配合 角栓 黒ずみ 毛穴汚れ くすみ対策 透明感 うるおい洗顔 柑橘系 日本製 ロート製薬 まとめ買い</t>
        </is>
      </c>
      <c r="F162" t="n">
        <v>3980</v>
      </c>
      <c r="G162" t="n">
        <v>2935</v>
      </c>
      <c r="H162" t="n">
        <v>12</v>
      </c>
      <c r="I162">
        <f>SUM(G162*H162)</f>
        <v/>
      </c>
      <c r="J162" t="inlineStr">
        <is>
          <t>✓ 一致（SKU）</t>
        </is>
      </c>
      <c r="K162" t="inlineStr">
        <is>
          <t>4987241173242</t>
        </is>
      </c>
    </row>
    <row r="163">
      <c r="A163" s="27" t="inlineStr">
        <is>
          <t>4901070761005</t>
        </is>
      </c>
      <c r="B163" s="27" t="inlineStr">
        <is>
          <t>b09qpnzlss</t>
        </is>
      </c>
      <c r="C163" s="27" t="inlineStr">
        <is>
          <t>1005/1348</t>
        </is>
      </c>
      <c r="D163" s="27" t="inlineStr">
        <is>
          <t>b09qpnzlss</t>
        </is>
      </c>
      <c r="E163" t="inlineStr">
        <is>
          <t>ファミリー ニトリルゴム 極うす手 M ホワイト 50枚×2個セット 内側粉なし 使い捨て手袋 左右両用タイプ 調理 掃除 ガーデニング 介護 毛染め DIY ニトリル手袋 使い捨て</t>
        </is>
      </c>
      <c r="F163" t="n">
        <v>2480</v>
      </c>
      <c r="G163" t="n">
        <v>1348</v>
      </c>
      <c r="H163" t="n">
        <v>12</v>
      </c>
      <c r="I163">
        <f>SUM(G163*H163)</f>
        <v/>
      </c>
      <c r="J163" t="inlineStr">
        <is>
          <t>✓ 一致（SKU）</t>
        </is>
      </c>
      <c r="K163" t="inlineStr">
        <is>
          <t>4901070761005</t>
        </is>
      </c>
    </row>
    <row r="164">
      <c r="A164" s="27" t="inlineStr">
        <is>
          <t>4902407024985</t>
        </is>
      </c>
      <c r="B164" s="27" t="inlineStr">
        <is>
          <t>b09tdl4t6v</t>
        </is>
      </c>
      <c r="C164" s="27" t="inlineStr">
        <is>
          <t>4985/725</t>
        </is>
      </c>
      <c r="D164" s="27" t="inlineStr">
        <is>
          <t>b09tdl4t6v</t>
        </is>
      </c>
      <c r="E164" t="inlineStr">
        <is>
          <t>アイスノン やわらかフィット すみっコぐらし 氷枕 大人用 白元アース 暑さ対策 熱中症対策 対策</t>
        </is>
      </c>
      <c r="F164" t="n">
        <v>1980</v>
      </c>
      <c r="G164" t="n">
        <v>725</v>
      </c>
      <c r="H164" t="n">
        <v>12</v>
      </c>
      <c r="I164">
        <f>SUM(G164*H164)</f>
        <v/>
      </c>
      <c r="J164" t="inlineStr">
        <is>
          <t>✓ 一致（SKU）</t>
        </is>
      </c>
      <c r="K164" t="inlineStr">
        <is>
          <t>4902407024985</t>
        </is>
      </c>
    </row>
    <row r="165">
      <c r="A165" s="27" t="inlineStr">
        <is>
          <t>4573177597704</t>
        </is>
      </c>
      <c r="B165" s="27" t="inlineStr">
        <is>
          <t>b09wxwcrp4</t>
        </is>
      </c>
      <c r="C165" s="27" t="inlineStr">
        <is>
          <t>7704/895</t>
        </is>
      </c>
      <c r="D165" s="27" t="inlineStr">
        <is>
          <t>b09wxwcrp4</t>
        </is>
      </c>
      <c r="E165" t="inlineStr">
        <is>
          <t>レック(LEC) 熱中レスキュー 激冷えくん ボディクールシート 鬼クールタイプ (20枚ｘ2P) ×5個セット メントールでひんやり冷感</t>
        </is>
      </c>
      <c r="F165" t="n">
        <v>2480</v>
      </c>
      <c r="G165" t="n">
        <v>895</v>
      </c>
      <c r="H165" t="n">
        <v>4</v>
      </c>
      <c r="I165">
        <f>SUM(G165*H165)</f>
        <v/>
      </c>
      <c r="J165" t="inlineStr">
        <is>
          <t>✓ 一致（SKU）</t>
        </is>
      </c>
      <c r="K165" t="inlineStr">
        <is>
          <t>4573177597704</t>
        </is>
      </c>
    </row>
    <row r="166">
      <c r="A166" s="27" t="inlineStr">
        <is>
          <t>4582521683475</t>
        </is>
      </c>
      <c r="B166" s="27" t="inlineStr">
        <is>
          <t>b09xglsws2</t>
        </is>
      </c>
      <c r="C166" s="27" t="inlineStr">
        <is>
          <t>3475/1460</t>
        </is>
      </c>
      <c r="D166" s="27" t="inlineStr">
        <is>
          <t>B09XGLSWS2</t>
        </is>
      </c>
      <c r="E166" t="inlineStr">
        <is>
          <t>YOLU ヨル シャンプー トリートメント セット 詰め替え 2点セット リラックスナイトリペア ダメージケア ケア スリークナイトケア処方</t>
        </is>
      </c>
      <c r="F166" t="n">
        <v>2480</v>
      </c>
      <c r="G166" t="n">
        <v>1460</v>
      </c>
      <c r="H166" t="n">
        <v>4</v>
      </c>
      <c r="I166">
        <f>SUM(G166*H166)</f>
        <v/>
      </c>
      <c r="J166" t="inlineStr">
        <is>
          <t>✓ 一致（SKU）</t>
        </is>
      </c>
      <c r="K166" t="inlineStr">
        <is>
          <t>4582521683475</t>
        </is>
      </c>
    </row>
    <row r="167">
      <c r="A167" s="27" t="inlineStr">
        <is>
          <t>4582521683475</t>
        </is>
      </c>
      <c r="B167" s="27" t="inlineStr">
        <is>
          <t>b09xglsws2-1</t>
        </is>
      </c>
      <c r="C167" s="27" t="inlineStr">
        <is>
          <t>3475/730</t>
        </is>
      </c>
      <c r="D167" s="27" t="inlineStr">
        <is>
          <t>B09XGLSWS2-1</t>
        </is>
      </c>
      <c r="E167" t="inlineStr">
        <is>
          <t>YOLU ヨル シャンプー 詰め替え リラックスナイトリペア ダメージケア ケア スリークナイトケア処方</t>
        </is>
      </c>
      <c r="F167" t="n">
        <v>1480</v>
      </c>
      <c r="G167" t="n">
        <v>730</v>
      </c>
      <c r="H167" t="n">
        <v>17</v>
      </c>
      <c r="I167">
        <f>SUM(G167*H167)</f>
        <v/>
      </c>
      <c r="J167" t="inlineStr">
        <is>
          <t>✓ 一致（SKU）</t>
        </is>
      </c>
      <c r="K167" t="inlineStr">
        <is>
          <t>4582521683475</t>
        </is>
      </c>
    </row>
    <row r="168">
      <c r="A168" s="27" t="inlineStr">
        <is>
          <t>0840268981389</t>
        </is>
      </c>
      <c r="B168" s="27" t="inlineStr">
        <is>
          <t>b09zx764zl</t>
        </is>
      </c>
      <c r="C168" s="27" t="inlineStr">
        <is>
          <t>2034,1389,6508,7410/2980</t>
        </is>
      </c>
      <c r="D168" s="27" t="inlineStr">
        <is>
          <t>B09WX3PJ3X</t>
        </is>
      </c>
      <c r="E168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F168" t="n">
        <v>5280</v>
      </c>
      <c r="G168" t="n">
        <v>2980</v>
      </c>
      <c r="H168" t="n">
        <v>0</v>
      </c>
      <c r="I168">
        <f>SUM(G168*H168)</f>
        <v/>
      </c>
    </row>
    <row r="169">
      <c r="A169" s="27" t="inlineStr">
        <is>
          <t>0840268966508</t>
        </is>
      </c>
      <c r="B169" s="27" t="inlineStr">
        <is>
          <t>b09zx764zl</t>
        </is>
      </c>
      <c r="C169" s="27" t="inlineStr">
        <is>
          <t>2034,1389,6508,7410/2980</t>
        </is>
      </c>
      <c r="D169" s="27" t="inlineStr">
        <is>
          <t>B09ZX3BJQV</t>
        </is>
      </c>
      <c r="E169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F169" t="n">
        <v>5480</v>
      </c>
      <c r="G169" t="n">
        <v>2980</v>
      </c>
      <c r="H169" t="n">
        <v>0</v>
      </c>
      <c r="I169">
        <f>SUM(G169*H169)</f>
        <v/>
      </c>
      <c r="J169" t="inlineStr">
        <is>
          <t>✓ 一致（SKU）</t>
        </is>
      </c>
      <c r="K169" t="inlineStr">
        <is>
          <t>0840268966508</t>
        </is>
      </c>
    </row>
    <row r="170">
      <c r="A170" s="27" t="inlineStr">
        <is>
          <t>0840268982034</t>
        </is>
      </c>
      <c r="B170" s="27" t="inlineStr">
        <is>
          <t>b09zx764zl</t>
        </is>
      </c>
      <c r="C170" s="27" t="inlineStr">
        <is>
          <t>2034,1389,6508,7410/2980</t>
        </is>
      </c>
      <c r="D170" s="27" t="inlineStr">
        <is>
          <t>B09ZX764ZL</t>
        </is>
      </c>
      <c r="E170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F170" t="n">
        <v>5280</v>
      </c>
      <c r="G170" t="n">
        <v>2980</v>
      </c>
      <c r="H170" t="n">
        <v>0</v>
      </c>
      <c r="I170">
        <f>SUM(G170*H170)</f>
        <v/>
      </c>
    </row>
    <row r="171">
      <c r="A171" s="27" t="inlineStr">
        <is>
          <t>0840268997410</t>
        </is>
      </c>
      <c r="B171" s="27" t="inlineStr">
        <is>
          <t>b09zx764zl</t>
        </is>
      </c>
      <c r="C171" s="27" t="inlineStr">
        <is>
          <t>2034,1389,6508,7410/2980</t>
        </is>
      </c>
      <c r="D171" s="27" t="inlineStr">
        <is>
          <t>B09ZXFLZ74</t>
        </is>
      </c>
      <c r="E171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F171" t="n">
        <v>5280</v>
      </c>
      <c r="G171" t="n">
        <v>2980</v>
      </c>
      <c r="H171" t="n">
        <v>0</v>
      </c>
      <c r="I171">
        <f>SUM(G171*H171)</f>
        <v/>
      </c>
    </row>
    <row r="172">
      <c r="A172" s="27" t="inlineStr">
        <is>
          <t>0194644104542</t>
        </is>
      </c>
      <c r="B172" s="27" t="inlineStr">
        <is>
          <t>b0b4h3d98m</t>
        </is>
      </c>
      <c r="C172" s="27" t="inlineStr">
        <is>
          <t>0194644104542</t>
        </is>
      </c>
      <c r="D172" s="27" t="inlineStr">
        <is>
          <t>b0b4h3d98m</t>
        </is>
      </c>
      <c r="E172" t="inlineStr">
        <is>
          <t>Anker 622 Magnetic Battery MagGo ブラック アップグレード版 マグネット式ワイヤレス充電対応 5000mAh コンパクト モバイルバッテリー マグネット式 ワイヤレス出力 (7.5W) USB-Cポート入出力 PSE技術基準適合 iPhone</t>
        </is>
      </c>
      <c r="F172" t="n">
        <v>7980</v>
      </c>
      <c r="G172" t="n">
        <v>3490</v>
      </c>
      <c r="H172" t="n">
        <v>6</v>
      </c>
      <c r="I172">
        <f>SUM(G172*H172)</f>
        <v/>
      </c>
      <c r="J172" t="inlineStr">
        <is>
          <t>✓ 一致（SKU）</t>
        </is>
      </c>
      <c r="K172" t="inlineStr">
        <is>
          <t>0194644104542</t>
        </is>
      </c>
    </row>
    <row r="173">
      <c r="A173" s="27" t="inlineStr">
        <is>
          <t>4902806121476</t>
        </is>
      </c>
      <c r="B173" s="27" t="inlineStr">
        <is>
          <t>b0b7gz7p5h</t>
        </is>
      </c>
      <c r="C173" s="27" t="inlineStr">
        <is>
          <t>1476/990</t>
        </is>
      </c>
      <c r="D173" s="27" t="inlineStr">
        <is>
          <t>b0b7gz7p5h</t>
        </is>
      </c>
      <c r="E173" t="inlineStr">
        <is>
          <t>Bifesta(ビフェスタ) クレンジングバーム ブライトアップ [ くすみケア 摩擦レス ] メイク落とし 洗顔 角質ケア マッサージ 保湿ケア</t>
        </is>
      </c>
      <c r="F173" t="n">
        <v>1980</v>
      </c>
      <c r="G173" t="n">
        <v>990</v>
      </c>
      <c r="H173" t="n">
        <v>2</v>
      </c>
      <c r="I173">
        <f>SUM(G173*H173)</f>
        <v/>
      </c>
      <c r="J173" t="inlineStr">
        <is>
          <t>✓ 一致（SKU）</t>
        </is>
      </c>
      <c r="K173" t="inlineStr">
        <is>
          <t>4902806121476</t>
        </is>
      </c>
    </row>
    <row r="174">
      <c r="A174" s="27" t="inlineStr">
        <is>
          <t>0194644108953</t>
        </is>
      </c>
      <c r="B174" s="27" t="inlineStr">
        <is>
          <t>b0bb1pfcs3</t>
        </is>
      </c>
      <c r="C174" s="27" t="inlineStr">
        <is>
          <t>251218/10490</t>
        </is>
      </c>
      <c r="D174" s="27" t="inlineStr">
        <is>
          <t>b0bb1pfcs3</t>
        </is>
      </c>
      <c r="E174" t="inlineStr">
        <is>
          <t>Anker Soundcore Liberty 4 ワイヤレスイヤホン Bluetooth 5.3 ミッドナイトブラック 完全ワイヤレスイヤホン ウルトラノイズキャンセリング 2.0 3Dオーディオ ワイヤレス充電 マルチポイント接続 外音取り込み 最大28時間再生 ハイレゾ IPX4防水規格 ヘルスモニタリング</t>
        </is>
      </c>
      <c r="F174" t="n">
        <v>14980</v>
      </c>
      <c r="G174" t="n">
        <v>10490</v>
      </c>
      <c r="H174" t="n">
        <v>15</v>
      </c>
      <c r="I174">
        <f>SUM(G174*H174)</f>
        <v/>
      </c>
    </row>
    <row r="175">
      <c r="A175" s="27" t="inlineStr">
        <is>
          <t>4976558003564</t>
        </is>
      </c>
      <c r="B175" s="27" t="inlineStr">
        <is>
          <t>b0bd42lkyk</t>
        </is>
      </c>
      <c r="C175" s="27" t="inlineStr">
        <is>
          <t>3564/605</t>
        </is>
      </c>
      <c r="D175" s="27" t="inlineStr">
        <is>
          <t>b0bd42lkyk</t>
        </is>
      </c>
      <c r="E175" t="inlineStr">
        <is>
          <t>匠のAG+抗菌耳かき綿棒 50本入×5個セット 綿棒 ケア 耳掃除 個包装</t>
        </is>
      </c>
      <c r="F175" t="n">
        <v>1980</v>
      </c>
      <c r="G175" t="n">
        <v>605</v>
      </c>
      <c r="H175" t="n">
        <v>3</v>
      </c>
      <c r="I175">
        <f>SUM(G175*H175)</f>
        <v/>
      </c>
      <c r="J175" t="inlineStr">
        <is>
          <t>✓ 一致（SKU）</t>
        </is>
      </c>
      <c r="K175" t="inlineStr">
        <is>
          <t>4976558003564</t>
        </is>
      </c>
    </row>
    <row r="176">
      <c r="A176" s="27" t="inlineStr">
        <is>
          <t>4936201106424</t>
        </is>
      </c>
      <c r="B176" s="27" t="inlineStr">
        <is>
          <t>b0bgs64g46</t>
        </is>
      </c>
      <c r="C176" s="27" t="inlineStr">
        <is>
          <t>6424/1654</t>
        </is>
      </c>
      <c r="D176" s="27" t="inlineStr">
        <is>
          <t>b0bgs64g46</t>
        </is>
      </c>
      <c r="E176" t="inlineStr">
        <is>
          <t>コスメテックスローランド 柑橘王子 ピーリングジェルSP 230ml×2本 ピーリングジェル 角質ケア 毛穴ケア 洗顔 角質除去 さっぱり</t>
        </is>
      </c>
      <c r="F176" t="n">
        <v>2780</v>
      </c>
      <c r="G176" t="n">
        <v>1654</v>
      </c>
      <c r="H176" t="n">
        <v>2</v>
      </c>
      <c r="I176">
        <f>SUM(G176*H176)</f>
        <v/>
      </c>
    </row>
    <row r="177">
      <c r="A177" s="27" t="inlineStr">
        <is>
          <t>4904710434345</t>
        </is>
      </c>
      <c r="B177" s="27" t="inlineStr">
        <is>
          <t>b0bj93nj2k</t>
        </is>
      </c>
      <c r="C177" s="27" t="inlineStr">
        <is>
          <t>4904710434345</t>
        </is>
      </c>
      <c r="D177" s="27" t="inlineStr">
        <is>
          <t>B0BJ93NJ2K</t>
        </is>
      </c>
      <c r="E177" t="inlineStr">
        <is>
          <t>タイガー 5.5合炊き 可変W圧力IHジャー炊飯器 炊きたて ご泡火炊き JPI-S100-KT ブラック 国産</t>
        </is>
      </c>
      <c r="F177" t="n">
        <v>39800</v>
      </c>
      <c r="G177" t="n">
        <v>34800</v>
      </c>
      <c r="H177" t="n">
        <v>2</v>
      </c>
      <c r="I177">
        <f>SUM(G177*H177)</f>
        <v/>
      </c>
    </row>
    <row r="178">
      <c r="A178" s="27" t="inlineStr">
        <is>
          <t>0194644114398</t>
        </is>
      </c>
      <c r="B178" s="27" t="inlineStr">
        <is>
          <t>b0bjcqcq7z</t>
        </is>
      </c>
      <c r="C178" s="27" t="inlineStr">
        <is>
          <t>4398/2345</t>
        </is>
      </c>
      <c r="D178" s="27" t="inlineStr">
        <is>
          <t>b0bjcqcq7z</t>
        </is>
      </c>
      <c r="E178" t="inlineStr">
        <is>
          <t>Anker Eufy Security SmartTrack Card 紛失防止タグ Apple 探す対応 iPhone用 スマートタグ カード型 薄型 財布用 忘れ物防止 盗難防止 置き忘れ防止 Bluetooth トラッカー 探し物 スマホを探す GPS 財布 紛失対策 軽量 コンパクト ユーフィ AirTag代用 持ち物管理 ブラック</t>
        </is>
      </c>
      <c r="F178" t="n">
        <v>3980</v>
      </c>
      <c r="G178" t="n">
        <v>2345</v>
      </c>
      <c r="H178" t="n">
        <v>1</v>
      </c>
      <c r="I178">
        <f>SUM(G178*H178)</f>
        <v/>
      </c>
      <c r="J178" t="inlineStr">
        <is>
          <t>✓ 一致（SKU）</t>
        </is>
      </c>
      <c r="K178" t="inlineStr">
        <is>
          <t>0194644114398</t>
        </is>
      </c>
    </row>
    <row r="179">
      <c r="A179" s="27" t="inlineStr">
        <is>
          <t>0194644114398</t>
        </is>
      </c>
      <c r="B179" s="27" t="inlineStr">
        <is>
          <t>b0bjcqcq7z-1</t>
        </is>
      </c>
      <c r="C179" s="27" t="inlineStr">
        <is>
          <t>4398/4690</t>
        </is>
      </c>
      <c r="D179" s="27" t="inlineStr">
        <is>
          <t>B0BJCQCQ7Z-1</t>
        </is>
      </c>
      <c r="E179" t="inlineStr">
        <is>
          <t>Anker Eufy Security SmartTrack Card 2枚セット 紛失防止タグ Apple 探す対応 iPhone用 スマートタグ カード型 薄型 財布用 忘れ物防止 盗難防止 置き忘れ防止 Bluetooth トラッカー 探し物 スマホを探す 財布 紛失対策 軽量 コンパクト AirTag代用 持ち物管理 ブラック</t>
        </is>
      </c>
      <c r="F179" t="n">
        <v>9480</v>
      </c>
      <c r="G179" t="n">
        <v>4690</v>
      </c>
      <c r="H179" t="n">
        <v>6</v>
      </c>
      <c r="I179">
        <f>SUM(G179*H179)</f>
        <v/>
      </c>
      <c r="J179" t="inlineStr">
        <is>
          <t>✓ 一致（SKU）</t>
        </is>
      </c>
      <c r="K179" t="inlineStr">
        <is>
          <t>0194644114398</t>
        </is>
      </c>
    </row>
    <row r="180">
      <c r="A180" s="27" t="inlineStr">
        <is>
          <t>4901422361211</t>
        </is>
      </c>
      <c r="B180" s="27" t="inlineStr">
        <is>
          <t>b0bjvwq6lg</t>
        </is>
      </c>
      <c r="C180" s="27" t="inlineStr">
        <is>
          <t>1211/439</t>
        </is>
      </c>
      <c r="D180" s="27" t="inlineStr">
        <is>
          <t>b0bjvwq6lg</t>
        </is>
      </c>
      <c r="E180" t="inlineStr">
        <is>
          <t>ダストマン 兼用 30枚×3個セット スタンド 三角コーナー 水切り ゴミ袋</t>
        </is>
      </c>
      <c r="F180" t="n">
        <v>1280</v>
      </c>
      <c r="G180" t="n">
        <v>439</v>
      </c>
      <c r="H180" t="n">
        <v>2</v>
      </c>
      <c r="I180">
        <f>SUM(G180*H180)</f>
        <v/>
      </c>
    </row>
    <row r="181">
      <c r="A181" s="27" t="inlineStr">
        <is>
          <t>8806173478880</t>
        </is>
      </c>
      <c r="B181" s="27" t="inlineStr">
        <is>
          <t>b0bl26m3s6</t>
        </is>
      </c>
      <c r="C181" s="27" t="inlineStr">
        <is>
          <t>8880/1287</t>
        </is>
      </c>
      <c r="D181" s="27" t="inlineStr">
        <is>
          <t>b0bl26m3s6</t>
        </is>
      </c>
      <c r="E181" t="inlineStr">
        <is>
          <t>【正規品】Nature Republic (ネイチャーリパブリック) マイルド&amp;モイスチャーアロエビッグトナー 500ml 大容量 菌活化粧水 とろみテクスチャー</t>
        </is>
      </c>
      <c r="F181" t="n">
        <v>2980</v>
      </c>
      <c r="G181" t="n">
        <v>1287</v>
      </c>
      <c r="H181" t="n">
        <v>77</v>
      </c>
      <c r="I181">
        <f>SUM(G181*H181)</f>
        <v/>
      </c>
    </row>
    <row r="182">
      <c r="A182" s="27" t="inlineStr">
        <is>
          <t>0840268945213</t>
        </is>
      </c>
      <c r="B182" s="27" t="inlineStr">
        <is>
          <t>b0bls11y97</t>
        </is>
      </c>
      <c r="C182" s="27" t="inlineStr">
        <is>
          <t>4852/5990</t>
        </is>
      </c>
      <c r="D182" s="27" t="inlineStr">
        <is>
          <t>B09HSP95NG</t>
        </is>
      </c>
      <c r="E182" t="inlineStr">
        <is>
          <t>アマゾン Ring Stick Up Cam Battery (リング スティックアップカム バッテリーモデル) カメラ 防犯 監視カメラ セキュリティーカメラ</t>
        </is>
      </c>
      <c r="F182" t="n">
        <v>9980</v>
      </c>
      <c r="G182" t="n">
        <v>5990</v>
      </c>
      <c r="H182" t="n">
        <v>3</v>
      </c>
      <c r="I182">
        <f>SUM(G182*H182)</f>
        <v/>
      </c>
      <c r="J182" t="inlineStr">
        <is>
          <t>✓ 一致（SKU）</t>
        </is>
      </c>
      <c r="K182" t="inlineStr">
        <is>
          <t>0840268945213</t>
        </is>
      </c>
    </row>
    <row r="183">
      <c r="A183" s="27" t="inlineStr">
        <is>
          <t>0840268991722</t>
        </is>
      </c>
      <c r="B183" s="27" t="inlineStr">
        <is>
          <t>b0bls11y97</t>
        </is>
      </c>
      <c r="C183" s="27" t="inlineStr">
        <is>
          <t>4852/5990</t>
        </is>
      </c>
      <c r="D183" s="27" t="inlineStr">
        <is>
          <t>B0BLS11Y97</t>
        </is>
      </c>
      <c r="E183" t="inlineStr">
        <is>
          <t>アマゾン Ring Stick Up Cam Battery (リング スティックアップカム バッテリーモデル) カメラ 防犯 監視カメラ セキュリティーカメラ</t>
        </is>
      </c>
      <c r="F183" t="n">
        <v>9980</v>
      </c>
      <c r="G183" t="n">
        <v>5990</v>
      </c>
      <c r="H183" t="n">
        <v>3</v>
      </c>
      <c r="I183">
        <f>SUM(G183*H183)</f>
        <v/>
      </c>
      <c r="J183" t="inlineStr">
        <is>
          <t>✓ 一致（SKU）</t>
        </is>
      </c>
      <c r="K183" t="inlineStr">
        <is>
          <t>0840268991722</t>
        </is>
      </c>
    </row>
    <row r="184">
      <c r="A184" s="27" t="inlineStr">
        <is>
          <t>4562201211877</t>
        </is>
      </c>
      <c r="B184" s="27" t="inlineStr">
        <is>
          <t>b0bls3hvdz</t>
        </is>
      </c>
      <c r="C184" s="27" t="inlineStr">
        <is>
          <t>1877/23979</t>
        </is>
      </c>
      <c r="D184" s="27" t="inlineStr">
        <is>
          <t>b0bls3hvdz</t>
        </is>
      </c>
      <c r="E184" t="inlineStr">
        <is>
          <t>ShotNavi Evolve PRO(ショットナビ) ブラック 大画面カラー液晶 最新GPSチップ「M10」 ゴルフ</t>
        </is>
      </c>
      <c r="F184" t="n">
        <v>32980</v>
      </c>
      <c r="G184" t="n">
        <v>19800</v>
      </c>
      <c r="H184" t="n">
        <v>3</v>
      </c>
      <c r="I184">
        <f>SUM(G184*H184)</f>
        <v/>
      </c>
      <c r="J184" t="inlineStr">
        <is>
          <t>✓ 一致（SKU）</t>
        </is>
      </c>
      <c r="K184" t="inlineStr">
        <is>
          <t>4562201211877</t>
        </is>
      </c>
    </row>
    <row r="185">
      <c r="A185" s="27" t="inlineStr">
        <is>
          <t>4895252500868</t>
        </is>
      </c>
      <c r="B185" s="27" t="inlineStr">
        <is>
          <t>b0bls9fnwh</t>
        </is>
      </c>
      <c r="C185" s="27" t="inlineStr">
        <is>
          <t>0868/10990</t>
        </is>
      </c>
      <c r="D185" s="27" t="inlineStr">
        <is>
          <t>b0bls9fnwh</t>
        </is>
      </c>
      <c r="E185" t="inlineStr">
        <is>
          <t>TP-Link WiFi ルーター 無線LAN WiFi6 11AX AX6000 4804 + 1148Mbps 2.5Gbps Archer AX80/A 縦型 縦型 IPv6 IPoE VPN OneMesh 対応</t>
        </is>
      </c>
      <c r="F185" t="n">
        <v>15480</v>
      </c>
      <c r="G185" t="n">
        <v>10990</v>
      </c>
      <c r="H185" t="n">
        <v>5</v>
      </c>
      <c r="I185">
        <f>SUM(G185*H185)</f>
        <v/>
      </c>
      <c r="J185" t="inlineStr">
        <is>
          <t>✓ 一致（SKU）</t>
        </is>
      </c>
      <c r="K185" t="inlineStr">
        <is>
          <t>4895252500868</t>
        </is>
      </c>
    </row>
    <row r="186">
      <c r="A186" s="27" t="inlineStr">
        <is>
          <t>9000326168003</t>
        </is>
      </c>
      <c r="B186" s="27" t="inlineStr">
        <is>
          <t>b0bltqq367</t>
        </is>
      </c>
      <c r="C186" s="27" t="inlineStr">
        <is>
          <t>4901133415722-6</t>
        </is>
      </c>
      <c r="D186" s="27" t="inlineStr">
        <is>
          <t>b0bltqq367</t>
        </is>
      </c>
      <c r="E186" t="inlineStr">
        <is>
          <t>いなば チャオ(CIAO)ちゅ～るごはん とりささみ 総合栄養食 14g×4P ６袋セット 猫 猫用 おやつ 国産 液状 キャットフード 人気 グレインフリー</t>
        </is>
      </c>
      <c r="F186" t="n">
        <v>1780</v>
      </c>
      <c r="G186" t="n">
        <v>970</v>
      </c>
      <c r="H186" t="n">
        <v>9</v>
      </c>
      <c r="I186">
        <f>SUM(G186*H186)</f>
        <v/>
      </c>
      <c r="J186" t="inlineStr">
        <is>
          <t>✓ 一致（SKU）</t>
        </is>
      </c>
      <c r="K186" t="inlineStr">
        <is>
          <t>9000326168003</t>
        </is>
      </c>
    </row>
    <row r="187">
      <c r="A187" s="27" t="inlineStr">
        <is>
          <t>4901133458033</t>
        </is>
      </c>
      <c r="B187" s="27" t="inlineStr">
        <is>
          <t>b0blvdxqgy</t>
        </is>
      </c>
      <c r="C187" s="27" t="inlineStr">
        <is>
          <t>8033/768</t>
        </is>
      </c>
      <c r="D187" s="27" t="inlineStr">
        <is>
          <t>b0blvdxqgy</t>
        </is>
      </c>
      <c r="E187" t="inlineStr">
        <is>
          <t>いなば CIAO ちゅ～るごはん まぐろ 14g×4本 6袋セット 猫 猫用 国産 総合栄養食 おやつ 液状 キャットフード 人気 大容量 まとめ買い 水分補給</t>
        </is>
      </c>
      <c r="F187" t="n">
        <v>1580</v>
      </c>
      <c r="G187" t="n">
        <v>768</v>
      </c>
      <c r="H187" t="n">
        <v>5</v>
      </c>
      <c r="I187">
        <f>SUM(G187*H187)</f>
        <v/>
      </c>
      <c r="J187" t="inlineStr">
        <is>
          <t>✓ 一致（SKU）</t>
        </is>
      </c>
      <c r="K187" t="inlineStr">
        <is>
          <t>4901133458033</t>
        </is>
      </c>
    </row>
    <row r="188">
      <c r="A188" s="27" t="inlineStr">
        <is>
          <t>4901792044578</t>
        </is>
      </c>
      <c r="B188" s="27" t="inlineStr">
        <is>
          <t>b0bmz5whhh</t>
        </is>
      </c>
      <c r="C188" s="27" t="inlineStr">
        <is>
          <t>4578/2194</t>
        </is>
      </c>
      <c r="D188" s="27" t="inlineStr">
        <is>
          <t>b0bmz5whhh</t>
        </is>
      </c>
      <c r="E188" t="inlineStr">
        <is>
          <t>【2個セット】ショーワグローブ ナイスハンド きれいな手 つかいきりグローブ ニトリルゴム 50枚入×2個セット ピンク Sサイズ 作業 作業用 衛生 食品 食事 料理 調理 掃除 清掃 園芸 メンテ メンテナンス 整備 美容 介護</t>
        </is>
      </c>
      <c r="F188" t="n">
        <v>3480</v>
      </c>
      <c r="G188" t="n">
        <v>2194</v>
      </c>
      <c r="H188" t="n">
        <v>18</v>
      </c>
      <c r="I188">
        <f>SUM(G188*H188)</f>
        <v/>
      </c>
      <c r="J188" t="inlineStr">
        <is>
          <t>✓ 一致（SKU）</t>
        </is>
      </c>
      <c r="K188" t="inlineStr">
        <is>
          <t>4901792044578</t>
        </is>
      </c>
    </row>
    <row r="189">
      <c r="A189" s="27" t="inlineStr">
        <is>
          <t>4901792044585</t>
        </is>
      </c>
      <c r="B189" s="27" t="inlineStr">
        <is>
          <t>b0bmz7ccxd</t>
        </is>
      </c>
      <c r="C189" s="27" t="inlineStr">
        <is>
          <t>4585/2194</t>
        </is>
      </c>
      <c r="D189" s="27" t="inlineStr">
        <is>
          <t>B0BMZ7CCXD</t>
        </is>
      </c>
      <c r="E189" t="inlineStr">
        <is>
          <t>【2個セット】ショーワグローブ ナイスハンド きれいな手 つかいきりグローブ ニトリルゴム 50枚入×2個セット ピンク Mサイズ 作業 作業用 衛生 食品 食事 料理 調理 掃除 清掃 園芸 メンテ メンテナンス 整備 美容 介護</t>
        </is>
      </c>
      <c r="F189" t="n">
        <v>3480</v>
      </c>
      <c r="G189" t="n">
        <v>2194</v>
      </c>
      <c r="H189" t="n">
        <v>25</v>
      </c>
      <c r="I189">
        <f>SUM(G189*H189)</f>
        <v/>
      </c>
    </row>
    <row r="190">
      <c r="A190" s="27" t="inlineStr">
        <is>
          <t>4901792044592</t>
        </is>
      </c>
      <c r="B190" s="27" t="inlineStr">
        <is>
          <t>b0bmz8mk97</t>
        </is>
      </c>
      <c r="C190" s="27" t="inlineStr">
        <is>
          <t>4585/2194</t>
        </is>
      </c>
      <c r="D190" s="27" t="inlineStr">
        <is>
          <t>B0BMZ8MK97</t>
        </is>
      </c>
      <c r="E190" t="inlineStr">
        <is>
          <t>【2個セット】ショーワグローブ ナイスハンド きれいな手 つかいきりグローブ ニトリルゴム 50枚入×2個 ピンク Lサイズ 使い捨て手袋 ニトリル手袋 ゴム手袋 粉なし 左右兼用 食品衛生対応 調理用 掃除 作業用 キッチン 清掃 園芸 介護 美容 毛染め DIY 業務用 まとめ買い</t>
        </is>
      </c>
      <c r="F190" t="n">
        <v>3480</v>
      </c>
      <c r="G190" t="n">
        <v>2194</v>
      </c>
      <c r="H190" t="n">
        <v>20</v>
      </c>
      <c r="I190">
        <f>SUM(G190*H190)</f>
        <v/>
      </c>
    </row>
    <row r="191">
      <c r="A191" s="27" t="inlineStr">
        <is>
          <t>0194644121297</t>
        </is>
      </c>
      <c r="B191" s="27" t="inlineStr">
        <is>
          <t>b0bqmsxfp7</t>
        </is>
      </c>
      <c r="C191" s="27" t="inlineStr">
        <is>
          <t>0194644121297</t>
        </is>
      </c>
      <c r="D191" s="27" t="inlineStr">
        <is>
          <t>b0bqmsxfp7</t>
        </is>
      </c>
      <c r="E191" t="inlineStr">
        <is>
          <t>Anker 332 USB-C ハブ (5-in-1) 100W USB PD対応 4K HDMIポート5Gbps 高速データ転送 USB-C/USB-Aポート搭載</t>
        </is>
      </c>
      <c r="F191" t="n">
        <v>3980</v>
      </c>
      <c r="G191" t="n">
        <v>2190</v>
      </c>
      <c r="H191" t="n">
        <v>11</v>
      </c>
      <c r="I191">
        <f>SUM(G191*H191)</f>
        <v/>
      </c>
      <c r="J191" t="inlineStr">
        <is>
          <t>✓ 一致（SKU）</t>
        </is>
      </c>
      <c r="K191" t="inlineStr">
        <is>
          <t>0194644121297</t>
        </is>
      </c>
    </row>
    <row r="192">
      <c r="A192" s="27" t="inlineStr">
        <is>
          <t>4902111772523</t>
        </is>
      </c>
      <c r="B192" s="27" t="inlineStr">
        <is>
          <t>b0bqt8pr1d</t>
        </is>
      </c>
      <c r="C192" s="27" t="inlineStr">
        <is>
          <t>2523/1998</t>
        </is>
      </c>
      <c r="D192" s="27" t="inlineStr">
        <is>
          <t>B0BQT8PR1D</t>
        </is>
      </c>
      <c r="E192" t="inlineStr">
        <is>
          <t>【2個セット】NEXXUS ネクサス スムースアンドマネージャブル ヘアマスク トリートメント 本体 220g×2個セット うねりケア くせ毛ケア ダメージ補修 集中補修 保湿 パサつき 広がり まとまり ツヤ髪 サロン品質 美容室品質 ヘアケア ヘアパック 洗い流す 毛先ケア 乾燥対策</t>
        </is>
      </c>
      <c r="F192" t="n">
        <v>3980</v>
      </c>
      <c r="G192" t="n">
        <v>1998</v>
      </c>
      <c r="H192" t="n">
        <v>68</v>
      </c>
      <c r="I192">
        <f>SUM(G192*H192)</f>
        <v/>
      </c>
    </row>
    <row r="193">
      <c r="A193" s="27" t="inlineStr">
        <is>
          <t>4902111772554</t>
        </is>
      </c>
      <c r="B193" s="27" t="inlineStr">
        <is>
          <t>b0bqtg4wsq</t>
        </is>
      </c>
      <c r="C193" s="27" t="inlineStr">
        <is>
          <t>2554/1608</t>
        </is>
      </c>
      <c r="D193" s="27" t="inlineStr">
        <is>
          <t>B0BQTG4WSQ</t>
        </is>
      </c>
      <c r="E193" t="inlineStr">
        <is>
          <t>NEXXUS スムースアンドマネージャブル コンディショナー(トリートメント) 詰め替え用 350g×3個セット ケア ヘアケア ネクサス うねりケア</t>
        </is>
      </c>
      <c r="F193" t="n">
        <v>2780</v>
      </c>
      <c r="G193" t="n">
        <v>1608</v>
      </c>
      <c r="H193" t="n">
        <v>8</v>
      </c>
      <c r="I193">
        <f>SUM(G193*H193)</f>
        <v/>
      </c>
    </row>
    <row r="194">
      <c r="A194" s="27" t="inlineStr">
        <is>
          <t>4902111772479</t>
        </is>
      </c>
      <c r="B194" s="27" t="inlineStr">
        <is>
          <t>b0bqtg8vt7</t>
        </is>
      </c>
      <c r="C194" s="27" t="inlineStr">
        <is>
          <t>2479/1612</t>
        </is>
      </c>
      <c r="D194" s="27" t="inlineStr">
        <is>
          <t>b0bqtg8vt7</t>
        </is>
      </c>
      <c r="E194" t="inlineStr">
        <is>
          <t>NEXXUS(ネクサス) インテンスダメージリペア シャンプー 詰め替え用 350g×2個セット ケア ヘアケア</t>
        </is>
      </c>
      <c r="F194" t="n">
        <v>2580</v>
      </c>
      <c r="G194" t="n">
        <v>1612</v>
      </c>
      <c r="H194" t="n">
        <v>6</v>
      </c>
      <c r="I194">
        <f>SUM(G194*H194)</f>
        <v/>
      </c>
      <c r="J194" t="inlineStr">
        <is>
          <t>✓ 一致（SKU）</t>
        </is>
      </c>
      <c r="K194" t="inlineStr">
        <is>
          <t>4902111772479</t>
        </is>
      </c>
    </row>
    <row r="195">
      <c r="A195" s="27" t="inlineStr">
        <is>
          <t>4902111772479</t>
        </is>
      </c>
      <c r="B195" s="27" t="inlineStr">
        <is>
          <t>b0bqtg8vt7-1</t>
        </is>
      </c>
      <c r="C195" s="27" t="inlineStr">
        <is>
          <t>2479/2418</t>
        </is>
      </c>
      <c r="D195" s="27" t="inlineStr">
        <is>
          <t>B0BQTG8VT7-1</t>
        </is>
      </c>
      <c r="E195" t="inlineStr">
        <is>
          <t>NEXXUS(ネクサス) インテンスダメージリペア シャンプー 詰め替え用 350g×3個セット ケア ヘアケア</t>
        </is>
      </c>
      <c r="F195" t="n">
        <v>3580</v>
      </c>
      <c r="G195" t="n">
        <v>2418</v>
      </c>
      <c r="H195" t="n">
        <v>19</v>
      </c>
      <c r="I195">
        <f>SUM(G195*H195)</f>
        <v/>
      </c>
      <c r="J195" t="inlineStr">
        <is>
          <t>✓ 一致（SKU）</t>
        </is>
      </c>
      <c r="K195" t="inlineStr">
        <is>
          <t>4902111772479</t>
        </is>
      </c>
    </row>
    <row r="196">
      <c r="A196" s="27" t="inlineStr">
        <is>
          <t>4902111772509</t>
        </is>
      </c>
      <c r="B196" s="27" t="inlineStr">
        <is>
          <t>b0bqth3gg9</t>
        </is>
      </c>
      <c r="C196" s="27" t="inlineStr">
        <is>
          <t>2509/1534</t>
        </is>
      </c>
      <c r="D196" s="27" t="inlineStr">
        <is>
          <t>B0BQTH3GG9</t>
        </is>
      </c>
      <c r="E196" t="inlineStr">
        <is>
          <t>NEXXUS スムースアンドマネージャブル シャンプー 440g ２本セット ポンプ ケア ヘアケア ネクサス うねりケア</t>
        </is>
      </c>
      <c r="F196" t="n">
        <v>3980</v>
      </c>
      <c r="G196" t="n">
        <v>1534</v>
      </c>
      <c r="H196" t="n">
        <v>6</v>
      </c>
      <c r="I196">
        <f>SUM(G196*H196)</f>
        <v/>
      </c>
    </row>
    <row r="197">
      <c r="A197" s="27" t="inlineStr">
        <is>
          <t>4902111772431</t>
        </is>
      </c>
      <c r="B197" s="27" t="inlineStr">
        <is>
          <t>b0bqtp6fl5</t>
        </is>
      </c>
      <c r="C197" s="27" t="inlineStr">
        <is>
          <t>2431/1534</t>
        </is>
      </c>
      <c r="D197" s="27" t="inlineStr">
        <is>
          <t>B0BQTP6FL5</t>
        </is>
      </c>
      <c r="E197" t="inlineStr">
        <is>
          <t>NEXXUS インテンスダメージリペア シャンプー ポンプ 440g×2個セット ケア ヘアケア ネクサス うねりケア</t>
        </is>
      </c>
      <c r="F197" t="n">
        <v>3980</v>
      </c>
      <c r="G197" t="n">
        <v>1534</v>
      </c>
      <c r="H197" t="n">
        <v>7</v>
      </c>
      <c r="I197">
        <f>SUM(G197*H197)</f>
        <v/>
      </c>
    </row>
    <row r="198">
      <c r="A198" s="27" t="inlineStr">
        <is>
          <t>4902111772516</t>
        </is>
      </c>
      <c r="B198" s="27" t="inlineStr">
        <is>
          <t>b0bqtsq4t8</t>
        </is>
      </c>
      <c r="C198" s="27" t="inlineStr">
        <is>
          <t>SET-2509-2516</t>
        </is>
      </c>
      <c r="D198" s="27" t="inlineStr">
        <is>
          <t>b0bqtsq4t8</t>
        </is>
      </c>
      <c r="E198" t="inlineStr">
        <is>
          <t>【セット品】NEXXUS スムースアンドマネージャブル シャンプー＆コンディショナー 各440g ２本セット ポンプ ケア ヘアケア ネクサス うねりケア</t>
        </is>
      </c>
      <c r="F198" t="n">
        <v>3980</v>
      </c>
      <c r="G198" t="n">
        <v>1534</v>
      </c>
      <c r="H198" t="n">
        <v>14</v>
      </c>
      <c r="I198">
        <f>SUM(G198*H198)</f>
        <v/>
      </c>
      <c r="J198" t="inlineStr">
        <is>
          <t>✓ 一致（SKU）</t>
        </is>
      </c>
      <c r="K198" t="inlineStr">
        <is>
          <t>4902111772516</t>
        </is>
      </c>
    </row>
    <row r="199">
      <c r="A199" s="27" t="inlineStr">
        <is>
          <t>4902111772448</t>
        </is>
      </c>
      <c r="B199" s="27" t="inlineStr">
        <is>
          <t>b0bqtwtpp8</t>
        </is>
      </c>
      <c r="C199" s="27" t="inlineStr">
        <is>
          <t>2448/1998</t>
        </is>
      </c>
      <c r="D199" s="27" t="inlineStr">
        <is>
          <t>B0BQTWTPP8</t>
        </is>
      </c>
      <c r="E199" t="inlineStr">
        <is>
          <t>NEXXUS インテンスダメージリペア トリートメント ポンプ 440g×2個セット ケア ヘアケア ネクサス うねりケア</t>
        </is>
      </c>
      <c r="F199" t="n">
        <v>3980</v>
      </c>
      <c r="G199" t="n">
        <v>1998</v>
      </c>
      <c r="H199" t="n">
        <v>2</v>
      </c>
      <c r="I199">
        <f>SUM(G199*H199)</f>
        <v/>
      </c>
    </row>
    <row r="200">
      <c r="A200" s="27" t="inlineStr">
        <is>
          <t>4902111772530</t>
        </is>
      </c>
      <c r="B200" s="27" t="inlineStr">
        <is>
          <t>b0bqv2x83n</t>
        </is>
      </c>
      <c r="C200" s="27" t="inlineStr">
        <is>
          <t>2530/1988</t>
        </is>
      </c>
      <c r="D200" s="27" t="inlineStr">
        <is>
          <t>B0BQV2X83N</t>
        </is>
      </c>
      <c r="E200" t="inlineStr">
        <is>
          <t>NEXXUS スムースアンドマネージャブル 洗い流さないトリートメントオイル ヘアオイル 本体 100ml×2個セット ケア ヘアケア ネクサス うねりケア</t>
        </is>
      </c>
      <c r="F200" t="n">
        <v>3980</v>
      </c>
      <c r="G200" t="n">
        <v>1644</v>
      </c>
      <c r="H200" t="n">
        <v>31</v>
      </c>
      <c r="I200">
        <f>SUM(G200*H200)</f>
        <v/>
      </c>
    </row>
    <row r="201">
      <c r="A201" s="27" t="inlineStr">
        <is>
          <t>4550516474971</t>
        </is>
      </c>
      <c r="B201" s="27" t="inlineStr">
        <is>
          <t>b0bsgb956y</t>
        </is>
      </c>
      <c r="C201" s="27" t="inlineStr">
        <is>
          <t>4971/1534</t>
        </is>
      </c>
      <c r="D201" s="27" t="inlineStr">
        <is>
          <t>B0BSGB956Y</t>
        </is>
      </c>
      <c r="E201" t="inlineStr">
        <is>
          <t>エージーデオ24 デオドラントボディミルク 無香性 180ml×2個セット 匂い 匂いケア ニオイケア ケア ニオイ</t>
        </is>
      </c>
      <c r="F201" t="n">
        <v>2780</v>
      </c>
      <c r="G201" t="n">
        <v>1534</v>
      </c>
      <c r="H201" t="n">
        <v>7</v>
      </c>
      <c r="I201">
        <f>SUM(G201*H201)</f>
        <v/>
      </c>
    </row>
    <row r="202">
      <c r="A202" s="27" t="inlineStr">
        <is>
          <t>4550516474988</t>
        </is>
      </c>
      <c r="B202" s="27" t="inlineStr">
        <is>
          <t>b0bsgcdmp7</t>
        </is>
      </c>
      <c r="C202" s="27" t="inlineStr">
        <is>
          <t>4988/1534</t>
        </is>
      </c>
      <c r="D202" s="27" t="inlineStr">
        <is>
          <t>B0BSGCDMP7</t>
        </is>
      </c>
      <c r="E202" t="inlineStr">
        <is>
          <t>エージーデオ24 デオドラントボディミルク フローラルブーケ 180ml×2個セット 匂い 匂いケア ニオイケア ケア ニオイ</t>
        </is>
      </c>
      <c r="F202" t="n">
        <v>2780</v>
      </c>
      <c r="G202" t="n">
        <v>1534</v>
      </c>
      <c r="H202" t="n">
        <v>30</v>
      </c>
      <c r="I202">
        <f>SUM(G202*H202)</f>
        <v/>
      </c>
    </row>
    <row r="203">
      <c r="A203" s="27" t="inlineStr">
        <is>
          <t>4901080080318</t>
        </is>
      </c>
      <c r="B203" s="27" t="inlineStr">
        <is>
          <t>b0bsl8s15z</t>
        </is>
      </c>
      <c r="C203" s="27" t="inlineStr">
        <is>
          <t>0318/1412</t>
        </is>
      </c>
      <c r="D203" s="27" t="inlineStr">
        <is>
          <t>b0bsl8s15z</t>
        </is>
      </c>
      <c r="E203" t="inlineStr">
        <is>
          <t>アース製薬 らくハピ スキマワイパー 取替え用防カビシート 5枚入×4個セット 防カビ 除菌 消臭 ホコリガード 汚れ除去 エアコン掃除 エアコン清掃 吹出口掃除 送風口掃除 カビ臭対策 エアコン内部クリーニング ウエットシート 無香性 交換用 清潔維持 エアコンの防カビ</t>
        </is>
      </c>
      <c r="F203" t="n">
        <v>2480</v>
      </c>
      <c r="G203" t="n">
        <v>1412</v>
      </c>
      <c r="H203" t="n">
        <v>4</v>
      </c>
      <c r="I203">
        <f>SUM(G203*H203)</f>
        <v/>
      </c>
      <c r="J203" t="inlineStr">
        <is>
          <t>✓ 一致（SKU）</t>
        </is>
      </c>
      <c r="K203" t="inlineStr">
        <is>
          <t>4901080080318</t>
        </is>
      </c>
    </row>
    <row r="204">
      <c r="A204" s="27" t="inlineStr">
        <is>
          <t>4909978145538</t>
        </is>
      </c>
      <c r="B204" s="27" t="inlineStr">
        <is>
          <t>b0bthtbcrn</t>
        </is>
      </c>
      <c r="C204" s="27" t="inlineStr">
        <is>
          <t>5538</t>
        </is>
      </c>
      <c r="D204" s="27" t="inlineStr">
        <is>
          <t>b0bthtbcrn</t>
        </is>
      </c>
      <c r="E204" t="inlineStr">
        <is>
          <t>資生堂 HAKU ハク メラノフォーカスEV 45g 本体 医薬部外品 美容液 薬用美白美容液 スキンケア 美白ケア シミ予防 そばかす予防 保湿ケア 透明感 うるおい 肌荒れ予防 フェイスケア 基礎化粧品 薬用美容液 資生堂スキンケア</t>
        </is>
      </c>
      <c r="F204" t="n">
        <v>9180</v>
      </c>
      <c r="G204" t="n">
        <v>0</v>
      </c>
      <c r="H204" t="n">
        <v>8</v>
      </c>
      <c r="I204">
        <f>SUM(G204*H204)</f>
        <v/>
      </c>
      <c r="J204" t="inlineStr">
        <is>
          <t>✓ 一致（SKU）</t>
        </is>
      </c>
      <c r="K204" t="inlineStr">
        <is>
          <t>4909978145538</t>
        </is>
      </c>
    </row>
    <row r="205">
      <c r="A205" s="27" t="inlineStr">
        <is>
          <t>4901133458101.0</t>
        </is>
      </c>
      <c r="B205" s="27" t="inlineStr">
        <is>
          <t>b0bw9bdd5k</t>
        </is>
      </c>
      <c r="C205" s="27" t="inlineStr">
        <is>
          <t>8101/396</t>
        </is>
      </c>
      <c r="D205" s="27" t="inlineStr">
        <is>
          <t>B0BW9BDD5K</t>
        </is>
      </c>
      <c r="E205" t="inlineStr">
        <is>
          <t>チャオ (CIAO) ちゅ～るごはん かつおバラエティ 14g×20本 猫 猫用 国産 総合栄養食 おやつ 液状 キャットフード 人気 大容量</t>
        </is>
      </c>
      <c r="F205" t="n">
        <v>1380</v>
      </c>
      <c r="G205" t="n">
        <v>396</v>
      </c>
      <c r="H205" t="n">
        <v>9</v>
      </c>
      <c r="I205">
        <f>SUM(G205*H205)</f>
        <v/>
      </c>
    </row>
    <row r="206">
      <c r="A206" s="27" t="inlineStr">
        <is>
          <t>4901080068712</t>
        </is>
      </c>
      <c r="B206" s="27" t="inlineStr">
        <is>
          <t>b0bwdnysh3</t>
        </is>
      </c>
      <c r="C206" s="27" t="inlineStr">
        <is>
          <t>4901080068712-3</t>
        </is>
      </c>
      <c r="D206" s="27" t="inlineStr">
        <is>
          <t>b0bwdnysh3</t>
        </is>
      </c>
      <c r="E206" t="inlineStr">
        <is>
          <t>アース製薬 マモルームエッセンス 虫よけパール 180日用 やわらかいクリーンムスク 500g×3個セット 天然精油配合 消臭 虫よけ 置き型 大容量 ユスリカ対策 化学合成殺虫成分不使用 玄関 リビング 寝室 室内 芳香剤 ムスクの香り 長期間持続 クリーン空間 ニオイ対策</t>
        </is>
      </c>
      <c r="F206" t="n">
        <v>2580</v>
      </c>
      <c r="G206" t="n">
        <v>1272</v>
      </c>
      <c r="H206" t="n">
        <v>7</v>
      </c>
      <c r="I206">
        <f>SUM(G206*H206)</f>
        <v/>
      </c>
      <c r="J206" t="inlineStr">
        <is>
          <t>✓ 一致（SKU）</t>
        </is>
      </c>
      <c r="K206" t="inlineStr">
        <is>
          <t>4901080068712</t>
        </is>
      </c>
    </row>
    <row r="207">
      <c r="A207" s="27" t="inlineStr">
        <is>
          <t>4901301429247</t>
        </is>
      </c>
      <c r="B207" s="27" t="inlineStr">
        <is>
          <t>b0bxcstz4s</t>
        </is>
      </c>
      <c r="C207" s="27" t="inlineStr">
        <is>
          <t>9247/411</t>
        </is>
      </c>
      <c r="D207" s="27" t="inlineStr">
        <is>
          <t>B0BXCSTZ4S</t>
        </is>
      </c>
      <c r="E207" t="inlineStr">
        <is>
          <t>ビオレu ザ ボディ 泡タイプ 華やかな金木犀の香り つめかえ用 ( 780ml )/ ビオレUザボディ 「高潤滑処方の生クリーム泡」 ボディソープ 金木犀の香り 泡 大容量</t>
        </is>
      </c>
      <c r="F207" t="n">
        <v>1580</v>
      </c>
      <c r="G207" t="n">
        <v>411</v>
      </c>
      <c r="H207" t="n">
        <v>2</v>
      </c>
      <c r="I207">
        <f>SUM(G207*H207)</f>
        <v/>
      </c>
    </row>
    <row r="208">
      <c r="A208" s="27" t="inlineStr">
        <is>
          <t>4901301422156</t>
        </is>
      </c>
      <c r="B208" s="27" t="inlineStr">
        <is>
          <t>b0bxct4qnx</t>
        </is>
      </c>
      <c r="C208" s="27" t="inlineStr">
        <is>
          <t>9230/411</t>
        </is>
      </c>
      <c r="D208" s="27" t="inlineStr">
        <is>
          <t>b0bxct4qnx</t>
        </is>
      </c>
      <c r="E208" t="inlineStr">
        <is>
          <t>ビオレu ザ ボディ 〔 The Body 〕 泡タイプ ポンプ 540ml 「高潤滑処方の生クリーム泡」 ボディソープ 金木犀の香り 泡 大容量</t>
        </is>
      </c>
      <c r="F208" t="n">
        <v>1480</v>
      </c>
      <c r="G208" t="n">
        <v>411</v>
      </c>
      <c r="H208" t="n">
        <v>3</v>
      </c>
      <c r="I208">
        <f>SUM(G208*H208)</f>
        <v/>
      </c>
      <c r="J208" t="inlineStr">
        <is>
          <t>✓ 一致（SKU）</t>
        </is>
      </c>
      <c r="K208" t="inlineStr">
        <is>
          <t>4901301422156</t>
        </is>
      </c>
    </row>
    <row r="209">
      <c r="A209" s="27" t="inlineStr">
        <is>
          <t>4901301416087</t>
        </is>
      </c>
      <c r="B209" s="27" t="inlineStr">
        <is>
          <t>b0by2pjqg2</t>
        </is>
      </c>
      <c r="C209" s="27" t="inlineStr">
        <is>
          <t>6087/612</t>
        </is>
      </c>
      <c r="D209" s="27" t="inlineStr">
        <is>
          <t>b0by2pjqg2</t>
        </is>
      </c>
      <c r="E209" t="inlineStr">
        <is>
          <t>ビオレu 泡ハンドソープ シトラスの香り つめかえ用 770ml×2個セット 詰め替え 手洗い 殺菌 消毒</t>
        </is>
      </c>
      <c r="F209" t="n">
        <v>2480</v>
      </c>
      <c r="G209" t="n">
        <v>612</v>
      </c>
      <c r="H209" t="n">
        <v>7</v>
      </c>
      <c r="I209">
        <f>SUM(G209*H209)</f>
        <v/>
      </c>
      <c r="J209" t="inlineStr">
        <is>
          <t>✓ 一致（SKU）</t>
        </is>
      </c>
      <c r="K209" t="inlineStr">
        <is>
          <t>4901301416087</t>
        </is>
      </c>
    </row>
    <row r="210">
      <c r="A210" s="27" t="inlineStr">
        <is>
          <t>4901301413109</t>
        </is>
      </c>
      <c r="B210" s="27" t="inlineStr">
        <is>
          <t>b0by2sypqr</t>
        </is>
      </c>
      <c r="C210" s="27" t="inlineStr">
        <is>
          <t>3109/1633</t>
        </is>
      </c>
      <c r="D210" s="27" t="inlineStr">
        <is>
          <t>b0by2sypqr</t>
        </is>
      </c>
      <c r="E210" t="inlineStr">
        <is>
          <t>Bior? ビオレ 冷ハンディミスト 無香性 120ml×3個セット 冷感ミスト 冷却スプレー 暑さ対策 熱中対策 ひんやりミスト 速乾 ボディミスト クールダウン 夏対策 スポーツ 屋外作業 通勤 通学 アウトドア 携帯用 ロック機能付き 日本製</t>
        </is>
      </c>
      <c r="F210" t="n">
        <v>2980</v>
      </c>
      <c r="G210" t="n">
        <v>1633</v>
      </c>
      <c r="H210" t="n">
        <v>4</v>
      </c>
      <c r="I210">
        <f>SUM(G210*H210)</f>
        <v/>
      </c>
      <c r="J210" t="inlineStr">
        <is>
          <t>✓ 一致（SKU）</t>
        </is>
      </c>
      <c r="K210" t="inlineStr">
        <is>
          <t>4901301413109</t>
        </is>
      </c>
    </row>
    <row r="211">
      <c r="A211" s="27" t="inlineStr">
        <is>
          <t>4573164186454</t>
        </is>
      </c>
      <c r="B211" s="27" t="inlineStr">
        <is>
          <t>b0by7gklq4</t>
        </is>
      </c>
      <c r="C211" s="27" t="inlineStr">
        <is>
          <t>6454/439</t>
        </is>
      </c>
      <c r="D211" s="27" t="inlineStr">
        <is>
          <t>b0by7gklq4</t>
        </is>
      </c>
      <c r="E211" t="inlineStr">
        <is>
          <t>JUSO KURO PORE CLEARING WASH 100ｇ重曹黒ウォッシュ 洗顔 濃密泡 重曹 炭 酵素 毛穴 皮脂 角質 角栓 小鼻 黒ずみ くすみ</t>
        </is>
      </c>
      <c r="F211" t="n">
        <v>999</v>
      </c>
      <c r="G211" t="n">
        <v>439</v>
      </c>
      <c r="H211" t="n">
        <v>3</v>
      </c>
      <c r="I211">
        <f>SUM(G211*H211)</f>
        <v/>
      </c>
    </row>
    <row r="212">
      <c r="A212" s="27" t="inlineStr">
        <is>
          <t>4573164186317</t>
        </is>
      </c>
      <c r="B212" s="27" t="inlineStr">
        <is>
          <t>b0by8b2ghs</t>
        </is>
      </c>
      <c r="C212" s="27" t="inlineStr">
        <is>
          <t>6317/439</t>
        </is>
      </c>
      <c r="D212" s="27" t="inlineStr">
        <is>
          <t>b0by8b2ghs</t>
        </is>
      </c>
      <c r="E212" t="inlineStr">
        <is>
          <t>JUSO KURO PORE CLEANSING SCRUB 30g 毛穴クレンジング 毛穴汚れ 角栓 黒ずみ マンナンスクラブ入り 重曹毛穴クレンジング 重曹 炭 鼻用</t>
        </is>
      </c>
      <c r="F212" t="n">
        <v>1480</v>
      </c>
      <c r="G212" t="n">
        <v>439</v>
      </c>
      <c r="H212" t="n">
        <v>0</v>
      </c>
      <c r="I212">
        <f>SUM(G212*H212)</f>
        <v/>
      </c>
    </row>
    <row r="213">
      <c r="A213" s="27" t="inlineStr">
        <is>
          <t>0194644131432</t>
        </is>
      </c>
      <c r="B213" s="27" t="inlineStr">
        <is>
          <t>b0bz45nc3z</t>
        </is>
      </c>
      <c r="C213" s="27" t="inlineStr">
        <is>
          <t>0194644131432</t>
        </is>
      </c>
      <c r="D213" s="27" t="inlineStr">
        <is>
          <t>b0bz45nc3z</t>
        </is>
      </c>
      <c r="E213" t="inlineStr">
        <is>
          <t>Anker Prime Charging Station (6-in-1, 140W) 【独自技術Anker GaNPrime採用/コンセント差込口 2口 / USB-C 2ポート / USB-A 2ポート / PSE技術基準適合】iPhone Galaxy Android スマートフォン MacBook ノートPC 各種 その他機器対応（ブラック）</t>
        </is>
      </c>
      <c r="F213" t="n">
        <v>13980</v>
      </c>
      <c r="G213" t="n">
        <v>9990</v>
      </c>
      <c r="H213" t="n">
        <v>4</v>
      </c>
      <c r="I213">
        <f>SUM(G213*H213)</f>
        <v/>
      </c>
      <c r="J213" t="inlineStr">
        <is>
          <t>✓ 一致（SKU）</t>
        </is>
      </c>
      <c r="K213" t="inlineStr">
        <is>
          <t>0194644131432</t>
        </is>
      </c>
    </row>
    <row r="214">
      <c r="A214" s="27" t="inlineStr">
        <is>
          <t>0840268981846</t>
        </is>
      </c>
      <c r="B214" s="27" t="inlineStr">
        <is>
          <t>b0c2s4k41g</t>
        </is>
      </c>
      <c r="C214" s="27" t="inlineStr">
        <is>
          <t>7480</t>
        </is>
      </c>
      <c r="D214" s="27" t="inlineStr">
        <is>
          <t>B0C2RZWV9B</t>
        </is>
      </c>
      <c r="E214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F214" t="n">
        <v>10980</v>
      </c>
      <c r="G214" t="n">
        <v>7480</v>
      </c>
      <c r="H214" t="n">
        <v>0</v>
      </c>
      <c r="I214">
        <f>SUM(G214*H214)</f>
        <v/>
      </c>
    </row>
    <row r="215">
      <c r="A215" s="27" t="inlineStr">
        <is>
          <t>0840268912925</t>
        </is>
      </c>
      <c r="B215" s="27" t="inlineStr">
        <is>
          <t>b0c2s4k41g</t>
        </is>
      </c>
      <c r="C215" s="27" t="inlineStr">
        <is>
          <t>7480</t>
        </is>
      </c>
      <c r="D215" s="27" t="inlineStr">
        <is>
          <t>B0C2S4D67B</t>
        </is>
      </c>
      <c r="E215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F215" t="n">
        <v>10980</v>
      </c>
      <c r="G215" t="n">
        <v>7480</v>
      </c>
      <c r="H215" t="n">
        <v>6</v>
      </c>
      <c r="I215">
        <f>SUM(G215*H215)</f>
        <v/>
      </c>
    </row>
    <row r="216">
      <c r="A216" s="27" t="inlineStr">
        <is>
          <t>0840268931865</t>
        </is>
      </c>
      <c r="B216" s="27" t="inlineStr">
        <is>
          <t>b0c2s4k41g</t>
        </is>
      </c>
      <c r="C216" s="27" t="inlineStr">
        <is>
          <t>7480</t>
        </is>
      </c>
      <c r="D216" s="27" t="inlineStr">
        <is>
          <t>B0C2S4K41G</t>
        </is>
      </c>
      <c r="E216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F216" t="n">
        <v>10980</v>
      </c>
      <c r="G216" t="n">
        <v>7480</v>
      </c>
      <c r="H216" t="n">
        <v>6</v>
      </c>
      <c r="I216">
        <f>SUM(G216*H216)</f>
        <v/>
      </c>
    </row>
    <row r="217">
      <c r="A217" s="27" t="inlineStr">
        <is>
          <t>4969919300679</t>
        </is>
      </c>
      <c r="B217" s="27" t="inlineStr">
        <is>
          <t>b0c2vsxhy9</t>
        </is>
      </c>
      <c r="C217" s="27" t="inlineStr">
        <is>
          <t>0679/2211</t>
        </is>
      </c>
      <c r="D217" s="27" t="inlineStr">
        <is>
          <t>b0c2vsxhy9</t>
        </is>
      </c>
      <c r="E217" t="inlineStr">
        <is>
          <t>【3個セット】わきの下冷却 わきアイス 大人用2A 男女兼用 WIL2A-24×3個 脇冷却 暑さ対策 熱中対策 冷却グッズ 保冷剤 クールダウン 冷感グッズ 夏対策 通勤 通学 屋外作業 スポーツ アウトドア 繰り返し使用可能 日本製</t>
        </is>
      </c>
      <c r="F217" t="n">
        <v>3980</v>
      </c>
      <c r="G217" t="n">
        <v>2211</v>
      </c>
      <c r="H217" t="n">
        <v>5</v>
      </c>
      <c r="I217">
        <f>SUM(G217*H217)</f>
        <v/>
      </c>
      <c r="J217" t="inlineStr">
        <is>
          <t>✓ 一致（SKU）</t>
        </is>
      </c>
      <c r="K217" t="inlineStr">
        <is>
          <t>4969919300679</t>
        </is>
      </c>
    </row>
    <row r="218">
      <c r="A218" s="27" t="inlineStr">
        <is>
          <t>0194644137311</t>
        </is>
      </c>
      <c r="B218" s="27" t="inlineStr">
        <is>
          <t>b0c5cbv6l3</t>
        </is>
      </c>
      <c r="C218" s="27" t="inlineStr">
        <is>
          <t>0194644137595</t>
        </is>
      </c>
      <c r="D218" s="27" t="inlineStr">
        <is>
          <t>B0C5BXMRFZ</t>
        </is>
      </c>
      <c r="E218" t="inlineStr">
        <is>
      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      </is>
      </c>
      <c r="F218" t="n">
        <v>9980</v>
      </c>
      <c r="G218" t="n">
        <v>6490</v>
      </c>
      <c r="H218" t="n">
        <v>0</v>
      </c>
      <c r="I218">
        <f>SUM(G218*H218)</f>
        <v/>
      </c>
    </row>
    <row r="219">
      <c r="A219" s="27" t="inlineStr">
        <is>
          <t>0194644137595</t>
        </is>
      </c>
      <c r="B219" s="27" t="inlineStr">
        <is>
          <t>b0c5cbv6l3</t>
        </is>
      </c>
      <c r="C219" s="27" t="inlineStr">
        <is>
          <t>0194644137595</t>
        </is>
      </c>
      <c r="D219" s="27" t="inlineStr">
        <is>
          <t>B0C5CBV6L3</t>
        </is>
      </c>
      <c r="E219" t="inlineStr">
        <is>
      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      </is>
      </c>
      <c r="F219" t="n">
        <v>9980</v>
      </c>
      <c r="G219" t="n">
        <v>5490</v>
      </c>
      <c r="H219" t="n">
        <v>7</v>
      </c>
      <c r="I219">
        <f>SUM(G219*H219)</f>
        <v/>
      </c>
    </row>
    <row r="220">
      <c r="A220" s="27" t="inlineStr">
        <is>
          <t>4971902010526</t>
        </is>
      </c>
      <c r="B220" s="27" t="inlineStr">
        <is>
          <t>b0c6dhfd9t</t>
        </is>
      </c>
      <c r="C220" s="27" t="inlineStr">
        <is>
          <t>0526/2176</t>
        </is>
      </c>
      <c r="D220" s="27" t="inlineStr">
        <is>
          <t>b0c6dhfd9t</t>
        </is>
      </c>
      <c r="E220" t="inlineStr">
        <is>
          <t>紀陽除虫菊 ダニEND 3D ダニトラップシート 分割タイプ 4枚入×2個セット ダニ取りシート 生きたダニに効く 吸着除去 有効期間約3ヵ月 3D構造 日本製</t>
        </is>
      </c>
      <c r="F220" t="n">
        <v>2980</v>
      </c>
      <c r="G220" t="n">
        <v>2176</v>
      </c>
      <c r="H220" t="n">
        <v>3</v>
      </c>
      <c r="I220">
        <f>SUM(G220*H220)</f>
        <v/>
      </c>
      <c r="J220" t="inlineStr">
        <is>
          <t>✓ 一致（SKU）</t>
        </is>
      </c>
      <c r="K220" t="inlineStr">
        <is>
          <t>4971902010526</t>
        </is>
      </c>
    </row>
    <row r="221">
      <c r="A221" s="27" t="inlineStr">
        <is>
          <t>4978951921735</t>
        </is>
      </c>
      <c r="B221" s="27" t="inlineStr">
        <is>
          <t>b0c96849wl</t>
        </is>
      </c>
      <c r="C221" s="27" t="inlineStr">
        <is>
          <t>1735,1728/1098</t>
        </is>
      </c>
      <c r="D221" s="27" t="inlineStr">
        <is>
          <t>b0c96849wl</t>
        </is>
      </c>
      <c r="E221" t="inlineStr">
        <is>
          <t>【セット品】ミツエイ ホワイトフレグランスムスク 洗濯洗剤 柔軟剤 セット 大容量 1.65kg ＋ 2kg ホワイトムスク 香り 衣類用液体洗剤 柔軟剤 部屋干し 消臭 静電気防止 詰め替え まとめ買い 日本製</t>
        </is>
      </c>
      <c r="F221" t="n">
        <v>2980</v>
      </c>
      <c r="G221" t="n">
        <v>1098</v>
      </c>
      <c r="H221" t="n">
        <v>1</v>
      </c>
      <c r="I221">
        <f>SUM(G221*H221)</f>
        <v/>
      </c>
    </row>
    <row r="222">
      <c r="A222" s="27" t="inlineStr">
        <is>
          <t>4547761490399</t>
        </is>
      </c>
      <c r="B222" s="27" t="inlineStr">
        <is>
          <t>b0c9d3ftyv</t>
        </is>
      </c>
      <c r="C222" s="27" t="inlineStr">
        <is>
          <t>0382,0399,0443/1749</t>
        </is>
      </c>
      <c r="D222" s="27" t="inlineStr">
        <is>
          <t>B0C9D2NFHD</t>
        </is>
      </c>
      <c r="E222" t="inlineStr">
        <is>
          <t>[Arnold Palmer] スニーカー 厚底コートシューズ レディース 23.0/23.5 ブラック/ホワイト 靴 厚底 スリッポン 軽量</t>
        </is>
      </c>
      <c r="F222" t="n">
        <v>5280</v>
      </c>
      <c r="G222" t="n">
        <v>1749</v>
      </c>
      <c r="H222" t="n">
        <v>2</v>
      </c>
      <c r="I222">
        <f>SUM(G222*H222)</f>
        <v/>
      </c>
    </row>
    <row r="223">
      <c r="A223" s="27" t="inlineStr">
        <is>
          <t>4547761490382</t>
        </is>
      </c>
      <c r="B223" s="27" t="inlineStr">
        <is>
          <t>b0c9d3ftyv</t>
        </is>
      </c>
      <c r="C223" s="27" t="inlineStr">
        <is>
          <t>0382,0399,0443/1749</t>
        </is>
      </c>
      <c r="D223" s="27" t="inlineStr">
        <is>
          <t>B0C9D3FTYV</t>
        </is>
      </c>
      <c r="E223" t="inlineStr">
        <is>
          <t>[Arnold Palmer] スニーカー 厚底コートシューズ レディース 23.0/23.5 ブラック/ホワイト 靴 厚底 スリッポン 軽量</t>
        </is>
      </c>
      <c r="F223" t="n">
        <v>5280</v>
      </c>
      <c r="G223" t="n">
        <v>1749</v>
      </c>
      <c r="H223" t="n">
        <v>2</v>
      </c>
      <c r="I223">
        <f>SUM(G223*H223)</f>
        <v/>
      </c>
    </row>
    <row r="224">
      <c r="A224" s="27" t="inlineStr">
        <is>
          <t>4547761490443</t>
        </is>
      </c>
      <c r="B224" s="27" t="inlineStr">
        <is>
          <t>b0c9d3ftyv</t>
        </is>
      </c>
      <c r="C224" s="27" t="inlineStr">
        <is>
          <t>0382,0399,0443/1749</t>
        </is>
      </c>
      <c r="D224" s="27" t="inlineStr">
        <is>
          <t>B0C9D4V5WS</t>
        </is>
      </c>
      <c r="E224" t="inlineStr">
        <is>
          <t>[Arnold Palmer] スニーカー 厚底コートシューズ レディース 23.0/23.5 ブラック/ホワイト 靴 厚底 スリッポン 軽量</t>
        </is>
      </c>
      <c r="F224" t="n">
        <v>5280</v>
      </c>
      <c r="G224" t="n">
        <v>1749</v>
      </c>
      <c r="H224" t="n">
        <v>0</v>
      </c>
      <c r="I224">
        <f>SUM(G224*H224)</f>
        <v/>
      </c>
    </row>
    <row r="225">
      <c r="A225" s="27" t="inlineStr">
        <is>
          <t>4969655463041</t>
        </is>
      </c>
      <c r="B225" s="27" t="inlineStr">
        <is>
          <t>b0chs4xy6d</t>
        </is>
      </c>
      <c r="C225" s="27" t="inlineStr">
        <is>
          <t>577</t>
        </is>
      </c>
      <c r="D225" s="27" t="inlineStr">
        <is>
          <t>b0chs4xy6d</t>
        </is>
      </c>
      <c r="E225" t="inlineStr">
        <is>
          <t>BOSCH(ボッシュ)スバル車用エアコンフィルター アエリストフレッシュ (抗ウイルスタイプ) AFS-F02 エアコン フィルター 車 抗ウイルス 抗菌 防カビ 防臭</t>
        </is>
      </c>
      <c r="F225" t="n">
        <v>2580</v>
      </c>
      <c r="G225" t="n">
        <v>577</v>
      </c>
      <c r="H225" t="n">
        <v>4</v>
      </c>
      <c r="I225">
        <f>SUM(G225*H225)</f>
        <v/>
      </c>
      <c r="J225" t="inlineStr">
        <is>
          <t>✓ 一致（SKU）</t>
        </is>
      </c>
      <c r="K225" t="inlineStr">
        <is>
          <t>4969655463041</t>
        </is>
      </c>
    </row>
    <row r="226">
      <c r="A226" s="27" t="inlineStr">
        <is>
          <t>0840268925536</t>
        </is>
      </c>
      <c r="B226" s="27" t="inlineStr">
        <is>
          <t>b0cjlfprmh</t>
        </is>
      </c>
      <c r="C226" s="27" t="inlineStr">
        <is>
          <t>5980</t>
        </is>
      </c>
      <c r="D226" s="27" t="inlineStr">
        <is>
          <t>B0CJLFPRMH</t>
        </is>
      </c>
      <c r="E226" t="inlineStr">
        <is>
          <t>Amazon Fire TV Stick 4K ストリーミングメディアプレイヤー ファイヤーtvスティック amazonファイヤースティック</t>
        </is>
      </c>
      <c r="F226" t="n">
        <v>8980</v>
      </c>
      <c r="G226" t="n">
        <v>5980</v>
      </c>
      <c r="H226" t="n">
        <v>1</v>
      </c>
      <c r="I226">
        <f>SUM(G226*H226)</f>
        <v/>
      </c>
    </row>
    <row r="227">
      <c r="A227" s="27" t="inlineStr">
        <is>
          <t>4987176184580</t>
        </is>
      </c>
      <c r="B227" s="27" t="inlineStr">
        <is>
          <t>b0ckhk5b77</t>
        </is>
      </c>
      <c r="C227" s="27" t="inlineStr">
        <is>
          <t>2176</t>
        </is>
      </c>
      <c r="D227" s="27" t="inlineStr">
        <is>
          <t>b0ckhk5b77</t>
        </is>
      </c>
      <c r="E227" t="inlineStr">
        <is>
          <t>さらさ 柔軟剤 詰め替え 超ジャンボ 1350mL×2個セット 液体 詰替 衣料用洗剤 液体洗剤 しっかり洗浄 植物由来成分 赤ちゃん すすぎ1回 ペット アロマの香り つめかえ用 P&amp;G 送料無料</t>
        </is>
      </c>
      <c r="F227" t="n">
        <v>3980</v>
      </c>
      <c r="G227" t="n">
        <v>2176</v>
      </c>
      <c r="H227" t="n">
        <v>11</v>
      </c>
      <c r="I227">
        <f>SUM(G227*H227)</f>
        <v/>
      </c>
      <c r="J227" t="inlineStr">
        <is>
          <t>✓ 一致（SKU）</t>
        </is>
      </c>
      <c r="K227" t="inlineStr">
        <is>
          <t>4987176184580</t>
        </is>
      </c>
    </row>
    <row r="228">
      <c r="A228" s="27" t="inlineStr">
        <is>
          <t>4901422365264</t>
        </is>
      </c>
      <c r="B228" s="27" t="inlineStr">
        <is>
          <t>b0ckv5gbnc</t>
        </is>
      </c>
      <c r="C228" s="27" t="inlineStr">
        <is>
          <t>5264/332</t>
        </is>
      </c>
      <c r="D228" s="27" t="inlineStr">
        <is>
          <t>b0ckv5gbnc</t>
        </is>
      </c>
      <c r="E228" t="inlineStr">
        <is>
          <t>クレハ ダストマンどこでもスタンド 20枚×2個セット スタンド 三角コーナー 水切り ゴミ袋</t>
        </is>
      </c>
      <c r="F228" t="n">
        <v>1280</v>
      </c>
      <c r="G228" t="n">
        <v>332</v>
      </c>
      <c r="H228" t="n">
        <v>19</v>
      </c>
      <c r="I228">
        <f>SUM(G228*H228)</f>
        <v/>
      </c>
      <c r="J228" t="inlineStr">
        <is>
          <t>✓ 一致（SKU）</t>
        </is>
      </c>
      <c r="K228" t="inlineStr">
        <is>
          <t>4901422365264</t>
        </is>
      </c>
    </row>
    <row r="229">
      <c r="A229" s="27" t="inlineStr">
        <is>
          <t>0194644179724</t>
        </is>
      </c>
      <c r="B229" s="27" t="inlineStr">
        <is>
          <t>b0cm66ly5f</t>
        </is>
      </c>
      <c r="C229" s="27" t="inlineStr">
        <is>
          <t>9724/9490</t>
        </is>
      </c>
      <c r="D229" s="27" t="inlineStr">
        <is>
          <t>b0cm66ly5f</t>
        </is>
      </c>
      <c r="E229" t="inlineStr">
        <is>
          <t>Anker MagGo Wireless Charging Station (Foldable 3-in-1) Qi2対応 マグネット式 3-in-1 ワイヤレス充電ステーション/ワイヤレス出力/Apple Watchホルダー付 iPhone MagSafe対応 iPhone 17 / 17 Pro / 17 Pro Max / 16 / 15 / 14 / 13 ブラック</t>
        </is>
      </c>
      <c r="F229" t="n">
        <v>15980</v>
      </c>
      <c r="G229" t="n">
        <v>9490</v>
      </c>
      <c r="H229" t="n">
        <v>1</v>
      </c>
      <c r="I229">
        <f>SUM(G229*H229)</f>
        <v/>
      </c>
      <c r="J229" t="inlineStr">
        <is>
          <t>✓ 一致（SKU）</t>
        </is>
      </c>
      <c r="K229" t="inlineStr">
        <is>
          <t>0194644179724</t>
        </is>
      </c>
    </row>
    <row r="230">
      <c r="A230" s="27" t="inlineStr">
        <is>
          <t>4901609016057</t>
        </is>
      </c>
      <c r="B230" s="27" t="inlineStr">
        <is>
          <t>b0cnkfjw3j</t>
        </is>
      </c>
      <c r="C230" s="27" t="inlineStr">
        <is>
          <t>6057/657</t>
        </is>
      </c>
      <c r="D230" s="27" t="inlineStr">
        <is>
          <t>b0cnkfjw3j</t>
        </is>
      </c>
      <c r="E230" t="inlineStr">
        <is>
          <t>スクラビングバブル トイレスタンプ 消臭成分in クリアジャスミン 本体×3個セット トイレ洗剤 掃除 付け替え用</t>
        </is>
      </c>
      <c r="F230" t="n">
        <v>2480</v>
      </c>
      <c r="G230" t="n">
        <v>657</v>
      </c>
      <c r="H230" t="n">
        <v>4</v>
      </c>
      <c r="I230">
        <f>SUM(G230*H230)</f>
        <v/>
      </c>
      <c r="J230" t="inlineStr">
        <is>
          <t>✓ 一致（SKU）</t>
        </is>
      </c>
      <c r="K230" t="inlineStr">
        <is>
          <t>4901609016057</t>
        </is>
      </c>
    </row>
    <row r="231">
      <c r="A231" s="27" t="inlineStr">
        <is>
          <t>0194644186241</t>
        </is>
      </c>
      <c r="B231" s="27" t="inlineStr">
        <is>
          <t>b0cp4rhk7x</t>
        </is>
      </c>
      <c r="C231" s="27" t="inlineStr">
        <is>
          <t>7555,7562,7548,7579/6490</t>
        </is>
      </c>
      <c r="D231" s="27" t="inlineStr">
        <is>
          <t>B0CP4RHK7X</t>
        </is>
      </c>
      <c r="E231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F231" t="n">
        <v>9980</v>
      </c>
      <c r="G231" t="n">
        <v>6490</v>
      </c>
      <c r="H231" t="n">
        <v>5</v>
      </c>
      <c r="I231">
        <f>SUM(G231*H231)</f>
        <v/>
      </c>
    </row>
    <row r="232">
      <c r="A232" s="27" t="inlineStr">
        <is>
          <t>0194644186227</t>
        </is>
      </c>
      <c r="B232" s="27" t="inlineStr">
        <is>
          <t>b0cp4rhk7x</t>
        </is>
      </c>
      <c r="C232" s="27" t="inlineStr">
        <is>
          <t>7555,7562,7548,7579/6490</t>
        </is>
      </c>
      <c r="D232" s="27" t="inlineStr">
        <is>
          <t>B0CP4RLMDB</t>
        </is>
      </c>
      <c r="E232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F232" t="n">
        <v>9980</v>
      </c>
      <c r="G232" t="n">
        <v>6490</v>
      </c>
      <c r="H232" t="n">
        <v>9</v>
      </c>
      <c r="I232">
        <f>SUM(G232*H232)</f>
        <v/>
      </c>
    </row>
    <row r="233">
      <c r="A233" s="27" t="inlineStr">
        <is>
          <t>0194644186258</t>
        </is>
      </c>
      <c r="B233" s="27" t="inlineStr">
        <is>
          <t>b0cp4rhk7x</t>
        </is>
      </c>
      <c r="C233" s="27" t="inlineStr">
        <is>
          <t>7555,7562,7548,7579/6490</t>
        </is>
      </c>
      <c r="D233" s="27" t="inlineStr">
        <is>
          <t>B0CP4RQZ3L</t>
        </is>
      </c>
      <c r="E233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F233" t="n">
        <v>9980</v>
      </c>
      <c r="G233" t="n">
        <v>6490</v>
      </c>
      <c r="H233" t="n">
        <v>4</v>
      </c>
      <c r="I233">
        <f>SUM(G233*H233)</f>
        <v/>
      </c>
    </row>
    <row r="234">
      <c r="A234" s="27" t="inlineStr">
        <is>
          <t>0194644186234</t>
        </is>
      </c>
      <c r="B234" s="27" t="inlineStr">
        <is>
          <t>b0cp4rhk7x</t>
        </is>
      </c>
      <c r="C234" s="27" t="inlineStr">
        <is>
          <t>7555,7562,7548,7579/6490</t>
        </is>
      </c>
      <c r="D234" s="27" t="inlineStr">
        <is>
          <t>B0CP4SRM8K</t>
        </is>
      </c>
      <c r="E234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F234" t="n">
        <v>9980</v>
      </c>
      <c r="G234" t="n">
        <v>6490</v>
      </c>
      <c r="H234" t="n">
        <v>7</v>
      </c>
      <c r="I234">
        <f>SUM(G234*H234)</f>
        <v/>
      </c>
    </row>
    <row r="235">
      <c r="A235" s="27" t="inlineStr">
        <is>
          <t>4987241193899</t>
        </is>
      </c>
      <c r="B235" s="27" t="inlineStr">
        <is>
          <t>b0ct52gvd8</t>
        </is>
      </c>
      <c r="C235" s="27" t="inlineStr">
        <is>
          <t>3899/1314</t>
        </is>
      </c>
      <c r="D235" s="27" t="inlineStr">
        <is>
          <t>b0ct52gvd8</t>
        </is>
      </c>
      <c r="E235" t="inlineStr">
        <is>
          <t>【3個セット】スキンアクア スーパーモイスチャーUVライトアップエッセンス 70g×3個 日焼け止め SPF50+ PA++++ 化粧下地</t>
        </is>
      </c>
      <c r="F235" t="n">
        <v>2980</v>
      </c>
      <c r="G235" t="n">
        <v>1314</v>
      </c>
      <c r="H235" t="n">
        <v>6</v>
      </c>
      <c r="I235">
        <f>SUM(G235*H235)</f>
        <v/>
      </c>
      <c r="J235" t="inlineStr">
        <is>
          <t>✓ 一致（SKU）</t>
        </is>
      </c>
      <c r="K235" t="inlineStr">
        <is>
          <t>4987241193899</t>
        </is>
      </c>
    </row>
    <row r="236">
      <c r="A236" s="27" t="inlineStr">
        <is>
          <t>4987241194377</t>
        </is>
      </c>
      <c r="B236" s="27" t="inlineStr">
        <is>
          <t>b0ct5mt6vf</t>
        </is>
      </c>
      <c r="C236" s="27" t="inlineStr">
        <is>
          <t>4377/1314</t>
        </is>
      </c>
      <c r="D236" s="27" t="inlineStr">
        <is>
          <t>b0ct5mt6vf</t>
        </is>
      </c>
      <c r="E236" t="inlineStr">
        <is>
          <t>【3個セット】スキンアクア スーパーモイスチャーUVミスト 60mL×3個セット 日焼け止め UVミスト UVスプレー SPF50+ PA++++ 顔 体 髪用 紫外線対策 UVカット スーパーウォータープルーフ 保湿 うるおい メイクの上から 透明タイプ 石けんで落とせる ロート製薬 まとめ買い</t>
        </is>
      </c>
      <c r="F236" t="n">
        <v>2980</v>
      </c>
      <c r="G236" t="n">
        <v>1314</v>
      </c>
      <c r="H236" t="n">
        <v>5</v>
      </c>
      <c r="I236">
        <f>SUM(G236*H236)</f>
        <v/>
      </c>
      <c r="J236" t="inlineStr">
        <is>
          <t>✓ 一致（SKU）</t>
        </is>
      </c>
      <c r="K236" t="inlineStr">
        <is>
          <t>4987241194377</t>
        </is>
      </c>
    </row>
    <row r="237">
      <c r="A237" s="27" t="inlineStr">
        <is>
          <t>4902111776620</t>
        </is>
      </c>
      <c r="B237" s="27" t="inlineStr">
        <is>
          <t>b0ct9kdbfs</t>
        </is>
      </c>
      <c r="C237" s="27" t="inlineStr">
        <is>
          <t>6620,6637/2081</t>
        </is>
      </c>
      <c r="D237" s="27" t="inlineStr">
        <is>
          <t>b0ct9kdbfs</t>
        </is>
      </c>
      <c r="E237" t="inlineStr">
        <is>
          <t>NEXXUS(ネクサス) リペアアンドカラープロテクト シャンプー トリートメント セット 各440g ２本セット ポンプ ケア ヘアケア</t>
        </is>
      </c>
      <c r="F237" t="n">
        <v>4280</v>
      </c>
      <c r="G237" t="n">
        <v>2081</v>
      </c>
      <c r="H237" t="n">
        <v>0</v>
      </c>
      <c r="I237">
        <f>SUM(G237*H237)</f>
        <v/>
      </c>
      <c r="J237" t="inlineStr">
        <is>
          <t>✓ 一致（SKU）</t>
        </is>
      </c>
      <c r="K237" t="inlineStr">
        <is>
          <t>4902111776620</t>
        </is>
      </c>
    </row>
    <row r="238">
      <c r="A238" s="27" t="inlineStr">
        <is>
          <t>4987176233288</t>
        </is>
      </c>
      <c r="B238" s="27" t="inlineStr">
        <is>
          <t>b0cthfllth</t>
        </is>
      </c>
      <c r="C238" s="27" t="inlineStr">
        <is>
          <t>3288/1600</t>
        </is>
      </c>
      <c r="D238" s="27" t="inlineStr">
        <is>
          <t>b0cthfllth</t>
        </is>
      </c>
      <c r="E238" t="inlineStr">
        <is>
          <t>【2個セット】ファブリーズ 消臭スプレー 布用 PREMIUM シトラス＆ガーデン 詰め替え 特大 640mL×2 大容量 布製品 消臭 除菌 生活臭 ペット臭 タバコ臭 部屋干し臭 ソファ カーテン 寝具 消臭剤 速効消臭 家庭用 P&amp;G 日本製 まとめ買い 日用品 ストック用品</t>
        </is>
      </c>
      <c r="F238" t="n">
        <v>3980</v>
      </c>
      <c r="G238" t="n">
        <v>1600</v>
      </c>
      <c r="H238" t="n">
        <v>1</v>
      </c>
      <c r="I238">
        <f>SUM(G238*H238)</f>
        <v/>
      </c>
      <c r="J238" t="inlineStr">
        <is>
          <t>✓ 一致（SKU）</t>
        </is>
      </c>
      <c r="K238" t="inlineStr">
        <is>
          <t>4987176233288</t>
        </is>
      </c>
    </row>
    <row r="239">
      <c r="A239" s="27" t="inlineStr">
        <is>
          <t>4987176241153</t>
        </is>
      </c>
      <c r="B239" s="27" t="inlineStr">
        <is>
          <t>b0cvxgygdw</t>
        </is>
      </c>
      <c r="C239" s="27" t="inlineStr">
        <is>
          <t>1153/1086</t>
        </is>
      </c>
      <c r="D239" s="27" t="inlineStr">
        <is>
          <t>b0cvxgygdw</t>
        </is>
      </c>
      <c r="E239" t="inlineStr">
        <is>
          <t>レノア オードリュクス 香り付け専用ビーズ マインドフルネス サンデー 本体(520ml) 部屋干し 雨の日 部屋 かろやか 香る きれい 清潔 衣類 静電気 防臭 抗菌 赤ちゃん ベビー 洗濯</t>
        </is>
      </c>
      <c r="F239" t="n">
        <v>1980</v>
      </c>
      <c r="G239" t="n">
        <v>1086</v>
      </c>
      <c r="H239" t="n">
        <v>24</v>
      </c>
      <c r="I239">
        <f>SUM(G239*H239)</f>
        <v/>
      </c>
      <c r="J239" t="inlineStr">
        <is>
          <t>✓ 一致（SKU）</t>
        </is>
      </c>
      <c r="K239" t="inlineStr">
        <is>
          <t>4987176241153</t>
        </is>
      </c>
    </row>
    <row r="240">
      <c r="A240" s="27" t="inlineStr">
        <is>
          <t>4987176241153</t>
        </is>
      </c>
      <c r="B240" s="27" t="inlineStr">
        <is>
          <t>b0cvxgygdw-1</t>
        </is>
      </c>
      <c r="C240" s="27" t="inlineStr">
        <is>
          <t>1153/1086</t>
        </is>
      </c>
      <c r="D240" s="27" t="inlineStr">
        <is>
          <t>B0CVXGYGDW-1</t>
        </is>
      </c>
      <c r="E240" t="inlineStr">
        <is>
          <t>Lenor レノア オードリュクス 香り付け専用ビーズ マインドフルネスシリーズ サンデー 本体 520mL×2個セット 部屋干し 雨の日 部屋 かろやか 香る きれい 清潔 衣類 静電気 防臭 抗菌 赤ちゃん ベビー 洗濯</t>
        </is>
      </c>
      <c r="F240" t="n">
        <v>2980</v>
      </c>
      <c r="G240" t="n">
        <v>1086</v>
      </c>
      <c r="H240" t="n">
        <v>5</v>
      </c>
      <c r="I240">
        <f>SUM(G240*H240)</f>
        <v/>
      </c>
      <c r="J240" t="inlineStr">
        <is>
          <t>✓ 一致（SKU）</t>
        </is>
      </c>
      <c r="K240" t="inlineStr">
        <is>
          <t>4987176241153</t>
        </is>
      </c>
    </row>
    <row r="241">
      <c r="A241" s="27" t="inlineStr">
        <is>
          <t>4987241193943</t>
        </is>
      </c>
      <c r="B241" s="27" t="inlineStr">
        <is>
          <t>b0cw3c9tyd</t>
        </is>
      </c>
      <c r="C241" s="27" t="inlineStr">
        <is>
          <t>3943,3967/1956</t>
        </is>
      </c>
      <c r="D241" s="27" t="inlineStr">
        <is>
          <t>b0cw3c9tyd</t>
        </is>
      </c>
      <c r="E241" t="inlineStr">
        <is>
          <t>デオコ スカルプケア シャンプー コンディショナー セット 450g＋450g うねり ケア 髪 ヘアケア ヘア</t>
        </is>
      </c>
      <c r="F241" t="n">
        <v>3980</v>
      </c>
      <c r="G241" t="n">
        <v>1956</v>
      </c>
      <c r="H241" t="n">
        <v>13</v>
      </c>
      <c r="I241">
        <f>SUM(G241*H241)</f>
        <v/>
      </c>
      <c r="J241" t="inlineStr">
        <is>
          <t>✓ 一致（SKU）</t>
        </is>
      </c>
      <c r="K241" t="inlineStr">
        <is>
          <t>4987241193943</t>
        </is>
      </c>
    </row>
    <row r="242">
      <c r="A242" s="27" t="inlineStr">
        <is>
          <t>7290114048101</t>
        </is>
      </c>
      <c r="B242" s="27" t="inlineStr">
        <is>
          <t>b0cxj4tsk8</t>
        </is>
      </c>
      <c r="C242" s="27" t="inlineStr">
        <is>
          <t>5995,8101/2915</t>
        </is>
      </c>
      <c r="D242" s="27" t="inlineStr">
        <is>
          <t>7290114048101</t>
        </is>
      </c>
      <c r="E242" t="inlineStr">
        <is>
          <t>サボン ボディスクラブ 600g(デリケートジャスミン・ラベンダーアップル) 化粧品 コスメ 体 ボディーケア ボディー</t>
        </is>
      </c>
      <c r="F242" t="n">
        <v>7780</v>
      </c>
      <c r="G242" t="n">
        <v>2915</v>
      </c>
      <c r="H242" t="n">
        <v>14</v>
      </c>
      <c r="I242">
        <f>SUM(G242*H242)</f>
        <v/>
      </c>
    </row>
    <row r="243">
      <c r="A243" s="27" t="inlineStr">
        <is>
          <t>7290114045995</t>
        </is>
      </c>
      <c r="B243" s="27" t="inlineStr">
        <is>
          <t>b0cxj4tsk8</t>
        </is>
      </c>
      <c r="C243" s="27" t="inlineStr">
        <is>
          <t>5995,8101/2915</t>
        </is>
      </c>
      <c r="D243" s="27" t="inlineStr">
        <is>
          <t>B0CXJ4TSK8</t>
        </is>
      </c>
      <c r="E243" t="inlineStr">
        <is>
          <t>サボン ボディスクラブ 600g(デリケートジャスミン・ラベンダーアップル) 化粧品 コスメ 体 ボディーケア ボディー</t>
        </is>
      </c>
      <c r="F243" t="n">
        <v>6980</v>
      </c>
      <c r="G243" t="n">
        <v>2915</v>
      </c>
      <c r="H243" t="n">
        <v>0</v>
      </c>
      <c r="I243">
        <f>SUM(G243*H243)</f>
        <v/>
      </c>
    </row>
    <row r="244">
      <c r="A244" s="27" t="inlineStr">
        <is>
          <t>4549777706761</t>
        </is>
      </c>
      <c r="B244" s="27" t="inlineStr">
        <is>
          <t>b0czpjdzv4</t>
        </is>
      </c>
      <c r="C244" s="27" t="inlineStr">
        <is>
          <t>6761/330</t>
        </is>
      </c>
      <c r="D244" s="27" t="inlineStr">
        <is>
          <t>b0czpjdzv4</t>
        </is>
      </c>
      <c r="E244" t="inlineStr">
        <is>
          <t>GOAT'S MILK ハンドソープ フォーミング 泡ハンドソープ スイートベビーパウダーの香り 600ml ハンドソープ 泡 手洗い</t>
        </is>
      </c>
      <c r="F244" t="n">
        <v>1980</v>
      </c>
      <c r="G244" t="n">
        <v>330</v>
      </c>
      <c r="H244" t="n">
        <v>7</v>
      </c>
      <c r="I244">
        <f>SUM(G244*H244)</f>
        <v/>
      </c>
    </row>
    <row r="245">
      <c r="A245" s="27" t="inlineStr">
        <is>
          <t>4987176244215</t>
        </is>
      </c>
      <c r="B245" s="27" t="inlineStr">
        <is>
          <t>b0czxfsh7d</t>
        </is>
      </c>
      <c r="C245" s="27" t="inlineStr">
        <is>
          <t>4215/460</t>
        </is>
      </c>
      <c r="D245" s="27" t="inlineStr">
        <is>
          <t>b0czxfsh7d</t>
        </is>
      </c>
      <c r="E245" t="inlineStr">
        <is>
          <t>アリエール MiRAi 洗濯洗剤 濃縮 漂白剤級の洗浄プラス* 詰め替え 約2.2倍/640g[タテ・ドラム式OK] 洗濯 洗剤 洗浄 抗菌</t>
        </is>
      </c>
      <c r="F245" t="n">
        <v>1280</v>
      </c>
      <c r="G245" t="n">
        <v>460</v>
      </c>
      <c r="H245" t="n">
        <v>10</v>
      </c>
      <c r="I245">
        <f>SUM(G245*H245)</f>
        <v/>
      </c>
    </row>
    <row r="246">
      <c r="A246" s="27" t="inlineStr">
        <is>
          <t>4987176244215</t>
        </is>
      </c>
      <c r="B246" s="27" t="inlineStr">
        <is>
          <t>b0czxfsh7d-1</t>
        </is>
      </c>
      <c r="C246" s="27" t="inlineStr">
        <is>
          <t>4215/920</t>
        </is>
      </c>
      <c r="D246" s="27" t="inlineStr">
        <is>
          <t>B0CZXFSH7D-1</t>
        </is>
      </c>
      <c r="E246" t="inlineStr">
        <is>
          <t>アリエール MiRAi 洗濯洗剤 濃縮 漂白剤級の洗浄プラス* 詰め替え 約2.2倍/640g×2個セット [タテ・ドラム式OK] 洗濯 洗剤 洗浄 抗菌</t>
        </is>
      </c>
      <c r="F246" t="n">
        <v>2480</v>
      </c>
      <c r="G246" t="n">
        <v>920</v>
      </c>
      <c r="H246" t="n">
        <v>20</v>
      </c>
      <c r="I246">
        <f>SUM(G246*H246)</f>
        <v/>
      </c>
    </row>
    <row r="247">
      <c r="A247" s="27" t="inlineStr">
        <is>
          <t>4987176244215</t>
        </is>
      </c>
      <c r="B247" s="27" t="inlineStr">
        <is>
          <t>b0czxfsh7d-2</t>
        </is>
      </c>
      <c r="C247" s="27" t="inlineStr">
        <is>
          <t>4215/1380</t>
        </is>
      </c>
      <c r="D247" s="27" t="inlineStr">
        <is>
          <t>B0CZXFSH7D-2</t>
        </is>
      </c>
      <c r="E247" t="inlineStr">
        <is>
          <t>アリエール MiRAi 洗濯洗剤 濃縮 漂白剤級の洗浄プラス* 詰め替え 約2.2倍/640g×3個セット [タテ・ドラム式OK] 洗濯 洗剤 洗浄 抗菌</t>
        </is>
      </c>
      <c r="F247" t="n">
        <v>3580</v>
      </c>
      <c r="G247" t="n">
        <v>1380</v>
      </c>
      <c r="H247" t="n">
        <v>8</v>
      </c>
      <c r="I247">
        <f>SUM(G247*H247)</f>
        <v/>
      </c>
    </row>
    <row r="248">
      <c r="A248" s="27" t="inlineStr">
        <is>
          <t>4988755067768</t>
        </is>
      </c>
      <c r="B248" s="27" t="inlineStr">
        <is>
          <t>b0d1q8zb4d</t>
        </is>
      </c>
      <c r="C248" s="27" t="inlineStr">
        <is>
          <t>7768/6752</t>
        </is>
      </c>
      <c r="D248" s="27" t="inlineStr">
        <is>
          <t>b0d1q8zb4d</t>
        </is>
      </c>
      <c r="E248" t="inlineStr">
        <is>
          <t>【国内正規品】玄人志向 NVMe SSD クローンスタンド USB3.2 Gen2 外付け M.2 SSDケース データ移行 高速10Gbps 最大4TB対応 KURO-DACHI CLONE NVMe</t>
        </is>
      </c>
      <c r="F248" t="n">
        <v>9980</v>
      </c>
      <c r="G248" t="n">
        <v>6752</v>
      </c>
      <c r="H248" t="n">
        <v>28</v>
      </c>
      <c r="I248">
        <f>SUM(G248*H248)</f>
        <v/>
      </c>
    </row>
    <row r="249">
      <c r="A249" s="27" t="inlineStr">
        <is>
          <t>4549995444964</t>
        </is>
      </c>
      <c r="B249" s="27" t="inlineStr">
        <is>
          <t>b0d3kthmt4</t>
        </is>
      </c>
      <c r="C249" s="27" t="inlineStr">
        <is>
          <t>4957,4971/9100</t>
        </is>
      </c>
      <c r="D249" s="27" t="inlineStr">
        <is>
          <t>B0D3KS9J6F</t>
        </is>
      </c>
      <c r="E249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F249" t="n">
        <v>13480</v>
      </c>
      <c r="G249" t="n">
        <v>9100</v>
      </c>
      <c r="H249" t="n">
        <v>0</v>
      </c>
      <c r="I249">
        <f>SUM(G249*H249)</f>
        <v/>
      </c>
    </row>
    <row r="250">
      <c r="A250" s="27" t="inlineStr">
        <is>
          <t>4549995444988</t>
        </is>
      </c>
      <c r="B250" s="27" t="inlineStr">
        <is>
          <t>b0d3kthmt4</t>
        </is>
      </c>
      <c r="C250" s="27" t="inlineStr">
        <is>
          <t>4957,4971/9100</t>
        </is>
      </c>
      <c r="D250" s="27" t="inlineStr">
        <is>
          <t>B0D3KSC8MK</t>
        </is>
      </c>
      <c r="E250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F250" t="n">
        <v>13480</v>
      </c>
      <c r="G250" t="n">
        <v>9100</v>
      </c>
      <c r="H250" t="n">
        <v>3</v>
      </c>
      <c r="I250">
        <f>SUM(G250*H250)</f>
        <v/>
      </c>
    </row>
    <row r="251">
      <c r="A251" s="27" t="inlineStr">
        <is>
          <t>4549995444957</t>
        </is>
      </c>
      <c r="B251" s="27" t="inlineStr">
        <is>
          <t>b0d3kthmt4</t>
        </is>
      </c>
      <c r="C251" s="27" t="inlineStr">
        <is>
          <t>4957,4971/9100</t>
        </is>
      </c>
      <c r="D251" s="27" t="inlineStr">
        <is>
          <t>B0D3KTHMT4</t>
        </is>
      </c>
      <c r="E251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F251" t="n">
        <v>13480</v>
      </c>
      <c r="G251" t="n">
        <v>9100</v>
      </c>
      <c r="H251" t="n">
        <v>0</v>
      </c>
      <c r="I251">
        <f>SUM(G251*H251)</f>
        <v/>
      </c>
    </row>
    <row r="252">
      <c r="A252" s="27" t="inlineStr">
        <is>
          <t>4549995444971</t>
        </is>
      </c>
      <c r="B252" s="27" t="inlineStr">
        <is>
          <t>b0d3kthmt4</t>
        </is>
      </c>
      <c r="C252" s="27" t="inlineStr">
        <is>
          <t>4957,4971/9100</t>
        </is>
      </c>
      <c r="D252" s="27" t="inlineStr">
        <is>
          <t>B0D3L1R7HD</t>
        </is>
      </c>
      <c r="E252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F252" t="n">
        <v>13480</v>
      </c>
      <c r="G252" t="n">
        <v>9100</v>
      </c>
      <c r="H252" t="n">
        <v>2</v>
      </c>
      <c r="I252">
        <f>SUM(G252*H252)</f>
        <v/>
      </c>
    </row>
    <row r="253">
      <c r="A253" s="27" t="inlineStr">
        <is>
          <t>0194644204709</t>
        </is>
      </c>
      <c r="B253" s="27" t="inlineStr">
        <is>
          <t>b0d7zlpsjg</t>
        </is>
      </c>
      <c r="C253" s="27" t="inlineStr">
        <is>
          <t>4324,4693,4709,4723/13990</t>
        </is>
      </c>
      <c r="D253" s="27" t="inlineStr">
        <is>
          <t>B0D7YT9MB2</t>
        </is>
      </c>
      <c r="E253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F253" t="n">
        <v>19800</v>
      </c>
      <c r="G253" t="n">
        <v>13990</v>
      </c>
      <c r="H253" t="n">
        <v>2</v>
      </c>
      <c r="I253">
        <f>SUM(G253*H253)</f>
        <v/>
      </c>
    </row>
    <row r="254">
      <c r="A254" s="27" t="inlineStr">
        <is>
          <t>0194644204723</t>
        </is>
      </c>
      <c r="B254" s="27" t="inlineStr">
        <is>
          <t>b0d7zlpsjg</t>
        </is>
      </c>
      <c r="C254" s="27" t="inlineStr">
        <is>
          <t>4324,4693,4709,4723/13990</t>
        </is>
      </c>
      <c r="D254" s="27" t="inlineStr">
        <is>
          <t>B0D7YTG5V2</t>
        </is>
      </c>
      <c r="E254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F254" t="n">
        <v>19800</v>
      </c>
      <c r="G254" t="n">
        <v>13990</v>
      </c>
      <c r="H254" t="n">
        <v>5</v>
      </c>
      <c r="I254">
        <f>SUM(G254*H254)</f>
        <v/>
      </c>
    </row>
    <row r="255">
      <c r="A255" s="27" t="inlineStr">
        <is>
          <t>0194644204624</t>
        </is>
      </c>
      <c r="B255" s="27" t="inlineStr">
        <is>
          <t>b0d7zlpsjg</t>
        </is>
      </c>
      <c r="C255" s="27" t="inlineStr">
        <is>
          <t>4324,4693,4709,4723/13990</t>
        </is>
      </c>
      <c r="D255" s="27" t="inlineStr">
        <is>
          <t>B0D7ZLPSJG</t>
        </is>
      </c>
      <c r="E255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F255" t="n">
        <v>19800</v>
      </c>
      <c r="G255" t="n">
        <v>13990</v>
      </c>
      <c r="H255" t="n">
        <v>1</v>
      </c>
      <c r="I255">
        <f>SUM(G255*H255)</f>
        <v/>
      </c>
    </row>
    <row r="256">
      <c r="A256" s="27" t="inlineStr">
        <is>
          <t>0194644204693</t>
        </is>
      </c>
      <c r="B256" s="27" t="inlineStr">
        <is>
          <t>b0d7zlpsjg</t>
        </is>
      </c>
      <c r="C256" s="27" t="inlineStr">
        <is>
          <t>4324,4693,4709,4723/13990</t>
        </is>
      </c>
      <c r="D256" s="27" t="inlineStr">
        <is>
          <t>B0D7ZMNRFY</t>
        </is>
      </c>
      <c r="E256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F256" t="n">
        <v>19800</v>
      </c>
      <c r="G256" t="n">
        <v>13990</v>
      </c>
      <c r="H256" t="n">
        <v>1</v>
      </c>
      <c r="I256">
        <f>SUM(G256*H256)</f>
        <v/>
      </c>
    </row>
    <row r="257">
      <c r="A257" s="27" t="inlineStr">
        <is>
          <t>0194644205706</t>
        </is>
      </c>
      <c r="B257" s="27" t="inlineStr">
        <is>
          <t>b0d8q93vmg</t>
        </is>
      </c>
      <c r="C257" s="27" t="inlineStr">
        <is>
          <t>5706/13355</t>
        </is>
      </c>
      <c r="D257" s="27" t="inlineStr">
        <is>
          <t>b0d8q93vmg</t>
        </is>
      </c>
      <c r="E257" t="inlineStr">
        <is>
          <t>Anker Prime Charger (250W, 6 Ports, GaN) (USB PD 充電器 USB-A &amp; USB-C) iPad iPhone 17シリーズ MacBook Android スマートフォン ノートPC 各種 その他機器対応</t>
        </is>
      </c>
      <c r="F257" t="n">
        <v>25980</v>
      </c>
      <c r="G257" t="n">
        <v>14990</v>
      </c>
      <c r="H257" t="n">
        <v>1</v>
      </c>
      <c r="I257">
        <f>SUM(G257*H257)</f>
        <v/>
      </c>
    </row>
    <row r="258">
      <c r="A258" s="27" t="inlineStr">
        <is>
          <t>4902806130607</t>
        </is>
      </c>
      <c r="B258" s="27" t="inlineStr">
        <is>
          <t>b0d9w4dwf5</t>
        </is>
      </c>
      <c r="C258" s="27" t="inlineStr">
        <is>
          <t>0607/1650</t>
        </is>
      </c>
      <c r="D258" s="27" t="inlineStr">
        <is>
          <t>b0d9w4dwf5</t>
        </is>
      </c>
      <c r="E258" t="inlineStr">
        <is>
          <t>フェイストレーニング ミネラルクリーム [ ライザップ 表情筋 トレーニング クリーム ]100g スキンケア ケア 顔 フェイス フェイストレーニング</t>
        </is>
      </c>
      <c r="F258" t="n">
        <v>3480</v>
      </c>
      <c r="G258" t="n">
        <v>1650</v>
      </c>
      <c r="H258" t="n">
        <v>1</v>
      </c>
      <c r="I258">
        <f>SUM(G258*H258)</f>
        <v/>
      </c>
      <c r="J258" t="inlineStr">
        <is>
          <t>✓ 一致（SKU）</t>
        </is>
      </c>
      <c r="K258" t="inlineStr">
        <is>
          <t>4902806130607</t>
        </is>
      </c>
    </row>
    <row r="259">
      <c r="A259" s="27" t="inlineStr">
        <is>
          <t>4901301437198</t>
        </is>
      </c>
      <c r="B259" s="27" t="inlineStr">
        <is>
          <t>b0d9zg3zkm</t>
        </is>
      </c>
      <c r="C259" s="27" t="inlineStr">
        <is>
          <t>8140,7198/398</t>
        </is>
      </c>
      <c r="D259" s="27" t="inlineStr">
        <is>
          <t>b0d9zg3zkm</t>
        </is>
      </c>
      <c r="E259" t="inlineStr">
        <is>
          <t>【セット品】花王 ハミングフレア リラックス ラベンダー&amp;ジャスミン 本体510mL＋詰替350mL セット 部屋干し 雨の日 部屋 かろやか 香る きれい 清潔 衣類 静電気 防臭 抗菌 赤ちゃん ベビー 洗濯</t>
        </is>
      </c>
      <c r="F259" t="n">
        <v>1480</v>
      </c>
      <c r="G259" t="n">
        <v>398</v>
      </c>
      <c r="H259" t="n">
        <v>4</v>
      </c>
      <c r="I259">
        <f>SUM(G259*H259)</f>
        <v/>
      </c>
      <c r="J259" t="inlineStr">
        <is>
          <t>✓ 一致（SKU）</t>
        </is>
      </c>
      <c r="K259" t="inlineStr">
        <is>
          <t>4901301437198</t>
        </is>
      </c>
    </row>
    <row r="260">
      <c r="A260" s="27" t="inlineStr">
        <is>
          <t>4901301441720</t>
        </is>
      </c>
      <c r="B260" s="27" t="inlineStr">
        <is>
          <t>b0d9znvl7q</t>
        </is>
      </c>
      <c r="C260" s="27" t="inlineStr">
        <is>
          <t>4901301441720</t>
        </is>
      </c>
      <c r="D260" s="27" t="inlineStr">
        <is>
          <t>B0DV57G9Z1</t>
        </is>
      </c>
      <c r="E260" t="inlineStr">
        <is>
          <t>花王 フレアフレグランス ハミングフレア リッチフローラル 本体 520ml 部屋干し 雨の日 部屋 かろやか 香る きれい 清潔 衣類 静電気 防臭 抗菌 赤ちゃん ベビー 洗濯</t>
        </is>
      </c>
      <c r="F260" t="n">
        <v>1280</v>
      </c>
      <c r="G260" t="n">
        <v>219</v>
      </c>
      <c r="H260" t="n">
        <v>8</v>
      </c>
      <c r="I260">
        <f>SUM(G260*H260)</f>
        <v/>
      </c>
    </row>
    <row r="261">
      <c r="A261" s="27" t="inlineStr">
        <is>
          <t>4969929259561</t>
        </is>
      </c>
      <c r="B261" s="27" t="inlineStr">
        <is>
          <t>b0dbqn8sl3</t>
        </is>
      </c>
      <c r="C261" s="27" t="inlineStr">
        <is>
          <t>0307.9561/37800</t>
        </is>
      </c>
      <c r="D261" s="27" t="inlineStr">
        <is>
          <t>B0CL4Q4RGS</t>
        </is>
      </c>
      <c r="E261" t="inlineStr">
        <is>
          <t>Bose QuietComfort Ultra Headphones LE 完全 ワイヤレス 空間オーディオ ヘッドホン ノイズキャンセリング Bluetooth接続 マイク付 最大24時間再生 急速充電 ルナブルー、サンドストーン</t>
        </is>
      </c>
      <c r="F261" t="n">
        <v>49800</v>
      </c>
      <c r="G261" t="n">
        <v>37800</v>
      </c>
      <c r="H261" t="n">
        <v>0</v>
      </c>
      <c r="I261">
        <f>SUM(G261*H261)</f>
        <v/>
      </c>
    </row>
    <row r="262">
      <c r="A262" s="27" t="inlineStr">
        <is>
          <t>4969929260307</t>
        </is>
      </c>
      <c r="B262" s="27" t="inlineStr">
        <is>
          <t>b0dbqn8sl3</t>
        </is>
      </c>
      <c r="C262" s="27" t="inlineStr">
        <is>
          <t>0307.9561/37800</t>
        </is>
      </c>
      <c r="D262" s="27" t="inlineStr">
        <is>
          <t>B0DBQN8SL3</t>
        </is>
      </c>
      <c r="E262" t="inlineStr">
        <is>
          <t>Bose QuietComfort Ultra Headphones LE 完全 ワイヤレス 空間オーディオ ヘッドホン ノイズキャンセリング Bluetooth接続 マイク付 最大24時間再生 急速充電 ルナブルー、サンドストーン</t>
        </is>
      </c>
      <c r="F262" t="n">
        <v>49800</v>
      </c>
      <c r="G262" t="n">
        <v>37800</v>
      </c>
      <c r="H262" t="n">
        <v>0</v>
      </c>
      <c r="I262">
        <f>SUM(G262*H262)</f>
        <v/>
      </c>
    </row>
    <row r="263">
      <c r="A263" s="27" t="inlineStr">
        <is>
          <t>4547410536317</t>
        </is>
      </c>
      <c r="B263" s="27" t="inlineStr">
        <is>
          <t>b0ddsypbwx</t>
        </is>
      </c>
      <c r="C263" s="27" t="inlineStr">
        <is>
          <t>6317/21950</t>
        </is>
      </c>
      <c r="D263" s="27" t="inlineStr">
        <is>
          <t>b0ddsypbwx</t>
        </is>
      </c>
      <c r="E263" t="inlineStr">
        <is>
          <t>富士フイルム(FUJIFILM) チェキ スマホプリンター instax mini Link3 ローズピンク (フィルム別売り） チェキ インスタント</t>
        </is>
      </c>
      <c r="F263" t="n">
        <v>14980</v>
      </c>
      <c r="G263" t="n">
        <v>21950</v>
      </c>
      <c r="H263" t="n">
        <v>4</v>
      </c>
      <c r="I263">
        <f>SUM(G263*H263)</f>
        <v/>
      </c>
      <c r="J263" t="inlineStr">
        <is>
          <t>✓ 一致（SKU）</t>
        </is>
      </c>
      <c r="K263" t="inlineStr">
        <is>
          <t>4547410536317</t>
        </is>
      </c>
    </row>
    <row r="264">
      <c r="A264" s="27" t="inlineStr">
        <is>
          <t>4550533130829</t>
        </is>
      </c>
      <c r="B264" s="27" t="inlineStr">
        <is>
          <t>b0dfbl4mqp</t>
        </is>
      </c>
      <c r="C264" s="27" t="inlineStr">
        <is>
          <t>0829/5904</t>
        </is>
      </c>
      <c r="D264" s="27" t="inlineStr">
        <is>
          <t>b0dfbl4mqp</t>
        </is>
      </c>
      <c r="E264" t="inlineStr">
        <is>
          <t>山善 電気毛布 どこでも電気着る毛布 くるみケット(USBタイプ) モカ YKPD-15 オーバー AIR コードレス 着るこたつ バッテリー別売</t>
        </is>
      </c>
      <c r="F264" t="n">
        <v>9980</v>
      </c>
      <c r="G264" t="n">
        <v>5904</v>
      </c>
      <c r="H264" t="n">
        <v>1</v>
      </c>
      <c r="I264">
        <f>SUM(G264*H264)</f>
        <v/>
      </c>
      <c r="J264" t="inlineStr">
        <is>
          <t>✓ 一致（SKU）</t>
        </is>
      </c>
      <c r="K264" t="inlineStr">
        <is>
          <t>4550533130829</t>
        </is>
      </c>
    </row>
    <row r="265">
      <c r="A265" s="27" t="inlineStr">
        <is>
          <t>9000278745000</t>
        </is>
      </c>
      <c r="B265" s="27" t="inlineStr">
        <is>
          <t>b0dfmgm2n9</t>
        </is>
      </c>
      <c r="C265" s="27" t="inlineStr">
        <is>
          <t>1415/828</t>
        </is>
      </c>
      <c r="D265" s="27" t="inlineStr">
        <is>
          <t>b0dfmgm2n9</t>
        </is>
      </c>
      <c r="E265" t="inlineStr">
        <is>
          <t>銀のスプーン お魚味クリーム どーにゃつ まぐろ入りチキン味 24g×5袋セット 猫 猫用 おやつ 国産 ドライ キャットフード 人気 まとめ買い</t>
        </is>
      </c>
      <c r="F265" t="n">
        <v>1480</v>
      </c>
      <c r="G265" t="n">
        <v>720</v>
      </c>
      <c r="H265" t="n">
        <v>2</v>
      </c>
      <c r="I265">
        <f>SUM(G265*H265)</f>
        <v/>
      </c>
      <c r="J265" t="inlineStr">
        <is>
          <t>✓ 一致（SKU）</t>
        </is>
      </c>
      <c r="K265" t="inlineStr">
        <is>
          <t>9000278745000</t>
        </is>
      </c>
    </row>
    <row r="266">
      <c r="A266" s="27" t="inlineStr">
        <is>
          <t>4550451259138</t>
        </is>
      </c>
      <c r="B266" s="27" t="inlineStr">
        <is>
          <t>b0dfpz82g5</t>
        </is>
      </c>
      <c r="C266" s="27" t="inlineStr">
        <is>
          <t>9138,5534,2238,9190,2436/2728</t>
        </is>
      </c>
      <c r="D266" s="27" t="inlineStr">
        <is>
          <t>b0dfpz82g5</t>
        </is>
      </c>
      <c r="E266" t="inlineStr">
        <is>
          <t>【セット品】うるちゅるポップシール 5種セット オバケーヌ エンジェルブルー2 トムとジェリー クロミ フワフワらびちゃん クラックス CRUX POP SEAL ぷっくり 立体 スマホデコ 推し活 デコシール キャラクターシール ステッカー アソートセット シール かわいい</t>
        </is>
      </c>
      <c r="F266" t="n">
        <v>4980</v>
      </c>
      <c r="G266" t="n">
        <v>2728</v>
      </c>
      <c r="H266" t="n">
        <v>2</v>
      </c>
      <c r="I266">
        <f>SUM(G266*H266)</f>
        <v/>
      </c>
      <c r="J266" t="inlineStr">
        <is>
          <t>✓ 一致（SKU）</t>
        </is>
      </c>
      <c r="K266" t="inlineStr">
        <is>
          <t>4550451259138</t>
        </is>
      </c>
    </row>
    <row r="267">
      <c r="A267" s="27" t="inlineStr">
        <is>
          <t>4710483949340</t>
        </is>
      </c>
      <c r="B267" s="27" t="inlineStr">
        <is>
          <t>b0dg4fk9hp</t>
        </is>
      </c>
      <c r="C267" s="27" t="inlineStr">
        <is>
          <t>9340/31980</t>
        </is>
      </c>
      <c r="D267" s="27" t="inlineStr">
        <is>
          <t>b0dg4fk9hp</t>
        </is>
      </c>
      <c r="E267" t="inlineStr">
        <is>
          <t>ASRock マザーボード X870 Steel Legend WiFi AMD Ryzen 9000 シリーズ CPU (Soket AM5) 対応 X870 チップセット ATX マザーボード</t>
        </is>
      </c>
      <c r="F267" t="n">
        <v>47800</v>
      </c>
      <c r="G267" t="n">
        <v>31980</v>
      </c>
      <c r="H267" t="n">
        <v>3</v>
      </c>
      <c r="I267">
        <f>SUM(G267*H267)</f>
        <v/>
      </c>
      <c r="J267" t="inlineStr">
        <is>
          <t>✓ 一致（SKU）</t>
        </is>
      </c>
      <c r="K267" t="inlineStr">
        <is>
          <t>4710483949340</t>
        </is>
      </c>
    </row>
    <row r="268">
      <c r="A268" s="27" t="inlineStr">
        <is>
          <t>4978951921391</t>
        </is>
      </c>
      <c r="B268" s="27" t="inlineStr">
        <is>
          <t>b0dh2hl1mv</t>
        </is>
      </c>
      <c r="C268" s="27" t="inlineStr">
        <is>
          <t>1391/1208</t>
        </is>
      </c>
      <c r="D268" s="27" t="inlineStr">
        <is>
          <t>b0dh2hl1mv</t>
        </is>
      </c>
      <c r="E268" t="inlineStr">
        <is>
          <t>ミツエイ フレグランスムスク FRAGRANCE MUSK 柔軟剤 洗濯用洗剤2袋セット キンモクセイの香り 2000ml つめかえ用 金木犀 詰め替え 部屋干し 雨の日 部屋 かろやか 香る きれい 清潔 衣類 静電気 防臭 抗菌 赤ちゃん ベビー 洗濯</t>
        </is>
      </c>
      <c r="F268" t="n">
        <v>3980</v>
      </c>
      <c r="G268" t="n">
        <v>1208</v>
      </c>
      <c r="H268" t="n">
        <v>5</v>
      </c>
      <c r="I268">
        <f>SUM(G268*H268)</f>
        <v/>
      </c>
      <c r="J268" t="inlineStr">
        <is>
          <t>✓ 一致（SKU）</t>
        </is>
      </c>
      <c r="K268" t="inlineStr">
        <is>
          <t>4978951921391</t>
        </is>
      </c>
    </row>
    <row r="269">
      <c r="A269" s="27" t="inlineStr">
        <is>
          <t>4902135147543</t>
        </is>
      </c>
      <c r="B269" s="27" t="inlineStr">
        <is>
          <t>b0dhjcr7yq</t>
        </is>
      </c>
      <c r="C269" s="27" t="inlineStr">
        <is>
          <t>7543/220</t>
        </is>
      </c>
      <c r="D269" s="27" t="inlineStr">
        <is>
          <t>B0DHJCR7YQ</t>
        </is>
      </c>
      <c r="E269" t="inlineStr">
        <is>
          <t>【2個セット】ファーファ ウォータリーブーケの香り 乾燥機対応 洗濯洗剤 液体洗剤 本体 400g×2個セット ウォータリーブーケの香り 自動投入対応 ドラム式対応 縮み防止対応 衣類ケア 洗濯用洗剤 大容量 ランドリー用品 日用品 ストック まとめ買い</t>
        </is>
      </c>
      <c r="F269" t="n">
        <v>2980</v>
      </c>
      <c r="G269" t="n">
        <v>220</v>
      </c>
      <c r="H269" t="n">
        <v>5</v>
      </c>
      <c r="I269">
        <f>SUM(G269*H269)</f>
        <v/>
      </c>
    </row>
    <row r="270">
      <c r="A270" s="27" t="inlineStr">
        <is>
          <t>4901133303845</t>
        </is>
      </c>
      <c r="B270" s="27" t="inlineStr">
        <is>
          <t>b0dhjqr9vv</t>
        </is>
      </c>
      <c r="C270" s="27" t="inlineStr">
        <is>
          <t>1192/1144</t>
        </is>
      </c>
      <c r="D270" s="27" t="inlineStr">
        <is>
          <t>b0dhjqr9vv</t>
        </is>
      </c>
      <c r="E270" t="inlineStr">
        <is>
          <t>チャオ (CIAO) CIAO (チャオ) こだわり焼かつおディナー 本格だし味 30g×16袋 (ボール販売) 焼かつお 猫 猫用 おやつ ゼリー ウェット キャットフード 人気 だし</t>
        </is>
      </c>
      <c r="F270" t="n">
        <v>2280</v>
      </c>
      <c r="G270" t="n">
        <v>1144</v>
      </c>
      <c r="H270" t="n">
        <v>1</v>
      </c>
      <c r="I270">
        <f>SUM(G270*H270)</f>
        <v/>
      </c>
      <c r="J270" t="inlineStr">
        <is>
          <t>✓ 一致（SKU）</t>
        </is>
      </c>
      <c r="K270" t="inlineStr">
        <is>
          <t>4901133303845</t>
        </is>
      </c>
    </row>
    <row r="271">
      <c r="A271" s="27" t="inlineStr">
        <is>
          <t>4987176260666</t>
        </is>
      </c>
      <c r="B271" s="27" t="inlineStr">
        <is>
          <t>b0dkjk26lh</t>
        </is>
      </c>
      <c r="C271" s="27" t="inlineStr">
        <is>
          <t>0666/1856</t>
        </is>
      </c>
      <c r="D271" s="27" t="inlineStr">
        <is>
          <t>B0DKJK26LH</t>
        </is>
      </c>
      <c r="E271" t="inlineStr">
        <is>
          <t>【2個セット】レノア リセット セラム ミネラルジャスミンの香り つめかえ 特大 750mL×2個セット 柔軟剤 詰め替え 大容量 衣類ケア シワ防止 ヨレ戻し 毛玉防止 ダメージケア 香り長続き 消臭 抗菌 部屋干し対応 衣類リセット P&amp;G まとめ買い</t>
        </is>
      </c>
      <c r="F271" t="n">
        <v>2980</v>
      </c>
      <c r="G271" t="n">
        <v>1856</v>
      </c>
      <c r="H271" t="n">
        <v>2</v>
      </c>
      <c r="I271">
        <f>SUM(G271*H271)</f>
        <v/>
      </c>
    </row>
    <row r="272">
      <c r="A272" s="27" t="inlineStr">
        <is>
          <t>4987176261267</t>
        </is>
      </c>
      <c r="B272" s="27" t="inlineStr">
        <is>
          <t>b0dkjk6hkh</t>
        </is>
      </c>
      <c r="C272" s="27" t="inlineStr">
        <is>
          <t>1267/981</t>
        </is>
      </c>
      <c r="D272" s="27" t="inlineStr">
        <is>
          <t>b0dkjk6hkh</t>
        </is>
      </c>
      <c r="E272" t="inlineStr">
        <is>
          <t>ファブリーズ 消臭スプレー 衣類・布製品用 速乾ジェット 無香料 詰め替え 320ml×3個セット</t>
        </is>
      </c>
      <c r="F272" t="n">
        <v>2780</v>
      </c>
      <c r="G272" t="n">
        <v>981</v>
      </c>
      <c r="H272" t="n">
        <v>16</v>
      </c>
      <c r="I272">
        <f>SUM(G272*H272)</f>
        <v/>
      </c>
      <c r="J272" t="inlineStr">
        <is>
          <t>✓ 一致（SKU）</t>
        </is>
      </c>
      <c r="K272" t="inlineStr">
        <is>
          <t>4987176261267</t>
        </is>
      </c>
    </row>
    <row r="273">
      <c r="A273" s="27" t="inlineStr">
        <is>
          <t>4901301438140</t>
        </is>
      </c>
      <c r="B273" s="27" t="inlineStr">
        <is>
          <t>b0dmnwc48r</t>
        </is>
      </c>
      <c r="C273" s="27" t="inlineStr">
        <is>
          <t>8140/199</t>
        </is>
      </c>
      <c r="D273" s="27" t="inlineStr">
        <is>
          <t>b0dmnwc48r</t>
        </is>
      </c>
      <c r="E273" t="inlineStr">
        <is>
          <t>花王 ハミングフレア リラックス ラベンダー＆ジャスミン つめかえ用 350ml×3個セット 部屋干し 雨の日 部屋 かろやか 香る きれい 清潔 衣類 静電気 防臭 抗菌 赤ちゃん ベビー 洗濯</t>
        </is>
      </c>
      <c r="F273" t="n">
        <v>1980</v>
      </c>
      <c r="G273" t="n">
        <v>199</v>
      </c>
      <c r="H273" t="n">
        <v>5</v>
      </c>
      <c r="I273">
        <f>SUM(G273*H273)</f>
        <v/>
      </c>
      <c r="J273" t="inlineStr">
        <is>
          <t>✓ 一致（SKU）</t>
        </is>
      </c>
      <c r="K273" t="inlineStr">
        <is>
          <t>4901301438140</t>
        </is>
      </c>
    </row>
    <row r="274">
      <c r="A274" s="27" t="inlineStr">
        <is>
          <t>4901301439154</t>
        </is>
      </c>
      <c r="B274" s="27" t="inlineStr">
        <is>
          <t>b0dmp16lqs</t>
        </is>
      </c>
      <c r="C274" s="27" t="inlineStr">
        <is>
          <t>9154/330</t>
        </is>
      </c>
      <c r="D274" s="27" t="inlineStr">
        <is>
          <t>b0dmp16lqs</t>
        </is>
      </c>
      <c r="E274" t="inlineStr">
        <is>
          <t>花王 ハミングフレア サボンデサボン 詰替 360ml×3個セット 部屋干し 雨の日 部屋 かろやか 香る きれい 清潔 衣類 静電気 防臭 抗菌 赤ちゃん ベビー 洗濯 まとめ買い</t>
        </is>
      </c>
      <c r="F274" t="n">
        <v>1980</v>
      </c>
      <c r="G274" t="n">
        <v>330</v>
      </c>
      <c r="H274" t="n">
        <v>5</v>
      </c>
      <c r="I274">
        <f>SUM(G274*H274)</f>
        <v/>
      </c>
      <c r="J274" t="inlineStr">
        <is>
          <t>✓ 一致（SKU）</t>
        </is>
      </c>
      <c r="K274" t="inlineStr">
        <is>
          <t>4901301439154</t>
        </is>
      </c>
    </row>
    <row r="275">
      <c r="A275" s="27" t="inlineStr">
        <is>
          <t>4520699694367</t>
        </is>
      </c>
      <c r="B275" s="27" t="inlineStr">
        <is>
          <t>b0dmrwrwrd</t>
        </is>
      </c>
      <c r="C275" s="27" t="inlineStr">
        <is>
          <t>4520699694367-2</t>
        </is>
      </c>
      <c r="D275" s="27" t="inlineStr">
        <is>
          <t>b0dmrwrwrd</t>
        </is>
      </c>
      <c r="E275" t="inlineStr">
        <is>
          <t>【セット品】銀のスプーン 三ツ星グルメ にっぽんSelect とろリッチ 2種のお魚味アソート 48g（6g×8本）×2コ 総合栄養食</t>
        </is>
      </c>
      <c r="F275" t="n">
        <v>799</v>
      </c>
      <c r="G275" t="n">
        <v>380</v>
      </c>
      <c r="H275" t="n">
        <v>98</v>
      </c>
      <c r="I275">
        <f>SUM(G275*H275)</f>
        <v/>
      </c>
    </row>
    <row r="276">
      <c r="A276" s="27" t="inlineStr">
        <is>
          <t>4902111780566</t>
        </is>
      </c>
      <c r="B276" s="27" t="inlineStr">
        <is>
          <t>b0dmz5q8r7</t>
        </is>
      </c>
      <c r="C276" s="27" t="inlineStr">
        <is>
          <t>2431,2448/1980</t>
        </is>
      </c>
      <c r="D276" s="27" t="inlineStr">
        <is>
          <t>B0DMZ5Q8R7</t>
        </is>
      </c>
      <c r="E276" t="inlineStr">
        <is>
          <t>【セット品】NEXXUS インテンスダメージリペア シャンプー+コンディショナー(トリートメント) 各440g ダメージ補修 うねりケア くせ毛 まとまり 広がり抑制 ヘアケア ネクサス サロン品質 しっとり 保湿 ツヤ髪 ダメージ集中補修 まとまり感アップ</t>
        </is>
      </c>
      <c r="F276" t="n">
        <v>4280</v>
      </c>
      <c r="G276" t="n">
        <v>1980</v>
      </c>
      <c r="H276" t="n">
        <v>2</v>
      </c>
      <c r="I276">
        <f>SUM(G276*H276)</f>
        <v/>
      </c>
    </row>
    <row r="277">
      <c r="A277" s="27" t="inlineStr">
        <is>
          <t>4908046850831</t>
        </is>
      </c>
      <c r="B277" s="27" t="inlineStr">
        <is>
          <t>b0dnjrzdt9</t>
        </is>
      </c>
      <c r="C277" s="27" t="inlineStr">
        <is>
          <t>0831/2873</t>
        </is>
      </c>
      <c r="D277" s="27" t="inlineStr">
        <is>
          <t>B07L9YL3X7</t>
        </is>
      </c>
      <c r="E277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F277" t="n">
        <v>4480</v>
      </c>
      <c r="G277" t="n">
        <v>2873</v>
      </c>
      <c r="H277" t="n">
        <v>8</v>
      </c>
      <c r="I277">
        <f>SUM(G277*H277)</f>
        <v/>
      </c>
    </row>
    <row r="278">
      <c r="A278" s="27" t="inlineStr">
        <is>
          <t>4908046850848</t>
        </is>
      </c>
      <c r="B278" s="27" t="inlineStr">
        <is>
          <t>b0dnjrzdt9</t>
        </is>
      </c>
      <c r="C278" s="27" t="inlineStr">
        <is>
          <t>0831/2873</t>
        </is>
      </c>
      <c r="D278" s="27" t="inlineStr">
        <is>
          <t>B07LB96PHR</t>
        </is>
      </c>
      <c r="E278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F278" t="n">
        <v>4980</v>
      </c>
      <c r="G278" t="n">
        <v>2880</v>
      </c>
      <c r="H278" t="n">
        <v>0</v>
      </c>
      <c r="I278">
        <f>SUM(G278*H278)</f>
        <v/>
      </c>
    </row>
    <row r="279">
      <c r="A279" s="27" t="inlineStr">
        <is>
          <t>4582738117022</t>
        </is>
      </c>
      <c r="B279" s="27" t="inlineStr">
        <is>
          <t>b0dnjrzdt9</t>
        </is>
      </c>
      <c r="C279" s="27" t="inlineStr">
        <is>
          <t>0831/2873</t>
        </is>
      </c>
      <c r="D279" s="27" t="inlineStr">
        <is>
          <t>B0D3X8KP3D</t>
        </is>
      </c>
      <c r="E279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F279" t="n">
        <v>4980</v>
      </c>
      <c r="G279" t="n">
        <v>2880</v>
      </c>
      <c r="H279" t="n">
        <v>0</v>
      </c>
      <c r="I279">
        <f>SUM(G279*H279)</f>
        <v/>
      </c>
    </row>
    <row r="280">
      <c r="A280" s="27" t="inlineStr">
        <is>
          <t>4571657201189</t>
        </is>
      </c>
      <c r="B280" s="27" t="inlineStr">
        <is>
          <t>b0dnjrzdt9</t>
        </is>
      </c>
      <c r="C280" s="27" t="inlineStr">
        <is>
          <t>0831/2873</t>
        </is>
      </c>
      <c r="D280" s="27" t="inlineStr">
        <is>
          <t>B0DNJRZDT9</t>
        </is>
      </c>
      <c r="E280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F280" t="n">
        <v>4980</v>
      </c>
      <c r="G280" t="n">
        <v>2880</v>
      </c>
      <c r="H280" t="n">
        <v>0</v>
      </c>
      <c r="I280">
        <f>SUM(G280*H280)</f>
        <v/>
      </c>
    </row>
    <row r="281">
      <c r="A281" s="27" t="inlineStr">
        <is>
          <t>4560191497165</t>
        </is>
      </c>
      <c r="B281" s="27" t="inlineStr">
        <is>
          <t>b0dnk11vxk</t>
        </is>
      </c>
      <c r="C281" s="27" t="n"/>
      <c r="D281" s="27" t="inlineStr">
        <is>
          <t>4560191497165</t>
        </is>
      </c>
      <c r="E281" t="inlineStr">
        <is>
          <t>【訳あり】メディジャム 犬 薬 飲ませる おやつ 投薬 投薬補助(カンガルー、うま、しか、ビーフ、チーズ) 各6g × 8本入</t>
        </is>
      </c>
      <c r="F281" t="n">
        <v>498</v>
      </c>
      <c r="G281" t="n">
        <v>0</v>
      </c>
      <c r="H281" t="n">
        <v>1</v>
      </c>
      <c r="I281">
        <f>SUM(G281*H281)</f>
        <v/>
      </c>
    </row>
    <row r="282">
      <c r="A282" s="27" t="inlineStr">
        <is>
          <t>4560191497172</t>
        </is>
      </c>
      <c r="B282" s="27" t="inlineStr">
        <is>
          <t>b0dnk11vxk</t>
        </is>
      </c>
      <c r="C282" s="27" t="n"/>
      <c r="D282" s="27" t="inlineStr">
        <is>
          <t>4560191497172</t>
        </is>
      </c>
      <c r="E282" t="inlineStr">
        <is>
          <t>【訳あり】メディジャム 犬 薬 飲ませる おやつ 投薬 投薬補助(カンガルー、うま、しか、ビーフ、チーズ) 各6g × 8本入</t>
        </is>
      </c>
      <c r="F282" t="n">
        <v>199</v>
      </c>
      <c r="G282" t="n">
        <v>0</v>
      </c>
      <c r="H282" t="n">
        <v>0</v>
      </c>
      <c r="I282">
        <f>SUM(G282*H282)</f>
        <v/>
      </c>
    </row>
    <row r="283">
      <c r="A283" s="27" t="inlineStr">
        <is>
          <t>4560191497189</t>
        </is>
      </c>
      <c r="B283" s="27" t="inlineStr">
        <is>
          <t>b0dnk11vxk</t>
        </is>
      </c>
      <c r="C283" s="27" t="n"/>
      <c r="D283" s="27" t="inlineStr">
        <is>
          <t>4560191497189</t>
        </is>
      </c>
      <c r="E283" t="inlineStr">
        <is>
          <t>【訳あり】メディジャム 犬 薬 飲ませる おやつ 投薬 投薬補助(カンガルー、うま、しか、ビーフ、チーズ) 各6g × 8本入</t>
        </is>
      </c>
      <c r="F283" t="n">
        <v>199</v>
      </c>
      <c r="G283" t="n">
        <v>0</v>
      </c>
      <c r="H283" t="n">
        <v>0</v>
      </c>
      <c r="I283">
        <f>SUM(G283*H283)</f>
        <v/>
      </c>
    </row>
    <row r="284">
      <c r="A284" s="27" t="inlineStr">
        <is>
          <t>4560191497196</t>
        </is>
      </c>
      <c r="B284" s="27" t="inlineStr">
        <is>
          <t>b0dnk11vxk</t>
        </is>
      </c>
      <c r="C284" s="27" t="n"/>
      <c r="D284" s="27" t="inlineStr">
        <is>
          <t>4560191497196</t>
        </is>
      </c>
      <c r="E284" t="inlineStr">
        <is>
          <t>【訳あり】メディジャム 犬 薬 飲ませる おやつ 投薬 投薬補助(カンガルー、うま、しか、ビーフ、チーズ) 各6g × 8本入</t>
        </is>
      </c>
      <c r="F284" t="n">
        <v>498</v>
      </c>
      <c r="G284" t="n">
        <v>0</v>
      </c>
      <c r="H284" t="n">
        <v>2</v>
      </c>
      <c r="I284">
        <f>SUM(G284*H284)</f>
        <v/>
      </c>
    </row>
    <row r="285">
      <c r="A285" s="27" t="inlineStr">
        <is>
          <t>4560191498438</t>
        </is>
      </c>
      <c r="B285" s="27" t="inlineStr">
        <is>
          <t>b0dnk11vxk</t>
        </is>
      </c>
      <c r="C285" s="27" t="n"/>
      <c r="D285" s="27" t="inlineStr">
        <is>
          <t>4560191498438</t>
        </is>
      </c>
      <c r="E285" t="inlineStr">
        <is>
          <t>【訳あり】メディジャム 犬 薬 飲ませる おやつ 投薬 投薬補助(カンガルー、うま、しか、ビーフ、チーズ) 各6g × 8本入</t>
        </is>
      </c>
      <c r="F285" t="n">
        <v>498</v>
      </c>
      <c r="G285" t="n">
        <v>0</v>
      </c>
      <c r="H285" t="n">
        <v>0</v>
      </c>
      <c r="I285">
        <f>SUM(G285*H285)</f>
        <v/>
      </c>
    </row>
    <row r="286">
      <c r="A286" s="27" t="inlineStr">
        <is>
          <t>0194644226954</t>
        </is>
      </c>
      <c r="B286" s="27" t="inlineStr">
        <is>
          <t>b0dnlr2nyn</t>
        </is>
      </c>
      <c r="C286" s="27" t="inlineStr">
        <is>
          <t>6954,6947/4990,4990</t>
        </is>
      </c>
      <c r="D286" s="27" t="inlineStr">
        <is>
          <t>B0DNLR2NYN</t>
        </is>
      </c>
      <c r="E286" t="inlineStr">
        <is>
          <t>Anker Nano Power Bank (10000mAh, 45W, 巻取り式 USB-Cケーブル) 10000mAh ホワイト ブラック 45W出力 LEDディスプレイ搭載 USB-Cケーブル一体型 巻取り式ケーブル iPhone iPhoneAir Android iPad その他各種機器対応</t>
        </is>
      </c>
      <c r="F286" t="n">
        <v>7480</v>
      </c>
      <c r="G286" t="n">
        <v>4990</v>
      </c>
      <c r="H286" t="n">
        <v>4</v>
      </c>
      <c r="I286">
        <f>SUM(G286*H286)</f>
        <v/>
      </c>
    </row>
    <row r="287">
      <c r="A287" s="27" t="inlineStr">
        <is>
          <t>0194644226947</t>
        </is>
      </c>
      <c r="B287" s="27" t="inlineStr">
        <is>
          <t>b0dnlr2nyn</t>
        </is>
      </c>
      <c r="C287" s="27" t="inlineStr">
        <is>
          <t>6954,6947/4990,4990</t>
        </is>
      </c>
      <c r="D287" s="27" t="inlineStr">
        <is>
          <t>B0DNLVY85L</t>
        </is>
      </c>
      <c r="E287" t="inlineStr">
        <is>
          <t>Anker Nano Power Bank (10000mAh, 45W, 巻取り式 USB-Cケーブル) 10000mAh ホワイト ブラック 45W出力 LEDディスプレイ搭載 USB-Cケーブル一体型 巻取り式ケーブル iPhone iPhoneAir Android iPad その他各種機器対応</t>
        </is>
      </c>
      <c r="F287" t="n">
        <v>7480</v>
      </c>
      <c r="G287" t="n">
        <v>4990</v>
      </c>
      <c r="H287" t="n">
        <v>1</v>
      </c>
      <c r="I287">
        <f>SUM(G287*H287)</f>
        <v/>
      </c>
    </row>
    <row r="288">
      <c r="A288" s="27" t="inlineStr">
        <is>
          <t>4520699635674</t>
        </is>
      </c>
      <c r="B288" s="27" t="inlineStr">
        <is>
          <t>b0dpfkqck7</t>
        </is>
      </c>
      <c r="C288" s="27" t="inlineStr">
        <is>
          <t>4520699635674 -2</t>
        </is>
      </c>
      <c r="D288" s="27" t="inlineStr">
        <is>
          <t>b0dmrwrwrd</t>
        </is>
      </c>
      <c r="E288" t="inlineStr">
        <is>
          <t>【セット品】銀のスプーン 三ツ星グルメ にっぽんSelect とろリッチ 2種のアソート 48g（6g×8本）×2コ</t>
        </is>
      </c>
      <c r="F288" t="n">
        <v>799</v>
      </c>
      <c r="G288" t="n">
        <v>320</v>
      </c>
      <c r="H288" t="n">
        <v>10</v>
      </c>
      <c r="I288">
        <f>SUM(G288*H288)</f>
        <v/>
      </c>
    </row>
    <row r="289">
      <c r="A289" s="27" t="inlineStr">
        <is>
          <t>4903301366959</t>
        </is>
      </c>
      <c r="B289" s="27" t="inlineStr">
        <is>
          <t>b0dq55rncd</t>
        </is>
      </c>
      <c r="C289" s="27" t="inlineStr">
        <is>
          <t>4903301366959-2</t>
        </is>
      </c>
      <c r="D289" s="27" t="inlineStr">
        <is>
          <t>b0dq55rncd</t>
        </is>
      </c>
      <c r="E289" t="inlineStr">
        <is>
          <t>ソフラン アロマリッチ 柔軟剤 金木犀の香り つめかえ用 950ml×2 特大容量 部屋干し 雨の日 部屋 かろやか 香る きれい 清潔 衣類 防臭 抗菌 金木犀 洗濯</t>
        </is>
      </c>
      <c r="F289" t="n">
        <v>2480</v>
      </c>
      <c r="G289" t="n">
        <v>876</v>
      </c>
      <c r="H289" t="n">
        <v>1</v>
      </c>
      <c r="I289">
        <f>SUM(G289*H289)</f>
        <v/>
      </c>
      <c r="J289" t="inlineStr">
        <is>
          <t>✓ 一致（SKU）</t>
        </is>
      </c>
      <c r="K289" t="inlineStr">
        <is>
          <t>4903301366959</t>
        </is>
      </c>
    </row>
    <row r="290">
      <c r="A290" s="27" t="inlineStr">
        <is>
          <t>4970501033592</t>
        </is>
      </c>
      <c r="B290" s="27" t="inlineStr">
        <is>
          <t>b0dq7vk36r</t>
        </is>
      </c>
      <c r="C290" s="27" t="inlineStr">
        <is>
          <t>3585,3592/624</t>
        </is>
      </c>
      <c r="D290" s="27" t="inlineStr">
        <is>
          <t>b0dq7vk36r</t>
        </is>
      </c>
      <c r="E290" t="inlineStr">
        <is>
          <t>【セット品】デビフ おさんぽくん 犬 おやつ 60g(15g×4袋)×4袋セット ササミ 鶏肉 レバー 国産 犬用おやつ 小分け ご褒美 トレーニング 散歩 dbf アソート</t>
        </is>
      </c>
      <c r="F290" t="n">
        <v>1480</v>
      </c>
      <c r="G290" t="n">
        <v>624</v>
      </c>
      <c r="H290" t="n">
        <v>3</v>
      </c>
      <c r="I290">
        <f>SUM(G290*H290)</f>
        <v/>
      </c>
    </row>
    <row r="291">
      <c r="A291" s="27" t="inlineStr">
        <is>
          <t>4987176286260</t>
        </is>
      </c>
      <c r="B291" s="27" t="inlineStr">
        <is>
          <t>b0dqxmpx2g</t>
        </is>
      </c>
      <c r="C291" s="27" t="inlineStr">
        <is>
          <t>6260/436</t>
        </is>
      </c>
      <c r="D291" s="27" t="inlineStr">
        <is>
          <t>b0dqxmpx2g</t>
        </is>
      </c>
      <c r="E291" t="inlineStr">
        <is>
          <t>【2個セット】ファブリーズ W除菌+消臭スプレー 衣類・布製品用 ほのかな緑茶の香り 本体 370mL×2個セット P&amp;G 布用消臭剤 除菌スプレー シワ取り 衣類 ソファ カーテン クッション 布団 枕 ラグ タバコ臭 汗臭 食べ物臭 ニオイ対策 清潔ケア 日用品 まとめ買い ストック</t>
        </is>
      </c>
      <c r="F291" t="n">
        <v>1980</v>
      </c>
      <c r="G291" t="n">
        <v>436</v>
      </c>
      <c r="H291" t="n">
        <v>5</v>
      </c>
      <c r="I291">
        <f>SUM(G291*H291)</f>
        <v/>
      </c>
      <c r="J291" t="inlineStr">
        <is>
          <t>✓ 一致（SKU）</t>
        </is>
      </c>
      <c r="K291" t="inlineStr">
        <is>
          <t>4987176286260</t>
        </is>
      </c>
    </row>
    <row r="292">
      <c r="A292" s="27" t="inlineStr">
        <is>
          <t>4987176286307</t>
        </is>
      </c>
      <c r="B292" s="27" t="inlineStr">
        <is>
          <t>b0dqxrwnzc</t>
        </is>
      </c>
      <c r="C292" s="27" t="inlineStr">
        <is>
          <t>4987176286307-2</t>
        </is>
      </c>
      <c r="D292" s="27" t="inlineStr">
        <is>
          <t>b0dqxrwnzc</t>
        </is>
      </c>
      <c r="E292" t="inlineStr">
        <is>
          <t>【2個セット】ファブリーズ W除菌+消臭スプレー 衣類・布製品用 香りが残らない 本体 370mL×2個セット P&amp;G 布用消臭剤 除菌スプレー ウイルス除去 シワ取り 衣類 ソファ カーテン クッション 布団 枕 ラグ タバコ臭 汗臭 食べ物臭 消臭対策 日用品 まとめ買い ストック</t>
        </is>
      </c>
      <c r="F292" t="n">
        <v>1980</v>
      </c>
      <c r="G292" t="n">
        <v>436</v>
      </c>
      <c r="H292" t="n">
        <v>12</v>
      </c>
      <c r="I292">
        <f>SUM(G292*H292)</f>
        <v/>
      </c>
      <c r="J292" t="inlineStr">
        <is>
          <t>✓ 一致（SKU）</t>
        </is>
      </c>
      <c r="K292" t="inlineStr">
        <is>
          <t>4987176286307</t>
        </is>
      </c>
    </row>
    <row r="293">
      <c r="A293" s="27" t="inlineStr">
        <is>
          <t>0190021133402</t>
        </is>
      </c>
      <c r="B293" s="27" t="inlineStr">
        <is>
          <t>b0ds2b3p2b</t>
        </is>
      </c>
      <c r="C293" s="27" t="inlineStr">
        <is>
          <t>32780</t>
        </is>
      </c>
      <c r="D293" s="27" t="inlineStr">
        <is>
          <t>b0ds2b3p2b</t>
        </is>
      </c>
      <c r="E293" t="inlineStr">
        <is>
          <t>DJI アクションカメラ Osmo Action 4 エッセンシャルコンボ 4K/120fps対応 防水アクションカメラ 1/1.3インチセンサー搭載 驚きの低照度性能 10-bit &amp; D-Log M カラーパフォーマンス 長時間駆動の1770 mAhバッテリー カメラ 防水</t>
        </is>
      </c>
      <c r="F293" t="n">
        <v>34800</v>
      </c>
      <c r="G293" t="n">
        <v>32780</v>
      </c>
      <c r="H293" t="n">
        <v>3</v>
      </c>
      <c r="I293">
        <f>SUM(G293*H293)</f>
        <v/>
      </c>
      <c r="J293" t="inlineStr">
        <is>
          <t>✓ 一致（SKU）</t>
        </is>
      </c>
      <c r="K293" t="inlineStr">
        <is>
          <t>0190021133402</t>
        </is>
      </c>
    </row>
    <row r="294">
      <c r="A294" s="27" t="inlineStr">
        <is>
          <t>4901301450173</t>
        </is>
      </c>
      <c r="B294" s="27" t="inlineStr">
        <is>
          <t>b0ds7s7p82</t>
        </is>
      </c>
      <c r="C294" s="27" t="inlineStr">
        <is>
          <t>747,690</t>
        </is>
      </c>
      <c r="D294" s="27" t="inlineStr">
        <is>
          <t>B0DS7S7P82</t>
        </is>
      </c>
      <c r="E294" t="inlineStr">
        <is>
          <t>Biore ビオレ UV アクアリッチ ライトアップ エッセンス、ウォータリーエッセンス 100g 日焼け止め SPF50 夏</t>
        </is>
      </c>
      <c r="F294" t="n">
        <v>1580</v>
      </c>
      <c r="G294" t="n">
        <v>747</v>
      </c>
      <c r="H294" t="n">
        <v>1</v>
      </c>
      <c r="I294">
        <f>SUM(G294*H294)</f>
        <v/>
      </c>
    </row>
    <row r="295">
      <c r="A295" s="27" t="inlineStr">
        <is>
          <t>4901301450180</t>
        </is>
      </c>
      <c r="B295" s="27" t="inlineStr">
        <is>
          <t>b0ds7s7p82</t>
        </is>
      </c>
      <c r="C295" s="27" t="inlineStr">
        <is>
          <t>747,690</t>
        </is>
      </c>
      <c r="D295" s="27" t="inlineStr">
        <is>
          <t>B0DS7WX8QS</t>
        </is>
      </c>
      <c r="E295" t="inlineStr">
        <is>
          <t>Biore ビオレ UV アクアリッチ ライトアップ エッセンス、ウォータリーエッセンス 100g 日焼け止め SPF50 夏</t>
        </is>
      </c>
      <c r="F295" t="n">
        <v>1580</v>
      </c>
      <c r="G295" t="n">
        <v>690</v>
      </c>
      <c r="H295" t="n">
        <v>6</v>
      </c>
      <c r="I295">
        <f>SUM(G295*H295)</f>
        <v/>
      </c>
    </row>
    <row r="296">
      <c r="A296" s="27" t="inlineStr">
        <is>
          <t>4987241196432</t>
        </is>
      </c>
      <c r="B296" s="27" t="inlineStr">
        <is>
          <t>b0dt4gr197</t>
        </is>
      </c>
      <c r="C296" s="27" t="inlineStr">
        <is>
          <t>6432/1641</t>
        </is>
      </c>
      <c r="D296" s="27" t="inlineStr">
        <is>
          <t>b0dt4gr197</t>
        </is>
      </c>
      <c r="E296" t="inlineStr">
        <is>
          <t>スキンアクア(SKIN AQUA) トーンアップ UV エッセンス 日焼け止め 透明感 色白感UP ブルー 80g×3個セット SPF50+ PA++++</t>
        </is>
      </c>
      <c r="F296" t="n">
        <v>2980</v>
      </c>
      <c r="G296" t="n">
        <v>1641</v>
      </c>
      <c r="H296" t="n">
        <v>8</v>
      </c>
      <c r="I296">
        <f>SUM(G296*H296)</f>
        <v/>
      </c>
      <c r="J296" t="inlineStr">
        <is>
          <t>✓ 一致（SKU）</t>
        </is>
      </c>
      <c r="K296" t="inlineStr">
        <is>
          <t>4987241196432</t>
        </is>
      </c>
    </row>
    <row r="297">
      <c r="A297" s="27" t="inlineStr">
        <is>
          <t>4901301447883</t>
        </is>
      </c>
      <c r="B297" s="27" t="inlineStr">
        <is>
          <t>b0dtykkwgn</t>
        </is>
      </c>
      <c r="C297" s="27" t="inlineStr">
        <is>
          <t>7883/2328</t>
        </is>
      </c>
      <c r="D297" s="27" t="inlineStr">
        <is>
          <t>b0dtykkwgn</t>
        </is>
      </c>
      <c r="E297" t="inlineStr">
        <is>
          <t>【2個セット】ビオレ ザ クレンズ オイルミスト メイク落とし つめかえ用 180mL×2個セット Bior? 花王 クレンジング オイルミスト メイク メイク落とし 洗顔 スキンケア 角質 W洗顔不要 濡れた手OK まつエク対応 詰替え用 まとめ買い ストック 化粧 ミスト クレンジング</t>
        </is>
      </c>
      <c r="F297" t="n">
        <v>3980</v>
      </c>
      <c r="G297" t="n">
        <v>2328</v>
      </c>
      <c r="H297" t="n">
        <v>13</v>
      </c>
      <c r="I297">
        <f>SUM(G297*H297)</f>
        <v/>
      </c>
      <c r="J297" t="inlineStr">
        <is>
          <t>✓ 一致（SKU）</t>
        </is>
      </c>
      <c r="K297" t="inlineStr">
        <is>
          <t>4901301447883</t>
        </is>
      </c>
    </row>
    <row r="298">
      <c r="A298" s="27" t="inlineStr">
        <is>
          <t>4571648684465</t>
        </is>
      </c>
      <c r="B298" s="27" t="inlineStr">
        <is>
          <t>b0dv35n5cc</t>
        </is>
      </c>
      <c r="C298" s="27" t="inlineStr">
        <is>
          <t>4465/9980</t>
        </is>
      </c>
      <c r="D298" s="27" t="inlineStr">
        <is>
          <t>b0dv35n5cc</t>
        </is>
      </c>
      <c r="E298" t="inlineStr">
        <is>
          <t>BURTLE バートル アイスクラフト ベスト＆ペルチェセット ブラック 冷却ウェア 電動冷却ベスト ペルチェ式 首元冷却 背中冷却 夏用 作業服対応 熱中症対策 屋外作業 男女兼用</t>
        </is>
      </c>
      <c r="F298" t="n">
        <v>19800</v>
      </c>
      <c r="G298" t="n">
        <v>9980</v>
      </c>
      <c r="H298" t="n">
        <v>3</v>
      </c>
      <c r="I298">
        <f>SUM(G298*H298)</f>
        <v/>
      </c>
      <c r="J298" t="inlineStr">
        <is>
          <t>✓ 一致（SKU）</t>
        </is>
      </c>
      <c r="K298" t="inlineStr">
        <is>
          <t>4571648684465</t>
        </is>
      </c>
    </row>
    <row r="299">
      <c r="A299" s="27" t="inlineStr">
        <is>
          <t>4902407025166</t>
        </is>
      </c>
      <c r="B299" s="27" t="inlineStr">
        <is>
          <t>b0dwfmjjwh</t>
        </is>
      </c>
      <c r="C299" s="27" t="inlineStr">
        <is>
          <t>5166/2067</t>
        </is>
      </c>
      <c r="D299" s="27" t="inlineStr">
        <is>
          <t>b0dwfmjjwh</t>
        </is>
      </c>
      <c r="E299" t="inlineStr">
        <is>
          <t>【3個セット】アイスノン ICE KING 極冷えボディミスト 金木犀の香り 詰替用 140mL×3個セット 冷感ミスト ボディスプレー 冷却スプレー ひんやり メントール配合 暑さ対策 熱中対策 猛暑対策 通勤 通学 スポーツ アウトドア 日本製 白元アース</t>
        </is>
      </c>
      <c r="F299" t="n">
        <v>2980</v>
      </c>
      <c r="G299" t="n">
        <v>2067</v>
      </c>
      <c r="H299" t="n">
        <v>2</v>
      </c>
      <c r="I299">
        <f>SUM(G299*H299)</f>
        <v/>
      </c>
      <c r="J299" t="inlineStr">
        <is>
          <t>✓ 一致（SKU）</t>
        </is>
      </c>
      <c r="K299" t="inlineStr">
        <is>
          <t>4902407025166</t>
        </is>
      </c>
    </row>
    <row r="300">
      <c r="A300" s="27" t="inlineStr">
        <is>
          <t>0194644233532</t>
        </is>
      </c>
      <c r="B300" s="27" t="inlineStr">
        <is>
          <t>b0dwmpnclc-1</t>
        </is>
      </c>
      <c r="C300" s="27" t="inlineStr">
        <is>
          <t>0194644233532</t>
        </is>
      </c>
      <c r="D300" s="27" t="inlineStr">
        <is>
          <t>B0DWMPNCLC-1</t>
        </is>
      </c>
      <c r="E300" t="inlineStr">
        <is>
          <t>Anker Eufy SmartTrack Card E30 スマートタグ 紛失防止トラッカー カード型 充電式 財布用 忘れ物防止 Apple探す対応 iPhone対応 Bluetoothトラッカー 薄型 軽量 防水 盗難防止 紛失対策 探し物 財布 紛失発見 スマホを探す 持ち物管理 コンパクト ユーフィ</t>
        </is>
      </c>
      <c r="F300" t="n">
        <v>5280</v>
      </c>
      <c r="G300" t="n">
        <v>3590</v>
      </c>
      <c r="H300" t="n">
        <v>2</v>
      </c>
      <c r="I300">
        <f>SUM(G300*H300)</f>
        <v/>
      </c>
      <c r="J300" t="inlineStr">
        <is>
          <t>✓ 一致（SKU）</t>
        </is>
      </c>
      <c r="K300" t="inlineStr">
        <is>
          <t>0194644233532</t>
        </is>
      </c>
    </row>
    <row r="301">
      <c r="A301" s="27" t="inlineStr">
        <is>
          <t>0194644236243</t>
        </is>
      </c>
      <c r="B301" s="27" t="inlineStr">
        <is>
          <t>b0f1mm3fm6</t>
        </is>
      </c>
      <c r="C301" s="27" t="inlineStr">
        <is>
          <t>1013/3690</t>
        </is>
      </c>
      <c r="D301" s="27" t="inlineStr">
        <is>
          <t>b0f1mm3fm6</t>
        </is>
      </c>
      <c r="E301" t="inlineStr">
        <is>
          <t>Anker Nano USB-C ハブ 7-in-1 HDMI 4K 60Hz USB-A PD対応 Type-C ハブ MacBook iPad Windows対応 ドッキングステーション 高速データ転送 ノートPC 拡張アダプタ 映像出力 USBハブ コンパクト 軽量 テレワーク 在宅勤務 会議 持ち運び便利</t>
        </is>
      </c>
      <c r="F301" t="n">
        <v>6780</v>
      </c>
      <c r="G301" t="n">
        <v>3690</v>
      </c>
      <c r="H301" t="n">
        <v>7</v>
      </c>
      <c r="I301">
        <f>SUM(G301*H301)</f>
        <v/>
      </c>
      <c r="J301" t="inlineStr">
        <is>
          <t>✓ 一致（SKU）</t>
        </is>
      </c>
      <c r="K301" t="inlineStr">
        <is>
          <t>0194644236243</t>
        </is>
      </c>
    </row>
    <row r="302">
      <c r="A302" s="27" t="inlineStr">
        <is>
          <t>4582210598141</t>
        </is>
      </c>
      <c r="B302" s="27" t="inlineStr">
        <is>
          <t>b0f1mv5vdx</t>
        </is>
      </c>
      <c r="C302" s="27" t="inlineStr">
        <is>
          <t>8141/429</t>
        </is>
      </c>
      <c r="D302" s="27" t="inlineStr">
        <is>
          <t>b0f1mv5vdx</t>
        </is>
      </c>
      <c r="E302" t="inlineStr">
        <is>
          <t>ミニサイズ 歯磨き堂 薬用 フレッシュ ペースト フレッシュミント味 20g 【医薬部外品】 口臭予防 口臭ケア 美白 知覚過敏 歯磨き粉 携帯用</t>
        </is>
      </c>
      <c r="F302" t="n">
        <v>1280</v>
      </c>
      <c r="G302" t="n">
        <v>429</v>
      </c>
      <c r="H302" t="n">
        <v>6</v>
      </c>
      <c r="I302">
        <f>SUM(G302*H302)</f>
        <v/>
      </c>
      <c r="J302" t="inlineStr">
        <is>
          <t>✓ 一致（SKU）</t>
        </is>
      </c>
      <c r="K302" t="inlineStr">
        <is>
          <t>4582210598141</t>
        </is>
      </c>
    </row>
    <row r="303">
      <c r="A303" s="27" t="inlineStr">
        <is>
          <t>4547410550955</t>
        </is>
      </c>
      <c r="B303" s="27" t="inlineStr">
        <is>
          <t>b0f1slwhqg</t>
        </is>
      </c>
      <c r="C303" s="27" t="inlineStr">
        <is>
          <t>4547410550955-3</t>
        </is>
      </c>
      <c r="D303" s="27" t="inlineStr">
        <is>
          <t>b0f1slwhqg</t>
        </is>
      </c>
      <c r="E303" t="inlineStr">
        <is>
          <t>富士フイルム(FUJIFILM) フジカラーレンズ付フィルム 写ルンです スタンダードタイプ 3個セット 27枚撮り LF JDV1 SP FL 27SH 1 まとめ買い</t>
        </is>
      </c>
      <c r="F303" t="n">
        <v>9980</v>
      </c>
      <c r="G303" t="n">
        <v>7794</v>
      </c>
      <c r="H303" t="n">
        <v>2</v>
      </c>
      <c r="I303">
        <f>SUM(G303*H303)</f>
        <v/>
      </c>
      <c r="J303" t="inlineStr">
        <is>
          <t>✓ 一致（SKU）</t>
        </is>
      </c>
      <c r="K303" t="inlineStr">
        <is>
          <t>4547410550955</t>
        </is>
      </c>
    </row>
    <row r="304">
      <c r="A304" s="27" t="inlineStr">
        <is>
          <t>0194644236601</t>
        </is>
      </c>
      <c r="B304" s="27" t="inlineStr">
        <is>
          <t>b0f24ggf3z</t>
        </is>
      </c>
      <c r="C304" s="27" t="inlineStr">
        <is>
          <t>6601/7990</t>
        </is>
      </c>
      <c r="D304" s="27" t="inlineStr">
        <is>
          <t>b0f24ggf3z</t>
        </is>
      </c>
      <c r="E304" t="inlineStr">
        <is>
          <t>Anker Soundcore P41i (Bluetooth 5.3) 【モバイルバッテリー搭載完全ワイヤレスイヤホン/ウルトラノイズキャンセリング 2.0 / マルチポイント接続 / 最大192時間再生 / PSE技術基準適合】ブラック</t>
        </is>
      </c>
      <c r="F304" t="n">
        <v>12980</v>
      </c>
      <c r="G304" t="n">
        <v>7990</v>
      </c>
      <c r="H304" t="n">
        <v>13</v>
      </c>
      <c r="I304">
        <f>SUM(G304*H304)</f>
        <v/>
      </c>
      <c r="J304" t="inlineStr">
        <is>
          <t>✓ 一致（SKU）</t>
        </is>
      </c>
      <c r="K304" t="inlineStr">
        <is>
          <t>0194644236601</t>
        </is>
      </c>
    </row>
    <row r="305">
      <c r="A305" s="27" t="inlineStr">
        <is>
          <t>4987176301680</t>
        </is>
      </c>
      <c r="B305" s="27" t="inlineStr">
        <is>
          <t>b0f3czw26m</t>
        </is>
      </c>
      <c r="C305" s="27" t="inlineStr">
        <is>
          <t>4987176301680</t>
        </is>
      </c>
      <c r="D305" s="27" t="inlineStr">
        <is>
          <t>b0f3czw26m</t>
        </is>
      </c>
      <c r="E305" t="inlineStr">
        <is>
          <t>ファブリーズ プレミアム 消臭スプレー(衣類・布用) 【 消臭＋除菌成分最高レベル配合 】 無香料 詰め替え 超特大 1240mL 除菌 P&amp;Gジャパン スプレー</t>
        </is>
      </c>
      <c r="F305" t="n">
        <v>2080</v>
      </c>
      <c r="G305" t="n">
        <v>1319</v>
      </c>
      <c r="H305" t="n">
        <v>15</v>
      </c>
      <c r="I305">
        <f>SUM(G305*H305)</f>
        <v/>
      </c>
      <c r="J305" t="inlineStr">
        <is>
          <t>✓ 一致（SKU）</t>
        </is>
      </c>
      <c r="K305" t="inlineStr">
        <is>
          <t>4987176301680</t>
        </is>
      </c>
    </row>
    <row r="306">
      <c r="A306" s="27" t="inlineStr">
        <is>
          <t>4987176301598</t>
        </is>
      </c>
      <c r="B306" s="27" t="inlineStr">
        <is>
          <t>b0f3d19j9q</t>
        </is>
      </c>
      <c r="C306" s="27" t="inlineStr">
        <is>
          <t>1598/1116</t>
        </is>
      </c>
      <c r="D306" s="27" t="inlineStr">
        <is>
          <t>b0f3d19j9q</t>
        </is>
      </c>
      <c r="E306" t="inlineStr">
        <is>
          <t>ファブリーズ 消臭スプレー PREMIUM 消臭+除菌 クールアクア 詰め替え 特大(610mL×2セット) 除菌 P&amp;Gジャパン スプレー</t>
        </is>
      </c>
      <c r="F306" t="n">
        <v>2580</v>
      </c>
      <c r="G306" t="n">
        <v>1116</v>
      </c>
      <c r="H306" t="n">
        <v>3</v>
      </c>
      <c r="I306">
        <f>SUM(G306*H306)</f>
        <v/>
      </c>
      <c r="J306" t="inlineStr">
        <is>
          <t>✓ 一致（SKU）</t>
        </is>
      </c>
      <c r="K306" t="inlineStr">
        <is>
          <t>4987176301598</t>
        </is>
      </c>
    </row>
    <row r="307">
      <c r="A307" s="27" t="inlineStr">
        <is>
          <t>4987176301604</t>
        </is>
      </c>
      <c r="B307" s="27" t="inlineStr">
        <is>
          <t>b0f3d1nryv</t>
        </is>
      </c>
      <c r="C307" s="27" t="inlineStr">
        <is>
          <t>4987176301604</t>
        </is>
      </c>
      <c r="D307" s="27" t="inlineStr">
        <is>
          <t>B0F3D1NRYV</t>
        </is>
      </c>
      <c r="E307" t="inlineStr">
        <is>
          <t>ファブリーズ プレミアム 消臭スプレー クールアクアの香り 詰め替え 超特大 1240mL (衣類・布用) 【 消臭＋除菌成分最高レベル配合 】除菌 P&amp;Gジャパン スプレー</t>
        </is>
      </c>
      <c r="F307" t="n">
        <v>2180</v>
      </c>
      <c r="G307" t="n">
        <v>1429</v>
      </c>
      <c r="H307" t="n">
        <v>15</v>
      </c>
      <c r="I307">
        <f>SUM(G307*H307)</f>
        <v/>
      </c>
    </row>
    <row r="308">
      <c r="A308" s="27" t="inlineStr">
        <is>
          <t>4987176301499</t>
        </is>
      </c>
      <c r="B308" s="27" t="inlineStr">
        <is>
          <t>b0f3d1y958</t>
        </is>
      </c>
      <c r="C308" s="27" t="inlineStr">
        <is>
          <t>4987176301499-2</t>
        </is>
      </c>
      <c r="D308" s="27" t="inlineStr">
        <is>
          <t>b0f3d1y958</t>
        </is>
      </c>
      <c r="E308" t="inlineStr">
        <is>
          <t>【2個セット】ファブリーズ 消臭スプレー PREMIUM 衣類 布製品用 370mL 本体 シトラス＆ガーデン 消臭 除菌 最高レベル配合 服 生活臭 タバコ臭 部屋干し臭 対策 スプレー 布用消臭剤 プレミアム処方 P&amp;G 日本製 日用品 まとめ買い ストック用</t>
        </is>
      </c>
      <c r="F308" t="n">
        <v>2980</v>
      </c>
      <c r="G308" t="n">
        <v>1242</v>
      </c>
      <c r="H308" t="n">
        <v>30</v>
      </c>
      <c r="I308">
        <f>SUM(G308*H308)</f>
        <v/>
      </c>
      <c r="J308" t="inlineStr">
        <is>
          <t>✓ 一致（SKU）</t>
        </is>
      </c>
      <c r="K308" t="inlineStr">
        <is>
          <t>4987176301499</t>
        </is>
      </c>
    </row>
    <row r="309">
      <c r="A309" s="27" t="inlineStr">
        <is>
          <t>4987176305664</t>
        </is>
      </c>
      <c r="B309" s="27" t="inlineStr">
        <is>
          <t>b0f3d1zsw8</t>
        </is>
      </c>
      <c r="C309" s="27" t="inlineStr">
        <is>
          <t>4987176305664-2</t>
        </is>
      </c>
      <c r="D309" s="27" t="inlineStr">
        <is>
          <t>B0F3D1ZSW8</t>
        </is>
      </c>
      <c r="E309" t="inlineStr">
        <is>
          <t>【2個セット】ファブリーズ 消臭スプレー 布用 PREMIUM シトラス＆ガーデン 詰め替え 超特大 1240mL×2 大容量 布製品 消臭 除菌 生活臭 ペット臭 タバコ臭 部屋干し臭 ソファ カーテン 寝具 消臭剤 速効消臭 家庭用 P&amp;G 日本製 まとめ買い 日用品 ストック用品</t>
        </is>
      </c>
      <c r="F309" t="n">
        <v>5980</v>
      </c>
      <c r="G309" t="n">
        <v>3280</v>
      </c>
      <c r="H309" t="n">
        <v>14</v>
      </c>
      <c r="I309">
        <f>SUM(G309*H309)</f>
        <v/>
      </c>
    </row>
    <row r="310">
      <c r="A310" s="27" t="inlineStr">
        <is>
          <t>4987176305732</t>
        </is>
      </c>
      <c r="B310" s="27" t="inlineStr">
        <is>
          <t>b0f3d1zw85</t>
        </is>
      </c>
      <c r="C310" s="27" t="inlineStr">
        <is>
          <t>4987176305732-2</t>
        </is>
      </c>
      <c r="D310" s="27" t="inlineStr">
        <is>
          <t>b0f3d1zw85</t>
        </is>
      </c>
      <c r="E310" t="inlineStr">
        <is>
          <t>ファブリーズ PREMIUM 消臭スプレー 布用 シトラス 詰め替え 特大(610mL×2セット) 除菌 P&amp;Gジャパン スプレー</t>
        </is>
      </c>
      <c r="F310" t="n">
        <v>2980</v>
      </c>
      <c r="G310" t="n">
        <v>1538</v>
      </c>
      <c r="H310" t="n">
        <v>49</v>
      </c>
      <c r="I310">
        <f>SUM(G310*H310)</f>
        <v/>
      </c>
      <c r="J310" t="inlineStr">
        <is>
          <t>✓ 一致（SKU）</t>
        </is>
      </c>
      <c r="K310" t="inlineStr">
        <is>
          <t>4987176305732</t>
        </is>
      </c>
    </row>
    <row r="311">
      <c r="A311" s="27" t="inlineStr">
        <is>
          <t>4987176305701</t>
        </is>
      </c>
      <c r="B311" s="27" t="inlineStr">
        <is>
          <t>b0f3d2l45v</t>
        </is>
      </c>
      <c r="C311" s="27" t="inlineStr">
        <is>
          <t>720</t>
        </is>
      </c>
      <c r="D311" s="27" t="inlineStr">
        <is>
          <t>b0f3d2l45v</t>
        </is>
      </c>
      <c r="E311" t="inlineStr">
        <is>
          <t>ファブリーズ 消臭スプレー PREMIUM パステルフローラル＆ブロッサムの香り 布用 詰め替え 特大 610mL 除菌 P&amp;Gジャパン</t>
        </is>
      </c>
      <c r="F311" t="n">
        <v>1580</v>
      </c>
      <c r="G311" t="n">
        <v>720</v>
      </c>
      <c r="H311" t="n">
        <v>5</v>
      </c>
      <c r="I311">
        <f>SUM(G311*H311)</f>
        <v/>
      </c>
      <c r="J311" t="inlineStr">
        <is>
          <t>✓ 一致（SKU）</t>
        </is>
      </c>
      <c r="K311" t="inlineStr">
        <is>
          <t>4987176305701</t>
        </is>
      </c>
    </row>
    <row r="312">
      <c r="A312" s="27" t="inlineStr">
        <is>
          <t>4987176305701</t>
        </is>
      </c>
      <c r="B312" s="27" t="inlineStr">
        <is>
          <t>b0f3d2l45v-1</t>
        </is>
      </c>
      <c r="C312" s="27" t="inlineStr">
        <is>
          <t>5701/1116</t>
        </is>
      </c>
      <c r="D312" s="27" t="inlineStr">
        <is>
          <t>b0f3d2l45v</t>
        </is>
      </c>
      <c r="E312" t="inlineStr">
        <is>
          <t>ファブリーズ 消臭スプレー PREMIUM パステルフローラル＆ブロッサムの香り 布用 詰め替え 特大 610mL×2 除菌 P&amp;Gジャパン</t>
        </is>
      </c>
      <c r="F312" t="n">
        <v>2480</v>
      </c>
      <c r="G312" t="n">
        <v>1116</v>
      </c>
      <c r="H312" t="n">
        <v>2</v>
      </c>
      <c r="I312">
        <f>SUM(G312*H312)</f>
        <v/>
      </c>
      <c r="J312" t="inlineStr">
        <is>
          <t>✓ 一致（SKU）</t>
        </is>
      </c>
      <c r="K312" t="inlineStr">
        <is>
          <t>4987176305701</t>
        </is>
      </c>
    </row>
    <row r="313">
      <c r="A313" s="27" t="inlineStr">
        <is>
          <t>4987176301543</t>
        </is>
      </c>
      <c r="B313" s="27" t="inlineStr">
        <is>
          <t>b0f3d2psfp</t>
        </is>
      </c>
      <c r="C313" s="27" t="inlineStr">
        <is>
          <t>4987176301543</t>
        </is>
      </c>
      <c r="D313" s="27" t="inlineStr">
        <is>
          <t>b0f3d2psfp</t>
        </is>
      </c>
      <c r="E313" t="inlineStr">
        <is>
          <t>ファブリーズ プレミアム 消臭スプレー 清潔なランドリーの香り 詰め替え 超特大 1240mL (衣類・布用) 【 消臭＋除菌成分最高レベル配合 】 除菌 P&amp;Gジャパン スプレー</t>
        </is>
      </c>
      <c r="F313" t="n">
        <v>2080</v>
      </c>
      <c r="G313" t="n">
        <v>1319</v>
      </c>
      <c r="H313" t="n">
        <v>2</v>
      </c>
      <c r="I313">
        <f>SUM(G313*H313)</f>
        <v/>
      </c>
      <c r="J313" t="inlineStr">
        <is>
          <t>✓ 一致（SKU）</t>
        </is>
      </c>
      <c r="K313" t="inlineStr">
        <is>
          <t>4987176301543</t>
        </is>
      </c>
    </row>
    <row r="314">
      <c r="A314" s="27" t="inlineStr">
        <is>
          <t>4987176301505</t>
        </is>
      </c>
      <c r="B314" s="27" t="inlineStr">
        <is>
          <t>b0f3d2q8sz</t>
        </is>
      </c>
      <c r="C314" s="27" t="inlineStr">
        <is>
          <t>1505/1116</t>
        </is>
      </c>
      <c r="D314" s="27" t="inlineStr">
        <is>
          <t>B0F3D2Q8SZ</t>
        </is>
      </c>
      <c r="E314" t="inlineStr">
        <is>
          <t>ファブリーズ PREMIUM 消臭スプレー 布用 清潔なランドリー 詰め替え 特大(610mL×2セット) 除菌 P&amp;Gジャパン スプレー</t>
        </is>
      </c>
      <c r="F314" t="n">
        <v>2480</v>
      </c>
      <c r="G314" t="n">
        <v>1116</v>
      </c>
      <c r="H314" t="n">
        <v>18</v>
      </c>
      <c r="I314">
        <f>SUM(G314*H314)</f>
        <v/>
      </c>
    </row>
    <row r="315">
      <c r="A315" s="27" t="inlineStr">
        <is>
          <t>4902111781204</t>
        </is>
      </c>
      <c r="B315" s="27" t="inlineStr">
        <is>
          <t>b0f3wyss1s</t>
        </is>
      </c>
      <c r="C315" s="27" t="inlineStr">
        <is>
          <t>1980</t>
        </is>
      </c>
      <c r="D315" s="27" t="inlineStr">
        <is>
          <t>b0f3wyss1s</t>
        </is>
      </c>
      <c r="E315" t="inlineStr">
        <is>
          <t>【セット品】 ラックス バスグロウ ストレート＆シャイン シャンプー トリートメント 詰め替えセット 大容量(1000g) うねり ケア つや 髪 ヘア ヘアケア</t>
        </is>
      </c>
      <c r="F315" t="n">
        <v>3480</v>
      </c>
      <c r="G315" t="n">
        <v>1980</v>
      </c>
      <c r="H315" t="n">
        <v>2</v>
      </c>
      <c r="I315">
        <f>SUM(G315*H315)</f>
        <v/>
      </c>
      <c r="J315" t="inlineStr">
        <is>
          <t>✓ 一致（SKU）</t>
        </is>
      </c>
      <c r="K315" t="inlineStr">
        <is>
          <t>4902111781204</t>
        </is>
      </c>
    </row>
    <row r="316">
      <c r="A316" s="27" t="inlineStr">
        <is>
          <t>4987176309211</t>
        </is>
      </c>
      <c r="B316" s="27" t="inlineStr">
        <is>
          <t>b0f4kkg4jh</t>
        </is>
      </c>
      <c r="C316" s="27" t="inlineStr">
        <is>
          <t>9211/1542</t>
        </is>
      </c>
      <c r="D316" s="27" t="inlineStr">
        <is>
          <t>b0f4kkg4jh</t>
        </is>
      </c>
      <c r="E316" t="inlineStr">
        <is>
          <t>【2個セット】アリエール 洗濯洗剤 液体 部屋干し スポーツ 漂白剤級消臭 詰め替え 1400g×2 大容量 抗菌 洗浄 生乾き臭 消臭 洗剤 液体洗剤 まとめ買い</t>
        </is>
      </c>
      <c r="F316" t="n">
        <v>3980</v>
      </c>
      <c r="G316" t="n">
        <v>1542</v>
      </c>
      <c r="H316" t="n">
        <v>7</v>
      </c>
      <c r="I316">
        <f>SUM(G316*H316)</f>
        <v/>
      </c>
      <c r="J316" t="inlineStr">
        <is>
          <t>✓ 一致（SKU）</t>
        </is>
      </c>
      <c r="K316" t="inlineStr">
        <is>
          <t>4987176309211</t>
        </is>
      </c>
    </row>
    <row r="317">
      <c r="A317" s="27" t="inlineStr">
        <is>
          <t>4987072097878</t>
        </is>
      </c>
      <c r="B317" s="27" t="inlineStr">
        <is>
          <t>b0f53l7j9k</t>
        </is>
      </c>
      <c r="C317" s="27" t="inlineStr">
        <is>
          <t>7878/1755</t>
        </is>
      </c>
      <c r="D317" s="27" t="inlineStr">
        <is>
          <t>b0f53l7j9k</t>
        </is>
      </c>
      <c r="E317" t="inlineStr">
        <is>
          <t>小林製薬 糸ようじ コンパクトヘッド フロス&amp;ピック 60本入×3個セット デンタルフロス 歯間清掃 奥歯対応 ピック付き 歯垢除去 食べかす除去 携帯ケース入り オーラルケア 口内ケア 予防ケア 毎日ケア 歯磨き補助 180本 まとめ買い 口臭対策 虫歯対策 歯周ケア 家庭用</t>
        </is>
      </c>
      <c r="F317" t="n">
        <v>2980</v>
      </c>
      <c r="G317" t="n">
        <v>1755</v>
      </c>
      <c r="H317" t="n">
        <v>16</v>
      </c>
      <c r="I317">
        <f>SUM(G317*H317)</f>
        <v/>
      </c>
      <c r="J317" t="inlineStr">
        <is>
          <t>✓ 一致（SKU）</t>
        </is>
      </c>
      <c r="K317" t="inlineStr">
        <is>
          <t>4987072097878</t>
        </is>
      </c>
    </row>
    <row r="318">
      <c r="A318" s="27" t="inlineStr">
        <is>
          <t>4987176278081</t>
        </is>
      </c>
      <c r="B318" s="27" t="inlineStr">
        <is>
          <t>b0f62pwtlz</t>
        </is>
      </c>
      <c r="C318" s="27" t="inlineStr">
        <is>
          <t>8081/2126</t>
        </is>
      </c>
      <c r="D318" s="27" t="inlineStr">
        <is>
          <t>b0f62pwtlz</t>
        </is>
      </c>
      <c r="E318" t="inlineStr">
        <is>
          <t>レノア オードリュクス 柔軟剤 リリー&amp;ジャスミンの香り 詰め替え 1050ml×2個セット 約2.8か月分 部屋干し 雨の日 部屋 かろやか 香る きれい 清潔 衣類 静電気 防臭 抗菌 赤ちゃん ベビー 洗濯</t>
        </is>
      </c>
      <c r="F318" t="n">
        <v>3980</v>
      </c>
      <c r="G318" t="n">
        <v>2126</v>
      </c>
      <c r="H318" t="n">
        <v>1</v>
      </c>
      <c r="I318">
        <f>SUM(G318*H318)</f>
        <v/>
      </c>
      <c r="J318" t="inlineStr">
        <is>
          <t>✓ 一致（SKU）</t>
        </is>
      </c>
      <c r="K318" t="inlineStr">
        <is>
          <t>4987176278081</t>
        </is>
      </c>
    </row>
    <row r="319">
      <c r="A319" s="27" t="inlineStr">
        <is>
          <t>4987176278388</t>
        </is>
      </c>
      <c r="B319" s="27" t="inlineStr">
        <is>
          <t>b0f62x11z1</t>
        </is>
      </c>
      <c r="C319" s="27" t="inlineStr">
        <is>
          <t>8388/1253</t>
        </is>
      </c>
      <c r="D319" s="27" t="inlineStr">
        <is>
          <t>b0f62x11z1</t>
        </is>
      </c>
      <c r="E319" t="inlineStr">
        <is>
          <t>レノア アロマジュエル WHITE MUSK 香り付けビーズ ホワイトムスクの香り 本体 420mL+詰め替え1040mlセット 部屋干し 雨の日 部屋 かろやか 香る きれい 清潔 衣類 静電気 防臭 抗菌 赤ちゃん ベビー 洗濯</t>
        </is>
      </c>
      <c r="F319" t="n">
        <v>3180</v>
      </c>
      <c r="G319" t="n">
        <v>1253</v>
      </c>
      <c r="H319" t="n">
        <v>4</v>
      </c>
      <c r="I319">
        <f>SUM(G319*H319)</f>
        <v/>
      </c>
      <c r="J319" t="inlineStr">
        <is>
          <t>✓ 一致（SKU）</t>
        </is>
      </c>
      <c r="K319" t="inlineStr">
        <is>
          <t>4987176278388</t>
        </is>
      </c>
    </row>
    <row r="320">
      <c r="A320" s="27" t="inlineStr">
        <is>
          <t>4987176278012</t>
        </is>
      </c>
      <c r="B320" s="27" t="inlineStr">
        <is>
          <t>b0f62xplbf</t>
        </is>
      </c>
      <c r="C320" s="27" t="inlineStr">
        <is>
          <t>8012/2126</t>
        </is>
      </c>
      <c r="D320" s="27" t="inlineStr">
        <is>
          <t>b0f62xplbf</t>
        </is>
      </c>
      <c r="E320" t="inlineStr">
        <is>
          <t>レノア オードリュクス 柔軟剤 ホワイトムスクの香り 詰め替え 1050ml×2個セット 約2.8か月分 部屋干し 雨の日 部屋 かろやか 香る きれい 清潔 衣類 静電気 防臭 抗菌 赤ちゃん ベビー 洗濯</t>
        </is>
      </c>
      <c r="F320" t="n">
        <v>3980</v>
      </c>
      <c r="G320" t="n">
        <v>2126</v>
      </c>
      <c r="H320" t="n">
        <v>6</v>
      </c>
      <c r="I320">
        <f>SUM(G320*H320)</f>
        <v/>
      </c>
      <c r="J320" t="inlineStr">
        <is>
          <t>✓ 一致（SKU）</t>
        </is>
      </c>
      <c r="K320" t="inlineStr">
        <is>
          <t>4987176278012</t>
        </is>
      </c>
    </row>
    <row r="321">
      <c r="A321" s="27" t="inlineStr">
        <is>
          <t>4550432248892</t>
        </is>
      </c>
      <c r="B321" s="27" t="inlineStr">
        <is>
          <t>b0f66p8fyc</t>
        </is>
      </c>
      <c r="C321" s="27" t="inlineStr">
        <is>
          <t>4550432248892</t>
        </is>
      </c>
      <c r="D321" s="27" t="inlineStr">
        <is>
          <t>B0F66P8FYC</t>
        </is>
      </c>
      <c r="E321" t="inlineStr">
        <is>
          <t>カミオジャパン たまごっち シールシート ドロップブロックシール イエロー かわいい 立体 シール ぷっくり ぷくぷく シール交換 収集 正規品 本物 本家</t>
        </is>
      </c>
      <c r="F321" t="n">
        <v>2280</v>
      </c>
      <c r="G321" t="n">
        <v>494</v>
      </c>
      <c r="H321" t="n">
        <v>5</v>
      </c>
      <c r="I321">
        <f>SUM(G321*H321)</f>
        <v/>
      </c>
    </row>
    <row r="322">
      <c r="A322" s="27" t="inlineStr">
        <is>
          <t>0194644239664</t>
        </is>
      </c>
      <c r="B322" s="27" t="inlineStr">
        <is>
          <t>b0f6lbdfc7</t>
        </is>
      </c>
      <c r="C322" s="27" t="inlineStr">
        <is>
          <t>9664,9657/5490</t>
        </is>
      </c>
      <c r="D322" s="27" t="inlineStr">
        <is>
          <t>B0F6LBDFC7</t>
        </is>
      </c>
      <c r="E322" t="inlineStr">
        <is>
          <t>Anker Nano Power Bank 5000mAh, MagGo, Slim ホワイト ブラック Qi2認証 ワイヤレス充電 最大出力15W MagSafe対応 マグネット式ワイヤレス充電対応 コンパクト 薄型 8.6mm 小型 iPhone 17 / 16 / 15シリーズ / Air 対応</t>
        </is>
      </c>
      <c r="F322" t="n">
        <v>8980</v>
      </c>
      <c r="G322" t="n">
        <v>5490</v>
      </c>
      <c r="H322" t="n">
        <v>0</v>
      </c>
      <c r="I322">
        <f>SUM(G322*H322)</f>
        <v/>
      </c>
    </row>
    <row r="323">
      <c r="A323" s="27" t="inlineStr">
        <is>
          <t>0194644239657</t>
        </is>
      </c>
      <c r="B323" s="27" t="inlineStr">
        <is>
          <t>b0f6lbdfc7</t>
        </is>
      </c>
      <c r="C323" s="27" t="inlineStr">
        <is>
          <t>9664,9657/5490</t>
        </is>
      </c>
      <c r="D323" s="27" t="inlineStr">
        <is>
          <t>B0F6LBT3ZX</t>
        </is>
      </c>
      <c r="E323" t="inlineStr">
        <is>
          <t>Anker Nano Power Bank 5000mAh, MagGo, Slim ホワイト ブラック Qi2認証 ワイヤレス充電 最大出力15W MagSafe対応 マグネット式ワイヤレス充電対応 コンパクト 薄型 8.6mm 小型 iPhone 17 / 16 / 15シリーズ / Air 対応</t>
        </is>
      </c>
      <c r="F323" t="n">
        <v>8980</v>
      </c>
      <c r="G323" t="n">
        <v>5490</v>
      </c>
      <c r="H323" t="n">
        <v>1</v>
      </c>
      <c r="I323">
        <f>SUM(G323*H323)</f>
        <v/>
      </c>
    </row>
    <row r="324">
      <c r="A324" s="27" t="inlineStr">
        <is>
          <t>4533141407514</t>
        </is>
      </c>
      <c r="B324" s="27" t="inlineStr">
        <is>
          <t>b0f6xtgtgp</t>
        </is>
      </c>
      <c r="C324" s="27" t="inlineStr">
        <is>
          <t>4533141407514-50</t>
        </is>
      </c>
      <c r="D324" s="27" t="inlineStr">
        <is>
          <t>b0f6xtgtgp</t>
        </is>
      </c>
      <c r="E324" t="inlineStr">
        <is>
          <t>きんだい 冷ひやネックタオル 50本入り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      </is>
      </c>
      <c r="F324" t="n">
        <v>2980</v>
      </c>
      <c r="G324" t="n">
        <v>1300</v>
      </c>
      <c r="H324" t="n">
        <v>1</v>
      </c>
      <c r="I324">
        <f>SUM(G324*H324)</f>
        <v/>
      </c>
      <c r="J324" t="inlineStr">
        <is>
          <t>✓ 一致（SKU）</t>
        </is>
      </c>
      <c r="K324" t="inlineStr">
        <is>
          <t>4533141407514</t>
        </is>
      </c>
    </row>
    <row r="325">
      <c r="A325" s="27" t="inlineStr">
        <is>
          <t>4533141407514</t>
        </is>
      </c>
      <c r="B325" s="27" t="inlineStr">
        <is>
          <t>b0f6xtgtgp-2</t>
        </is>
      </c>
      <c r="C325" s="27" t="inlineStr">
        <is>
          <t>4533141407514-200</t>
        </is>
      </c>
      <c r="D325" s="27" t="inlineStr">
        <is>
          <t>B0F6XTGTGP-2</t>
        </is>
      </c>
      <c r="E325" t="inlineStr">
        <is>
          <t>きんだい 冷ひやネックタオル 200本入り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      </is>
      </c>
      <c r="F325" t="n">
        <v>11680</v>
      </c>
      <c r="G325" t="n">
        <v>5200</v>
      </c>
      <c r="H325" t="n">
        <v>5</v>
      </c>
      <c r="I325">
        <f>SUM(G325*H325)</f>
        <v/>
      </c>
      <c r="J325" t="inlineStr">
        <is>
          <t>✓ 一致（SKU）</t>
        </is>
      </c>
      <c r="K325" t="inlineStr">
        <is>
          <t>4533141407514</t>
        </is>
      </c>
    </row>
    <row r="326">
      <c r="A326" s="27" t="n"/>
      <c r="B326" s="27" t="inlineStr">
        <is>
          <t>b0fdq59t55</t>
        </is>
      </c>
      <c r="C326" s="27" t="inlineStr">
        <is>
          <t>8924,8833/1356</t>
        </is>
      </c>
      <c r="D326" s="27" t="inlineStr">
        <is>
          <t>b0fdq59t55</t>
        </is>
      </c>
      <c r="E326" t="inlineStr">
        <is>
          <t>【セット品】メラノCC 薬用しみ対策 美白化粧水しっとり 170mL＋美白乳液120mL セット 薬用美白 ビタミンC誘導体 保湿 しっとり 潤い 毛穴対策 化粧水 乳液 スキンケア フェイスケア 基礎化粧品 乾燥対策 キメ ハリ ツヤ 日本製 ロート製薬</t>
        </is>
      </c>
      <c r="F326" t="n">
        <v>2980</v>
      </c>
      <c r="G326" t="n">
        <v>1356</v>
      </c>
      <c r="H326" t="n">
        <v>52</v>
      </c>
      <c r="I326">
        <f>SUM(G326*H326)</f>
        <v/>
      </c>
    </row>
    <row r="327">
      <c r="A327" s="27" t="inlineStr">
        <is>
          <t>4987176304834</t>
        </is>
      </c>
      <c r="B327" s="27" t="inlineStr">
        <is>
          <t>b0fjg6x3h5</t>
        </is>
      </c>
      <c r="C327" s="27" t="inlineStr">
        <is>
          <t>4834/4552</t>
        </is>
      </c>
      <c r="D327" s="27" t="inlineStr">
        <is>
          <t>b0fjg6x3h5</t>
        </is>
      </c>
      <c r="E327" t="inlineStr">
        <is>
          <t>さらさ 洗濯洗剤 液体 ほのかでやさしい柑橘系の香り 詰め替え 1490g×2 液体 詰替 衣料用洗剤 液体洗剤 しっかり洗浄 植物由来成分 赤ちゃん すすぎ1回 ペット ほのかでやさしい柑橘系の香り つめかえ用 P&amp;G 送料無料</t>
        </is>
      </c>
      <c r="F327" t="n">
        <v>3980</v>
      </c>
      <c r="G327" t="n">
        <v>4552</v>
      </c>
      <c r="H327" t="n">
        <v>2</v>
      </c>
      <c r="I327">
        <f>SUM(G327*H327)</f>
        <v/>
      </c>
    </row>
    <row r="328">
      <c r="A328" s="27" t="n"/>
      <c r="B328" s="27" t="inlineStr">
        <is>
          <t>b0fl297cy2</t>
        </is>
      </c>
      <c r="C328" s="27" t="inlineStr">
        <is>
          <t>0646,0653/1014</t>
        </is>
      </c>
      <c r="D328" s="27" t="inlineStr">
        <is>
          <t>B0FL25CNBG-0646</t>
        </is>
      </c>
      <c r="E328" t="inlineStr">
        <is>
          <t>【福袋】【計3点セット】【正規品】 クーリア とうめいシールバインダー + しずくちゃんシリーズ + クーリアシール ボンボンドロップシール ぷっくり立体 3D キラキラ シール帳 シール交換 女の子 小学生 平成女子 プレゼント 収集 キラキラ</t>
        </is>
      </c>
      <c r="F328" t="n">
        <v>3980</v>
      </c>
      <c r="G328" t="n">
        <v>1014</v>
      </c>
      <c r="H328" t="n">
        <v>4</v>
      </c>
      <c r="I328">
        <f>SUM(G328*H328)</f>
        <v/>
      </c>
    </row>
    <row r="329">
      <c r="A329" s="27" t="n"/>
      <c r="B329" s="27" t="inlineStr">
        <is>
          <t>b0fl297cy2</t>
        </is>
      </c>
      <c r="C329" s="27" t="inlineStr">
        <is>
          <t>0646,0653/1014</t>
        </is>
      </c>
      <c r="D329" s="27" t="inlineStr">
        <is>
          <t>B0FL297CY2-0653</t>
        </is>
      </c>
      <c r="E329" t="inlineStr">
        <is>
          <t>【福袋】【計3点セット】【正規品】 クーリア とうめいシールバインダー + しずくちゃんシリーズ + クーリアシール ボンボンドロップシール ぷっくり立体 3D キラキラ シール帳 シール交換 女の子 小学生 平成女子 プレゼント 収集 キラキラ</t>
        </is>
      </c>
      <c r="F329" t="n">
        <v>3980</v>
      </c>
      <c r="G329" t="n">
        <v>1014</v>
      </c>
      <c r="H329" t="n">
        <v>5</v>
      </c>
      <c r="I329">
        <f>SUM(G329*H329)</f>
        <v/>
      </c>
    </row>
    <row r="330">
      <c r="A330" s="27" t="inlineStr">
        <is>
          <t>4901770955247</t>
        </is>
      </c>
      <c r="B330" s="27" t="inlineStr">
        <is>
          <t>b0fr92j75h</t>
        </is>
      </c>
      <c r="C330" s="27" t="inlineStr">
        <is>
          <t>5247/1210</t>
        </is>
      </c>
      <c r="D330" s="27" t="inlineStr">
        <is>
          <t>b0fr92j75h</t>
        </is>
      </c>
      <c r="E330" t="inlineStr">
        <is>
          <t>サンスター文具(Sun-Star Stationery) マイメロディ サンリオキャラクターズ グッズ シールバインダー マイメロディ</t>
        </is>
      </c>
      <c r="F330" t="n">
        <v>2780</v>
      </c>
      <c r="G330" t="n">
        <v>1210</v>
      </c>
      <c r="H330" t="n">
        <v>3</v>
      </c>
      <c r="I330">
        <f>SUM(G330*H330)</f>
        <v/>
      </c>
      <c r="J330" t="inlineStr">
        <is>
          <t>✓ 一致（SKU）</t>
        </is>
      </c>
      <c r="K330" t="inlineStr">
        <is>
          <t>4901770955247</t>
        </is>
      </c>
    </row>
    <row r="331">
      <c r="A331" s="27" t="inlineStr">
        <is>
          <t>4550391912131</t>
        </is>
      </c>
      <c r="B331" s="27" t="inlineStr">
        <is>
          <t>b0frs8pb58</t>
        </is>
      </c>
      <c r="C331" s="27" t="inlineStr">
        <is>
          <t>1469,1476,1360,3903,2131/1133</t>
        </is>
      </c>
      <c r="D331" s="27" t="inlineStr">
        <is>
          <t>B0DVSV4W6Q-2131</t>
        </is>
      </c>
      <c r="E331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331" t="n">
        <v>3980</v>
      </c>
      <c r="G331" t="n">
        <v>1133</v>
      </c>
      <c r="H331" t="n">
        <v>2</v>
      </c>
      <c r="I331">
        <f>SUM(G331*H331)</f>
        <v/>
      </c>
      <c r="J331" t="inlineStr">
        <is>
          <t>✓ 一致（SKU）</t>
        </is>
      </c>
      <c r="K331" t="inlineStr">
        <is>
          <t>4550391912131</t>
        </is>
      </c>
    </row>
    <row r="332">
      <c r="A332" s="27" t="inlineStr">
        <is>
          <t>4550391912094</t>
        </is>
      </c>
      <c r="B332" s="27" t="inlineStr">
        <is>
          <t>b0frs8pb58</t>
        </is>
      </c>
      <c r="C332" s="27" t="inlineStr">
        <is>
          <t>1469,1476,1360,3903,2131/1133</t>
        </is>
      </c>
      <c r="D332" s="27" t="inlineStr">
        <is>
          <t>B0DVSW1YS7-2094</t>
        </is>
      </c>
      <c r="E332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332" t="n">
        <v>3980</v>
      </c>
      <c r="G332" t="n">
        <v>1133</v>
      </c>
      <c r="H332" t="n">
        <v>2</v>
      </c>
      <c r="I332">
        <f>SUM(G332*H332)</f>
        <v/>
      </c>
      <c r="J332" t="inlineStr">
        <is>
          <t>✓ 一致（SKU）</t>
        </is>
      </c>
      <c r="K332" t="inlineStr">
        <is>
          <t>4550391912094</t>
        </is>
      </c>
    </row>
    <row r="333">
      <c r="A333" s="27" t="inlineStr">
        <is>
          <t>4550391011469</t>
        </is>
      </c>
      <c r="B333" s="27" t="inlineStr">
        <is>
          <t>b0frs8pb58</t>
        </is>
      </c>
      <c r="C333" s="27" t="inlineStr">
        <is>
          <t>1469,1476,1360,3903,2131/1133</t>
        </is>
      </c>
      <c r="D333" s="27" t="inlineStr">
        <is>
          <t>B0FRS8PB58-1469</t>
        </is>
      </c>
      <c r="E333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333" t="n">
        <v>3980</v>
      </c>
      <c r="G333" t="n">
        <v>1133</v>
      </c>
      <c r="H333" t="n">
        <v>2</v>
      </c>
      <c r="I333">
        <f>SUM(G333*H333)</f>
        <v/>
      </c>
      <c r="J333" t="inlineStr">
        <is>
          <t>✓ 一致（SKU）</t>
        </is>
      </c>
      <c r="K333" t="inlineStr">
        <is>
          <t>4550391011469</t>
        </is>
      </c>
    </row>
    <row r="334">
      <c r="A334" s="27" t="inlineStr">
        <is>
          <t>4550391011360</t>
        </is>
      </c>
      <c r="B334" s="27" t="inlineStr">
        <is>
          <t>b0frs8pb58</t>
        </is>
      </c>
      <c r="C334" s="27" t="inlineStr">
        <is>
          <t>1469,1476,1360,3903,2131/1133</t>
        </is>
      </c>
      <c r="D334" s="27" t="inlineStr">
        <is>
          <t>B0FRS8X8M7-1360</t>
        </is>
      </c>
      <c r="E334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334" t="n">
        <v>3980</v>
      </c>
      <c r="G334" t="n">
        <v>1133</v>
      </c>
      <c r="H334" t="n">
        <v>2</v>
      </c>
      <c r="I334">
        <f>SUM(G334*H334)</f>
        <v/>
      </c>
      <c r="J334" t="inlineStr">
        <is>
          <t>✓ 一致（SKU）</t>
        </is>
      </c>
      <c r="K334" t="inlineStr">
        <is>
          <t>4550391011360</t>
        </is>
      </c>
    </row>
    <row r="335">
      <c r="A335" s="27" t="inlineStr">
        <is>
          <t>4550391011476</t>
        </is>
      </c>
      <c r="B335" s="27" t="inlineStr">
        <is>
          <t>b0frs8pb58</t>
        </is>
      </c>
      <c r="C335" s="27" t="inlineStr">
        <is>
          <t>1469,1476,1360,3903,2131/1133</t>
        </is>
      </c>
      <c r="D335" s="27" t="inlineStr">
        <is>
          <t>B0FRS9W3FT-1476</t>
        </is>
      </c>
      <c r="E335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335" t="n">
        <v>3980</v>
      </c>
      <c r="G335" t="n">
        <v>1133</v>
      </c>
      <c r="H335" t="n">
        <v>2</v>
      </c>
      <c r="I335">
        <f>SUM(G335*H335)</f>
        <v/>
      </c>
      <c r="J335" t="inlineStr">
        <is>
          <t>✓ 一致（SKU）</t>
        </is>
      </c>
      <c r="K335" t="inlineStr">
        <is>
          <t>4550391011476</t>
        </is>
      </c>
    </row>
    <row r="336">
      <c r="A336" s="27" t="inlineStr">
        <is>
          <t>4550391043903</t>
        </is>
      </c>
      <c r="B336" s="27" t="inlineStr">
        <is>
          <t>b0frs8pb58</t>
        </is>
      </c>
      <c r="C336" s="27" t="inlineStr">
        <is>
          <t>1469,1476,1360,3903,2131/1133</t>
        </is>
      </c>
      <c r="D336" s="27" t="inlineStr">
        <is>
          <t>B0FW4K6VZY-3903</t>
        </is>
      </c>
      <c r="E336" t="inlineStr">
        <is>
          <t>【数量限定 福袋】【計3点セット】【正規品】 クーリア シールバインダー + しずくちゃんシリーズ + クーリアシール ボンボンドロップシール 3D キラキラ シール シール帳 シール交換 かわいい ぷっくり ぷくぷく 収集 立体 子供 女の子 本家 正規品 本物</t>
        </is>
      </c>
      <c r="F336" t="n">
        <v>3980</v>
      </c>
      <c r="G336" t="n">
        <v>1133</v>
      </c>
      <c r="H336" t="n">
        <v>2</v>
      </c>
      <c r="I336">
        <f>SUM(G336*H336)</f>
        <v/>
      </c>
      <c r="J336" t="inlineStr">
        <is>
          <t>✓ 一致（SKU）</t>
        </is>
      </c>
      <c r="K336" t="inlineStr">
        <is>
          <t>4550391043903</t>
        </is>
      </c>
    </row>
    <row r="337">
      <c r="A337" s="27" t="inlineStr">
        <is>
          <t>4550391912131</t>
        </is>
      </c>
      <c r="B337" s="27" t="inlineStr">
        <is>
          <t>b0frs9w3ft</t>
        </is>
      </c>
      <c r="C337" s="27" t="inlineStr">
        <is>
          <t>1469,1476,1360,3903,2131/1133</t>
        </is>
      </c>
      <c r="D337" s="27" t="inlineStr">
        <is>
          <t>B0DVSV4W6Q-2131</t>
        </is>
      </c>
      <c r="E337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337" t="n">
        <v>3980</v>
      </c>
      <c r="G337" t="n">
        <v>1133</v>
      </c>
      <c r="H337" t="n">
        <v>2</v>
      </c>
      <c r="I337">
        <f>SUM(G337*H337)</f>
        <v/>
      </c>
      <c r="J337" t="inlineStr">
        <is>
          <t>✓ 一致（SKU）</t>
        </is>
      </c>
      <c r="K337" t="inlineStr">
        <is>
          <t>4550391912131</t>
        </is>
      </c>
    </row>
    <row r="338">
      <c r="A338" s="27" t="inlineStr">
        <is>
          <t>4550391912094</t>
        </is>
      </c>
      <c r="B338" s="27" t="inlineStr">
        <is>
          <t>b0frs9w3ft</t>
        </is>
      </c>
      <c r="C338" s="27" t="inlineStr">
        <is>
          <t>1469,1476,1360,3903,2131/1133</t>
        </is>
      </c>
      <c r="D338" s="27" t="inlineStr">
        <is>
          <t>B0DVSW1YS7-2094</t>
        </is>
      </c>
      <c r="E338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338" t="n">
        <v>3980</v>
      </c>
      <c r="G338" t="n">
        <v>1133</v>
      </c>
      <c r="H338" t="n">
        <v>2</v>
      </c>
      <c r="I338">
        <f>SUM(G338*H338)</f>
        <v/>
      </c>
      <c r="J338" t="inlineStr">
        <is>
          <t>✓ 一致（SKU）</t>
        </is>
      </c>
      <c r="K338" t="inlineStr">
        <is>
          <t>4550391912094</t>
        </is>
      </c>
    </row>
    <row r="339">
      <c r="A339" s="27" t="inlineStr">
        <is>
          <t>4550391011469</t>
        </is>
      </c>
      <c r="B339" s="27" t="inlineStr">
        <is>
          <t>b0frs9w3ft</t>
        </is>
      </c>
      <c r="C339" s="27" t="inlineStr">
        <is>
          <t>1469,1476,1360,3903,2131/1133</t>
        </is>
      </c>
      <c r="D339" s="27" t="inlineStr">
        <is>
          <t>B0FRS8PB58-1469</t>
        </is>
      </c>
      <c r="E339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339" t="n">
        <v>3980</v>
      </c>
      <c r="G339" t="n">
        <v>1133</v>
      </c>
      <c r="H339" t="n">
        <v>2</v>
      </c>
      <c r="I339">
        <f>SUM(G339*H339)</f>
        <v/>
      </c>
      <c r="J339" t="inlineStr">
        <is>
          <t>✓ 一致（SKU）</t>
        </is>
      </c>
      <c r="K339" t="inlineStr">
        <is>
          <t>4550391011469</t>
        </is>
      </c>
    </row>
    <row r="340">
      <c r="A340" s="27" t="inlineStr">
        <is>
          <t>4550391011360</t>
        </is>
      </c>
      <c r="B340" s="27" t="inlineStr">
        <is>
          <t>b0frs9w3ft</t>
        </is>
      </c>
      <c r="C340" s="27" t="inlineStr">
        <is>
          <t>1469,1476,1360,3903,2131/1133</t>
        </is>
      </c>
      <c r="D340" s="27" t="inlineStr">
        <is>
          <t>B0FRS8X8M7-1360</t>
        </is>
      </c>
      <c r="E340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340" t="n">
        <v>3980</v>
      </c>
      <c r="G340" t="n">
        <v>1133</v>
      </c>
      <c r="H340" t="n">
        <v>2</v>
      </c>
      <c r="I340">
        <f>SUM(G340*H340)</f>
        <v/>
      </c>
      <c r="J340" t="inlineStr">
        <is>
          <t>✓ 一致（SKU）</t>
        </is>
      </c>
      <c r="K340" t="inlineStr">
        <is>
          <t>4550391011360</t>
        </is>
      </c>
    </row>
    <row r="341">
      <c r="A341" s="27" t="inlineStr">
        <is>
          <t>4550391011476</t>
        </is>
      </c>
      <c r="B341" s="27" t="inlineStr">
        <is>
          <t>b0frs9w3ft</t>
        </is>
      </c>
      <c r="C341" s="27" t="inlineStr">
        <is>
          <t>1469,1476,1360,3903,2131/1133</t>
        </is>
      </c>
      <c r="D341" s="27" t="inlineStr">
        <is>
          <t>B0FRS9W3FT-1476</t>
        </is>
      </c>
      <c r="E341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341" t="n">
        <v>3980</v>
      </c>
      <c r="G341" t="n">
        <v>1133</v>
      </c>
      <c r="H341" t="n">
        <v>2</v>
      </c>
      <c r="I341">
        <f>SUM(G341*H341)</f>
        <v/>
      </c>
      <c r="J341" t="inlineStr">
        <is>
          <t>✓ 一致（SKU）</t>
        </is>
      </c>
      <c r="K341" t="inlineStr">
        <is>
          <t>4550391011476</t>
        </is>
      </c>
    </row>
    <row r="342">
      <c r="A342" s="27" t="inlineStr">
        <is>
          <t>4550391043903</t>
        </is>
      </c>
      <c r="B342" s="27" t="inlineStr">
        <is>
          <t>b0frs9w3ft</t>
        </is>
      </c>
      <c r="C342" s="27" t="inlineStr">
        <is>
          <t>1469,1476,1360,3903,2131/1133</t>
        </is>
      </c>
      <c r="D342" s="27" t="inlineStr">
        <is>
          <t>B0FW4K6VZY-3903</t>
        </is>
      </c>
      <c r="E342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F342" t="n">
        <v>3980</v>
      </c>
      <c r="G342" t="n">
        <v>1133</v>
      </c>
      <c r="H342" t="n">
        <v>2</v>
      </c>
      <c r="I342">
        <f>SUM(G342*H342)</f>
        <v/>
      </c>
      <c r="J342" t="inlineStr">
        <is>
          <t>✓ 一致（SKU）</t>
        </is>
      </c>
      <c r="K342" t="inlineStr">
        <is>
          <t>4550391043903</t>
        </is>
      </c>
    </row>
    <row r="343">
      <c r="A343" s="27" t="inlineStr">
        <is>
          <t>4901301436481</t>
        </is>
      </c>
      <c r="B343" s="27" t="inlineStr">
        <is>
          <t>b0ftv1bb4j</t>
        </is>
      </c>
      <c r="C343" s="27" t="inlineStr">
        <is>
          <t>6481/840</t>
        </is>
      </c>
      <c r="D343" s="27" t="inlineStr">
        <is>
          <t>b0ftv1bb4j</t>
        </is>
      </c>
      <c r="E343" t="inlineStr">
        <is>
          <t>めぐりズム 蒸気の温熱シート 肌に直接貼るタイプ オアシスローズの香り 7枚入×2個セット 簡易包装 シート 防寒 防寒対策</t>
        </is>
      </c>
      <c r="F343" t="n">
        <v>1980</v>
      </c>
      <c r="G343" t="n">
        <v>840</v>
      </c>
      <c r="H343" t="n">
        <v>54</v>
      </c>
      <c r="I343">
        <f>SUM(G343*H343)</f>
        <v/>
      </c>
      <c r="J343" t="inlineStr">
        <is>
          <t>✓ 一致（SKU）</t>
        </is>
      </c>
      <c r="K343" t="inlineStr">
        <is>
          <t>4901301436481</t>
        </is>
      </c>
    </row>
    <row r="344">
      <c r="A344" s="27" t="inlineStr">
        <is>
          <t>4901301461001</t>
        </is>
      </c>
      <c r="B344" s="27" t="inlineStr">
        <is>
          <t>b0ftv1fvnh</t>
        </is>
      </c>
      <c r="C344" s="27" t="inlineStr">
        <is>
          <t>1001/330</t>
        </is>
      </c>
      <c r="D344" s="27" t="inlineStr">
        <is>
          <t>b0ftv1fvnh</t>
        </is>
      </c>
      <c r="E344" t="inlineStr">
        <is>
          <t>めぐりズム 蒸気めぐる 首もとシート グッドナイト 無香料 12枚入 首 肩 温熱シート リラックス 首こり 温めグッズ 仕事疲れ 寝る前ケア 温感シート 花王 ホットシート 蒸気タイプ 首用シート 快眠サポート 日本製 使い捨て</t>
        </is>
      </c>
      <c r="F344" t="n">
        <v>1680</v>
      </c>
      <c r="G344" t="n">
        <v>330</v>
      </c>
      <c r="H344" t="n">
        <v>1</v>
      </c>
      <c r="I344">
        <f>SUM(G344*H344)</f>
        <v/>
      </c>
      <c r="J344" t="inlineStr">
        <is>
          <t>✓ 一致（SKU）</t>
        </is>
      </c>
      <c r="K344" t="inlineStr">
        <is>
          <t>4901301461001</t>
        </is>
      </c>
    </row>
    <row r="345">
      <c r="A345" s="27" t="inlineStr">
        <is>
          <t>4971710617214</t>
        </is>
      </c>
      <c r="B345" s="27" t="inlineStr">
        <is>
          <t>b0fyct4ql2</t>
        </is>
      </c>
      <c r="C345" s="27" t="inlineStr">
        <is>
          <t>7214/11071</t>
        </is>
      </c>
      <c r="D345" s="27" t="inlineStr">
        <is>
          <t>b0fyct4ql2</t>
        </is>
      </c>
      <c r="E345" t="inlineStr">
        <is>
          <t>JILL STUART ジル スチュアート リボンファッションショー コレクション 2025 化粧品 コスメ ジルスチュアート</t>
        </is>
      </c>
      <c r="F345" t="n">
        <v>15980</v>
      </c>
      <c r="G345" t="n">
        <v>11071</v>
      </c>
      <c r="H345" t="n">
        <v>1</v>
      </c>
      <c r="I345">
        <f>SUM(G345*H345)</f>
        <v/>
      </c>
    </row>
    <row r="346">
      <c r="A346" s="27" t="inlineStr">
        <is>
          <t>4580543942990</t>
        </is>
      </c>
      <c r="B346" s="27" t="inlineStr">
        <is>
          <t>b0gmpz962k</t>
        </is>
      </c>
      <c r="C346" s="27" t="inlineStr">
        <is>
          <t>2990,2976,2983/3224</t>
        </is>
      </c>
      <c r="D346" s="27" t="inlineStr">
        <is>
          <t>b0gmpz962k</t>
        </is>
      </c>
      <c r="E346" t="inlineStr">
        <is>
          <t>バルサン ちいかわ 虫こないもん 吊り＆置きタイプ 270日 3種セット ちいかわ ハチワレ うさぎ 虫よけ 虫除け 吊り下げ 置き型 防虫グッズ 虫対策 ベランダ 玄関 室内 火不要 電池不要 コンセント不要 長持ち 日本製 キャラクター雑貨 夏対策 かわいい 防虫用品 まとめ買い</t>
        </is>
      </c>
      <c r="F346" t="n">
        <v>5480</v>
      </c>
      <c r="G346" t="n">
        <v>3234</v>
      </c>
      <c r="H346" t="n">
        <v>30</v>
      </c>
      <c r="I346">
        <f>SUM(G346*H346)</f>
        <v/>
      </c>
      <c r="J346" t="inlineStr">
        <is>
          <t>✓ 一致（SKU）</t>
        </is>
      </c>
      <c r="K346" t="inlineStr">
        <is>
          <t>4580543942990</t>
        </is>
      </c>
    </row>
    <row r="347">
      <c r="A347" s="27" t="inlineStr">
        <is>
          <t>4974824702067</t>
        </is>
      </c>
      <c r="B347" s="27" t="inlineStr">
        <is>
          <t>b0gmw6x6kr</t>
        </is>
      </c>
      <c r="C347" s="27" t="inlineStr">
        <is>
          <t>2067/2900</t>
        </is>
      </c>
      <c r="D347" s="27" t="inlineStr">
        <is>
          <t>b0gmw6x6kr</t>
        </is>
      </c>
      <c r="E347" t="inlineStr">
        <is>
          <t>大日産業 ニトリル手袋 ブルー Lサイズ 100枚×2箱 パウダーフリー 使い捨て手袋 食品衛生対応 衛生手袋 ゴム手袋 掃除 料理 作業用 左右兼用</t>
        </is>
      </c>
      <c r="F347" t="n">
        <v>4480</v>
      </c>
      <c r="G347" t="n">
        <v>2900</v>
      </c>
      <c r="H347" t="n">
        <v>6</v>
      </c>
      <c r="I347">
        <f>SUM(G347*H347)</f>
        <v/>
      </c>
      <c r="J347" t="inlineStr">
        <is>
          <t>✓ 一致（SKU）</t>
        </is>
      </c>
      <c r="K347" t="inlineStr">
        <is>
          <t>4974824702067</t>
        </is>
      </c>
    </row>
    <row r="348">
      <c r="A348" s="27" t="inlineStr">
        <is>
          <t>4550391012244</t>
        </is>
      </c>
      <c r="B348" s="27" t="inlineStr">
        <is>
          <t>b0gsqcp1mx-a</t>
        </is>
      </c>
      <c r="C348" s="27" t="inlineStr">
        <is>
          <t>2000</t>
        </is>
      </c>
      <c r="D348" s="27" t="inlineStr">
        <is>
          <t>B0GSQ2Q1RY</t>
        </is>
      </c>
      <c r="E348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F348" t="n">
        <v>4480</v>
      </c>
      <c r="G348" t="n">
        <v>2000</v>
      </c>
      <c r="H348" t="n">
        <v>5</v>
      </c>
      <c r="I348">
        <f>SUM(G348*H348)</f>
        <v/>
      </c>
    </row>
    <row r="349">
      <c r="A349" s="27" t="inlineStr">
        <is>
          <t>4550391012251</t>
        </is>
      </c>
      <c r="B349" s="27" t="inlineStr">
        <is>
          <t>b0gsqcp1mx-a</t>
        </is>
      </c>
      <c r="C349" s="27" t="inlineStr">
        <is>
          <t>2000</t>
        </is>
      </c>
      <c r="D349" s="27" t="inlineStr">
        <is>
          <t>B0GSQC8JP3</t>
        </is>
      </c>
      <c r="E349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F349" t="n">
        <v>4480</v>
      </c>
      <c r="G349" t="n">
        <v>2000</v>
      </c>
      <c r="H349" t="n">
        <v>5</v>
      </c>
      <c r="I349">
        <f>SUM(G349*H349)</f>
        <v/>
      </c>
    </row>
    <row r="350">
      <c r="A350" s="27" t="inlineStr">
        <is>
          <t>4550391012220</t>
        </is>
      </c>
      <c r="B350" s="27" t="inlineStr">
        <is>
          <t>b0gsqcp1mx-a</t>
        </is>
      </c>
      <c r="C350" s="27" t="inlineStr">
        <is>
          <t>2000</t>
        </is>
      </c>
      <c r="D350" s="27" t="inlineStr">
        <is>
          <t>B0GSQCP1MX</t>
        </is>
      </c>
      <c r="E350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F350" t="n">
        <v>4480</v>
      </c>
      <c r="G350" t="n">
        <v>2000</v>
      </c>
      <c r="H350" t="n">
        <v>5</v>
      </c>
      <c r="I350">
        <f>SUM(G350*H350)</f>
        <v/>
      </c>
    </row>
    <row r="351">
      <c r="A351" s="27" t="inlineStr">
        <is>
          <t>4550391012237</t>
        </is>
      </c>
      <c r="B351" s="27" t="inlineStr">
        <is>
          <t>b0gsqcp1mx-a</t>
        </is>
      </c>
      <c r="C351" s="27" t="inlineStr">
        <is>
          <t>2000</t>
        </is>
      </c>
      <c r="D351" s="27" t="inlineStr">
        <is>
          <t>B0GSQHQRV7</t>
        </is>
      </c>
      <c r="E351" t="inlineStr">
        <is>
          <t>【福袋】【計3点セット】【正規品】 クーリア シールバインダーセット(ボンボンドロップシール付き) + しずくちゃんシリーズ + クーリアシール｜ボンボンドロップ ボンドロ かわいい 立体 シール ぷっくり ぷくぷく シール交換 収集 キラキラ 3D立体 女の子 平成女子 本家</t>
        </is>
      </c>
      <c r="F351" t="n">
        <v>4480</v>
      </c>
      <c r="G351" t="n">
        <v>2000</v>
      </c>
      <c r="H351" t="n">
        <v>5</v>
      </c>
      <c r="I351">
        <f>SUM(G351*H351)</f>
        <v/>
      </c>
    </row>
    <row r="352">
      <c r="A352" s="27" t="inlineStr">
        <is>
          <t>4550391012411</t>
        </is>
      </c>
      <c r="B352" s="27" t="inlineStr">
        <is>
          <t>b0gsqjtck2</t>
        </is>
      </c>
      <c r="C352" s="27" t="inlineStr">
        <is>
          <t>2367/1014</t>
        </is>
      </c>
      <c r="D352" s="27" t="inlineStr">
        <is>
          <t>B0GSQ5TGBD</t>
        </is>
      </c>
      <c r="E352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352" t="n">
        <v>3980</v>
      </c>
      <c r="G352" t="n">
        <v>1014</v>
      </c>
      <c r="H352" t="n">
        <v>3</v>
      </c>
      <c r="I352">
        <f>SUM(G352*H352)</f>
        <v/>
      </c>
      <c r="J352" t="inlineStr">
        <is>
          <t>✓ 一致（SKU）</t>
        </is>
      </c>
      <c r="K352" t="inlineStr">
        <is>
          <t>4550391012411</t>
        </is>
      </c>
    </row>
    <row r="353">
      <c r="A353" s="27" t="inlineStr">
        <is>
          <t>4550391012428</t>
        </is>
      </c>
      <c r="B353" s="27" t="inlineStr">
        <is>
          <t>b0gsqjtck2</t>
        </is>
      </c>
      <c r="C353" s="27" t="inlineStr">
        <is>
          <t>2367/1014</t>
        </is>
      </c>
      <c r="D353" s="27" t="inlineStr">
        <is>
          <t>B0GSQ67Z26</t>
        </is>
      </c>
      <c r="E353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353" t="n">
        <v>3980</v>
      </c>
      <c r="G353" t="n">
        <v>1014</v>
      </c>
      <c r="H353" t="n">
        <v>3</v>
      </c>
      <c r="I353">
        <f>SUM(G353*H353)</f>
        <v/>
      </c>
      <c r="J353" t="inlineStr">
        <is>
          <t>✓ 一致（SKU）</t>
        </is>
      </c>
      <c r="K353" t="inlineStr">
        <is>
          <t>4550391012428</t>
        </is>
      </c>
    </row>
    <row r="354">
      <c r="A354" s="27" t="inlineStr">
        <is>
          <t>4550391012381</t>
        </is>
      </c>
      <c r="B354" s="27" t="inlineStr">
        <is>
          <t>b0gsqjtck2</t>
        </is>
      </c>
      <c r="C354" s="27" t="inlineStr">
        <is>
          <t>2367/1014</t>
        </is>
      </c>
      <c r="D354" s="27" t="inlineStr">
        <is>
          <t>B0GSQ99VRS</t>
        </is>
      </c>
      <c r="E354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354" t="n">
        <v>3980</v>
      </c>
      <c r="G354" t="n">
        <v>1014</v>
      </c>
      <c r="H354" t="n">
        <v>3</v>
      </c>
      <c r="I354">
        <f>SUM(G354*H354)</f>
        <v/>
      </c>
      <c r="J354" t="inlineStr">
        <is>
          <t>✓ 一致（SKU）</t>
        </is>
      </c>
      <c r="K354" t="inlineStr">
        <is>
          <t>4550391012381</t>
        </is>
      </c>
    </row>
    <row r="355">
      <c r="A355" s="27" t="inlineStr">
        <is>
          <t>4550391012435</t>
        </is>
      </c>
      <c r="B355" s="27" t="inlineStr">
        <is>
          <t>b0gsqjtck2</t>
        </is>
      </c>
      <c r="C355" s="27" t="inlineStr">
        <is>
          <t>2367/1014</t>
        </is>
      </c>
      <c r="D355" s="27" t="inlineStr">
        <is>
          <t>B0GSQCBT5P</t>
        </is>
      </c>
      <c r="E355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355" t="n">
        <v>3980</v>
      </c>
      <c r="G355" t="n">
        <v>1014</v>
      </c>
      <c r="H355" t="n">
        <v>3</v>
      </c>
      <c r="I355">
        <f>SUM(G355*H355)</f>
        <v/>
      </c>
      <c r="J355" t="inlineStr">
        <is>
          <t>✓ 一致（SKU）</t>
        </is>
      </c>
      <c r="K355" t="inlineStr">
        <is>
          <t>4550391012435</t>
        </is>
      </c>
    </row>
    <row r="356">
      <c r="A356" s="27" t="n"/>
      <c r="B356" s="27" t="inlineStr">
        <is>
          <t>b0gsqjtck2</t>
        </is>
      </c>
      <c r="C356" s="27" t="inlineStr">
        <is>
          <t>2367/1014</t>
        </is>
      </c>
      <c r="D356" s="27" t="inlineStr">
        <is>
          <t>B0GSQCP1MR</t>
        </is>
      </c>
      <c r="E356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356" t="n">
        <v>3980</v>
      </c>
      <c r="G356" t="n">
        <v>1014</v>
      </c>
      <c r="H356" t="n">
        <v>3</v>
      </c>
      <c r="I356">
        <f>SUM(G356*H356)</f>
        <v/>
      </c>
    </row>
    <row r="357">
      <c r="A357" s="27" t="inlineStr">
        <is>
          <t>4550391012404</t>
        </is>
      </c>
      <c r="B357" s="27" t="inlineStr">
        <is>
          <t>b0gsqjtck2</t>
        </is>
      </c>
      <c r="C357" s="27" t="inlineStr">
        <is>
          <t>2367/1014</t>
        </is>
      </c>
      <c r="D357" s="27" t="inlineStr">
        <is>
          <t>B0GSQCQXXY</t>
        </is>
      </c>
      <c r="E357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357" t="n">
        <v>3980</v>
      </c>
      <c r="G357" t="n">
        <v>1014</v>
      </c>
      <c r="H357" t="n">
        <v>3</v>
      </c>
      <c r="I357">
        <f>SUM(G357*H357)</f>
        <v/>
      </c>
      <c r="J357" t="inlineStr">
        <is>
          <t>✓ 一致（SKU）</t>
        </is>
      </c>
      <c r="K357" t="inlineStr">
        <is>
          <t>4550391012404</t>
        </is>
      </c>
    </row>
    <row r="358">
      <c r="A358" s="27" t="inlineStr">
        <is>
          <t>4550391012398</t>
        </is>
      </c>
      <c r="B358" s="27" t="inlineStr">
        <is>
          <t>b0gsqjtck2</t>
        </is>
      </c>
      <c r="C358" s="27" t="inlineStr">
        <is>
          <t>2367/1014</t>
        </is>
      </c>
      <c r="D358" s="27" t="inlineStr">
        <is>
          <t>B0GSQDN987</t>
        </is>
      </c>
      <c r="E358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358" t="n">
        <v>3980</v>
      </c>
      <c r="G358" t="n">
        <v>1014</v>
      </c>
      <c r="H358" t="n">
        <v>3</v>
      </c>
      <c r="I358">
        <f>SUM(G358*H358)</f>
        <v/>
      </c>
      <c r="J358" t="inlineStr">
        <is>
          <t>✓ 一致（SKU）</t>
        </is>
      </c>
      <c r="K358" t="inlineStr">
        <is>
          <t>4550391012398</t>
        </is>
      </c>
    </row>
    <row r="359">
      <c r="A359" s="27" t="inlineStr">
        <is>
          <t>4550391012367</t>
        </is>
      </c>
      <c r="B359" s="27" t="inlineStr">
        <is>
          <t>b0gsqjtck2</t>
        </is>
      </c>
      <c r="C359" s="27" t="inlineStr">
        <is>
          <t>2367/1014</t>
        </is>
      </c>
      <c r="D359" s="27" t="inlineStr">
        <is>
          <t>B0GSQJTCK2</t>
        </is>
      </c>
      <c r="E359" t="inlineStr">
        <is>
          <t>【福袋】 【計4種セット】 【正規品】 クーリア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F359" t="n">
        <v>3980</v>
      </c>
      <c r="G359" t="n">
        <v>1014</v>
      </c>
      <c r="H359" t="n">
        <v>2</v>
      </c>
      <c r="I359">
        <f>SUM(G359*H359)</f>
        <v/>
      </c>
      <c r="J359" t="inlineStr">
        <is>
          <t>✓ 一致（SKU）</t>
        </is>
      </c>
      <c r="K359" t="inlineStr">
        <is>
          <t>4550391012367</t>
        </is>
      </c>
    </row>
    <row r="360">
      <c r="A360" s="27" t="inlineStr">
        <is>
          <t>4982502082318</t>
        </is>
      </c>
      <c r="B360" s="27" t="inlineStr">
        <is>
          <t>b0gzfws395</t>
        </is>
      </c>
      <c r="C360" s="27" t="inlineStr">
        <is>
          <t>2318,2301,2332,2325/2860</t>
        </is>
      </c>
      <c r="D360" s="27" t="inlineStr">
        <is>
          <t>b0gzfws395</t>
        </is>
      </c>
      <c r="E360" t="inlineStr">
        <is>
          <t>【全4種セット】【正規品】 サンリオ サンリオキャラクターズ ストーンシール ミニ クロミ シナモロール MXマシュグミ ハローキティ ボンボンドロップシール ボンドロ かわいい 立体 シール ぷっくり ぷくぷく シール交換 収集 キラキラ コレクション 女の子 プレゼント</t>
        </is>
      </c>
      <c r="F360" t="n">
        <v>3980</v>
      </c>
      <c r="G360" t="n">
        <v>2852</v>
      </c>
      <c r="H360" t="n">
        <v>17</v>
      </c>
      <c r="I360">
        <f>SUM(G360*H360)</f>
        <v/>
      </c>
    </row>
    <row r="361">
      <c r="A361" s="27" t="n"/>
      <c r="B361" s="27" t="inlineStr">
        <is>
          <t>b0h143yckk</t>
        </is>
      </c>
      <c r="C361" s="27" t="inlineStr">
        <is>
          <t>7835,7859,7866,7811,7828/2640</t>
        </is>
      </c>
      <c r="D361" s="27" t="inlineStr">
        <is>
          <t>b0h143yckk</t>
        </is>
      </c>
      <c r="E361" t="inlineStr">
        <is>
          <t>【セット品】コロふわシールフレーク 5種セット マイメロディ クロミ パワーパフガールズ トムとジェリー ハローキティ 日焼け ギャル フロッキー加工 立体シール クラックス シールフレーク デコレーション 手帳デコ ノートデコ キャラクター雑貨 立体 シール かわいい</t>
        </is>
      </c>
      <c r="F361" t="n">
        <v>4980</v>
      </c>
      <c r="G361" t="n">
        <v>2640</v>
      </c>
      <c r="H361" t="n">
        <v>4</v>
      </c>
      <c r="I361">
        <f>SUM(G361*H361)</f>
        <v/>
      </c>
    </row>
    <row r="362">
      <c r="A362" s="27" t="inlineStr">
        <is>
          <t>4550433077941</t>
        </is>
      </c>
      <c r="B362" s="27" t="inlineStr">
        <is>
          <t>b0h1x7lkwn</t>
        </is>
      </c>
      <c r="C362" s="27" t="inlineStr">
        <is>
          <t>7934,7941/1144</t>
        </is>
      </c>
      <c r="D362" s="27" t="inlineStr">
        <is>
          <t>b0h1x7lkwn</t>
        </is>
      </c>
      <c r="E362" t="inlineStr">
        <is>
          <t>【セット品】ムーミン プチドロップステッカー 2種セット 雲と月と星 リトルミイときょうだい カミオジャパン MOOMIN シール ステッカー デコシール 手帳デコ ノートデコ キャラクター雑貨 北欧雑貨 コレクション プレゼント アソートセット 立体 かわいい プチドロップ</t>
        </is>
      </c>
      <c r="F362" t="n">
        <v>2980</v>
      </c>
      <c r="G362" t="n">
        <v>1144</v>
      </c>
      <c r="H362" t="n">
        <v>9</v>
      </c>
      <c r="I362">
        <f>SUM(G362*H362)</f>
        <v/>
      </c>
      <c r="J362" t="inlineStr">
        <is>
          <t>✓ 一致（SKU）</t>
        </is>
      </c>
      <c r="K362" t="inlineStr">
        <is>
          <t>4550433077941</t>
        </is>
      </c>
    </row>
    <row r="363">
      <c r="A363" s="27" t="inlineStr">
        <is>
          <t>4582191688985</t>
        </is>
      </c>
      <c r="B363" s="27" t="inlineStr">
        <is>
          <t>compass1699347902</t>
        </is>
      </c>
      <c r="C363" s="27" t="inlineStr">
        <is>
          <t>B00I94RYMG</t>
        </is>
      </c>
      <c r="D363" s="27" t="inlineStr">
        <is>
          <t>normal-inventory</t>
        </is>
      </c>
      <c r="E363" t="inlineStr">
        <is>
          <t>ペットライブラリー イヌネコネル 取っ手の付いたうんちパック (30枚) 犬用 猫用 エチケット袋 お散歩 イヌ ネコ</t>
        </is>
      </c>
      <c r="F363" t="n">
        <v>980</v>
      </c>
      <c r="G363" t="n">
        <v>0</v>
      </c>
      <c r="H363" t="n">
        <v>2</v>
      </c>
      <c r="I363">
        <f>SUM(G363*H363)</f>
        <v/>
      </c>
    </row>
    <row r="364">
      <c r="A364" s="27" t="n"/>
      <c r="B364" s="27" t="inlineStr">
        <is>
          <t>set-0001</t>
        </is>
      </c>
      <c r="C364" s="27" t="inlineStr">
        <is>
          <t>4723,5027/533</t>
        </is>
      </c>
      <c r="D364" s="27" t="inlineStr">
        <is>
          <t>SET-0001</t>
        </is>
      </c>
      <c r="E364" t="inlineStr">
        <is>
          <t>【セット品】ファブリーズ おそうじエイド ハウスダストをまとめて固めるスプレー 洗いたてのリネンの香り 本体 370mL 詰め替え 320mL 花粉対策 ダニ対策 ペットの毛 ホコリ対策 布団 カーペット ソファ カーテン クッション 掃除用品 布製品用 P&amp;G 日用 まとめ買い ストック</t>
        </is>
      </c>
      <c r="F364" t="n">
        <v>1980</v>
      </c>
      <c r="G364" t="n">
        <v>533</v>
      </c>
      <c r="H364" t="n">
        <v>3</v>
      </c>
      <c r="I364">
        <f>SUM(G364*H364)</f>
        <v/>
      </c>
    </row>
    <row r="365">
      <c r="A365" s="27" t="n"/>
      <c r="B365" s="27" t="inlineStr">
        <is>
          <t>0192333006122</t>
        </is>
      </c>
      <c r="C365" s="27" t="inlineStr">
        <is>
          <t>6122/12400</t>
        </is>
      </c>
      <c r="D365" s="27" t="inlineStr">
        <is>
          <t>0192333006122</t>
        </is>
      </c>
      <c r="E365" t="inlineStr">
        <is>
          <t>クリニーク CLINIQUE アドベントカレンダー24 デイズ オブ クリニーク コスメ 化粧品</t>
        </is>
      </c>
      <c r="G365" t="n">
        <v>0</v>
      </c>
      <c r="H365" t="n">
        <v>1</v>
      </c>
      <c r="I365">
        <f>SUM(G365*H365)</f>
        <v/>
      </c>
    </row>
    <row r="366">
      <c r="A366" s="27" t="inlineStr">
        <is>
          <t>4562149054178</t>
        </is>
      </c>
      <c r="B366" s="27" t="inlineStr">
        <is>
          <t>4562149054178-2</t>
        </is>
      </c>
      <c r="C366" s="27" t="inlineStr">
        <is>
          <t>4562149054178-2</t>
        </is>
      </c>
      <c r="D366" s="27" t="inlineStr">
        <is>
          <t>4562149054178-2</t>
        </is>
      </c>
      <c r="E366" t="inlineStr">
        <is>
          <t>チューデント 超長持ち歯みがきガム ご褒美チキン風味 M～Lサイズ 5本入×2袋セット 犬用 歯磨きガム デンタルガム 国産 牛皮 ハーツ 犬 おやつ デンタルケア 歯垢除去 歯石対策 噛むおやつ 成犬 中型犬 大型犬 無添加 保存料不使用 着色料不使用 香料不使用 まとめ買い</t>
        </is>
      </c>
      <c r="G366" t="n">
        <v>1118</v>
      </c>
      <c r="H366" t="n">
        <v>3</v>
      </c>
      <c r="I366">
        <f>SUM(G366*H366)</f>
        <v/>
      </c>
    </row>
    <row r="367">
      <c r="A367" s="27" t="inlineStr">
        <is>
          <t>4902201213219</t>
        </is>
      </c>
      <c r="B367" s="27" t="inlineStr">
        <is>
          <t>4902201213219-12</t>
        </is>
      </c>
      <c r="C367" s="27" t="inlineStr">
        <is>
          <t>4902201213219-12</t>
        </is>
      </c>
      <c r="D367" s="27" t="inlineStr">
        <is>
          <t>4902201213219-12</t>
        </is>
      </c>
      <c r="E367" t="inlineStr">
        <is>
          <t>【12個セット】モンプチ プチリュクス ナチュラル 成猫用 まぐろのしらす添え 30g×12袋セット キャットフード ウェットフード パウチ 総合栄養食 猫用フード 成猫用 まぐろ しらす ごはん ペットフード 小分け 食べ切り 水分補給 愛猫 国産 まとめ買い ストック</t>
        </is>
      </c>
      <c r="G367" t="n">
        <v>1116</v>
      </c>
      <c r="H367" t="n">
        <v>1</v>
      </c>
      <c r="I367">
        <f>SUM(G367*H367)</f>
        <v/>
      </c>
    </row>
    <row r="368">
      <c r="A368" s="27" t="inlineStr">
        <is>
          <t>4903301186427</t>
        </is>
      </c>
      <c r="B368" s="27" t="inlineStr">
        <is>
          <t>4903301186427-3</t>
        </is>
      </c>
      <c r="C368" s="27" t="inlineStr">
        <is>
          <t>4903301186427-3</t>
        </is>
      </c>
      <c r="D368" s="27" t="inlineStr">
        <is>
          <t>4903301186427-3</t>
        </is>
      </c>
      <c r="E368" t="inlineStr">
        <is>
          <t>【3個セット】ライオン デンタークリアMAX ナチュラルミント 縦型 140g×3本セット 薬用ハミガキ 歯磨き粉 歯みがき粉 歯垢除去 虫歯予防 口臭予防 フッ素配合 クリーニングパウダー オーラルケア デンタルケア 家庭用 まとめ買い</t>
        </is>
      </c>
      <c r="G368" t="n">
        <v>327</v>
      </c>
      <c r="H368" t="n">
        <v>40</v>
      </c>
      <c r="I368">
        <f>SUM(G368*H368)</f>
        <v/>
      </c>
    </row>
    <row r="369">
      <c r="A369" s="27" t="inlineStr">
        <is>
          <t>4571411204838</t>
        </is>
      </c>
      <c r="B369" s="27" t="inlineStr">
        <is>
          <t>4571411204838</t>
        </is>
      </c>
      <c r="C369" s="27" t="inlineStr">
        <is>
          <t>4571411204838</t>
        </is>
      </c>
      <c r="D369" s="27" t="inlineStr">
        <is>
          <t>A2039N21</t>
        </is>
      </c>
      <c r="E369" t="inlineStr">
        <is>
          <t>Anker 523 Charger Nano 3 47W ブラック ホワイト A2039N11  A2039N21 USB-C 急速充電器 GaN PD対応 最大47W 2ポート USB充電器 Type-C 折りたたみ式 コンパクト 小型 MacBook iPad iPhone Android ノートPC タブレット対応 USB-C充電アダプター 高速充電 持ち運び Anker</t>
        </is>
      </c>
      <c r="G369" t="n">
        <v>2990</v>
      </c>
      <c r="H369" t="n">
        <v>3</v>
      </c>
      <c r="I369">
        <f>SUM(G369*H369)</f>
        <v/>
      </c>
    </row>
    <row r="370">
      <c r="A370" s="27" t="n"/>
      <c r="B370" s="27" t="inlineStr">
        <is>
          <t>b08x11gd52</t>
        </is>
      </c>
      <c r="C370" s="27" t="inlineStr">
        <is>
          <t>4968/2690</t>
        </is>
      </c>
      <c r="D370" s="27" t="inlineStr">
        <is>
          <t>B08X11GD52</t>
        </is>
      </c>
      <c r="E370" t="inlineStr">
        <is>
          <t>Anker Nano II 65W PD充電器 USB-C ブラック ホワイト GaN II USB-C充電器 急速充電器 Power Delivery PPS対応 Type-C ACアダプター MacBook Air Pro iPad iPhone Android Galaxy Pixel ノートPC 折りたたみプラグ 小型 軽量 コンパクト PSE認証</t>
        </is>
      </c>
      <c r="G370" t="n">
        <v>2690</v>
      </c>
      <c r="H370" t="n">
        <v>12</v>
      </c>
      <c r="I370">
        <f>SUM(G370*H370)</f>
        <v/>
      </c>
    </row>
    <row r="371">
      <c r="A371" s="27" t="n"/>
      <c r="B371" s="27" t="inlineStr">
        <is>
          <t>b08x11gd52</t>
        </is>
      </c>
      <c r="C371" s="27" t="inlineStr">
        <is>
          <t>4968/2690</t>
        </is>
      </c>
      <c r="D371" s="27" t="inlineStr">
        <is>
          <t>B08X1GSFTT</t>
        </is>
      </c>
      <c r="E371" t="inlineStr">
        <is>
          <t>Anker Nano II 65W PD充電器 USB-C ブラック ホワイト GaN II USB-C充電器 急速充電器 Power Delivery PPS対応 Type-C ACアダプター MacBook Air Pro iPad iPhone Android Galaxy Pixel ノートPC 折りたたみプラグ 小型 軽量 コンパクト PSE認証</t>
        </is>
      </c>
      <c r="G371" t="n">
        <v>2690</v>
      </c>
      <c r="H371" t="n">
        <v>12</v>
      </c>
      <c r="I371">
        <f>SUM(G371*H371)</f>
        <v/>
      </c>
    </row>
    <row r="372">
      <c r="A372" s="27" t="n"/>
      <c r="B372" s="27" t="inlineStr">
        <is>
          <t>b0cx4c1tvk</t>
        </is>
      </c>
      <c r="C372" s="27" t="inlineStr">
        <is>
          <t>B0CX4FKYCS</t>
        </is>
      </c>
      <c r="D372" s="27" t="inlineStr">
        <is>
          <t>B0CX4C1TVK</t>
        </is>
      </c>
      <c r="E372" t="inlineStr">
        <is>
          <t>Anker Power Bank (10000mAh, Fusion, Built-In USB-C ケーブル) ブラック ピンク ブルー ホワイト モバイルバッテリー USB-C ケーブル一体型 30W 急速充電 コンセント一体型 USB充電器 PD LEDディスプレイ 折りたたみプラグ iPhone Android iPad MacBook 小型 軽量 防災</t>
        </is>
      </c>
      <c r="G372" t="n">
        <v>5890</v>
      </c>
      <c r="H372" t="n">
        <v>7</v>
      </c>
      <c r="I372">
        <f>SUM(G372*H372)</f>
        <v/>
      </c>
    </row>
    <row r="373">
      <c r="A373" s="27" t="n"/>
      <c r="B373" s="27" t="inlineStr">
        <is>
          <t>b0cx4c1tvk</t>
        </is>
      </c>
      <c r="C373" s="27" t="inlineStr">
        <is>
          <t>B0CX4FKYCS</t>
        </is>
      </c>
      <c r="D373" s="27" t="inlineStr">
        <is>
          <t>B0CX4FKYCS</t>
        </is>
      </c>
      <c r="E373" t="inlineStr">
        <is>
          <t>Anker Power Bank (10000mAh, Fusion, Built-In USB-C ケーブル) ブラック ピンク ブルー ホワイト モバイルバッテリー USB-C ケーブル一体型 30W 急速充電 コンセント一体型 USB充電器 PD LEDディスプレイ 折りたたみプラグ iPhone Android iPad MacBook 小型 軽量 防災</t>
        </is>
      </c>
      <c r="G373" t="n">
        <v>5990</v>
      </c>
      <c r="H373" t="n">
        <v>1</v>
      </c>
      <c r="I373">
        <f>SUM(G373*H373)</f>
        <v/>
      </c>
    </row>
    <row r="374">
      <c r="A374" s="27" t="n"/>
      <c r="B374" s="27" t="inlineStr">
        <is>
          <t>b0cx4c1tvk</t>
        </is>
      </c>
      <c r="C374" s="27" t="inlineStr">
        <is>
          <t>B0CX4FKYCS</t>
        </is>
      </c>
      <c r="D374" s="27" t="inlineStr">
        <is>
          <t>B0CX4PBCKH</t>
        </is>
      </c>
      <c r="E374" t="inlineStr">
        <is>
          <t>Anker Power Bank (10000mAh, Fusion, Built-In USB-C ケーブル) ブラック ピンク ブルー ホワイト モバイルバッテリー USB-C ケーブル一体型 30W 急速充電 コンセント一体型 USB充電器 PD LEDディスプレイ 折りたたみプラグ iPhone Android iPad MacBook 小型 軽量 防災</t>
        </is>
      </c>
      <c r="G374" t="n">
        <v>5990</v>
      </c>
      <c r="H374" t="n">
        <v>0</v>
      </c>
      <c r="I374">
        <f>SUM(G374*H374)</f>
        <v/>
      </c>
    </row>
    <row r="375">
      <c r="A375" s="27" t="n"/>
      <c r="B375" s="27" t="inlineStr">
        <is>
          <t>b0cx4c1tvk</t>
        </is>
      </c>
      <c r="C375" s="27" t="inlineStr">
        <is>
          <t>B0CX4FKYCS</t>
        </is>
      </c>
      <c r="D375" s="27" t="inlineStr">
        <is>
          <t>B0CX4ZPLPK</t>
        </is>
      </c>
      <c r="E375" t="inlineStr">
        <is>
          <t>Anker Power Bank (10000mAh, Fusion, Built-In USB-C ケーブル) ブラック ピンク ブルー ホワイト モバイルバッテリー USB-C ケーブル一体型 30W 急速充電 コンセント一体型 USB充電器 PD LEDディスプレイ 折りたたみプラグ iPhone Android iPad MacBook 小型 軽量 防災</t>
        </is>
      </c>
      <c r="G375" t="n">
        <v>5990</v>
      </c>
      <c r="H375" t="n">
        <v>8</v>
      </c>
      <c r="I375">
        <f>SUM(G375*H375)</f>
        <v/>
      </c>
    </row>
    <row r="376">
      <c r="A376" s="27" t="inlineStr">
        <is>
          <t>4987176354273</t>
        </is>
      </c>
      <c r="B376" s="27" t="inlineStr">
        <is>
          <t>b0fy1j62w9-2</t>
        </is>
      </c>
      <c r="C376" s="27" t="inlineStr">
        <is>
          <t>4987176354273-2</t>
        </is>
      </c>
      <c r="D376" s="27" t="inlineStr">
        <is>
          <t>B0FY1J62W9-2</t>
        </is>
      </c>
      <c r="E376" t="inlineStr">
        <is>
          <t>【2個セット】レノア リセット セラム 柔軟剤 さくらフローラルの香り 詰め替え 680mL×2 期間限定 SAKURA 詰替え 大容量 衣類ケア シワ防止 ヨレ防止 毛玉防止 静電気防止 ふんわり 香り長続き 洗濯 ランドリー 部屋干し 花粉対策 防臭 消臭 まとめ買い ストック P&amp;G</t>
        </is>
      </c>
      <c r="G376" t="n">
        <v>874</v>
      </c>
      <c r="H376" t="n">
        <v>4</v>
      </c>
      <c r="I376">
        <f>SUM(G376*H376)</f>
        <v/>
      </c>
    </row>
    <row r="377">
      <c r="A377" s="27" t="n"/>
      <c r="B377" s="27" t="inlineStr">
        <is>
          <t>b0g1sql91q-2</t>
        </is>
      </c>
      <c r="C377" s="27" t="inlineStr">
        <is>
          <t>0299/2086</t>
        </is>
      </c>
      <c r="D377" s="27" t="inlineStr">
        <is>
          <t>B0G1SQL91Q-2</t>
        </is>
      </c>
      <c r="E377" t="inlineStr">
        <is>
          <t>【2個セット】レノア アロマジュエル SAKURA 衣料用香り付けビーズ さくらフローラルの香り 詰め替え 990mL×2 期間限定 柔軟剤 香り付けビーズ 洗濯 ビーズ 大容量 特大 詰替え 香り長続き 部屋干し 縦型 ドラム式 P&amp;G</t>
        </is>
      </c>
      <c r="G377" t="n">
        <v>2086</v>
      </c>
      <c r="H377" t="n">
        <v>2</v>
      </c>
      <c r="I377">
        <f>SUM(G377*H377)</f>
        <v/>
      </c>
    </row>
    <row r="378">
      <c r="A378" s="27" t="inlineStr">
        <is>
          <t>4901301466426</t>
        </is>
      </c>
      <c r="B378" s="27" t="inlineStr">
        <is>
          <t>b0gm6xjjst-2</t>
        </is>
      </c>
      <c r="C378" s="27" t="inlineStr">
        <is>
          <t>4901301466426-2</t>
        </is>
      </c>
      <c r="D378" s="27" t="inlineStr">
        <is>
          <t>B0GM6XJJST-2</t>
        </is>
      </c>
      <c r="E378" t="inlineStr">
        <is>
          <t>【2個セット】アタックZERO 部屋干し 詰め替え 1460g×2個セット 花王 洗濯洗剤 液体洗剤 部屋干し専用 超特大 大容量 詰替え 24時間部屋干し臭防止 抗菌 洗濯槽防カビ 洗濯槽除菌 自動投入対応 生乾き臭 ニオイ対策 ランドリー 日用品 まとめ買い</t>
        </is>
      </c>
      <c r="G378" t="n">
        <v>3460</v>
      </c>
      <c r="H378" t="n">
        <v>4</v>
      </c>
      <c r="I378">
        <f>SUM(G378*H378)</f>
        <v/>
      </c>
    </row>
    <row r="379">
      <c r="A379" s="27" t="inlineStr">
        <is>
          <t>4901301466303</t>
        </is>
      </c>
      <c r="B379" s="27" t="inlineStr">
        <is>
          <t>b0gm6y6yj4-2</t>
        </is>
      </c>
      <c r="C379" s="27" t="inlineStr">
        <is>
          <t>4901301466303-2</t>
        </is>
      </c>
      <c r="D379" s="27" t="inlineStr">
        <is>
          <t>B0GM6Y6YJ4-2</t>
        </is>
      </c>
      <c r="E379" t="inlineStr">
        <is>
          <t>【2個セット】アタックZERO 詰め替え 1460g×2個セット 花王 洗濯洗剤 液体洗剤 超特大 大容量 詰替え 最高峰の消臭 自動投入対応 抗菌 洗濯槽除菌 洗濯槽防カビ バイオフィルム除去 糸くずフィルターヌメリ除去 すすぎ1回 濃縮 ランドリー 日用品 まとめ買い</t>
        </is>
      </c>
      <c r="G379" t="n">
        <v>3460</v>
      </c>
      <c r="H379" t="n">
        <v>3</v>
      </c>
      <c r="I379">
        <f>SUM(G379*H379)</f>
        <v/>
      </c>
    </row>
    <row r="380">
      <c r="A380" s="27" t="n"/>
      <c r="B380" s="27" t="inlineStr">
        <is>
          <t>set-0006</t>
        </is>
      </c>
      <c r="C380" s="27" t="inlineStr">
        <is>
          <t>6284,6345/1736</t>
        </is>
      </c>
      <c r="D380" s="27" t="inlineStr">
        <is>
          <t>SET-0006</t>
        </is>
      </c>
      <c r="E380" t="inlineStr">
        <is>
          <t>【セット品】ファブリーズ W除菌+消臭スプレー 衣類・布製品用 無香料 アルコール成分配合 本体370mL＋つめかえ4回分1280mL P&amp;G 布用 消臭スプレー 除菌スプレー 衣類 ソファ カーテン ベッド クッション 部屋干し タバコ 汗 ニオイ対策 大容量 詰替え まとめ買い</t>
        </is>
      </c>
      <c r="G380" t="n">
        <v>1736</v>
      </c>
      <c r="H380" t="n">
        <v>6</v>
      </c>
      <c r="I380">
        <f>SUM(G380*H380)</f>
        <v/>
      </c>
    </row>
    <row r="381">
      <c r="A381" s="27" t="n"/>
      <c r="B381" s="27" t="inlineStr">
        <is>
          <t>set-0007</t>
        </is>
      </c>
      <c r="C381" s="27" t="inlineStr">
        <is>
          <t>6307,6383/1736</t>
        </is>
      </c>
      <c r="D381" s="27" t="inlineStr">
        <is>
          <t>SET-0007</t>
        </is>
      </c>
      <c r="E381" t="inlineStr">
        <is>
          <t>【セット品】ファブリーズ W除菌+消臭スプレー 衣類・布製品用 香りが残らない 本体370mL＋つめかえ4回分1280mL P&amp;G 布用 消臭スプレー 除菌スプレー 衣類 ソファ カーテン ベッド クッション 部屋干し タバコ 汗 ニオイ対策 大容量 詰替え まとめ買い</t>
        </is>
      </c>
      <c r="G381" t="n">
        <v>1736</v>
      </c>
      <c r="H381" t="n">
        <v>1</v>
      </c>
      <c r="I381">
        <f>SUM(G381*H381)</f>
        <v/>
      </c>
    </row>
    <row r="382">
      <c r="A382" s="27" t="inlineStr">
        <is>
          <t>4571104713265</t>
        </is>
      </c>
      <c r="B382" s="27" t="inlineStr">
        <is>
          <t>b0179h2jvo-6</t>
        </is>
      </c>
      <c r="C382" s="27" t="inlineStr">
        <is>
          <t>4571104713265-6</t>
        </is>
      </c>
      <c r="D382" s="27" t="inlineStr">
        <is>
          <t>b0179h2jvo-6</t>
        </is>
      </c>
      <c r="E382" t="inlineStr">
        <is>
          <t>【6個セット】健康缶 15歳からの健康缶パウチ とろとろまぐろペースト 40g×6袋セット シニア猫用 キャットフード ウェットフード パウチ まぐろ ペースト 総合栄養食 高齢猫 老猫 水分補給 やわらか 食べやすい ごはん 愛猫 国産 猫用フード まとめ買い</t>
        </is>
      </c>
      <c r="G382" t="n">
        <v>624</v>
      </c>
      <c r="H382" t="n">
        <v>1</v>
      </c>
      <c r="I382">
        <f>SUM(G382*H382)</f>
        <v/>
      </c>
    </row>
    <row r="383">
      <c r="A383" s="27" t="n"/>
      <c r="B383" s="27" t="inlineStr">
        <is>
          <t>b01g81swcm</t>
        </is>
      </c>
      <c r="C383" s="27" t="inlineStr">
        <is>
          <t>4901133863318-2-w</t>
        </is>
      </c>
      <c r="D383" s="27" t="inlineStr">
        <is>
          <t>b01g81swcm</t>
        </is>
      </c>
      <c r="E383" t="inlineStr">
        <is>
          <t>【訳あり】【12個入り】いなば 金のだしカップ まぐろ・かつお節入り 70g キャットフード ウェットフード 猫用 一般食 国産 ゼリータイプ まぐろ かつお節 猫 エサ ごはん 成猫 シニア 水分補給 食べ切り カップタイプ ペットフード いなばペットフード</t>
        </is>
      </c>
      <c r="G383" t="n">
        <v>1396</v>
      </c>
      <c r="H383" t="n">
        <v>2</v>
      </c>
      <c r="I383">
        <f>SUM(G383*H383)</f>
        <v/>
      </c>
    </row>
    <row r="384">
      <c r="A384" s="27" t="inlineStr">
        <is>
          <t>4589530701046</t>
        </is>
      </c>
      <c r="B384" s="27" t="inlineStr">
        <is>
          <t>b01mtemme0</t>
        </is>
      </c>
      <c r="C384" s="27" t="inlineStr">
        <is>
          <t>4589530701046-2</t>
        </is>
      </c>
      <c r="D384" s="27" t="inlineStr">
        <is>
          <t>b01mtemme0</t>
        </is>
      </c>
      <c r="E384" t="inlineStr">
        <is>
          <t>【2本セット】ビュクレール クレンジングローション 500mL メイク落とし クレンジングウォーター 拭き取りクレンジング W洗顔不要 オイルフリー まつエクOK 化粧水 保湿 ブライトニング 大容量 毛穴汚れ 角質ケア 日本製 BEAUCLAIR</t>
        </is>
      </c>
      <c r="G384" t="n">
        <v>792</v>
      </c>
      <c r="H384" t="n">
        <v>3</v>
      </c>
      <c r="I384">
        <f>SUM(G384*H384)</f>
        <v/>
      </c>
    </row>
    <row r="385">
      <c r="A385" s="27" t="n"/>
      <c r="B385" s="27" t="inlineStr">
        <is>
          <t>b075ssnk1l</t>
        </is>
      </c>
      <c r="C385" s="27" t="inlineStr">
        <is>
          <t>3693/4780</t>
        </is>
      </c>
      <c r="D385" s="27" t="inlineStr">
        <is>
          <t>b075ssnk1l</t>
        </is>
      </c>
      <c r="E385" t="inlineStr">
        <is>
          <t>【ブラウン】オーラルB 電動歯ブラシ D6015253P 回転式 電動歯ブラシ 歯垢除去 ホワイトニング 歯ぐきケア 充電式 防水設計 デンタルケア 口腔ケア Oral-B オーラルケア 歯ブラシ 電動ブラシ 替えブラシ対応 旅行 出張 身だしなみ ケア</t>
        </is>
      </c>
      <c r="G385" t="n">
        <v>4780</v>
      </c>
      <c r="H385" t="n">
        <v>6</v>
      </c>
      <c r="I385">
        <f>SUM(G385*H385)</f>
        <v/>
      </c>
    </row>
    <row r="386">
      <c r="A386" s="27" t="inlineStr">
        <is>
          <t>5060144645562</t>
        </is>
      </c>
      <c r="B386" s="27" t="inlineStr">
        <is>
          <t>b07vl5tf8z</t>
        </is>
      </c>
      <c r="C386" s="27" t="inlineStr">
        <is>
          <t>5060144645562</t>
        </is>
      </c>
      <c r="D386" s="27" t="inlineStr">
        <is>
          <t>b07vl5tf8z</t>
        </is>
      </c>
      <c r="E386" t="inlineStr">
        <is>
          <t>Bulldog ブルドッグ オリジナル 5枚刃 バンブーホルダー カミソリ 本体 替刃2個付き メンズ 髭剃り シェーバー 竹製ハンドル 首振り式 アロエスムーザー トリマー付き 男性用 シェービング スキンケア</t>
        </is>
      </c>
      <c r="G386" t="n">
        <v>1192</v>
      </c>
      <c r="H386" t="n">
        <v>19</v>
      </c>
      <c r="I386">
        <f>SUM(G386*H386)</f>
        <v/>
      </c>
    </row>
    <row r="387">
      <c r="A387" s="27" t="n"/>
      <c r="B387" s="27" t="inlineStr">
        <is>
          <t>b09dc4r8qq-3</t>
        </is>
      </c>
      <c r="C387" s="27" t="inlineStr">
        <is>
          <t>2546/13196</t>
        </is>
      </c>
      <c r="D387" s="27" t="inlineStr">
        <is>
          <t>b09dc4r8qq-3</t>
        </is>
      </c>
      <c r="E387" t="inlineStr">
        <is>
          <t>【3個セット】ジレット プロシールド 電動タイプ 本体＋替刃6個付（うち1個装着済） カミソリ 髭剃り メンズシェーバー 電動振動 深剃り 肌にやさしい 剃刀 シェービング 替刃式 Gillette 男性用 旅行 出張 身だしなみ ケア まとめ買い 大容量</t>
        </is>
      </c>
      <c r="G387" t="n">
        <v>13196</v>
      </c>
      <c r="H387" t="n">
        <v>1</v>
      </c>
      <c r="I387">
        <f>SUM(G387*H387)</f>
        <v/>
      </c>
    </row>
    <row r="388">
      <c r="A388" s="27" t="n"/>
      <c r="B388" s="27" t="inlineStr">
        <is>
          <t>b0b4nfdgn7</t>
        </is>
      </c>
      <c r="C388" s="27" t="inlineStr">
        <is>
          <t>4901301347541-5-h</t>
        </is>
      </c>
      <c r="D388" s="27" t="inlineStr">
        <is>
          <t>b0b4nfdgn7</t>
        </is>
      </c>
      <c r="E388" t="inlineStr">
        <is>
          <t>【5個セット】ビオレ さらさらパウダーシート さわやかせっけんの香り 携帯用 10枚 制汗シート ボディシート 汗拭きシート デオドラントシート ボディペーパー 汗ふきシート さらさら ベタつき ニオイ対策 外出 通勤 通学 スポーツ 花王</t>
        </is>
      </c>
      <c r="G388" t="n">
        <v>1070</v>
      </c>
      <c r="H388" t="n">
        <v>25</v>
      </c>
      <c r="I388">
        <f>SUM(G388*H388)</f>
        <v/>
      </c>
    </row>
    <row r="389">
      <c r="A389" s="27" t="n"/>
      <c r="B389" s="27" t="inlineStr">
        <is>
          <t>b0c3l32wkr-2</t>
        </is>
      </c>
      <c r="C389" s="27" t="inlineStr">
        <is>
          <t>6562/1116</t>
        </is>
      </c>
      <c r="D389" s="27" t="inlineStr">
        <is>
          <t>b0c3l32wkr-2</t>
        </is>
      </c>
      <c r="E389" t="inlineStr">
        <is>
          <t>【2個セット】友和 Tipo's 超撥水コーティング剤 弾き！ つめかえ用 500ml 撥水 コーティング剤 詰め替え 掃除 水回り シンク 洗面台 浴室 鏡 キッチン 蛇口 窓ガラス 車 ガラス 防汚 水アカ対策 汚れ防止 お手入れ 日本製 ティポス</t>
        </is>
      </c>
      <c r="G389" t="n">
        <v>1116</v>
      </c>
      <c r="H389" t="n">
        <v>22</v>
      </c>
      <c r="I389">
        <f>SUM(G389*H389)</f>
        <v/>
      </c>
    </row>
    <row r="390">
      <c r="A390" s="27" t="inlineStr">
        <is>
          <t>4582228251861</t>
        </is>
      </c>
      <c r="B390" s="27" t="inlineStr">
        <is>
          <t>b0cp51ckvd</t>
        </is>
      </c>
      <c r="C390" s="27" t="inlineStr">
        <is>
          <t>4582228251861-2</t>
        </is>
      </c>
      <c r="D390" s="27" t="inlineStr">
        <is>
          <t>b0cp51ckvd</t>
        </is>
      </c>
      <c r="E390" t="inlineStr">
        <is>
          <t>【20枚セット】アイリスオーヤマ 激熱家族 使い捨てカイロ 貼れない レギュラー 屋外専用 高温 約79℃ 寒さ対策 防寒 通勤 通学 スポーツ観戦 キャンプ アウトドア レジャー 作業 防災 10枚×2個セット</t>
        </is>
      </c>
      <c r="G390" t="n">
        <v>505</v>
      </c>
      <c r="H390" t="n">
        <v>12</v>
      </c>
      <c r="I390">
        <f>SUM(G390*H390)</f>
        <v/>
      </c>
    </row>
    <row r="391">
      <c r="A391" s="27" t="inlineStr">
        <is>
          <t>4902111776996</t>
        </is>
      </c>
      <c r="B391" s="27" t="inlineStr">
        <is>
          <t>b0ctbg4l1x</t>
        </is>
      </c>
      <c r="C391" s="27" t="inlineStr">
        <is>
          <t>4902111776996</t>
        </is>
      </c>
      <c r="D391" s="27" t="inlineStr">
        <is>
          <t>b0ctbg4l1x</t>
        </is>
      </c>
      <c r="E391" t="inlineStr">
        <is>
          <t>NEXXUS(ネクサス) リペアアンドカラープロテクト ヘアマスク トリートメント 本体 220g 日本製 色落ち防止 ケア ヘアケア</t>
        </is>
      </c>
      <c r="G391" t="n">
        <v>1043</v>
      </c>
      <c r="H391" t="n">
        <v>14</v>
      </c>
      <c r="I391">
        <f>SUM(G391*H391)</f>
        <v/>
      </c>
    </row>
    <row r="392">
      <c r="A392" s="27" t="n"/>
      <c r="B392" s="27" t="inlineStr">
        <is>
          <t>b0cw1d1cmg-2</t>
        </is>
      </c>
      <c r="C392" s="27" t="inlineStr">
        <is>
          <t>1241/998</t>
        </is>
      </c>
      <c r="D392" s="27" t="inlineStr">
        <is>
          <t>b0cw1d1cmg-2</t>
        </is>
      </c>
      <c r="E392" t="inlineStr">
        <is>
          <t>【2本セット】レブロン カラーステイ マルチプレイヤー アイ ペンシル 405 フォートレス 0.9g メタリックカーキ アイライナー アイシャドウ ウォータープルーフ ブレンディングブラシ シャープナー付き 高発色 落ちにくい にじみにくい 密着 アイメイク コスメ 化粧品</t>
        </is>
      </c>
      <c r="G392" t="n">
        <v>998</v>
      </c>
      <c r="H392" t="n">
        <v>8</v>
      </c>
      <c r="I392">
        <f>SUM(G392*H392)</f>
        <v/>
      </c>
    </row>
    <row r="393">
      <c r="A393" s="27" t="inlineStr">
        <is>
          <t>4901301432391</t>
        </is>
      </c>
      <c r="B393" s="27" t="inlineStr">
        <is>
          <t>b0czhr33rf-3</t>
        </is>
      </c>
      <c r="C393" s="27" t="inlineStr">
        <is>
          <t>4901301432391-3</t>
        </is>
      </c>
      <c r="D393" s="27" t="inlineStr">
        <is>
          <t>b0czhr33rf-3</t>
        </is>
      </c>
      <c r="E393" t="inlineStr">
        <is>
          <t>花王 ビオレZero シート 無香性 20枚×3個セット 汗拭きシート ボディシート 顔・からだ用 超さらさらタイプ 制汗シート デオドラントシート 大判シート ベタつき 汗対策 全身 さらさら パウダーヴェール 持続型 詰め合わせ ボディケア 日用品 まとめ買い</t>
        </is>
      </c>
      <c r="G393" t="n">
        <v>1083</v>
      </c>
      <c r="H393" t="n">
        <v>6</v>
      </c>
      <c r="I393">
        <f>SUM(G393*H393)</f>
        <v/>
      </c>
    </row>
    <row r="394">
      <c r="A394" s="27" t="inlineStr">
        <is>
          <t>4979750819926</t>
        </is>
      </c>
      <c r="B394" s="27" t="inlineStr">
        <is>
          <t>b0d8pmzsgc</t>
        </is>
      </c>
      <c r="C394" s="27" t="inlineStr">
        <is>
          <t>4979750819926</t>
        </is>
      </c>
      <c r="D394" s="27" t="inlineStr">
        <is>
          <t>b0d8pmzsgc</t>
        </is>
      </c>
      <c r="E394" t="inlineStr">
        <is>
          <t>セガフェイブ meスマホ+ サンリオキャラクターズ スマホトイ 充電式 カメラ ゲーム 音楽 アラーム 音声メッセージ 写真撮影 知育玩具 子ども用スマホ キッズトイ ハローキティ マイメロディ クロミ シナモロール ポムポムプリン</t>
        </is>
      </c>
      <c r="G394" t="n">
        <v>5580</v>
      </c>
      <c r="H394" t="n">
        <v>17</v>
      </c>
      <c r="I394">
        <f>SUM(G394*H394)</f>
        <v/>
      </c>
    </row>
    <row r="395">
      <c r="A395" s="27" t="inlineStr">
        <is>
          <t>0194644233532</t>
        </is>
      </c>
      <c r="B395" s="27" t="inlineStr">
        <is>
          <t>b0dwmpnclc</t>
        </is>
      </c>
      <c r="C395" s="27" t="inlineStr">
        <is>
          <t>0194644233532-2</t>
        </is>
      </c>
      <c r="D395" s="27" t="inlineStr">
        <is>
          <t>b0dwmpnclc</t>
        </is>
      </c>
      <c r="E395" t="inlineStr">
        <is>
          <t>Anker Eufy ユーフィ SmartTrack Card E30×2個セット 充電式紛失防止トラッカー スマートタグ 盗難防止タグ スマホが見つかる スマホ鳴らす 充電対応</t>
        </is>
      </c>
      <c r="G395" t="n">
        <v>5980</v>
      </c>
      <c r="H395" t="n">
        <v>3</v>
      </c>
      <c r="I395">
        <f>SUM(G395*H395)</f>
        <v/>
      </c>
    </row>
    <row r="396">
      <c r="A396" s="27" t="inlineStr">
        <is>
          <t>4901301450135</t>
        </is>
      </c>
      <c r="B396" s="27" t="inlineStr">
        <is>
          <t>b0dxnblx52-3</t>
        </is>
      </c>
      <c r="C396" s="27" t="inlineStr">
        <is>
          <t>4901301450135-3</t>
        </is>
      </c>
      <c r="D396" s="27" t="inlineStr">
        <is>
          <t>b0dxnblx52-3</t>
        </is>
      </c>
      <c r="E396" t="inlineStr">
        <is>
          <t>【3個セット】メリットキッズ 泡で出てくるシャンプー つめかえ用 270mL×3個セット 花王 キッズシャンプー 子供用 泡タイプ 詰替え用 弱酸性 ノンシリコーン パラベンフリー 合成着色料フリー 汗対策 ニオイケア 地肌ケア 毎日のお風呂 ヘアケア</t>
        </is>
      </c>
      <c r="G396" t="n">
        <v>1011</v>
      </c>
      <c r="H396" t="n">
        <v>6</v>
      </c>
      <c r="I396">
        <f>SUM(G396*H396)</f>
        <v/>
      </c>
    </row>
    <row r="397">
      <c r="A397" s="27" t="inlineStr">
        <is>
          <t>4987176305657</t>
        </is>
      </c>
      <c r="B397" s="27" t="inlineStr">
        <is>
          <t>b0f3d1ls31</t>
        </is>
      </c>
      <c r="C397" s="27" t="inlineStr">
        <is>
          <t>4987176305657</t>
        </is>
      </c>
      <c r="D397" s="27" t="inlineStr">
        <is>
          <t>b0f3d1ls31</t>
        </is>
      </c>
      <c r="E397" t="inlineStr">
        <is>
          <t>ファブリーズ プレミアム 消臭スプレー パステルフローラル＆ブロッサムの香り 詰め替え 4倍 1240mL P&amp;G 布用消臭剤 除菌 消臭 衣類 カーペット ソファ 布製品用 大容量 超特大 詰替用 まとめ買い 日用品</t>
        </is>
      </c>
      <c r="G397" t="n">
        <v>1039</v>
      </c>
      <c r="H397" t="n">
        <v>12</v>
      </c>
      <c r="I397">
        <f>SUM(G397*H397)</f>
        <v/>
      </c>
    </row>
    <row r="398">
      <c r="A398" s="27" t="inlineStr">
        <is>
          <t>0840414620421</t>
        </is>
      </c>
      <c r="B398" s="27" t="inlineStr">
        <is>
          <t>b0f7zf7w9p</t>
        </is>
      </c>
      <c r="C398" s="27" t="inlineStr">
        <is>
          <t>0840414620421</t>
        </is>
      </c>
      <c r="D398" s="27" t="inlineStr">
        <is>
          <t>b0f7zf7w9p</t>
        </is>
      </c>
      <c r="E398" t="inlineStr">
        <is>
          <t>Amazon Fire TV Stick 4K Plus ストリーミングメディアプレーヤー 4K対応 Wi-Fi 6 映画 動画配信 Alexa対応 音声認識リモコン付属 Prime Video Netflix YouTube TV Disney+ ABEMA U-NEXT 映像配信 高画質 Dolby Vision Dolby Atmos</t>
        </is>
      </c>
      <c r="G398" t="n">
        <v>5980</v>
      </c>
      <c r="H398" t="n">
        <v>6</v>
      </c>
      <c r="I398">
        <f>SUM(G398*H398)</f>
        <v/>
      </c>
    </row>
    <row r="399">
      <c r="A399" s="27" t="inlineStr">
        <is>
          <t>4903301375173</t>
        </is>
      </c>
      <c r="B399" s="27" t="inlineStr">
        <is>
          <t>b0fpvbqv49-2</t>
        </is>
      </c>
      <c r="C399" s="27" t="inlineStr">
        <is>
          <t>4903301375173-2</t>
        </is>
      </c>
      <c r="D399" s="27" t="inlineStr">
        <is>
          <t>b0fpvbqv49-2</t>
        </is>
      </c>
      <c r="E399" t="inlineStr">
        <is>
          <t>【2個セット】ソフラン アロマリッチ リラクシー ホワイトフラワーの香り 詰替用 1300mL 2個セット 柔軟剤 大容量 特大 つめかえ用 フローラル 部屋干し 抗菌 防臭 静電気防止 衣類ケア まとめ買い ライオン LION</t>
        </is>
      </c>
      <c r="G399" t="n">
        <v>1668</v>
      </c>
      <c r="H399" t="n">
        <v>5</v>
      </c>
      <c r="I399">
        <f>SUM(G399*H399)</f>
        <v/>
      </c>
    </row>
    <row r="400">
      <c r="A400" s="27" t="n"/>
      <c r="B400" s="27" t="inlineStr">
        <is>
          <t>b0fzk6z13j-2</t>
        </is>
      </c>
      <c r="C400" s="27" t="inlineStr">
        <is>
          <t>0465/1204</t>
        </is>
      </c>
      <c r="D400" s="27" t="inlineStr">
        <is>
          <t>b0fzk6z13j-2</t>
        </is>
      </c>
      <c r="E400" t="inlineStr">
        <is>
          <t>【2個セット】ファブリーズ レノアハピネスミスト 衣類・布製品用 消臭スプレー さくらフローラル＆ブロッサムの香り 詰め替え 610mL×2 期間限定 消臭 除菌 布用スプレー ファブリックスプレー 衣類 ソファ カーテン 寝具 クッション 部屋干し ニオイ対策 まとめ買い 大容量</t>
        </is>
      </c>
      <c r="G400" t="n">
        <v>1204</v>
      </c>
      <c r="H400" t="n">
        <v>6</v>
      </c>
      <c r="I400">
        <f>SUM(G400*H400)</f>
        <v/>
      </c>
    </row>
    <row r="401">
      <c r="A401" s="27" t="n"/>
      <c r="B401" s="27" t="inlineStr">
        <is>
          <t>b0g2ktk6wy-2</t>
        </is>
      </c>
      <c r="C401" s="27" t="inlineStr">
        <is>
          <t>3575/1532</t>
        </is>
      </c>
      <c r="D401" s="27" t="inlineStr">
        <is>
          <t>b0g2ktk6wy-2</t>
        </is>
      </c>
      <c r="E401" t="inlineStr">
        <is>
          <t>【2個セット】ランドリン 柔軟剤 サクラチェリーブロッサムの香り 2026 600mL×2 本体 期間限定 桜 柔軟剤 大容量 フレグランス オーガニック植物エキス配合 部屋干しOK 静電気防止 花粉対策 赤ちゃん衣類OK 衣類ケア なめらか ふんわり ランドリー 洗濯 まとめ買い ストック</t>
        </is>
      </c>
      <c r="G401" t="n">
        <v>1532</v>
      </c>
      <c r="H401" t="n">
        <v>12</v>
      </c>
      <c r="I401">
        <f>SUM(G401*H401)</f>
        <v/>
      </c>
    </row>
    <row r="402">
      <c r="A402" s="27" t="inlineStr">
        <is>
          <t>0840414684973</t>
        </is>
      </c>
      <c r="B402" s="27" t="inlineStr">
        <is>
          <t>b0g2tqzmy1</t>
        </is>
      </c>
      <c r="C402" s="27" t="inlineStr">
        <is>
          <t>0840414684973</t>
        </is>
      </c>
      <c r="D402" s="27" t="inlineStr">
        <is>
          <t>b0g2tqzmy1</t>
        </is>
      </c>
      <c r="E402" t="inlineStr">
        <is>
          <t>Amazon Fire TV Stick 4K Plus Alexa対応音声認識リモコン付 ストリーミングメディアプレーヤー Wi-Fi 6 4K Ultra HD Dolby Vision HDR10+ Dolby Atmos HDMI テレビ 動画配信 Netflix Prime Video YouTube TVer ABEMA U-NEXT Disney+ 音声操作</t>
        </is>
      </c>
      <c r="G402" t="n">
        <v>5980</v>
      </c>
      <c r="H402" t="n">
        <v>29</v>
      </c>
      <c r="I402">
        <f>SUM(G402*H402)</f>
        <v/>
      </c>
    </row>
    <row r="403">
      <c r="A403" s="27" t="inlineStr">
        <is>
          <t>0840414639447</t>
        </is>
      </c>
      <c r="B403" s="27" t="inlineStr">
        <is>
          <t>b0g3ycrjkx</t>
        </is>
      </c>
      <c r="C403" s="27" t="inlineStr">
        <is>
          <t>0840414639447</t>
        </is>
      </c>
      <c r="D403" s="27" t="inlineStr">
        <is>
          <t>b0g3ycrjkx</t>
        </is>
      </c>
      <c r="E403" t="inlineStr">
        <is>
          <t>Amazon Fire TV Stick HD Alexa対応音声認識リモコン付 ストリーミングメディアプレーヤー Wi-Fi 6対応 フルHD HDMI 動画配信 Netflix Prime Video YouTube TVer ABEMA U-NEXT Disney+ 音声操作 コンパクト テレビ 接続</t>
        </is>
      </c>
      <c r="G403" t="n">
        <v>3780</v>
      </c>
      <c r="H403" t="n">
        <v>0</v>
      </c>
      <c r="I403">
        <f>SUM(G403*H403)</f>
        <v/>
      </c>
    </row>
    <row r="404">
      <c r="A404" s="27" t="inlineStr">
        <is>
          <t>4987176364289</t>
        </is>
      </c>
      <c r="B404" s="27" t="inlineStr">
        <is>
          <t>b0g4mhkqp8-2</t>
        </is>
      </c>
      <c r="C404" s="27" t="inlineStr">
        <is>
          <t>4987176364289-2</t>
        </is>
      </c>
      <c r="D404" s="27" t="inlineStr">
        <is>
          <t>b0g4mhkqp8-2</t>
        </is>
      </c>
      <c r="E404" t="inlineStr">
        <is>
          <t>レノア アロマジュエル Perfume アンティークローズ&amp;フローラルの香り 詰め替え 1410mL×2個セット 香り付けビーズ 衣類用香りづけ剤 大容量 洗濯ビーズ アロマビーズ 消臭 防臭 洗濯 香り 長続き 詰替え ランドリー 衣類ケア 洗濯用品 日用品 まとめ買い ストック</t>
        </is>
      </c>
      <c r="G404" t="n">
        <v>3376</v>
      </c>
      <c r="H404" t="n">
        <v>5</v>
      </c>
      <c r="I404">
        <f>SUM(G404*H404)</f>
        <v/>
      </c>
    </row>
    <row r="405">
      <c r="A405" s="27" t="inlineStr">
        <is>
          <t>4901301466280</t>
        </is>
      </c>
      <c r="B405" s="27" t="inlineStr">
        <is>
          <t>b0gm6xmjmn-2</t>
        </is>
      </c>
      <c r="C405" s="27" t="inlineStr">
        <is>
          <t>4901301466280-2</t>
        </is>
      </c>
      <c r="D405" s="27" t="inlineStr">
        <is>
          <t>b0gm6xmjmn-2</t>
        </is>
      </c>
      <c r="E405" t="inlineStr">
        <is>
          <t>【2個セット】アタックZERO ドラム式専用 詰め替え 1460g×2個セット 花王 洗濯洗剤 液体洗剤 部屋干し 消臭 抗菌 ドラム式洗濯機専用 超特大 大容量 詰替え 衣類から洗濯槽まで 最高峰の消臭 エリ汚れ 皮脂汚れ ニオイ対策 洗濯 ランドリー 日用品 まとめ買い ストック</t>
        </is>
      </c>
      <c r="G405" t="n">
        <v>3460</v>
      </c>
      <c r="H405" t="n">
        <v>3</v>
      </c>
      <c r="I405">
        <f>SUM(G405*H405)</f>
        <v/>
      </c>
    </row>
    <row r="406">
      <c r="A406" s="27" t="n"/>
      <c r="B406" s="27" t="inlineStr">
        <is>
          <t>set-0008</t>
        </is>
      </c>
      <c r="C406" s="27" t="inlineStr">
        <is>
          <t>3873,3880/580</t>
        </is>
      </c>
      <c r="D406" s="27" t="inlineStr">
        <is>
          <t>set-0008</t>
        </is>
      </c>
      <c r="E406" t="inlineStr">
        <is>
          <t>【2種セット】しずくちゃん ウォーターシール しずくパーク しずくの森のなかまたち デコシール ぷっくりシール 立体シール キャラクターシール キラキラ シール 文具 手帳 ノート アルバム デコレーション 子ども キッズ 女の子 プレゼント ギフト アソート まとめ買い</t>
        </is>
      </c>
      <c r="G406" t="n">
        <v>580</v>
      </c>
      <c r="H406" t="n">
        <v>15</v>
      </c>
      <c r="I406">
        <f>SUM(G406*H406)</f>
        <v/>
      </c>
    </row>
    <row r="407">
      <c r="A407" s="27" t="n"/>
      <c r="B407" s="27" t="inlineStr">
        <is>
          <t>set-0009</t>
        </is>
      </c>
      <c r="C407" s="27" t="inlineStr">
        <is>
          <t>3828,3835/522</t>
        </is>
      </c>
      <c r="D407" s="27" t="inlineStr">
        <is>
          <t>set-0009</t>
        </is>
      </c>
      <c r="E407" t="inlineStr">
        <is>
          <t>【2種セット】しずくちゃん おはじきシール しずくちゃん みるみるちゃん キャラクターシール デコシール ぷっくりシール 立体シール キラキラ シール 文具 ステーショナリー 手帳 ノート アルバム デコレーション キッズ 子ども 女の子 プレゼント ギフト まとめ買い</t>
        </is>
      </c>
      <c r="G407" t="n">
        <v>522</v>
      </c>
      <c r="H407" t="n">
        <v>10</v>
      </c>
      <c r="I407">
        <f>SUM(G407*H407)</f>
        <v/>
      </c>
    </row>
    <row r="408">
      <c r="A408" s="27" t="n"/>
      <c r="B408" s="27" t="inlineStr">
        <is>
          <t>set-0010</t>
        </is>
      </c>
      <c r="C408" s="27" t="inlineStr">
        <is>
          <t>0561,0578,0585,0592/928</t>
        </is>
      </c>
      <c r="D408" s="27" t="inlineStr">
        <is>
          <t>set-0010</t>
        </is>
      </c>
      <c r="E408" t="inlineStr">
        <is>
          <t>【4種セット】エターナルジュエリークラウンシール フェアリーブルーコア トゥインクルクラウン ダークムーンエンジェル マジカルドリーミー デコシール ジュエリーシール 立体シール キラキラ シール 手帳 ノート アルバム デコレーション プレゼント ギフト まとめ買い</t>
        </is>
      </c>
      <c r="G408" t="n">
        <v>928</v>
      </c>
      <c r="H408" t="n">
        <v>9</v>
      </c>
      <c r="I408">
        <f>SUM(G408*H408)</f>
        <v/>
      </c>
    </row>
    <row r="409">
      <c r="A409" s="27" t="n"/>
      <c r="B409" s="27" t="inlineStr">
        <is>
          <t>set-0011</t>
        </is>
      </c>
      <c r="C409" s="27" t="inlineStr">
        <is>
          <t>1486,1493,1509,1516</t>
        </is>
      </c>
      <c r="D409" s="27" t="inlineStr">
        <is>
          <t>set-0011</t>
        </is>
      </c>
      <c r="E409" t="inlineStr">
        <is>
          <t>【4種セット】プレミアムオーロラスポンジシール おやすみバニー エアリーチュチュ スイートハニークラウド マジカルウィッシュ デコシール スポンジシール オーロラシール 立体シール 手帳 ノート アルバム 文具 デコレーション プレゼント ギフト</t>
        </is>
      </c>
      <c r="G409" t="n">
        <v>814</v>
      </c>
      <c r="H409" t="n">
        <v>10</v>
      </c>
      <c r="I409">
        <f>SUM(G409*H409)</f>
        <v/>
      </c>
    </row>
    <row r="410">
      <c r="A410" s="27" t="n"/>
      <c r="B410" s="27" t="inlineStr">
        <is>
          <t>set-0012</t>
        </is>
      </c>
      <c r="C410" s="27" t="inlineStr">
        <is>
          <t>2032,2056,2063/558</t>
        </is>
      </c>
      <c r="D410" s="27" t="inlineStr">
        <is>
          <t>set-0012</t>
        </is>
      </c>
      <c r="E410" t="inlineStr">
        <is>
          <t>【3種セット】ハピピチョアチョアポップシール 3種セット うさうさ わんわん ねこねこ キャラクターシール デコシール ステッカー ポップシール 手帳シール ノートデコ スマホデコ 韓国風文具 かわいいシール 女の子向け 雑貨 コレクションシール まとめ買い ギフト</t>
        </is>
      </c>
      <c r="G410" t="n">
        <v>558</v>
      </c>
      <c r="H410" t="n">
        <v>15</v>
      </c>
      <c r="I410">
        <f>SUM(G410*H410)</f>
        <v/>
      </c>
    </row>
    <row r="411">
      <c r="A411" s="27" t="n"/>
      <c r="B411" s="27" t="inlineStr">
        <is>
          <t>set-0013</t>
        </is>
      </c>
      <c r="C411" s="27" t="inlineStr">
        <is>
          <t>0998,1025/372</t>
        </is>
      </c>
      <c r="D411" s="27" t="inlineStr">
        <is>
          <t>set-0013</t>
        </is>
      </c>
      <c r="E411" t="inlineStr">
        <is>
          <t>【2種セット】おはじきシール スイートカフェ おやすみバニー デコシール ぷっくりシール 透明シール きらきらシール 立体風シール ステッカー 手帳 ノート アルバム デコレーション 文房具 小物デコ コレクション ギフト まとめ買い 女の子雑貨</t>
        </is>
      </c>
      <c r="G411" t="n">
        <v>372</v>
      </c>
      <c r="H411" t="n">
        <v>10</v>
      </c>
      <c r="I411">
        <f>SUM(G411*H411)</f>
        <v/>
      </c>
    </row>
    <row r="412">
      <c r="A412" s="27" t="n"/>
      <c r="B412" s="27" t="inlineStr">
        <is>
          <t>set-0014</t>
        </is>
      </c>
      <c r="C412" s="27" t="inlineStr">
        <is>
          <t>SET-0014/6668.6637</t>
        </is>
      </c>
      <c r="D412" s="27" t="inlineStr">
        <is>
          <t>set-0014</t>
        </is>
      </c>
      <c r="E412" t="inlineStr">
        <is>
          <t>【セット品】NEXXUS ネクサス リペアアンドカラープロテクト トリートメント セット ポンプ440g+詰め替え350g カラーケア ダメージケア 色落ち防止 サロン品質 保湿 補修 ヘアケア 日本製 ユニリーバ</t>
        </is>
      </c>
      <c r="G412" t="n">
        <v>1432</v>
      </c>
      <c r="H412" t="n">
        <v>7</v>
      </c>
      <c r="I412">
        <f>SUM(G412*H412)</f>
        <v/>
      </c>
    </row>
    <row r="413">
      <c r="A413" s="27" t="n"/>
      <c r="B413" s="27" t="inlineStr">
        <is>
          <t>14214143s1</t>
        </is>
      </c>
      <c r="C413" s="27" t="inlineStr">
        <is>
          <t>2486</t>
        </is>
      </c>
      <c r="D413" s="27" t="inlineStr">
        <is>
          <t>14214143s1</t>
        </is>
      </c>
      <c r="H413" t="n">
        <v>0</v>
      </c>
      <c r="I413">
        <f>SUM(G413*H413)</f>
        <v/>
      </c>
    </row>
    <row r="414">
      <c r="A414" s="27" t="n"/>
      <c r="B414" s="27" t="inlineStr">
        <is>
          <t>4550391010394</t>
        </is>
      </c>
      <c r="C414" s="27" t="inlineStr">
        <is>
          <t>0400,0417,0424,1816,1823/3080</t>
        </is>
      </c>
      <c r="D414" s="27" t="inlineStr">
        <is>
          <t>4550391010394</t>
        </is>
      </c>
      <c r="H414" t="n">
        <v>0</v>
      </c>
      <c r="I414">
        <f>SUM(G414*H414)</f>
        <v/>
      </c>
    </row>
    <row r="415">
      <c r="A415" s="27" t="n"/>
      <c r="B415" s="27" t="inlineStr">
        <is>
          <t>4550391010417</t>
        </is>
      </c>
      <c r="C415" s="27" t="inlineStr">
        <is>
          <t>0394,0424,1816,1823,1830/2640</t>
        </is>
      </c>
      <c r="D415" s="27" t="inlineStr">
        <is>
          <t>4550391010394</t>
        </is>
      </c>
      <c r="H415" t="n">
        <v>0</v>
      </c>
      <c r="I415">
        <f>SUM(G415*H415)</f>
        <v/>
      </c>
    </row>
    <row r="416">
      <c r="A416" s="27" t="n"/>
      <c r="B416" s="27" t="inlineStr">
        <is>
          <t>4550391811816</t>
        </is>
      </c>
      <c r="C416" s="27" t="inlineStr">
        <is>
          <t>0349,0417,1816,1823/2200</t>
        </is>
      </c>
      <c r="D416" s="27" t="inlineStr">
        <is>
          <t>4550391811816</t>
        </is>
      </c>
      <c r="H416" t="n">
        <v>0</v>
      </c>
      <c r="I416">
        <f>SUM(G416*H416)</f>
        <v/>
      </c>
    </row>
    <row r="417">
      <c r="A417" s="27" t="n"/>
      <c r="B417" s="27" t="inlineStr">
        <is>
          <t>4550391811823</t>
        </is>
      </c>
      <c r="C417" s="27" t="inlineStr">
        <is>
          <t>0417,1823,1830,0526,0564/1540</t>
        </is>
      </c>
      <c r="D417" s="27" t="inlineStr">
        <is>
          <t>4550391811823</t>
        </is>
      </c>
      <c r="H417" t="n">
        <v>0</v>
      </c>
      <c r="I417">
        <f>SUM(G417*H417)</f>
        <v/>
      </c>
    </row>
    <row r="418">
      <c r="A418" s="27" t="n"/>
      <c r="B418" s="27" t="inlineStr">
        <is>
          <t>4550391811830</t>
        </is>
      </c>
      <c r="C418" s="27" t="inlineStr">
        <is>
          <t>0417,1830,0526,0564,1226/1110</t>
        </is>
      </c>
      <c r="D418" s="27" t="inlineStr">
        <is>
          <t>4550391811830</t>
        </is>
      </c>
      <c r="H418" t="n">
        <v>0</v>
      </c>
      <c r="I418">
        <f>SUM(G418*H418)</f>
        <v/>
      </c>
    </row>
    <row r="419">
      <c r="A419" s="27" t="n"/>
      <c r="B419" s="27" t="inlineStr">
        <is>
          <t>4550391910526</t>
        </is>
      </c>
      <c r="C419" s="27" t="inlineStr">
        <is>
          <t>0417,0526,0564,1226/880</t>
        </is>
      </c>
      <c r="D419" s="27" t="inlineStr">
        <is>
          <t>4550391910526</t>
        </is>
      </c>
      <c r="H419" t="n">
        <v>0</v>
      </c>
      <c r="I419">
        <f>SUM(G419*H419)</f>
        <v/>
      </c>
    </row>
    <row r="420">
      <c r="A420" s="27" t="n"/>
      <c r="B420" s="27" t="inlineStr">
        <is>
          <t>4550391911233</t>
        </is>
      </c>
      <c r="C420" s="27" t="inlineStr">
        <is>
          <t>0394,0417,1816,1823,1830/1980</t>
        </is>
      </c>
      <c r="D420" s="27" t="inlineStr">
        <is>
          <t>4550391911233</t>
        </is>
      </c>
      <c r="H420" t="n">
        <v>0</v>
      </c>
      <c r="I420">
        <f>SUM(G420*H420)</f>
        <v/>
      </c>
    </row>
    <row r="421">
      <c r="A421" s="27" t="n"/>
      <c r="B421" s="27" t="inlineStr">
        <is>
          <t>b00irx6ztw</t>
        </is>
      </c>
      <c r="C421" s="27" t="inlineStr">
        <is>
          <t>8697/1900</t>
        </is>
      </c>
      <c r="D421" s="27" t="inlineStr">
        <is>
          <t>b00irx6ztw</t>
        </is>
      </c>
      <c r="H421" t="n">
        <v>0</v>
      </c>
      <c r="I421">
        <f>SUM(G421*H421)</f>
        <v/>
      </c>
    </row>
    <row r="422">
      <c r="A422" s="27" t="n"/>
      <c r="B422" s="27" t="inlineStr">
        <is>
          <t>b00jrnlztq</t>
        </is>
      </c>
      <c r="C422" s="27" t="inlineStr">
        <is>
          <t>8697/1900</t>
        </is>
      </c>
      <c r="D422" s="27" t="inlineStr">
        <is>
          <t>b01lxs9muk</t>
        </is>
      </c>
      <c r="H422" t="n">
        <v>0</v>
      </c>
      <c r="I422">
        <f>SUM(G422*H422)</f>
        <v/>
      </c>
    </row>
    <row r="423">
      <c r="A423" s="27" t="n"/>
      <c r="B423" s="27" t="inlineStr">
        <is>
          <t>b01lxs9muk</t>
        </is>
      </c>
      <c r="C423" s="27" t="inlineStr">
        <is>
          <t>9649/1980</t>
        </is>
      </c>
      <c r="D423" s="27" t="inlineStr">
        <is>
          <t>b01lxs9muk</t>
        </is>
      </c>
      <c r="H423" t="n">
        <v>0</v>
      </c>
      <c r="I423">
        <f>SUM(G423*H423)</f>
        <v/>
      </c>
    </row>
    <row r="424">
      <c r="A424" s="27" t="n"/>
      <c r="B424" s="27" t="inlineStr">
        <is>
          <t>b074p66xkd</t>
        </is>
      </c>
      <c r="C424" s="27" t="inlineStr">
        <is>
          <t>6774/2900</t>
        </is>
      </c>
      <c r="D424" s="27" t="inlineStr">
        <is>
          <t>b074p66xkd</t>
        </is>
      </c>
      <c r="H424" t="n">
        <v>0</v>
      </c>
      <c r="I424">
        <f>SUM(G424*H424)</f>
        <v/>
      </c>
    </row>
    <row r="425">
      <c r="A425" s="27" t="n"/>
      <c r="B425" s="27" t="inlineStr">
        <is>
          <t>b07b2t3nnj</t>
        </is>
      </c>
      <c r="C425" s="27" t="inlineStr">
        <is>
          <t>0164/1900</t>
        </is>
      </c>
      <c r="D425" s="27" t="inlineStr">
        <is>
          <t>b07b2t3nnj</t>
        </is>
      </c>
      <c r="H425" t="n">
        <v>0</v>
      </c>
      <c r="I425">
        <f>SUM(G425*H425)</f>
        <v/>
      </c>
    </row>
    <row r="426">
      <c r="A426" s="27" t="n"/>
      <c r="B426" s="27" t="inlineStr">
        <is>
          <t>b084tnp2b4</t>
        </is>
      </c>
      <c r="C426" s="27" t="inlineStr">
        <is>
          <t>0163,1154/8980,8980</t>
        </is>
      </c>
      <c r="D426" s="27" t="inlineStr">
        <is>
          <t>B084TNH1CY</t>
        </is>
      </c>
      <c r="H426" t="n">
        <v>0</v>
      </c>
      <c r="I426">
        <f>SUM(G426*H426)</f>
        <v/>
      </c>
    </row>
    <row r="427">
      <c r="A427" s="27" t="n"/>
      <c r="B427" s="27" t="inlineStr">
        <is>
          <t>b084tnp2b4</t>
        </is>
      </c>
      <c r="C427" s="27" t="inlineStr">
        <is>
          <t>0163,1154/8980,8980</t>
        </is>
      </c>
      <c r="D427" s="27" t="inlineStr">
        <is>
          <t>B084TNP2B4</t>
        </is>
      </c>
      <c r="H427" t="n">
        <v>0</v>
      </c>
      <c r="I427">
        <f>SUM(G427*H427)</f>
        <v/>
      </c>
    </row>
    <row r="428">
      <c r="A428" s="27" t="n"/>
      <c r="B428" s="27" t="inlineStr">
        <is>
          <t>b08kjp7326</t>
        </is>
      </c>
      <c r="C428" s="27" t="inlineStr">
        <is>
          <t>4151/3980</t>
        </is>
      </c>
      <c r="D428" s="27" t="inlineStr">
        <is>
          <t>b08kjp7326</t>
        </is>
      </c>
      <c r="H428" t="n">
        <v>0</v>
      </c>
      <c r="I428">
        <f>SUM(G428*H428)</f>
        <v/>
      </c>
    </row>
    <row r="429">
      <c r="A429" s="27" t="n"/>
      <c r="B429" s="27" t="inlineStr">
        <is>
          <t>b09b8szllg</t>
        </is>
      </c>
      <c r="C429" s="27" t="inlineStr">
        <is>
          <t>4980</t>
        </is>
      </c>
      <c r="D429" s="27" t="inlineStr">
        <is>
          <t>B09B8P3RK1</t>
        </is>
      </c>
      <c r="H429" t="n">
        <v>0</v>
      </c>
      <c r="I429">
        <f>SUM(G429*H429)</f>
        <v/>
      </c>
    </row>
    <row r="430">
      <c r="A430" s="27" t="n"/>
      <c r="B430" s="27" t="inlineStr">
        <is>
          <t>b09b8szllg</t>
        </is>
      </c>
      <c r="C430" s="27" t="inlineStr">
        <is>
          <t>4980</t>
        </is>
      </c>
      <c r="D430" s="27" t="inlineStr">
        <is>
          <t>B09B8SZLLG</t>
        </is>
      </c>
      <c r="H430" t="n">
        <v>0</v>
      </c>
      <c r="I430">
        <f>SUM(G430*H430)</f>
        <v/>
      </c>
    </row>
    <row r="431">
      <c r="A431" s="27" t="n"/>
      <c r="B431" s="27" t="inlineStr">
        <is>
          <t>b09b8szllg</t>
        </is>
      </c>
      <c r="C431" s="27" t="inlineStr">
        <is>
          <t>4980</t>
        </is>
      </c>
      <c r="D431" s="27" t="inlineStr">
        <is>
          <t>B09B97Q4NX</t>
        </is>
      </c>
      <c r="H431" t="n">
        <v>0</v>
      </c>
      <c r="I431">
        <f>SUM(G431*H431)</f>
        <v/>
      </c>
    </row>
    <row r="432">
      <c r="A432" s="27" t="n"/>
      <c r="B432" s="27" t="inlineStr">
        <is>
          <t>b09b9b49gt</t>
        </is>
      </c>
      <c r="C432" s="27" t="inlineStr">
        <is>
          <t>1254/3730</t>
        </is>
      </c>
      <c r="D432" s="27" t="inlineStr">
        <is>
          <t>b09b9b49gt</t>
        </is>
      </c>
      <c r="H432" t="n">
        <v>0</v>
      </c>
      <c r="I432">
        <f>SUM(G432*H432)</f>
        <v/>
      </c>
    </row>
    <row r="433">
      <c r="A433" s="27" t="inlineStr">
        <is>
          <t>4901301401816</t>
        </is>
      </c>
      <c r="B433" s="27" t="inlineStr">
        <is>
          <t>b09fz1rdwv</t>
        </is>
      </c>
      <c r="C433" s="27" t="inlineStr">
        <is>
          <t>4901301401816-2</t>
        </is>
      </c>
      <c r="D433" s="27" t="inlineStr">
        <is>
          <t>b09fz1rdwv</t>
        </is>
      </c>
      <c r="H433" t="n">
        <v>0</v>
      </c>
      <c r="I433">
        <f>SUM(G433*H433)</f>
        <v/>
      </c>
    </row>
    <row r="434">
      <c r="A434" s="27" t="inlineStr">
        <is>
          <t>4901301401809</t>
        </is>
      </c>
      <c r="B434" s="27" t="inlineStr">
        <is>
          <t>b09fz2jz2n</t>
        </is>
      </c>
      <c r="C434" s="27" t="inlineStr">
        <is>
          <t>4901301401809-2</t>
        </is>
      </c>
      <c r="D434" s="27" t="inlineStr">
        <is>
          <t>B09FZ2JZ2N</t>
        </is>
      </c>
      <c r="H434" t="n">
        <v>0</v>
      </c>
      <c r="I434">
        <f>SUM(G434*H434)</f>
        <v/>
      </c>
    </row>
    <row r="435">
      <c r="A435" s="27" t="n"/>
      <c r="B435" s="27" t="inlineStr">
        <is>
          <t>b0bn895c4s</t>
        </is>
      </c>
      <c r="C435" s="27" t="inlineStr">
        <is>
          <t>1588/2200</t>
        </is>
      </c>
      <c r="D435" s="27" t="inlineStr">
        <is>
          <t>b0cg9crlpf</t>
        </is>
      </c>
      <c r="H435" t="n">
        <v>0</v>
      </c>
      <c r="I435">
        <f>SUM(G435*H435)</f>
        <v/>
      </c>
    </row>
    <row r="436">
      <c r="A436" s="27" t="n"/>
      <c r="B436" s="27" t="inlineStr">
        <is>
          <t>b0bqvpl3q5</t>
        </is>
      </c>
      <c r="C436" s="27" t="inlineStr">
        <is>
          <t>5144/2980</t>
        </is>
      </c>
      <c r="D436" s="27" t="inlineStr">
        <is>
          <t>b0bqvpl3q5</t>
        </is>
      </c>
      <c r="H436" t="n">
        <v>0</v>
      </c>
      <c r="I436">
        <f>SUM(G436*H436)</f>
        <v/>
      </c>
    </row>
    <row r="437">
      <c r="A437" s="27" t="n"/>
      <c r="B437" s="27" t="inlineStr">
        <is>
          <t>b0bqvvbsnb</t>
        </is>
      </c>
      <c r="C437" s="27" t="inlineStr">
        <is>
          <t>2726/3980</t>
        </is>
      </c>
      <c r="D437" s="27" t="inlineStr">
        <is>
          <t>B0BQVVBSNB</t>
        </is>
      </c>
      <c r="H437" t="n">
        <v>0</v>
      </c>
      <c r="I437">
        <f>SUM(G437*H437)</f>
        <v/>
      </c>
    </row>
    <row r="438">
      <c r="A438" s="27" t="n"/>
      <c r="B438" s="27" t="inlineStr">
        <is>
          <t>b0bt4dc34l</t>
        </is>
      </c>
      <c r="C438" s="27" t="inlineStr">
        <is>
          <t>1476/1500</t>
        </is>
      </c>
      <c r="D438" s="27" t="inlineStr">
        <is>
          <t>b0bt4dc34l</t>
        </is>
      </c>
      <c r="H438" t="n">
        <v>0</v>
      </c>
      <c r="I438">
        <f>SUM(G438*H438)</f>
        <v/>
      </c>
    </row>
    <row r="439">
      <c r="A439" s="27" t="n"/>
      <c r="B439" s="27" t="inlineStr">
        <is>
          <t>b0bt4g61dk</t>
        </is>
      </c>
      <c r="C439" s="27" t="inlineStr">
        <is>
          <t>1513/1500</t>
        </is>
      </c>
      <c r="D439" s="27" t="inlineStr">
        <is>
          <t>b0bt4g61dk</t>
        </is>
      </c>
      <c r="H439" t="n">
        <v>0</v>
      </c>
      <c r="I439">
        <f>SUM(G439*H439)</f>
        <v/>
      </c>
    </row>
    <row r="440">
      <c r="A440" s="27" t="n"/>
      <c r="B440" s="27" t="inlineStr">
        <is>
          <t>b0bt4pngbt</t>
        </is>
      </c>
      <c r="C440" s="27" t="inlineStr">
        <is>
          <t>1490/1500</t>
        </is>
      </c>
      <c r="D440" s="27" t="inlineStr">
        <is>
          <t>b0bt4pngbt</t>
        </is>
      </c>
      <c r="H440" t="n">
        <v>0</v>
      </c>
      <c r="I440">
        <f>SUM(G440*H440)</f>
        <v/>
      </c>
    </row>
    <row r="441">
      <c r="A441" s="27" t="inlineStr">
        <is>
          <t>4987176171801</t>
        </is>
      </c>
      <c r="B441" s="27" t="inlineStr">
        <is>
          <t>b0c6ld957k</t>
        </is>
      </c>
      <c r="C441" s="27" t="inlineStr">
        <is>
          <t>4987176171801</t>
        </is>
      </c>
      <c r="D441" s="27" t="inlineStr">
        <is>
          <t>B0C6LD957K</t>
        </is>
      </c>
      <c r="H441" t="n">
        <v>0</v>
      </c>
      <c r="I441">
        <f>SUM(G441*H441)</f>
        <v/>
      </c>
    </row>
    <row r="442">
      <c r="A442" s="27" t="n"/>
      <c r="B442" s="27" t="inlineStr">
        <is>
          <t>b0dd3wzntt</t>
        </is>
      </c>
      <c r="C442" s="27" t="inlineStr">
        <is>
          <t>4978/4950</t>
        </is>
      </c>
      <c r="D442" s="27" t="inlineStr">
        <is>
          <t>b0dd3wzntt</t>
        </is>
      </c>
      <c r="H442" t="n">
        <v>0</v>
      </c>
      <c r="I442">
        <f>SUM(G442*H442)</f>
        <v/>
      </c>
    </row>
    <row r="443">
      <c r="A443" s="27" t="n"/>
      <c r="B443" s="27" t="inlineStr">
        <is>
          <t>b0dg346fb7</t>
        </is>
      </c>
      <c r="C443" s="27" t="inlineStr">
        <is>
          <t>8997/773</t>
        </is>
      </c>
      <c r="D443" s="27" t="inlineStr">
        <is>
          <t>b0dg346fb7</t>
        </is>
      </c>
      <c r="H443" t="n">
        <v>0</v>
      </c>
      <c r="I443">
        <f>SUM(G443*H443)</f>
        <v/>
      </c>
    </row>
    <row r="444">
      <c r="A444" s="27" t="inlineStr">
        <is>
          <t>4987176260659</t>
        </is>
      </c>
      <c r="B444" s="27" t="inlineStr">
        <is>
          <t>b0dktchdgk</t>
        </is>
      </c>
      <c r="C444" s="27" t="inlineStr">
        <is>
          <t>4987176260659-2</t>
        </is>
      </c>
      <c r="D444" s="27" t="inlineStr">
        <is>
          <t>b0dktchdgk</t>
        </is>
      </c>
      <c r="H444" t="n">
        <v>4</v>
      </c>
      <c r="I444">
        <f>SUM(G444*H444)</f>
        <v/>
      </c>
    </row>
    <row r="445">
      <c r="A445" s="27" t="n"/>
      <c r="B445" s="27" t="inlineStr">
        <is>
          <t>b0drbhvjlr</t>
        </is>
      </c>
      <c r="C445" s="27" t="inlineStr">
        <is>
          <t>4834/1650</t>
        </is>
      </c>
      <c r="D445" s="27" t="inlineStr">
        <is>
          <t>b0drbhvjlr</t>
        </is>
      </c>
      <c r="H445" t="n">
        <v>0</v>
      </c>
      <c r="I445">
        <f>SUM(G445*H445)</f>
        <v/>
      </c>
    </row>
    <row r="446">
      <c r="A446" s="27" t="inlineStr">
        <is>
          <t>4533898731665</t>
        </is>
      </c>
      <c r="B446" s="27" t="inlineStr">
        <is>
          <t>b0f9dzl2mg</t>
        </is>
      </c>
      <c r="C446" s="27" t="inlineStr">
        <is>
          <t>4533898731665-2</t>
        </is>
      </c>
      <c r="D446" s="27" t="inlineStr">
        <is>
          <t>b0f9dzl2mg</t>
        </is>
      </c>
      <c r="H446" t="n">
        <v>2</v>
      </c>
      <c r="I446">
        <f>SUM(G446*H446)</f>
        <v/>
      </c>
    </row>
    <row r="447">
      <c r="E447" t="inlineStr">
        <is>
          <t>合計</t>
        </is>
      </c>
      <c r="H447">
        <f>SUM(H2:H446)</f>
        <v/>
      </c>
      <c r="I447">
        <f>SUM(I2:I446)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2026-06-30T10:44:14Z</dcterms:created>
  <dcterms:modified xmlns:dcterms="http://purl.org/dc/terms/" xmlns:xsi="http://www.w3.org/2001/XMLSchema-instance" xsi:type="dcterms:W3CDTF">2026-09-20T14:07:39Z</dcterms:modified>
  <cp:lastModifiedBy>英樹 海老名</cp:lastModifiedBy>
</cp:coreProperties>
</file>