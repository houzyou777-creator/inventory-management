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0726/Desktop/Claude Code/MomijiStore_OS/02_Analytics/SourceData/"/>
    </mc:Choice>
  </mc:AlternateContent>
  <xr:revisionPtr revIDLastSave="0" documentId="11_79EB7043C7908A590686235AC5EA0BB9D8E8559C" xr6:coauthVersionLast="47" xr6:coauthVersionMax="47" xr10:uidLastSave="{00000000-0000-0000-0000-000000000000}"/>
  <bookViews>
    <workbookView xWindow="0" yWindow="1020" windowWidth="26560" windowHeight="20580" activeTab="1" xr2:uid="{00000000-000D-0000-FFFF-FFFF00000000}"/>
  </bookViews>
  <sheets>
    <sheet name="7月" sheetId="1" r:id="rId1"/>
    <sheet name="8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8" i="1" l="1"/>
  <c r="O357" i="1"/>
  <c r="O356" i="1"/>
  <c r="O358" i="1" s="1"/>
  <c r="N354" i="1"/>
  <c r="O354" i="1" s="1"/>
  <c r="O353" i="1"/>
  <c r="O352" i="1"/>
  <c r="K349" i="1"/>
  <c r="J349" i="1"/>
  <c r="I349" i="1"/>
  <c r="O351" i="1" s="1"/>
  <c r="H349" i="1"/>
  <c r="E349" i="1"/>
  <c r="M348" i="1"/>
  <c r="N348" i="1" s="1"/>
  <c r="O348" i="1" s="1"/>
  <c r="G348" i="1"/>
  <c r="M347" i="1"/>
  <c r="N347" i="1" s="1"/>
  <c r="O347" i="1" s="1"/>
  <c r="G347" i="1"/>
  <c r="N346" i="1"/>
  <c r="O346" i="1" s="1"/>
  <c r="M346" i="1"/>
  <c r="G346" i="1"/>
  <c r="M345" i="1"/>
  <c r="N345" i="1" s="1"/>
  <c r="O345" i="1" s="1"/>
  <c r="G345" i="1"/>
  <c r="O344" i="1"/>
  <c r="M344" i="1"/>
  <c r="N344" i="1" s="1"/>
  <c r="G344" i="1"/>
  <c r="O343" i="1"/>
  <c r="M343" i="1"/>
  <c r="N343" i="1" s="1"/>
  <c r="G343" i="1"/>
  <c r="M342" i="1"/>
  <c r="N342" i="1" s="1"/>
  <c r="O342" i="1" s="1"/>
  <c r="K342" i="1"/>
  <c r="G342" i="1"/>
  <c r="N341" i="1"/>
  <c r="O341" i="1" s="1"/>
  <c r="M341" i="1"/>
  <c r="G341" i="1"/>
  <c r="O340" i="1"/>
  <c r="N340" i="1"/>
  <c r="M340" i="1"/>
  <c r="G340" i="1"/>
  <c r="M339" i="1"/>
  <c r="N339" i="1" s="1"/>
  <c r="O339" i="1" s="1"/>
  <c r="G339" i="1"/>
  <c r="M338" i="1"/>
  <c r="N338" i="1" s="1"/>
  <c r="O338" i="1" s="1"/>
  <c r="G338" i="1"/>
  <c r="N337" i="1"/>
  <c r="O337" i="1" s="1"/>
  <c r="M337" i="1"/>
  <c r="G337" i="1"/>
  <c r="N336" i="1"/>
  <c r="O336" i="1" s="1"/>
  <c r="M336" i="1"/>
  <c r="G336" i="1"/>
  <c r="M335" i="1"/>
  <c r="N335" i="1" s="1"/>
  <c r="O335" i="1" s="1"/>
  <c r="G335" i="1"/>
  <c r="N334" i="1"/>
  <c r="O334" i="1" s="1"/>
  <c r="M334" i="1"/>
  <c r="G334" i="1"/>
  <c r="M333" i="1"/>
  <c r="N333" i="1" s="1"/>
  <c r="O333" i="1" s="1"/>
  <c r="G333" i="1"/>
  <c r="N332" i="1"/>
  <c r="O332" i="1" s="1"/>
  <c r="M332" i="1"/>
  <c r="G332" i="1"/>
  <c r="O331" i="1"/>
  <c r="N331" i="1"/>
  <c r="M331" i="1"/>
  <c r="G331" i="1"/>
  <c r="N330" i="1"/>
  <c r="O330" i="1" s="1"/>
  <c r="M330" i="1"/>
  <c r="G330" i="1"/>
  <c r="M329" i="1"/>
  <c r="N329" i="1" s="1"/>
  <c r="O329" i="1" s="1"/>
  <c r="G329" i="1"/>
  <c r="M328" i="1"/>
  <c r="N328" i="1" s="1"/>
  <c r="O328" i="1" s="1"/>
  <c r="G328" i="1"/>
  <c r="N327" i="1"/>
  <c r="O327" i="1" s="1"/>
  <c r="M327" i="1"/>
  <c r="G327" i="1"/>
  <c r="N326" i="1"/>
  <c r="O326" i="1" s="1"/>
  <c r="M326" i="1"/>
  <c r="G326" i="1"/>
  <c r="M325" i="1"/>
  <c r="N325" i="1" s="1"/>
  <c r="O325" i="1" s="1"/>
  <c r="G325" i="1"/>
  <c r="N324" i="1"/>
  <c r="O324" i="1" s="1"/>
  <c r="M324" i="1"/>
  <c r="G324" i="1"/>
  <c r="M323" i="1"/>
  <c r="N323" i="1" s="1"/>
  <c r="O323" i="1" s="1"/>
  <c r="G323" i="1"/>
  <c r="O322" i="1"/>
  <c r="N322" i="1"/>
  <c r="M322" i="1"/>
  <c r="G322" i="1"/>
  <c r="N321" i="1"/>
  <c r="O321" i="1" s="1"/>
  <c r="M321" i="1"/>
  <c r="G321" i="1"/>
  <c r="N320" i="1"/>
  <c r="O320" i="1" s="1"/>
  <c r="M320" i="1"/>
  <c r="G320" i="1"/>
  <c r="M319" i="1"/>
  <c r="N319" i="1" s="1"/>
  <c r="O319" i="1" s="1"/>
  <c r="G319" i="1"/>
  <c r="M318" i="1"/>
  <c r="N318" i="1" s="1"/>
  <c r="O318" i="1" s="1"/>
  <c r="G318" i="1"/>
  <c r="N317" i="1"/>
  <c r="O317" i="1" s="1"/>
  <c r="M317" i="1"/>
  <c r="G317" i="1"/>
  <c r="O316" i="1"/>
  <c r="N316" i="1"/>
  <c r="M316" i="1"/>
  <c r="G316" i="1"/>
  <c r="M315" i="1"/>
  <c r="N315" i="1" s="1"/>
  <c r="O315" i="1" s="1"/>
  <c r="G315" i="1"/>
  <c r="M314" i="1"/>
  <c r="N314" i="1" s="1"/>
  <c r="O314" i="1" s="1"/>
  <c r="G314" i="1"/>
  <c r="M313" i="1"/>
  <c r="N313" i="1" s="1"/>
  <c r="O313" i="1" s="1"/>
  <c r="G313" i="1"/>
  <c r="N312" i="1"/>
  <c r="O312" i="1" s="1"/>
  <c r="M312" i="1"/>
  <c r="G312" i="1"/>
  <c r="N311" i="1"/>
  <c r="O311" i="1" s="1"/>
  <c r="M311" i="1"/>
  <c r="G311" i="1"/>
  <c r="M310" i="1"/>
  <c r="N310" i="1" s="1"/>
  <c r="O310" i="1" s="1"/>
  <c r="G310" i="1"/>
  <c r="M309" i="1"/>
  <c r="N309" i="1" s="1"/>
  <c r="O309" i="1" s="1"/>
  <c r="G309" i="1"/>
  <c r="M308" i="1"/>
  <c r="N308" i="1" s="1"/>
  <c r="O308" i="1" s="1"/>
  <c r="G308" i="1"/>
  <c r="O307" i="1"/>
  <c r="N307" i="1"/>
  <c r="M307" i="1"/>
  <c r="G307" i="1"/>
  <c r="O306" i="1"/>
  <c r="N306" i="1"/>
  <c r="M306" i="1"/>
  <c r="G306" i="1"/>
  <c r="O305" i="1"/>
  <c r="N305" i="1"/>
  <c r="M305" i="1"/>
  <c r="G305" i="1"/>
  <c r="M304" i="1"/>
  <c r="N304" i="1" s="1"/>
  <c r="O304" i="1" s="1"/>
  <c r="G304" i="1"/>
  <c r="M303" i="1"/>
  <c r="N303" i="1" s="1"/>
  <c r="O303" i="1" s="1"/>
  <c r="G303" i="1"/>
  <c r="N302" i="1"/>
  <c r="O302" i="1" s="1"/>
  <c r="M302" i="1"/>
  <c r="G302" i="1"/>
  <c r="N301" i="1"/>
  <c r="O301" i="1" s="1"/>
  <c r="M301" i="1"/>
  <c r="G301" i="1"/>
  <c r="M300" i="1"/>
  <c r="N300" i="1" s="1"/>
  <c r="O300" i="1" s="1"/>
  <c r="G300" i="1"/>
  <c r="N299" i="1"/>
  <c r="O299" i="1" s="1"/>
  <c r="M299" i="1"/>
  <c r="G299" i="1"/>
  <c r="M298" i="1"/>
  <c r="N298" i="1" s="1"/>
  <c r="O298" i="1" s="1"/>
  <c r="G298" i="1"/>
  <c r="O297" i="1"/>
  <c r="N297" i="1"/>
  <c r="M297" i="1"/>
  <c r="G297" i="1"/>
  <c r="N296" i="1"/>
  <c r="O296" i="1" s="1"/>
  <c r="M296" i="1"/>
  <c r="G296" i="1"/>
  <c r="M295" i="1"/>
  <c r="N295" i="1" s="1"/>
  <c r="O295" i="1" s="1"/>
  <c r="G295" i="1"/>
  <c r="M294" i="1"/>
  <c r="N294" i="1" s="1"/>
  <c r="O294" i="1" s="1"/>
  <c r="G294" i="1"/>
  <c r="M293" i="1"/>
  <c r="N293" i="1" s="1"/>
  <c r="O293" i="1" s="1"/>
  <c r="G293" i="1"/>
  <c r="N292" i="1"/>
  <c r="O292" i="1" s="1"/>
  <c r="M292" i="1"/>
  <c r="G292" i="1"/>
  <c r="N291" i="1"/>
  <c r="O291" i="1" s="1"/>
  <c r="M291" i="1"/>
  <c r="G291" i="1"/>
  <c r="O290" i="1"/>
  <c r="N290" i="1"/>
  <c r="M290" i="1"/>
  <c r="G290" i="1"/>
  <c r="M289" i="1"/>
  <c r="N289" i="1" s="1"/>
  <c r="O289" i="1" s="1"/>
  <c r="G289" i="1"/>
  <c r="M288" i="1"/>
  <c r="N288" i="1" s="1"/>
  <c r="O288" i="1" s="1"/>
  <c r="G288" i="1"/>
  <c r="N287" i="1"/>
  <c r="O287" i="1" s="1"/>
  <c r="M287" i="1"/>
  <c r="G287" i="1"/>
  <c r="N286" i="1"/>
  <c r="O286" i="1" s="1"/>
  <c r="M286" i="1"/>
  <c r="G286" i="1"/>
  <c r="O285" i="1"/>
  <c r="N285" i="1"/>
  <c r="M285" i="1"/>
  <c r="G285" i="1"/>
  <c r="N284" i="1"/>
  <c r="O284" i="1" s="1"/>
  <c r="M284" i="1"/>
  <c r="G284" i="1"/>
  <c r="M283" i="1"/>
  <c r="N283" i="1" s="1"/>
  <c r="O283" i="1" s="1"/>
  <c r="G283" i="1"/>
  <c r="N282" i="1"/>
  <c r="O282" i="1" s="1"/>
  <c r="M282" i="1"/>
  <c r="G282" i="1"/>
  <c r="O281" i="1"/>
  <c r="N281" i="1"/>
  <c r="M281" i="1"/>
  <c r="G281" i="1"/>
  <c r="N280" i="1"/>
  <c r="O280" i="1" s="1"/>
  <c r="M280" i="1"/>
  <c r="G280" i="1"/>
  <c r="M279" i="1"/>
  <c r="N279" i="1" s="1"/>
  <c r="O279" i="1" s="1"/>
  <c r="G279" i="1"/>
  <c r="M278" i="1"/>
  <c r="N278" i="1" s="1"/>
  <c r="O278" i="1" s="1"/>
  <c r="G278" i="1"/>
  <c r="N277" i="1"/>
  <c r="O277" i="1" s="1"/>
  <c r="M277" i="1"/>
  <c r="G277" i="1"/>
  <c r="O276" i="1"/>
  <c r="N276" i="1"/>
  <c r="M276" i="1"/>
  <c r="G276" i="1"/>
  <c r="M275" i="1"/>
  <c r="N275" i="1" s="1"/>
  <c r="O275" i="1" s="1"/>
  <c r="G275" i="1"/>
  <c r="N274" i="1"/>
  <c r="O274" i="1" s="1"/>
  <c r="M274" i="1"/>
  <c r="G274" i="1"/>
  <c r="M273" i="1"/>
  <c r="N273" i="1" s="1"/>
  <c r="O273" i="1" s="1"/>
  <c r="G273" i="1"/>
  <c r="O272" i="1"/>
  <c r="N272" i="1"/>
  <c r="M272" i="1"/>
  <c r="G272" i="1"/>
  <c r="N271" i="1"/>
  <c r="O271" i="1" s="1"/>
  <c r="M271" i="1"/>
  <c r="G271" i="1"/>
  <c r="M270" i="1"/>
  <c r="N270" i="1" s="1"/>
  <c r="O270" i="1" s="1"/>
  <c r="G270" i="1"/>
  <c r="M269" i="1"/>
  <c r="N269" i="1" s="1"/>
  <c r="O269" i="1" s="1"/>
  <c r="G269" i="1"/>
  <c r="M268" i="1"/>
  <c r="N268" i="1" s="1"/>
  <c r="O268" i="1" s="1"/>
  <c r="G268" i="1"/>
  <c r="N267" i="1"/>
  <c r="O267" i="1" s="1"/>
  <c r="M267" i="1"/>
  <c r="G267" i="1"/>
  <c r="O266" i="1"/>
  <c r="N266" i="1"/>
  <c r="M266" i="1"/>
  <c r="G266" i="1"/>
  <c r="O265" i="1"/>
  <c r="M265" i="1"/>
  <c r="N265" i="1" s="1"/>
  <c r="G265" i="1"/>
  <c r="M264" i="1"/>
  <c r="N264" i="1" s="1"/>
  <c r="O264" i="1" s="1"/>
  <c r="G264" i="1"/>
  <c r="M263" i="1"/>
  <c r="N263" i="1" s="1"/>
  <c r="O263" i="1" s="1"/>
  <c r="G263" i="1"/>
  <c r="N262" i="1"/>
  <c r="O262" i="1" s="1"/>
  <c r="M262" i="1"/>
  <c r="G262" i="1"/>
  <c r="O261" i="1"/>
  <c r="N261" i="1"/>
  <c r="M261" i="1"/>
  <c r="G261" i="1"/>
  <c r="M260" i="1"/>
  <c r="N260" i="1" s="1"/>
  <c r="O260" i="1" s="1"/>
  <c r="G260" i="1"/>
  <c r="M259" i="1"/>
  <c r="N259" i="1" s="1"/>
  <c r="O259" i="1" s="1"/>
  <c r="G259" i="1"/>
  <c r="M258" i="1"/>
  <c r="N258" i="1" s="1"/>
  <c r="O258" i="1" s="1"/>
  <c r="G258" i="1"/>
  <c r="O257" i="1"/>
  <c r="N257" i="1"/>
  <c r="M257" i="1"/>
  <c r="G257" i="1"/>
  <c r="O256" i="1"/>
  <c r="N256" i="1"/>
  <c r="M256" i="1"/>
  <c r="G256" i="1"/>
  <c r="O255" i="1"/>
  <c r="N255" i="1"/>
  <c r="M255" i="1"/>
  <c r="G255" i="1"/>
  <c r="M254" i="1"/>
  <c r="N254" i="1" s="1"/>
  <c r="O254" i="1" s="1"/>
  <c r="G254" i="1"/>
  <c r="M253" i="1"/>
  <c r="N253" i="1" s="1"/>
  <c r="O253" i="1" s="1"/>
  <c r="G253" i="1"/>
  <c r="N252" i="1"/>
  <c r="O252" i="1" s="1"/>
  <c r="M252" i="1"/>
  <c r="G252" i="1"/>
  <c r="N251" i="1"/>
  <c r="O251" i="1" s="1"/>
  <c r="M251" i="1"/>
  <c r="G251" i="1"/>
  <c r="M250" i="1"/>
  <c r="N250" i="1" s="1"/>
  <c r="O250" i="1" s="1"/>
  <c r="G250" i="1"/>
  <c r="N249" i="1"/>
  <c r="O249" i="1" s="1"/>
  <c r="M249" i="1"/>
  <c r="G249" i="1"/>
  <c r="M248" i="1"/>
  <c r="N248" i="1" s="1"/>
  <c r="O248" i="1" s="1"/>
  <c r="G248" i="1"/>
  <c r="O247" i="1"/>
  <c r="N247" i="1"/>
  <c r="M247" i="1"/>
  <c r="G247" i="1"/>
  <c r="O246" i="1"/>
  <c r="N246" i="1"/>
  <c r="M246" i="1"/>
  <c r="G246" i="1"/>
  <c r="M245" i="1"/>
  <c r="N245" i="1" s="1"/>
  <c r="O245" i="1" s="1"/>
  <c r="G245" i="1"/>
  <c r="M244" i="1"/>
  <c r="N244" i="1" s="1"/>
  <c r="O244" i="1" s="1"/>
  <c r="G244" i="1"/>
  <c r="M243" i="1"/>
  <c r="N243" i="1" s="1"/>
  <c r="O243" i="1" s="1"/>
  <c r="G243" i="1"/>
  <c r="N242" i="1"/>
  <c r="O242" i="1" s="1"/>
  <c r="M242" i="1"/>
  <c r="G242" i="1"/>
  <c r="N241" i="1"/>
  <c r="O241" i="1" s="1"/>
  <c r="M241" i="1"/>
  <c r="G241" i="1"/>
  <c r="O240" i="1"/>
  <c r="N240" i="1"/>
  <c r="M240" i="1"/>
  <c r="G240" i="1"/>
  <c r="M239" i="1"/>
  <c r="N239" i="1" s="1"/>
  <c r="O239" i="1" s="1"/>
  <c r="G239" i="1"/>
  <c r="M238" i="1"/>
  <c r="N238" i="1" s="1"/>
  <c r="O238" i="1" s="1"/>
  <c r="G238" i="1"/>
  <c r="O237" i="1"/>
  <c r="N237" i="1"/>
  <c r="M237" i="1"/>
  <c r="G237" i="1"/>
  <c r="N236" i="1"/>
  <c r="O236" i="1" s="1"/>
  <c r="M236" i="1"/>
  <c r="G236" i="1"/>
  <c r="M235" i="1"/>
  <c r="N235" i="1" s="1"/>
  <c r="O235" i="1" s="1"/>
  <c r="G235" i="1"/>
  <c r="N234" i="1"/>
  <c r="O234" i="1" s="1"/>
  <c r="M234" i="1"/>
  <c r="G234" i="1"/>
  <c r="M233" i="1"/>
  <c r="N233" i="1" s="1"/>
  <c r="O233" i="1" s="1"/>
  <c r="G233" i="1"/>
  <c r="N232" i="1"/>
  <c r="O232" i="1" s="1"/>
  <c r="M232" i="1"/>
  <c r="G232" i="1"/>
  <c r="O231" i="1"/>
  <c r="N231" i="1"/>
  <c r="M231" i="1"/>
  <c r="G231" i="1"/>
  <c r="N230" i="1"/>
  <c r="O230" i="1" s="1"/>
  <c r="M230" i="1"/>
  <c r="G230" i="1"/>
  <c r="M229" i="1"/>
  <c r="N229" i="1" s="1"/>
  <c r="O229" i="1" s="1"/>
  <c r="G229" i="1"/>
  <c r="M228" i="1"/>
  <c r="N228" i="1" s="1"/>
  <c r="O228" i="1" s="1"/>
  <c r="G228" i="1"/>
  <c r="N227" i="1"/>
  <c r="O227" i="1" s="1"/>
  <c r="M227" i="1"/>
  <c r="G227" i="1"/>
  <c r="N226" i="1"/>
  <c r="O226" i="1" s="1"/>
  <c r="M226" i="1"/>
  <c r="G226" i="1"/>
  <c r="M225" i="1"/>
  <c r="N225" i="1" s="1"/>
  <c r="O225" i="1" s="1"/>
  <c r="G225" i="1"/>
  <c r="N224" i="1"/>
  <c r="O224" i="1" s="1"/>
  <c r="M224" i="1"/>
  <c r="G224" i="1"/>
  <c r="M223" i="1"/>
  <c r="N223" i="1" s="1"/>
  <c r="O223" i="1" s="1"/>
  <c r="G223" i="1"/>
  <c r="O222" i="1"/>
  <c r="N222" i="1"/>
  <c r="M222" i="1"/>
  <c r="G222" i="1"/>
  <c r="N221" i="1"/>
  <c r="O221" i="1" s="1"/>
  <c r="M221" i="1"/>
  <c r="G221" i="1"/>
  <c r="M220" i="1"/>
  <c r="N220" i="1" s="1"/>
  <c r="O220" i="1" s="1"/>
  <c r="G220" i="1"/>
  <c r="M219" i="1"/>
  <c r="N219" i="1" s="1"/>
  <c r="O219" i="1" s="1"/>
  <c r="G219" i="1"/>
  <c r="M218" i="1"/>
  <c r="N218" i="1" s="1"/>
  <c r="O218" i="1" s="1"/>
  <c r="G218" i="1"/>
  <c r="O217" i="1"/>
  <c r="N217" i="1"/>
  <c r="M217" i="1"/>
  <c r="G217" i="1"/>
  <c r="O216" i="1"/>
  <c r="N216" i="1"/>
  <c r="M216" i="1"/>
  <c r="G216" i="1"/>
  <c r="M215" i="1"/>
  <c r="N215" i="1" s="1"/>
  <c r="O215" i="1" s="1"/>
  <c r="G215" i="1"/>
  <c r="M214" i="1"/>
  <c r="N214" i="1" s="1"/>
  <c r="O214" i="1" s="1"/>
  <c r="G214" i="1"/>
  <c r="M213" i="1"/>
  <c r="N213" i="1" s="1"/>
  <c r="O213" i="1" s="1"/>
  <c r="G213" i="1"/>
  <c r="N212" i="1"/>
  <c r="O212" i="1" s="1"/>
  <c r="M212" i="1"/>
  <c r="G212" i="1"/>
  <c r="O211" i="1"/>
  <c r="N211" i="1"/>
  <c r="M211" i="1"/>
  <c r="G211" i="1"/>
  <c r="M210" i="1"/>
  <c r="N210" i="1" s="1"/>
  <c r="O210" i="1" s="1"/>
  <c r="G210" i="1"/>
  <c r="M209" i="1"/>
  <c r="N209" i="1" s="1"/>
  <c r="O209" i="1" s="1"/>
  <c r="G209" i="1"/>
  <c r="M208" i="1"/>
  <c r="N208" i="1" s="1"/>
  <c r="O208" i="1" s="1"/>
  <c r="G208" i="1"/>
  <c r="O207" i="1"/>
  <c r="N207" i="1"/>
  <c r="M207" i="1"/>
  <c r="G207" i="1"/>
  <c r="O206" i="1"/>
  <c r="N206" i="1"/>
  <c r="M206" i="1"/>
  <c r="G206" i="1"/>
  <c r="N205" i="1"/>
  <c r="O205" i="1" s="1"/>
  <c r="M205" i="1"/>
  <c r="G205" i="1"/>
  <c r="M204" i="1"/>
  <c r="N204" i="1" s="1"/>
  <c r="O204" i="1" s="1"/>
  <c r="G204" i="1"/>
  <c r="M203" i="1"/>
  <c r="N203" i="1" s="1"/>
  <c r="O203" i="1" s="1"/>
  <c r="G203" i="1"/>
  <c r="O202" i="1"/>
  <c r="N202" i="1"/>
  <c r="M202" i="1"/>
  <c r="G202" i="1"/>
  <c r="N201" i="1"/>
  <c r="O201" i="1" s="1"/>
  <c r="M201" i="1"/>
  <c r="G201" i="1"/>
  <c r="M200" i="1"/>
  <c r="N200" i="1" s="1"/>
  <c r="O200" i="1" s="1"/>
  <c r="G200" i="1"/>
  <c r="N199" i="1"/>
  <c r="O199" i="1" s="1"/>
  <c r="M199" i="1"/>
  <c r="G199" i="1"/>
  <c r="M198" i="1"/>
  <c r="N198" i="1" s="1"/>
  <c r="O198" i="1" s="1"/>
  <c r="G198" i="1"/>
  <c r="O197" i="1"/>
  <c r="N197" i="1"/>
  <c r="M197" i="1"/>
  <c r="G197" i="1"/>
  <c r="N196" i="1"/>
  <c r="O196" i="1" s="1"/>
  <c r="M196" i="1"/>
  <c r="G196" i="1"/>
  <c r="M195" i="1"/>
  <c r="N195" i="1" s="1"/>
  <c r="O195" i="1" s="1"/>
  <c r="G195" i="1"/>
  <c r="N194" i="1"/>
  <c r="O194" i="1" s="1"/>
  <c r="M194" i="1"/>
  <c r="G194" i="1"/>
  <c r="M193" i="1"/>
  <c r="N193" i="1" s="1"/>
  <c r="O193" i="1" s="1"/>
  <c r="G193" i="1"/>
  <c r="N192" i="1"/>
  <c r="O192" i="1" s="1"/>
  <c r="M192" i="1"/>
  <c r="G192" i="1"/>
  <c r="N191" i="1"/>
  <c r="O191" i="1" s="1"/>
  <c r="M191" i="1"/>
  <c r="G191" i="1"/>
  <c r="O190" i="1"/>
  <c r="N190" i="1"/>
  <c r="M190" i="1"/>
  <c r="G190" i="1"/>
  <c r="M189" i="1"/>
  <c r="N189" i="1" s="1"/>
  <c r="O189" i="1" s="1"/>
  <c r="G189" i="1"/>
  <c r="M188" i="1"/>
  <c r="N188" i="1" s="1"/>
  <c r="O188" i="1" s="1"/>
  <c r="G188" i="1"/>
  <c r="O187" i="1"/>
  <c r="N187" i="1"/>
  <c r="M187" i="1"/>
  <c r="G187" i="1"/>
  <c r="N186" i="1"/>
  <c r="O186" i="1" s="1"/>
  <c r="M186" i="1"/>
  <c r="G186" i="1"/>
  <c r="M185" i="1"/>
  <c r="N185" i="1" s="1"/>
  <c r="O185" i="1" s="1"/>
  <c r="G185" i="1"/>
  <c r="N184" i="1"/>
  <c r="O184" i="1" s="1"/>
  <c r="M184" i="1"/>
  <c r="G184" i="1"/>
  <c r="M183" i="1"/>
  <c r="N183" i="1" s="1"/>
  <c r="O183" i="1" s="1"/>
  <c r="G183" i="1"/>
  <c r="N182" i="1"/>
  <c r="O182" i="1" s="1"/>
  <c r="M182" i="1"/>
  <c r="G182" i="1"/>
  <c r="O181" i="1"/>
  <c r="N181" i="1"/>
  <c r="M181" i="1"/>
  <c r="G181" i="1"/>
  <c r="N180" i="1"/>
  <c r="O180" i="1" s="1"/>
  <c r="M180" i="1"/>
  <c r="G180" i="1"/>
  <c r="N179" i="1"/>
  <c r="O179" i="1" s="1"/>
  <c r="M179" i="1"/>
  <c r="G179" i="1"/>
  <c r="M178" i="1"/>
  <c r="N178" i="1" s="1"/>
  <c r="O178" i="1" s="1"/>
  <c r="G178" i="1"/>
  <c r="N177" i="1"/>
  <c r="O177" i="1" s="1"/>
  <c r="M177" i="1"/>
  <c r="G177" i="1"/>
  <c r="N176" i="1"/>
  <c r="O176" i="1" s="1"/>
  <c r="M176" i="1"/>
  <c r="G176" i="1"/>
  <c r="M175" i="1"/>
  <c r="N175" i="1" s="1"/>
  <c r="O175" i="1" s="1"/>
  <c r="G175" i="1"/>
  <c r="N174" i="1"/>
  <c r="O174" i="1" s="1"/>
  <c r="M174" i="1"/>
  <c r="G174" i="1"/>
  <c r="M173" i="1"/>
  <c r="N173" i="1" s="1"/>
  <c r="O173" i="1" s="1"/>
  <c r="G173" i="1"/>
  <c r="O172" i="1"/>
  <c r="N172" i="1"/>
  <c r="M172" i="1"/>
  <c r="G172" i="1"/>
  <c r="N171" i="1"/>
  <c r="O171" i="1" s="1"/>
  <c r="M171" i="1"/>
  <c r="G171" i="1"/>
  <c r="M170" i="1"/>
  <c r="N170" i="1" s="1"/>
  <c r="O170" i="1" s="1"/>
  <c r="G170" i="1"/>
  <c r="M169" i="1"/>
  <c r="N169" i="1" s="1"/>
  <c r="O169" i="1" s="1"/>
  <c r="G169" i="1"/>
  <c r="M168" i="1"/>
  <c r="N168" i="1" s="1"/>
  <c r="O168" i="1" s="1"/>
  <c r="G168" i="1"/>
  <c r="O167" i="1"/>
  <c r="N167" i="1"/>
  <c r="M167" i="1"/>
  <c r="G167" i="1"/>
  <c r="O166" i="1"/>
  <c r="N166" i="1"/>
  <c r="M166" i="1"/>
  <c r="G166" i="1"/>
  <c r="M165" i="1"/>
  <c r="N165" i="1" s="1"/>
  <c r="O165" i="1" s="1"/>
  <c r="G165" i="1"/>
  <c r="N164" i="1"/>
  <c r="O164" i="1" s="1"/>
  <c r="M164" i="1"/>
  <c r="G164" i="1"/>
  <c r="M163" i="1"/>
  <c r="N163" i="1" s="1"/>
  <c r="O163" i="1" s="1"/>
  <c r="G163" i="1"/>
  <c r="N162" i="1"/>
  <c r="O162" i="1" s="1"/>
  <c r="M162" i="1"/>
  <c r="G162" i="1"/>
  <c r="N161" i="1"/>
  <c r="O161" i="1" s="1"/>
  <c r="M161" i="1"/>
  <c r="G161" i="1"/>
  <c r="M160" i="1"/>
  <c r="N160" i="1" s="1"/>
  <c r="O160" i="1" s="1"/>
  <c r="G160" i="1"/>
  <c r="M159" i="1"/>
  <c r="N159" i="1" s="1"/>
  <c r="O159" i="1" s="1"/>
  <c r="G159" i="1"/>
  <c r="M158" i="1"/>
  <c r="N158" i="1" s="1"/>
  <c r="O158" i="1" s="1"/>
  <c r="G158" i="1"/>
  <c r="O157" i="1"/>
  <c r="N157" i="1"/>
  <c r="M157" i="1"/>
  <c r="G157" i="1"/>
  <c r="O156" i="1"/>
  <c r="N156" i="1"/>
  <c r="M156" i="1"/>
  <c r="G156" i="1"/>
  <c r="N155" i="1"/>
  <c r="O155" i="1" s="1"/>
  <c r="M155" i="1"/>
  <c r="G155" i="1"/>
  <c r="M154" i="1"/>
  <c r="N154" i="1" s="1"/>
  <c r="O154" i="1" s="1"/>
  <c r="G154" i="1"/>
  <c r="M153" i="1"/>
  <c r="N153" i="1" s="1"/>
  <c r="O153" i="1" s="1"/>
  <c r="G153" i="1"/>
  <c r="N152" i="1"/>
  <c r="O152" i="1" s="1"/>
  <c r="M152" i="1"/>
  <c r="G152" i="1"/>
  <c r="N151" i="1"/>
  <c r="O151" i="1" s="1"/>
  <c r="M151" i="1"/>
  <c r="G151" i="1"/>
  <c r="M150" i="1"/>
  <c r="N150" i="1" s="1"/>
  <c r="O150" i="1" s="1"/>
  <c r="G150" i="1"/>
  <c r="N149" i="1"/>
  <c r="O149" i="1" s="1"/>
  <c r="M149" i="1"/>
  <c r="G149" i="1"/>
  <c r="M148" i="1"/>
  <c r="N148" i="1" s="1"/>
  <c r="O148" i="1" s="1"/>
  <c r="G148" i="1"/>
  <c r="O147" i="1"/>
  <c r="N147" i="1"/>
  <c r="M147" i="1"/>
  <c r="G147" i="1"/>
  <c r="N146" i="1"/>
  <c r="O146" i="1" s="1"/>
  <c r="M146" i="1"/>
  <c r="G146" i="1"/>
  <c r="M145" i="1"/>
  <c r="N145" i="1" s="1"/>
  <c r="O145" i="1" s="1"/>
  <c r="G145" i="1"/>
  <c r="N144" i="1"/>
  <c r="O144" i="1" s="1"/>
  <c r="M144" i="1"/>
  <c r="G144" i="1"/>
  <c r="M143" i="1"/>
  <c r="N143" i="1" s="1"/>
  <c r="O143" i="1" s="1"/>
  <c r="G143" i="1"/>
  <c r="N142" i="1"/>
  <c r="O142" i="1" s="1"/>
  <c r="M142" i="1"/>
  <c r="G142" i="1"/>
  <c r="N141" i="1"/>
  <c r="O141" i="1" s="1"/>
  <c r="M141" i="1"/>
  <c r="G141" i="1"/>
  <c r="O140" i="1"/>
  <c r="N140" i="1"/>
  <c r="M140" i="1"/>
  <c r="G140" i="1"/>
  <c r="M139" i="1"/>
  <c r="N139" i="1" s="1"/>
  <c r="O139" i="1" s="1"/>
  <c r="G139" i="1"/>
  <c r="M138" i="1"/>
  <c r="N138" i="1" s="1"/>
  <c r="O138" i="1" s="1"/>
  <c r="G138" i="1"/>
  <c r="N137" i="1"/>
  <c r="O137" i="1" s="1"/>
  <c r="M137" i="1"/>
  <c r="G137" i="1"/>
  <c r="N136" i="1"/>
  <c r="O136" i="1" s="1"/>
  <c r="M136" i="1"/>
  <c r="G136" i="1"/>
  <c r="M135" i="1"/>
  <c r="N135" i="1" s="1"/>
  <c r="O135" i="1" s="1"/>
  <c r="G135" i="1"/>
  <c r="N134" i="1"/>
  <c r="O134" i="1" s="1"/>
  <c r="M134" i="1"/>
  <c r="G134" i="1"/>
  <c r="M133" i="1"/>
  <c r="N133" i="1" s="1"/>
  <c r="O133" i="1" s="1"/>
  <c r="G133" i="1"/>
  <c r="N132" i="1"/>
  <c r="O132" i="1" s="1"/>
  <c r="M132" i="1"/>
  <c r="G132" i="1"/>
  <c r="O131" i="1"/>
  <c r="N131" i="1"/>
  <c r="M131" i="1"/>
  <c r="G131" i="1"/>
  <c r="N130" i="1"/>
  <c r="O130" i="1" s="1"/>
  <c r="M130" i="1"/>
  <c r="G130" i="1"/>
  <c r="M129" i="1"/>
  <c r="N129" i="1" s="1"/>
  <c r="O129" i="1" s="1"/>
  <c r="G129" i="1"/>
  <c r="M128" i="1"/>
  <c r="N128" i="1" s="1"/>
  <c r="O128" i="1" s="1"/>
  <c r="G128" i="1"/>
  <c r="N127" i="1"/>
  <c r="O127" i="1" s="1"/>
  <c r="M127" i="1"/>
  <c r="G127" i="1"/>
  <c r="N126" i="1"/>
  <c r="O126" i="1" s="1"/>
  <c r="M126" i="1"/>
  <c r="G126" i="1"/>
  <c r="M125" i="1"/>
  <c r="N125" i="1" s="1"/>
  <c r="O125" i="1" s="1"/>
  <c r="G125" i="1"/>
  <c r="N124" i="1"/>
  <c r="O124" i="1" s="1"/>
  <c r="M124" i="1"/>
  <c r="G124" i="1"/>
  <c r="M123" i="1"/>
  <c r="N123" i="1" s="1"/>
  <c r="O123" i="1" s="1"/>
  <c r="G123" i="1"/>
  <c r="O122" i="1"/>
  <c r="N122" i="1"/>
  <c r="M122" i="1"/>
  <c r="G122" i="1"/>
  <c r="N121" i="1"/>
  <c r="O121" i="1" s="1"/>
  <c r="M121" i="1"/>
  <c r="G121" i="1"/>
  <c r="M120" i="1"/>
  <c r="N120" i="1" s="1"/>
  <c r="O120" i="1" s="1"/>
  <c r="G120" i="1"/>
  <c r="M119" i="1"/>
  <c r="N119" i="1" s="1"/>
  <c r="O119" i="1" s="1"/>
  <c r="G119" i="1"/>
  <c r="M118" i="1"/>
  <c r="N118" i="1" s="1"/>
  <c r="O118" i="1" s="1"/>
  <c r="G118" i="1"/>
  <c r="O117" i="1"/>
  <c r="N117" i="1"/>
  <c r="M117" i="1"/>
  <c r="G117" i="1"/>
  <c r="O116" i="1"/>
  <c r="N116" i="1"/>
  <c r="M116" i="1"/>
  <c r="G116" i="1"/>
  <c r="M115" i="1"/>
  <c r="N115" i="1" s="1"/>
  <c r="O115" i="1" s="1"/>
  <c r="G115" i="1"/>
  <c r="N114" i="1"/>
  <c r="O114" i="1" s="1"/>
  <c r="M114" i="1"/>
  <c r="G114" i="1"/>
  <c r="M113" i="1"/>
  <c r="N113" i="1" s="1"/>
  <c r="O113" i="1" s="1"/>
  <c r="G113" i="1"/>
  <c r="N112" i="1"/>
  <c r="O112" i="1" s="1"/>
  <c r="M112" i="1"/>
  <c r="G112" i="1"/>
  <c r="N111" i="1"/>
  <c r="O111" i="1" s="1"/>
  <c r="M111" i="1"/>
  <c r="G111" i="1"/>
  <c r="M110" i="1"/>
  <c r="N110" i="1" s="1"/>
  <c r="O110" i="1" s="1"/>
  <c r="G110" i="1"/>
  <c r="M109" i="1"/>
  <c r="N109" i="1" s="1"/>
  <c r="O109" i="1" s="1"/>
  <c r="G109" i="1"/>
  <c r="M108" i="1"/>
  <c r="N108" i="1" s="1"/>
  <c r="O108" i="1" s="1"/>
  <c r="G108" i="1"/>
  <c r="O107" i="1"/>
  <c r="N107" i="1"/>
  <c r="M107" i="1"/>
  <c r="G107" i="1"/>
  <c r="O106" i="1"/>
  <c r="N106" i="1"/>
  <c r="M106" i="1"/>
  <c r="G106" i="1"/>
  <c r="O105" i="1"/>
  <c r="N105" i="1"/>
  <c r="M105" i="1"/>
  <c r="G105" i="1"/>
  <c r="M104" i="1"/>
  <c r="N104" i="1" s="1"/>
  <c r="O104" i="1" s="1"/>
  <c r="G104" i="1"/>
  <c r="M103" i="1"/>
  <c r="N103" i="1" s="1"/>
  <c r="O103" i="1" s="1"/>
  <c r="G103" i="1"/>
  <c r="N102" i="1"/>
  <c r="O102" i="1" s="1"/>
  <c r="M102" i="1"/>
  <c r="G102" i="1"/>
  <c r="N101" i="1"/>
  <c r="O101" i="1" s="1"/>
  <c r="M101" i="1"/>
  <c r="G101" i="1"/>
  <c r="N100" i="1"/>
  <c r="O100" i="1" s="1"/>
  <c r="M100" i="1"/>
  <c r="G100" i="1"/>
  <c r="N99" i="1"/>
  <c r="O99" i="1" s="1"/>
  <c r="M99" i="1"/>
  <c r="G99" i="1"/>
  <c r="M98" i="1"/>
  <c r="N98" i="1" s="1"/>
  <c r="O98" i="1" s="1"/>
  <c r="G98" i="1"/>
  <c r="O97" i="1"/>
  <c r="N97" i="1"/>
  <c r="M97" i="1"/>
  <c r="G97" i="1"/>
  <c r="N96" i="1"/>
  <c r="O96" i="1" s="1"/>
  <c r="M96" i="1"/>
  <c r="G96" i="1"/>
  <c r="M95" i="1"/>
  <c r="N95" i="1" s="1"/>
  <c r="O95" i="1" s="1"/>
  <c r="G95" i="1"/>
  <c r="N94" i="1"/>
  <c r="O94" i="1" s="1"/>
  <c r="M94" i="1"/>
  <c r="G94" i="1"/>
  <c r="M93" i="1"/>
  <c r="N93" i="1" s="1"/>
  <c r="O93" i="1" s="1"/>
  <c r="G93" i="1"/>
  <c r="N92" i="1"/>
  <c r="O92" i="1" s="1"/>
  <c r="M92" i="1"/>
  <c r="G92" i="1"/>
  <c r="N91" i="1"/>
  <c r="O91" i="1" s="1"/>
  <c r="M91" i="1"/>
  <c r="G91" i="1"/>
  <c r="O90" i="1"/>
  <c r="N90" i="1"/>
  <c r="M90" i="1"/>
  <c r="G90" i="1"/>
  <c r="M89" i="1"/>
  <c r="N89" i="1" s="1"/>
  <c r="O89" i="1" s="1"/>
  <c r="G89" i="1"/>
  <c r="M88" i="1"/>
  <c r="N88" i="1" s="1"/>
  <c r="O88" i="1" s="1"/>
  <c r="G88" i="1"/>
  <c r="N87" i="1"/>
  <c r="O87" i="1" s="1"/>
  <c r="M87" i="1"/>
  <c r="G87" i="1"/>
  <c r="N86" i="1"/>
  <c r="O86" i="1" s="1"/>
  <c r="M86" i="1"/>
  <c r="G86" i="1"/>
  <c r="N85" i="1"/>
  <c r="O85" i="1" s="1"/>
  <c r="M85" i="1"/>
  <c r="G85" i="1"/>
  <c r="N84" i="1"/>
  <c r="O84" i="1" s="1"/>
  <c r="M84" i="1"/>
  <c r="G84" i="1"/>
  <c r="M83" i="1"/>
  <c r="N83" i="1" s="1"/>
  <c r="O83" i="1" s="1"/>
  <c r="G83" i="1"/>
  <c r="N82" i="1"/>
  <c r="O82" i="1" s="1"/>
  <c r="M82" i="1"/>
  <c r="G82" i="1"/>
  <c r="O81" i="1"/>
  <c r="N81" i="1"/>
  <c r="M81" i="1"/>
  <c r="G81" i="1"/>
  <c r="N80" i="1"/>
  <c r="O80" i="1" s="1"/>
  <c r="M80" i="1"/>
  <c r="G80" i="1"/>
  <c r="M79" i="1"/>
  <c r="N79" i="1" s="1"/>
  <c r="O79" i="1" s="1"/>
  <c r="G79" i="1"/>
  <c r="M78" i="1"/>
  <c r="N78" i="1" s="1"/>
  <c r="O78" i="1" s="1"/>
  <c r="G78" i="1"/>
  <c r="N77" i="1"/>
  <c r="O77" i="1" s="1"/>
  <c r="M77" i="1"/>
  <c r="G77" i="1"/>
  <c r="N76" i="1"/>
  <c r="O76" i="1" s="1"/>
  <c r="M76" i="1"/>
  <c r="G76" i="1"/>
  <c r="M75" i="1"/>
  <c r="N75" i="1" s="1"/>
  <c r="O75" i="1" s="1"/>
  <c r="G75" i="1"/>
  <c r="N74" i="1"/>
  <c r="O74" i="1" s="1"/>
  <c r="M74" i="1"/>
  <c r="G74" i="1"/>
  <c r="M73" i="1"/>
  <c r="N73" i="1" s="1"/>
  <c r="O73" i="1" s="1"/>
  <c r="G73" i="1"/>
  <c r="O72" i="1"/>
  <c r="N72" i="1"/>
  <c r="M72" i="1"/>
  <c r="G72" i="1"/>
  <c r="N71" i="1"/>
  <c r="O71" i="1" s="1"/>
  <c r="M71" i="1"/>
  <c r="G71" i="1"/>
  <c r="O70" i="1"/>
  <c r="N70" i="1"/>
  <c r="M70" i="1"/>
  <c r="G70" i="1"/>
  <c r="M69" i="1"/>
  <c r="N69" i="1" s="1"/>
  <c r="O69" i="1" s="1"/>
  <c r="G69" i="1"/>
  <c r="M68" i="1"/>
  <c r="N68" i="1" s="1"/>
  <c r="O68" i="1" s="1"/>
  <c r="G68" i="1"/>
  <c r="N67" i="1"/>
  <c r="O67" i="1" s="1"/>
  <c r="M67" i="1"/>
  <c r="G67" i="1"/>
  <c r="O66" i="1"/>
  <c r="N66" i="1"/>
  <c r="M66" i="1"/>
  <c r="G66" i="1"/>
  <c r="O65" i="1"/>
  <c r="M65" i="1"/>
  <c r="N65" i="1" s="1"/>
  <c r="G65" i="1"/>
  <c r="M64" i="1"/>
  <c r="N64" i="1" s="1"/>
  <c r="O64" i="1" s="1"/>
  <c r="G64" i="1"/>
  <c r="M63" i="1"/>
  <c r="N63" i="1" s="1"/>
  <c r="O63" i="1" s="1"/>
  <c r="G63" i="1"/>
  <c r="N62" i="1"/>
  <c r="O62" i="1" s="1"/>
  <c r="M62" i="1"/>
  <c r="G62" i="1"/>
  <c r="N61" i="1"/>
  <c r="O61" i="1" s="1"/>
  <c r="M61" i="1"/>
  <c r="G61" i="1"/>
  <c r="M60" i="1"/>
  <c r="N60" i="1" s="1"/>
  <c r="O60" i="1" s="1"/>
  <c r="G60" i="1"/>
  <c r="M59" i="1"/>
  <c r="N59" i="1" s="1"/>
  <c r="O59" i="1" s="1"/>
  <c r="G59" i="1"/>
  <c r="M58" i="1"/>
  <c r="N58" i="1" s="1"/>
  <c r="O58" i="1" s="1"/>
  <c r="G58" i="1"/>
  <c r="O57" i="1"/>
  <c r="N57" i="1"/>
  <c r="M57" i="1"/>
  <c r="G57" i="1"/>
  <c r="O56" i="1"/>
  <c r="N56" i="1"/>
  <c r="M56" i="1"/>
  <c r="G56" i="1"/>
  <c r="N55" i="1"/>
  <c r="O55" i="1" s="1"/>
  <c r="M55" i="1"/>
  <c r="G55" i="1"/>
  <c r="M54" i="1"/>
  <c r="N54" i="1" s="1"/>
  <c r="O54" i="1" s="1"/>
  <c r="G54" i="1"/>
  <c r="M53" i="1"/>
  <c r="N53" i="1" s="1"/>
  <c r="O53" i="1" s="1"/>
  <c r="G53" i="1"/>
  <c r="N52" i="1"/>
  <c r="O52" i="1" s="1"/>
  <c r="M52" i="1"/>
  <c r="G52" i="1"/>
  <c r="N51" i="1"/>
  <c r="O51" i="1" s="1"/>
  <c r="M51" i="1"/>
  <c r="G51" i="1"/>
  <c r="N50" i="1"/>
  <c r="O50" i="1" s="1"/>
  <c r="M50" i="1"/>
  <c r="G50" i="1"/>
  <c r="N49" i="1"/>
  <c r="O49" i="1" s="1"/>
  <c r="M49" i="1"/>
  <c r="G49" i="1"/>
  <c r="M48" i="1"/>
  <c r="N48" i="1" s="1"/>
  <c r="O48" i="1" s="1"/>
  <c r="G48" i="1"/>
  <c r="O47" i="1"/>
  <c r="N47" i="1"/>
  <c r="M47" i="1"/>
  <c r="G47" i="1"/>
  <c r="N46" i="1"/>
  <c r="O46" i="1" s="1"/>
  <c r="M46" i="1"/>
  <c r="G46" i="1"/>
  <c r="M45" i="1"/>
  <c r="N45" i="1" s="1"/>
  <c r="O45" i="1" s="1"/>
  <c r="G45" i="1"/>
  <c r="M44" i="1"/>
  <c r="N44" i="1" s="1"/>
  <c r="O44" i="1" s="1"/>
  <c r="G44" i="1"/>
  <c r="M43" i="1"/>
  <c r="N43" i="1" s="1"/>
  <c r="O43" i="1" s="1"/>
  <c r="G43" i="1"/>
  <c r="N42" i="1"/>
  <c r="O42" i="1" s="1"/>
  <c r="M42" i="1"/>
  <c r="G42" i="1"/>
  <c r="N41" i="1"/>
  <c r="O41" i="1" s="1"/>
  <c r="M41" i="1"/>
  <c r="G41" i="1"/>
  <c r="O40" i="1"/>
  <c r="N40" i="1"/>
  <c r="M40" i="1"/>
  <c r="G40" i="1"/>
  <c r="M39" i="1"/>
  <c r="N39" i="1" s="1"/>
  <c r="O39" i="1" s="1"/>
  <c r="G39" i="1"/>
  <c r="M38" i="1"/>
  <c r="N38" i="1" s="1"/>
  <c r="O38" i="1" s="1"/>
  <c r="G38" i="1"/>
  <c r="N37" i="1"/>
  <c r="O37" i="1" s="1"/>
  <c r="M37" i="1"/>
  <c r="G37" i="1"/>
  <c r="N36" i="1"/>
  <c r="O36" i="1" s="1"/>
  <c r="M36" i="1"/>
  <c r="G36" i="1"/>
  <c r="M35" i="1"/>
  <c r="N35" i="1" s="1"/>
  <c r="O35" i="1" s="1"/>
  <c r="G35" i="1"/>
  <c r="N34" i="1"/>
  <c r="O34" i="1" s="1"/>
  <c r="M34" i="1"/>
  <c r="G34" i="1"/>
  <c r="M33" i="1"/>
  <c r="N33" i="1" s="1"/>
  <c r="O33" i="1" s="1"/>
  <c r="G33" i="1"/>
  <c r="N32" i="1"/>
  <c r="O32" i="1" s="1"/>
  <c r="M32" i="1"/>
  <c r="G32" i="1"/>
  <c r="O31" i="1"/>
  <c r="N31" i="1"/>
  <c r="M31" i="1"/>
  <c r="G31" i="1"/>
  <c r="N30" i="1"/>
  <c r="O30" i="1" s="1"/>
  <c r="M30" i="1"/>
  <c r="G30" i="1"/>
  <c r="M29" i="1"/>
  <c r="N29" i="1" s="1"/>
  <c r="O29" i="1" s="1"/>
  <c r="G29" i="1"/>
  <c r="M28" i="1"/>
  <c r="N28" i="1" s="1"/>
  <c r="O28" i="1" s="1"/>
  <c r="G28" i="1"/>
  <c r="N27" i="1"/>
  <c r="O27" i="1" s="1"/>
  <c r="M27" i="1"/>
  <c r="G27" i="1"/>
  <c r="O26" i="1"/>
  <c r="N26" i="1"/>
  <c r="M26" i="1"/>
  <c r="G26" i="1"/>
  <c r="M25" i="1"/>
  <c r="N25" i="1" s="1"/>
  <c r="O25" i="1" s="1"/>
  <c r="G25" i="1"/>
  <c r="N24" i="1"/>
  <c r="O24" i="1" s="1"/>
  <c r="M24" i="1"/>
  <c r="G24" i="1"/>
  <c r="M23" i="1"/>
  <c r="N23" i="1" s="1"/>
  <c r="O23" i="1" s="1"/>
  <c r="G23" i="1"/>
  <c r="O22" i="1"/>
  <c r="N22" i="1"/>
  <c r="M22" i="1"/>
  <c r="G22" i="1"/>
  <c r="N21" i="1"/>
  <c r="O21" i="1" s="1"/>
  <c r="M21" i="1"/>
  <c r="G21" i="1"/>
  <c r="O20" i="1"/>
  <c r="N20" i="1"/>
  <c r="M20" i="1"/>
  <c r="G20" i="1"/>
  <c r="M19" i="1"/>
  <c r="N19" i="1" s="1"/>
  <c r="O19" i="1" s="1"/>
  <c r="G19" i="1"/>
  <c r="M18" i="1"/>
  <c r="N18" i="1" s="1"/>
  <c r="O18" i="1" s="1"/>
  <c r="G18" i="1"/>
  <c r="N17" i="1"/>
  <c r="O17" i="1" s="1"/>
  <c r="M17" i="1"/>
  <c r="G17" i="1"/>
  <c r="O16" i="1"/>
  <c r="N16" i="1"/>
  <c r="M16" i="1"/>
  <c r="G16" i="1"/>
  <c r="O15" i="1"/>
  <c r="M15" i="1"/>
  <c r="N15" i="1" s="1"/>
  <c r="G15" i="1"/>
  <c r="M14" i="1"/>
  <c r="N14" i="1" s="1"/>
  <c r="O14" i="1" s="1"/>
  <c r="G14" i="1"/>
  <c r="M13" i="1"/>
  <c r="N13" i="1" s="1"/>
  <c r="O13" i="1" s="1"/>
  <c r="G13" i="1"/>
  <c r="N12" i="1"/>
  <c r="O12" i="1" s="1"/>
  <c r="M12" i="1"/>
  <c r="G12" i="1"/>
  <c r="O11" i="1"/>
  <c r="N11" i="1"/>
  <c r="M11" i="1"/>
  <c r="G11" i="1"/>
  <c r="M10" i="1"/>
  <c r="N10" i="1" s="1"/>
  <c r="O10" i="1" s="1"/>
  <c r="G10" i="1"/>
  <c r="M9" i="1"/>
  <c r="N9" i="1" s="1"/>
  <c r="O9" i="1" s="1"/>
  <c r="G9" i="1"/>
  <c r="M8" i="1"/>
  <c r="G8" i="1"/>
  <c r="N679" i="2"/>
  <c r="O677" i="2"/>
  <c r="N675" i="2"/>
  <c r="O675" i="2" s="1"/>
  <c r="O674" i="2"/>
  <c r="O672" i="2"/>
  <c r="J670" i="2"/>
  <c r="I670" i="2"/>
  <c r="H670" i="2"/>
  <c r="E670" i="2"/>
  <c r="O669" i="2"/>
  <c r="M669" i="2"/>
  <c r="K669" i="2"/>
  <c r="N669" i="2" s="1"/>
  <c r="G669" i="2"/>
  <c r="O668" i="2"/>
  <c r="M668" i="2"/>
  <c r="K668" i="2"/>
  <c r="N668" i="2" s="1"/>
  <c r="G668" i="2"/>
  <c r="O667" i="2"/>
  <c r="N667" i="2"/>
  <c r="M667" i="2"/>
  <c r="K667" i="2"/>
  <c r="G667" i="2"/>
  <c r="O666" i="2"/>
  <c r="M666" i="2"/>
  <c r="K666" i="2"/>
  <c r="G666" i="2"/>
  <c r="O665" i="2"/>
  <c r="M665" i="2"/>
  <c r="N665" i="2" s="1"/>
  <c r="K665" i="2"/>
  <c r="G665" i="2"/>
  <c r="O664" i="2"/>
  <c r="M664" i="2"/>
  <c r="K664" i="2"/>
  <c r="G664" i="2"/>
  <c r="O663" i="2"/>
  <c r="M663" i="2"/>
  <c r="K663" i="2"/>
  <c r="N663" i="2" s="1"/>
  <c r="G663" i="2"/>
  <c r="O662" i="2"/>
  <c r="M662" i="2"/>
  <c r="K662" i="2"/>
  <c r="N662" i="2" s="1"/>
  <c r="G662" i="2"/>
  <c r="O661" i="2"/>
  <c r="M661" i="2"/>
  <c r="K661" i="2"/>
  <c r="G661" i="2"/>
  <c r="O660" i="2"/>
  <c r="M660" i="2"/>
  <c r="K660" i="2"/>
  <c r="N660" i="2" s="1"/>
  <c r="G660" i="2"/>
  <c r="O659" i="2"/>
  <c r="M659" i="2"/>
  <c r="K659" i="2"/>
  <c r="N659" i="2" s="1"/>
  <c r="G659" i="2"/>
  <c r="O658" i="2"/>
  <c r="M658" i="2"/>
  <c r="K658" i="2"/>
  <c r="N658" i="2" s="1"/>
  <c r="G658" i="2"/>
  <c r="O657" i="2"/>
  <c r="M657" i="2"/>
  <c r="K657" i="2"/>
  <c r="N657" i="2" s="1"/>
  <c r="G657" i="2"/>
  <c r="O656" i="2"/>
  <c r="M656" i="2"/>
  <c r="K656" i="2"/>
  <c r="G656" i="2"/>
  <c r="O655" i="2"/>
  <c r="N655" i="2"/>
  <c r="M655" i="2"/>
  <c r="K655" i="2"/>
  <c r="G655" i="2"/>
  <c r="O654" i="2"/>
  <c r="M654" i="2"/>
  <c r="K654" i="2"/>
  <c r="G654" i="2"/>
  <c r="O653" i="2"/>
  <c r="M653" i="2"/>
  <c r="N653" i="2" s="1"/>
  <c r="K653" i="2"/>
  <c r="G653" i="2"/>
  <c r="O652" i="2"/>
  <c r="M652" i="2"/>
  <c r="K652" i="2"/>
  <c r="N652" i="2" s="1"/>
  <c r="G652" i="2"/>
  <c r="O651" i="2"/>
  <c r="M651" i="2"/>
  <c r="K651" i="2"/>
  <c r="N651" i="2" s="1"/>
  <c r="G651" i="2"/>
  <c r="O650" i="2"/>
  <c r="M650" i="2"/>
  <c r="K650" i="2"/>
  <c r="N650" i="2" s="1"/>
  <c r="G650" i="2"/>
  <c r="O649" i="2"/>
  <c r="M649" i="2"/>
  <c r="K649" i="2"/>
  <c r="N649" i="2" s="1"/>
  <c r="G649" i="2"/>
  <c r="O648" i="2"/>
  <c r="M648" i="2"/>
  <c r="K648" i="2"/>
  <c r="N648" i="2" s="1"/>
  <c r="G648" i="2"/>
  <c r="O647" i="2"/>
  <c r="N647" i="2"/>
  <c r="M647" i="2"/>
  <c r="K647" i="2"/>
  <c r="G647" i="2"/>
  <c r="O646" i="2"/>
  <c r="M646" i="2"/>
  <c r="K646" i="2"/>
  <c r="G646" i="2"/>
  <c r="O645" i="2"/>
  <c r="M645" i="2"/>
  <c r="N645" i="2" s="1"/>
  <c r="K645" i="2"/>
  <c r="G645" i="2"/>
  <c r="O644" i="2"/>
  <c r="M644" i="2"/>
  <c r="K644" i="2"/>
  <c r="G644" i="2"/>
  <c r="O643" i="2"/>
  <c r="M643" i="2"/>
  <c r="K643" i="2"/>
  <c r="N643" i="2" s="1"/>
  <c r="G643" i="2"/>
  <c r="O642" i="2"/>
  <c r="M642" i="2"/>
  <c r="K642" i="2"/>
  <c r="N642" i="2" s="1"/>
  <c r="G642" i="2"/>
  <c r="O641" i="2"/>
  <c r="M641" i="2"/>
  <c r="K641" i="2"/>
  <c r="N641" i="2" s="1"/>
  <c r="G641" i="2"/>
  <c r="O640" i="2"/>
  <c r="M640" i="2"/>
  <c r="K640" i="2"/>
  <c r="N640" i="2" s="1"/>
  <c r="G640" i="2"/>
  <c r="O639" i="2"/>
  <c r="M639" i="2"/>
  <c r="K639" i="2"/>
  <c r="N639" i="2" s="1"/>
  <c r="G639" i="2"/>
  <c r="O638" i="2"/>
  <c r="M638" i="2"/>
  <c r="K638" i="2"/>
  <c r="N638" i="2" s="1"/>
  <c r="G638" i="2"/>
  <c r="O637" i="2"/>
  <c r="M637" i="2"/>
  <c r="K637" i="2"/>
  <c r="N637" i="2" s="1"/>
  <c r="G637" i="2"/>
  <c r="O636" i="2"/>
  <c r="M636" i="2"/>
  <c r="K636" i="2"/>
  <c r="G636" i="2"/>
  <c r="O635" i="2"/>
  <c r="N635" i="2"/>
  <c r="M635" i="2"/>
  <c r="K635" i="2"/>
  <c r="G635" i="2"/>
  <c r="O634" i="2"/>
  <c r="M634" i="2"/>
  <c r="K634" i="2"/>
  <c r="G634" i="2"/>
  <c r="O633" i="2"/>
  <c r="M633" i="2"/>
  <c r="N633" i="2" s="1"/>
  <c r="K633" i="2"/>
  <c r="G633" i="2"/>
  <c r="O632" i="2"/>
  <c r="M632" i="2"/>
  <c r="K632" i="2"/>
  <c r="N632" i="2" s="1"/>
  <c r="G632" i="2"/>
  <c r="O631" i="2"/>
  <c r="M631" i="2"/>
  <c r="K631" i="2"/>
  <c r="N631" i="2" s="1"/>
  <c r="G631" i="2"/>
  <c r="O630" i="2"/>
  <c r="M630" i="2"/>
  <c r="K630" i="2"/>
  <c r="N630" i="2" s="1"/>
  <c r="G630" i="2"/>
  <c r="O629" i="2"/>
  <c r="M629" i="2"/>
  <c r="K629" i="2"/>
  <c r="N629" i="2" s="1"/>
  <c r="G629" i="2"/>
  <c r="O628" i="2"/>
  <c r="M628" i="2"/>
  <c r="K628" i="2"/>
  <c r="N628" i="2" s="1"/>
  <c r="G628" i="2"/>
  <c r="O627" i="2"/>
  <c r="N627" i="2"/>
  <c r="M627" i="2"/>
  <c r="K627" i="2"/>
  <c r="G627" i="2"/>
  <c r="O626" i="2"/>
  <c r="M626" i="2"/>
  <c r="K626" i="2"/>
  <c r="G626" i="2"/>
  <c r="O625" i="2"/>
  <c r="M625" i="2"/>
  <c r="N625" i="2" s="1"/>
  <c r="K625" i="2"/>
  <c r="G625" i="2"/>
  <c r="O624" i="2"/>
  <c r="M624" i="2"/>
  <c r="K624" i="2"/>
  <c r="G624" i="2"/>
  <c r="O623" i="2"/>
  <c r="M623" i="2"/>
  <c r="K623" i="2"/>
  <c r="N623" i="2" s="1"/>
  <c r="G623" i="2"/>
  <c r="O622" i="2"/>
  <c r="M622" i="2"/>
  <c r="K622" i="2"/>
  <c r="N622" i="2" s="1"/>
  <c r="G622" i="2"/>
  <c r="O621" i="2"/>
  <c r="M621" i="2"/>
  <c r="K621" i="2"/>
  <c r="G621" i="2"/>
  <c r="O620" i="2"/>
  <c r="M620" i="2"/>
  <c r="K620" i="2"/>
  <c r="N620" i="2" s="1"/>
  <c r="G620" i="2"/>
  <c r="O619" i="2"/>
  <c r="M619" i="2"/>
  <c r="K619" i="2"/>
  <c r="N619" i="2" s="1"/>
  <c r="G619" i="2"/>
  <c r="O618" i="2"/>
  <c r="M618" i="2"/>
  <c r="K618" i="2"/>
  <c r="N618" i="2" s="1"/>
  <c r="G618" i="2"/>
  <c r="O617" i="2"/>
  <c r="M617" i="2"/>
  <c r="K617" i="2"/>
  <c r="N617" i="2" s="1"/>
  <c r="G617" i="2"/>
  <c r="O616" i="2"/>
  <c r="M616" i="2"/>
  <c r="K616" i="2"/>
  <c r="G616" i="2"/>
  <c r="O615" i="2"/>
  <c r="N615" i="2"/>
  <c r="M615" i="2"/>
  <c r="K615" i="2"/>
  <c r="G615" i="2"/>
  <c r="O614" i="2"/>
  <c r="M614" i="2"/>
  <c r="K614" i="2"/>
  <c r="G614" i="2"/>
  <c r="O613" i="2"/>
  <c r="M613" i="2"/>
  <c r="N613" i="2" s="1"/>
  <c r="K613" i="2"/>
  <c r="G613" i="2"/>
  <c r="O612" i="2"/>
  <c r="M612" i="2"/>
  <c r="K612" i="2"/>
  <c r="N612" i="2" s="1"/>
  <c r="G612" i="2"/>
  <c r="O611" i="2"/>
  <c r="M611" i="2"/>
  <c r="K611" i="2"/>
  <c r="N611" i="2" s="1"/>
  <c r="G611" i="2"/>
  <c r="O610" i="2"/>
  <c r="M610" i="2"/>
  <c r="K610" i="2"/>
  <c r="N610" i="2" s="1"/>
  <c r="G610" i="2"/>
  <c r="O609" i="2"/>
  <c r="M609" i="2"/>
  <c r="K609" i="2"/>
  <c r="N609" i="2" s="1"/>
  <c r="G609" i="2"/>
  <c r="O608" i="2"/>
  <c r="M608" i="2"/>
  <c r="K608" i="2"/>
  <c r="N608" i="2" s="1"/>
  <c r="G608" i="2"/>
  <c r="O607" i="2"/>
  <c r="N607" i="2"/>
  <c r="M607" i="2"/>
  <c r="K607" i="2"/>
  <c r="G607" i="2"/>
  <c r="O606" i="2"/>
  <c r="M606" i="2"/>
  <c r="K606" i="2"/>
  <c r="G606" i="2"/>
  <c r="O605" i="2"/>
  <c r="M605" i="2"/>
  <c r="N605" i="2" s="1"/>
  <c r="K605" i="2"/>
  <c r="G605" i="2"/>
  <c r="O604" i="2"/>
  <c r="M604" i="2"/>
  <c r="K604" i="2"/>
  <c r="G604" i="2"/>
  <c r="O603" i="2"/>
  <c r="M603" i="2"/>
  <c r="K603" i="2"/>
  <c r="N603" i="2" s="1"/>
  <c r="G603" i="2"/>
  <c r="O602" i="2"/>
  <c r="M602" i="2"/>
  <c r="K602" i="2"/>
  <c r="N602" i="2" s="1"/>
  <c r="G602" i="2"/>
  <c r="O601" i="2"/>
  <c r="M601" i="2"/>
  <c r="K601" i="2"/>
  <c r="N601" i="2" s="1"/>
  <c r="G601" i="2"/>
  <c r="O600" i="2"/>
  <c r="M600" i="2"/>
  <c r="K600" i="2"/>
  <c r="N600" i="2" s="1"/>
  <c r="G600" i="2"/>
  <c r="O599" i="2"/>
  <c r="M599" i="2"/>
  <c r="K599" i="2"/>
  <c r="N599" i="2" s="1"/>
  <c r="G599" i="2"/>
  <c r="O598" i="2"/>
  <c r="M598" i="2"/>
  <c r="K598" i="2"/>
  <c r="N598" i="2" s="1"/>
  <c r="G598" i="2"/>
  <c r="O597" i="2"/>
  <c r="M597" i="2"/>
  <c r="K597" i="2"/>
  <c r="N597" i="2" s="1"/>
  <c r="G597" i="2"/>
  <c r="O596" i="2"/>
  <c r="M596" i="2"/>
  <c r="K596" i="2"/>
  <c r="G596" i="2"/>
  <c r="O595" i="2"/>
  <c r="N595" i="2"/>
  <c r="M595" i="2"/>
  <c r="K595" i="2"/>
  <c r="G595" i="2"/>
  <c r="O594" i="2"/>
  <c r="M594" i="2"/>
  <c r="K594" i="2"/>
  <c r="G594" i="2"/>
  <c r="O593" i="2"/>
  <c r="M593" i="2"/>
  <c r="N593" i="2" s="1"/>
  <c r="K593" i="2"/>
  <c r="G593" i="2"/>
  <c r="O592" i="2"/>
  <c r="M592" i="2"/>
  <c r="K592" i="2"/>
  <c r="N592" i="2" s="1"/>
  <c r="G592" i="2"/>
  <c r="O591" i="2"/>
  <c r="M591" i="2"/>
  <c r="K591" i="2"/>
  <c r="N591" i="2" s="1"/>
  <c r="G591" i="2"/>
  <c r="O590" i="2"/>
  <c r="M590" i="2"/>
  <c r="K590" i="2"/>
  <c r="N590" i="2" s="1"/>
  <c r="G590" i="2"/>
  <c r="O589" i="2"/>
  <c r="M589" i="2"/>
  <c r="K589" i="2"/>
  <c r="N589" i="2" s="1"/>
  <c r="G589" i="2"/>
  <c r="O588" i="2"/>
  <c r="M588" i="2"/>
  <c r="K588" i="2"/>
  <c r="N588" i="2" s="1"/>
  <c r="G588" i="2"/>
  <c r="O587" i="2"/>
  <c r="N587" i="2"/>
  <c r="M587" i="2"/>
  <c r="K587" i="2"/>
  <c r="G587" i="2"/>
  <c r="O586" i="2"/>
  <c r="M586" i="2"/>
  <c r="K586" i="2"/>
  <c r="G586" i="2"/>
  <c r="O585" i="2"/>
  <c r="M585" i="2"/>
  <c r="N585" i="2" s="1"/>
  <c r="K585" i="2"/>
  <c r="G585" i="2"/>
  <c r="O584" i="2"/>
  <c r="M584" i="2"/>
  <c r="K584" i="2"/>
  <c r="G584" i="2"/>
  <c r="O583" i="2"/>
  <c r="M583" i="2"/>
  <c r="K583" i="2"/>
  <c r="N583" i="2" s="1"/>
  <c r="G583" i="2"/>
  <c r="O582" i="2"/>
  <c r="M582" i="2"/>
  <c r="K582" i="2"/>
  <c r="N582" i="2" s="1"/>
  <c r="G582" i="2"/>
  <c r="O581" i="2"/>
  <c r="M581" i="2"/>
  <c r="K581" i="2"/>
  <c r="G581" i="2"/>
  <c r="O580" i="2"/>
  <c r="M580" i="2"/>
  <c r="K580" i="2"/>
  <c r="N580" i="2" s="1"/>
  <c r="G580" i="2"/>
  <c r="O579" i="2"/>
  <c r="M579" i="2"/>
  <c r="K579" i="2"/>
  <c r="N579" i="2" s="1"/>
  <c r="G579" i="2"/>
  <c r="O578" i="2"/>
  <c r="M578" i="2"/>
  <c r="K578" i="2"/>
  <c r="N578" i="2" s="1"/>
  <c r="G578" i="2"/>
  <c r="O577" i="2"/>
  <c r="M577" i="2"/>
  <c r="K577" i="2"/>
  <c r="N577" i="2" s="1"/>
  <c r="G577" i="2"/>
  <c r="O576" i="2"/>
  <c r="M576" i="2"/>
  <c r="K576" i="2"/>
  <c r="G576" i="2"/>
  <c r="O575" i="2"/>
  <c r="N575" i="2"/>
  <c r="M575" i="2"/>
  <c r="K575" i="2"/>
  <c r="G575" i="2"/>
  <c r="O574" i="2"/>
  <c r="N574" i="2"/>
  <c r="M574" i="2"/>
  <c r="K574" i="2"/>
  <c r="G574" i="2"/>
  <c r="O573" i="2"/>
  <c r="N573" i="2"/>
  <c r="M573" i="2"/>
  <c r="K573" i="2"/>
  <c r="G573" i="2"/>
  <c r="O572" i="2"/>
  <c r="N572" i="2"/>
  <c r="M572" i="2"/>
  <c r="K572" i="2"/>
  <c r="G572" i="2"/>
  <c r="O571" i="2"/>
  <c r="N571" i="2"/>
  <c r="M571" i="2"/>
  <c r="K571" i="2"/>
  <c r="G571" i="2"/>
  <c r="O570" i="2"/>
  <c r="N570" i="2"/>
  <c r="M570" i="2"/>
  <c r="K570" i="2"/>
  <c r="G570" i="2"/>
  <c r="O569" i="2"/>
  <c r="N569" i="2"/>
  <c r="M569" i="2"/>
  <c r="K569" i="2"/>
  <c r="G569" i="2"/>
  <c r="O568" i="2"/>
  <c r="N568" i="2"/>
  <c r="M568" i="2"/>
  <c r="K568" i="2"/>
  <c r="G568" i="2"/>
  <c r="O567" i="2"/>
  <c r="N567" i="2"/>
  <c r="M567" i="2"/>
  <c r="K567" i="2"/>
  <c r="G567" i="2"/>
  <c r="O566" i="2"/>
  <c r="N566" i="2"/>
  <c r="M566" i="2"/>
  <c r="K566" i="2"/>
  <c r="G566" i="2"/>
  <c r="O565" i="2"/>
  <c r="N565" i="2"/>
  <c r="M565" i="2"/>
  <c r="K565" i="2"/>
  <c r="G565" i="2"/>
  <c r="O564" i="2"/>
  <c r="N564" i="2"/>
  <c r="M564" i="2"/>
  <c r="K564" i="2"/>
  <c r="G564" i="2"/>
  <c r="O563" i="2"/>
  <c r="N563" i="2"/>
  <c r="M563" i="2"/>
  <c r="K563" i="2"/>
  <c r="G563" i="2"/>
  <c r="O562" i="2"/>
  <c r="N562" i="2"/>
  <c r="M562" i="2"/>
  <c r="K562" i="2"/>
  <c r="G562" i="2"/>
  <c r="O561" i="2"/>
  <c r="N561" i="2"/>
  <c r="M561" i="2"/>
  <c r="K561" i="2"/>
  <c r="G561" i="2"/>
  <c r="O560" i="2"/>
  <c r="N560" i="2"/>
  <c r="M560" i="2"/>
  <c r="K560" i="2"/>
  <c r="G560" i="2"/>
  <c r="O559" i="2"/>
  <c r="N559" i="2"/>
  <c r="M559" i="2"/>
  <c r="K559" i="2"/>
  <c r="G559" i="2"/>
  <c r="O558" i="2"/>
  <c r="N558" i="2"/>
  <c r="M558" i="2"/>
  <c r="K558" i="2"/>
  <c r="G558" i="2"/>
  <c r="O557" i="2"/>
  <c r="N557" i="2"/>
  <c r="M557" i="2"/>
  <c r="K557" i="2"/>
  <c r="G557" i="2"/>
  <c r="O556" i="2"/>
  <c r="N556" i="2"/>
  <c r="M556" i="2"/>
  <c r="K556" i="2"/>
  <c r="G556" i="2"/>
  <c r="O555" i="2"/>
  <c r="N555" i="2"/>
  <c r="M555" i="2"/>
  <c r="K555" i="2"/>
  <c r="G555" i="2"/>
  <c r="O554" i="2"/>
  <c r="N554" i="2"/>
  <c r="M554" i="2"/>
  <c r="K554" i="2"/>
  <c r="G554" i="2"/>
  <c r="O553" i="2"/>
  <c r="N553" i="2"/>
  <c r="M553" i="2"/>
  <c r="K553" i="2"/>
  <c r="G553" i="2"/>
  <c r="O552" i="2"/>
  <c r="N552" i="2"/>
  <c r="M552" i="2"/>
  <c r="K552" i="2"/>
  <c r="G552" i="2"/>
  <c r="O551" i="2"/>
  <c r="N551" i="2"/>
  <c r="M551" i="2"/>
  <c r="K551" i="2"/>
  <c r="G551" i="2"/>
  <c r="O550" i="2"/>
  <c r="N550" i="2"/>
  <c r="M550" i="2"/>
  <c r="K550" i="2"/>
  <c r="G550" i="2"/>
  <c r="O549" i="2"/>
  <c r="N549" i="2"/>
  <c r="M549" i="2"/>
  <c r="K549" i="2"/>
  <c r="G549" i="2"/>
  <c r="O548" i="2"/>
  <c r="N548" i="2"/>
  <c r="M548" i="2"/>
  <c r="K548" i="2"/>
  <c r="G548" i="2"/>
  <c r="O547" i="2"/>
  <c r="N547" i="2"/>
  <c r="M547" i="2"/>
  <c r="K547" i="2"/>
  <c r="G547" i="2"/>
  <c r="O546" i="2"/>
  <c r="N546" i="2"/>
  <c r="M546" i="2"/>
  <c r="K546" i="2"/>
  <c r="G546" i="2"/>
  <c r="O545" i="2"/>
  <c r="N545" i="2"/>
  <c r="M545" i="2"/>
  <c r="K545" i="2"/>
  <c r="G545" i="2"/>
  <c r="O544" i="2"/>
  <c r="N544" i="2"/>
  <c r="M544" i="2"/>
  <c r="K544" i="2"/>
  <c r="G544" i="2"/>
  <c r="O543" i="2"/>
  <c r="N543" i="2"/>
  <c r="M543" i="2"/>
  <c r="K543" i="2"/>
  <c r="G543" i="2"/>
  <c r="O542" i="2"/>
  <c r="N542" i="2"/>
  <c r="M542" i="2"/>
  <c r="K542" i="2"/>
  <c r="G542" i="2"/>
  <c r="O541" i="2"/>
  <c r="N541" i="2"/>
  <c r="M541" i="2"/>
  <c r="K541" i="2"/>
  <c r="G541" i="2"/>
  <c r="O540" i="2"/>
  <c r="N540" i="2"/>
  <c r="M540" i="2"/>
  <c r="K540" i="2"/>
  <c r="G540" i="2"/>
  <c r="O539" i="2"/>
  <c r="N539" i="2"/>
  <c r="M539" i="2"/>
  <c r="K539" i="2"/>
  <c r="G539" i="2"/>
  <c r="O538" i="2"/>
  <c r="N538" i="2"/>
  <c r="M538" i="2"/>
  <c r="K538" i="2"/>
  <c r="G538" i="2"/>
  <c r="O537" i="2"/>
  <c r="N537" i="2"/>
  <c r="M537" i="2"/>
  <c r="K537" i="2"/>
  <c r="G537" i="2"/>
  <c r="O536" i="2"/>
  <c r="N536" i="2"/>
  <c r="M536" i="2"/>
  <c r="K536" i="2"/>
  <c r="G536" i="2"/>
  <c r="O535" i="2"/>
  <c r="N535" i="2"/>
  <c r="M535" i="2"/>
  <c r="K535" i="2"/>
  <c r="G535" i="2"/>
  <c r="O534" i="2"/>
  <c r="N534" i="2"/>
  <c r="M534" i="2"/>
  <c r="K534" i="2"/>
  <c r="G534" i="2"/>
  <c r="O533" i="2"/>
  <c r="N533" i="2"/>
  <c r="M533" i="2"/>
  <c r="K533" i="2"/>
  <c r="G533" i="2"/>
  <c r="O532" i="2"/>
  <c r="N532" i="2"/>
  <c r="M532" i="2"/>
  <c r="K532" i="2"/>
  <c r="G532" i="2"/>
  <c r="O531" i="2"/>
  <c r="N531" i="2"/>
  <c r="M531" i="2"/>
  <c r="K531" i="2"/>
  <c r="G531" i="2"/>
  <c r="O530" i="2"/>
  <c r="N530" i="2"/>
  <c r="M530" i="2"/>
  <c r="K530" i="2"/>
  <c r="G530" i="2"/>
  <c r="O529" i="2"/>
  <c r="N529" i="2"/>
  <c r="M529" i="2"/>
  <c r="K529" i="2"/>
  <c r="G529" i="2"/>
  <c r="O528" i="2"/>
  <c r="N528" i="2"/>
  <c r="M528" i="2"/>
  <c r="K528" i="2"/>
  <c r="G528" i="2"/>
  <c r="O527" i="2"/>
  <c r="N527" i="2"/>
  <c r="M527" i="2"/>
  <c r="K527" i="2"/>
  <c r="G527" i="2"/>
  <c r="O526" i="2"/>
  <c r="N526" i="2"/>
  <c r="M526" i="2"/>
  <c r="K526" i="2"/>
  <c r="G526" i="2"/>
  <c r="O525" i="2"/>
  <c r="N525" i="2"/>
  <c r="M525" i="2"/>
  <c r="K525" i="2"/>
  <c r="G525" i="2"/>
  <c r="O524" i="2"/>
  <c r="N524" i="2"/>
  <c r="M524" i="2"/>
  <c r="K524" i="2"/>
  <c r="G524" i="2"/>
  <c r="O523" i="2"/>
  <c r="N523" i="2"/>
  <c r="M523" i="2"/>
  <c r="K523" i="2"/>
  <c r="G523" i="2"/>
  <c r="O522" i="2"/>
  <c r="N522" i="2"/>
  <c r="M522" i="2"/>
  <c r="K522" i="2"/>
  <c r="G522" i="2"/>
  <c r="O521" i="2"/>
  <c r="N521" i="2"/>
  <c r="M521" i="2"/>
  <c r="K521" i="2"/>
  <c r="G521" i="2"/>
  <c r="O520" i="2"/>
  <c r="N520" i="2"/>
  <c r="M520" i="2"/>
  <c r="K520" i="2"/>
  <c r="G520" i="2"/>
  <c r="O519" i="2"/>
  <c r="N519" i="2"/>
  <c r="M519" i="2"/>
  <c r="K519" i="2"/>
  <c r="G519" i="2"/>
  <c r="O518" i="2"/>
  <c r="N518" i="2"/>
  <c r="M518" i="2"/>
  <c r="K518" i="2"/>
  <c r="G518" i="2"/>
  <c r="O517" i="2"/>
  <c r="N517" i="2"/>
  <c r="M517" i="2"/>
  <c r="K517" i="2"/>
  <c r="G517" i="2"/>
  <c r="O516" i="2"/>
  <c r="N516" i="2"/>
  <c r="M516" i="2"/>
  <c r="K516" i="2"/>
  <c r="G516" i="2"/>
  <c r="O515" i="2"/>
  <c r="N515" i="2"/>
  <c r="M515" i="2"/>
  <c r="K515" i="2"/>
  <c r="G515" i="2"/>
  <c r="O514" i="2"/>
  <c r="N514" i="2"/>
  <c r="M514" i="2"/>
  <c r="K514" i="2"/>
  <c r="G514" i="2"/>
  <c r="O513" i="2"/>
  <c r="N513" i="2"/>
  <c r="M513" i="2"/>
  <c r="K513" i="2"/>
  <c r="G513" i="2"/>
  <c r="O512" i="2"/>
  <c r="N512" i="2"/>
  <c r="M512" i="2"/>
  <c r="K512" i="2"/>
  <c r="G512" i="2"/>
  <c r="O511" i="2"/>
  <c r="N511" i="2"/>
  <c r="M511" i="2"/>
  <c r="K511" i="2"/>
  <c r="G511" i="2"/>
  <c r="O510" i="2"/>
  <c r="N510" i="2"/>
  <c r="M510" i="2"/>
  <c r="K510" i="2"/>
  <c r="G510" i="2"/>
  <c r="O509" i="2"/>
  <c r="N509" i="2"/>
  <c r="M509" i="2"/>
  <c r="K509" i="2"/>
  <c r="G509" i="2"/>
  <c r="O508" i="2"/>
  <c r="N508" i="2"/>
  <c r="M508" i="2"/>
  <c r="K508" i="2"/>
  <c r="G508" i="2"/>
  <c r="O507" i="2"/>
  <c r="N507" i="2"/>
  <c r="M507" i="2"/>
  <c r="K507" i="2"/>
  <c r="G507" i="2"/>
  <c r="O506" i="2"/>
  <c r="N506" i="2"/>
  <c r="M506" i="2"/>
  <c r="K506" i="2"/>
  <c r="G506" i="2"/>
  <c r="O505" i="2"/>
  <c r="N505" i="2"/>
  <c r="M505" i="2"/>
  <c r="K505" i="2"/>
  <c r="G505" i="2"/>
  <c r="O504" i="2"/>
  <c r="N504" i="2"/>
  <c r="M504" i="2"/>
  <c r="K504" i="2"/>
  <c r="G504" i="2"/>
  <c r="O503" i="2"/>
  <c r="N503" i="2"/>
  <c r="M503" i="2"/>
  <c r="K503" i="2"/>
  <c r="G503" i="2"/>
  <c r="O502" i="2"/>
  <c r="N502" i="2"/>
  <c r="M502" i="2"/>
  <c r="K502" i="2"/>
  <c r="G502" i="2"/>
  <c r="O501" i="2"/>
  <c r="N501" i="2"/>
  <c r="M501" i="2"/>
  <c r="K501" i="2"/>
  <c r="G501" i="2"/>
  <c r="O500" i="2"/>
  <c r="N500" i="2"/>
  <c r="M500" i="2"/>
  <c r="K500" i="2"/>
  <c r="G500" i="2"/>
  <c r="O499" i="2"/>
  <c r="N499" i="2"/>
  <c r="M499" i="2"/>
  <c r="K499" i="2"/>
  <c r="G499" i="2"/>
  <c r="O498" i="2"/>
  <c r="N498" i="2"/>
  <c r="M498" i="2"/>
  <c r="K498" i="2"/>
  <c r="G498" i="2"/>
  <c r="O497" i="2"/>
  <c r="N497" i="2"/>
  <c r="M497" i="2"/>
  <c r="K497" i="2"/>
  <c r="G497" i="2"/>
  <c r="O496" i="2"/>
  <c r="N496" i="2"/>
  <c r="M496" i="2"/>
  <c r="K496" i="2"/>
  <c r="G496" i="2"/>
  <c r="O495" i="2"/>
  <c r="N495" i="2"/>
  <c r="M495" i="2"/>
  <c r="K495" i="2"/>
  <c r="G495" i="2"/>
  <c r="O494" i="2"/>
  <c r="N494" i="2"/>
  <c r="M494" i="2"/>
  <c r="K494" i="2"/>
  <c r="G494" i="2"/>
  <c r="O493" i="2"/>
  <c r="N493" i="2"/>
  <c r="M493" i="2"/>
  <c r="K493" i="2"/>
  <c r="G493" i="2"/>
  <c r="O492" i="2"/>
  <c r="N492" i="2"/>
  <c r="M492" i="2"/>
  <c r="K492" i="2"/>
  <c r="G492" i="2"/>
  <c r="O491" i="2"/>
  <c r="N491" i="2"/>
  <c r="M491" i="2"/>
  <c r="K491" i="2"/>
  <c r="G491" i="2"/>
  <c r="O490" i="2"/>
  <c r="N490" i="2"/>
  <c r="M490" i="2"/>
  <c r="K490" i="2"/>
  <c r="G490" i="2"/>
  <c r="O489" i="2"/>
  <c r="N489" i="2"/>
  <c r="M489" i="2"/>
  <c r="K489" i="2"/>
  <c r="G489" i="2"/>
  <c r="O488" i="2"/>
  <c r="N488" i="2"/>
  <c r="M488" i="2"/>
  <c r="K488" i="2"/>
  <c r="G488" i="2"/>
  <c r="O487" i="2"/>
  <c r="N487" i="2"/>
  <c r="M487" i="2"/>
  <c r="K487" i="2"/>
  <c r="G487" i="2"/>
  <c r="O486" i="2"/>
  <c r="N486" i="2"/>
  <c r="M486" i="2"/>
  <c r="K486" i="2"/>
  <c r="G486" i="2"/>
  <c r="O485" i="2"/>
  <c r="N485" i="2"/>
  <c r="M485" i="2"/>
  <c r="K485" i="2"/>
  <c r="G485" i="2"/>
  <c r="O484" i="2"/>
  <c r="N484" i="2"/>
  <c r="M484" i="2"/>
  <c r="K484" i="2"/>
  <c r="G484" i="2"/>
  <c r="O483" i="2"/>
  <c r="N483" i="2"/>
  <c r="M483" i="2"/>
  <c r="K483" i="2"/>
  <c r="G483" i="2"/>
  <c r="O482" i="2"/>
  <c r="N482" i="2"/>
  <c r="M482" i="2"/>
  <c r="K482" i="2"/>
  <c r="G482" i="2"/>
  <c r="O481" i="2"/>
  <c r="N481" i="2"/>
  <c r="M481" i="2"/>
  <c r="K481" i="2"/>
  <c r="G481" i="2"/>
  <c r="O480" i="2"/>
  <c r="N480" i="2"/>
  <c r="M480" i="2"/>
  <c r="K480" i="2"/>
  <c r="G480" i="2"/>
  <c r="O479" i="2"/>
  <c r="N479" i="2"/>
  <c r="M479" i="2"/>
  <c r="K479" i="2"/>
  <c r="G479" i="2"/>
  <c r="O478" i="2"/>
  <c r="N478" i="2"/>
  <c r="M478" i="2"/>
  <c r="K478" i="2"/>
  <c r="G478" i="2"/>
  <c r="O477" i="2"/>
  <c r="N477" i="2"/>
  <c r="M477" i="2"/>
  <c r="K477" i="2"/>
  <c r="G477" i="2"/>
  <c r="O476" i="2"/>
  <c r="N476" i="2"/>
  <c r="M476" i="2"/>
  <c r="K476" i="2"/>
  <c r="G476" i="2"/>
  <c r="O475" i="2"/>
  <c r="N475" i="2"/>
  <c r="M475" i="2"/>
  <c r="K475" i="2"/>
  <c r="G475" i="2"/>
  <c r="O474" i="2"/>
  <c r="N474" i="2"/>
  <c r="M474" i="2"/>
  <c r="K474" i="2"/>
  <c r="G474" i="2"/>
  <c r="O473" i="2"/>
  <c r="N473" i="2"/>
  <c r="M473" i="2"/>
  <c r="K473" i="2"/>
  <c r="G473" i="2"/>
  <c r="O472" i="2"/>
  <c r="N472" i="2"/>
  <c r="M472" i="2"/>
  <c r="K472" i="2"/>
  <c r="G472" i="2"/>
  <c r="O471" i="2"/>
  <c r="N471" i="2"/>
  <c r="M471" i="2"/>
  <c r="K471" i="2"/>
  <c r="G471" i="2"/>
  <c r="O470" i="2"/>
  <c r="N470" i="2"/>
  <c r="M470" i="2"/>
  <c r="K470" i="2"/>
  <c r="G470" i="2"/>
  <c r="O469" i="2"/>
  <c r="N469" i="2"/>
  <c r="M469" i="2"/>
  <c r="K469" i="2"/>
  <c r="G469" i="2"/>
  <c r="O468" i="2"/>
  <c r="N468" i="2"/>
  <c r="M468" i="2"/>
  <c r="K468" i="2"/>
  <c r="G468" i="2"/>
  <c r="O467" i="2"/>
  <c r="N467" i="2"/>
  <c r="M467" i="2"/>
  <c r="K467" i="2"/>
  <c r="G467" i="2"/>
  <c r="O466" i="2"/>
  <c r="N466" i="2"/>
  <c r="M466" i="2"/>
  <c r="K466" i="2"/>
  <c r="G466" i="2"/>
  <c r="O465" i="2"/>
  <c r="N465" i="2"/>
  <c r="M465" i="2"/>
  <c r="K465" i="2"/>
  <c r="G465" i="2"/>
  <c r="O464" i="2"/>
  <c r="N464" i="2"/>
  <c r="M464" i="2"/>
  <c r="K464" i="2"/>
  <c r="G464" i="2"/>
  <c r="O463" i="2"/>
  <c r="N463" i="2"/>
  <c r="M463" i="2"/>
  <c r="K463" i="2"/>
  <c r="G463" i="2"/>
  <c r="O462" i="2"/>
  <c r="N462" i="2"/>
  <c r="M462" i="2"/>
  <c r="K462" i="2"/>
  <c r="G462" i="2"/>
  <c r="O461" i="2"/>
  <c r="N461" i="2"/>
  <c r="M461" i="2"/>
  <c r="K461" i="2"/>
  <c r="G461" i="2"/>
  <c r="O460" i="2"/>
  <c r="N460" i="2"/>
  <c r="M460" i="2"/>
  <c r="K460" i="2"/>
  <c r="G460" i="2"/>
  <c r="O459" i="2"/>
  <c r="N459" i="2"/>
  <c r="M459" i="2"/>
  <c r="K459" i="2"/>
  <c r="G459" i="2"/>
  <c r="O458" i="2"/>
  <c r="N458" i="2"/>
  <c r="M458" i="2"/>
  <c r="K458" i="2"/>
  <c r="G458" i="2"/>
  <c r="O457" i="2"/>
  <c r="N457" i="2"/>
  <c r="M457" i="2"/>
  <c r="K457" i="2"/>
  <c r="G457" i="2"/>
  <c r="O456" i="2"/>
  <c r="N456" i="2"/>
  <c r="M456" i="2"/>
  <c r="K456" i="2"/>
  <c r="G456" i="2"/>
  <c r="O455" i="2"/>
  <c r="N455" i="2"/>
  <c r="M455" i="2"/>
  <c r="K455" i="2"/>
  <c r="G455" i="2"/>
  <c r="O454" i="2"/>
  <c r="N454" i="2"/>
  <c r="M454" i="2"/>
  <c r="K454" i="2"/>
  <c r="G454" i="2"/>
  <c r="O453" i="2"/>
  <c r="N453" i="2"/>
  <c r="M453" i="2"/>
  <c r="K453" i="2"/>
  <c r="G453" i="2"/>
  <c r="O452" i="2"/>
  <c r="N452" i="2"/>
  <c r="M452" i="2"/>
  <c r="K452" i="2"/>
  <c r="G452" i="2"/>
  <c r="O451" i="2"/>
  <c r="N451" i="2"/>
  <c r="M451" i="2"/>
  <c r="K451" i="2"/>
  <c r="G451" i="2"/>
  <c r="O450" i="2"/>
  <c r="N450" i="2"/>
  <c r="M450" i="2"/>
  <c r="K450" i="2"/>
  <c r="G450" i="2"/>
  <c r="O449" i="2"/>
  <c r="N449" i="2"/>
  <c r="M449" i="2"/>
  <c r="K449" i="2"/>
  <c r="G449" i="2"/>
  <c r="O448" i="2"/>
  <c r="N448" i="2"/>
  <c r="M448" i="2"/>
  <c r="K448" i="2"/>
  <c r="G448" i="2"/>
  <c r="O447" i="2"/>
  <c r="N447" i="2"/>
  <c r="M447" i="2"/>
  <c r="K447" i="2"/>
  <c r="G447" i="2"/>
  <c r="O446" i="2"/>
  <c r="N446" i="2"/>
  <c r="M446" i="2"/>
  <c r="K446" i="2"/>
  <c r="G446" i="2"/>
  <c r="O445" i="2"/>
  <c r="N445" i="2"/>
  <c r="M445" i="2"/>
  <c r="K445" i="2"/>
  <c r="G445" i="2"/>
  <c r="O444" i="2"/>
  <c r="N444" i="2"/>
  <c r="M444" i="2"/>
  <c r="K444" i="2"/>
  <c r="G444" i="2"/>
  <c r="O443" i="2"/>
  <c r="N443" i="2"/>
  <c r="M443" i="2"/>
  <c r="K443" i="2"/>
  <c r="G443" i="2"/>
  <c r="O442" i="2"/>
  <c r="N442" i="2"/>
  <c r="M442" i="2"/>
  <c r="K442" i="2"/>
  <c r="G442" i="2"/>
  <c r="O441" i="2"/>
  <c r="N441" i="2"/>
  <c r="M441" i="2"/>
  <c r="K441" i="2"/>
  <c r="G441" i="2"/>
  <c r="O440" i="2"/>
  <c r="N440" i="2"/>
  <c r="M440" i="2"/>
  <c r="K440" i="2"/>
  <c r="G440" i="2"/>
  <c r="O439" i="2"/>
  <c r="N439" i="2"/>
  <c r="M439" i="2"/>
  <c r="K439" i="2"/>
  <c r="G439" i="2"/>
  <c r="O438" i="2"/>
  <c r="N438" i="2"/>
  <c r="M438" i="2"/>
  <c r="K438" i="2"/>
  <c r="G438" i="2"/>
  <c r="O437" i="2"/>
  <c r="N437" i="2"/>
  <c r="M437" i="2"/>
  <c r="K437" i="2"/>
  <c r="G437" i="2"/>
  <c r="O436" i="2"/>
  <c r="N436" i="2"/>
  <c r="M436" i="2"/>
  <c r="K436" i="2"/>
  <c r="G436" i="2"/>
  <c r="O435" i="2"/>
  <c r="N435" i="2"/>
  <c r="M435" i="2"/>
  <c r="K435" i="2"/>
  <c r="G435" i="2"/>
  <c r="O434" i="2"/>
  <c r="N434" i="2"/>
  <c r="M434" i="2"/>
  <c r="K434" i="2"/>
  <c r="G434" i="2"/>
  <c r="O433" i="2"/>
  <c r="N433" i="2"/>
  <c r="M433" i="2"/>
  <c r="K433" i="2"/>
  <c r="G433" i="2"/>
  <c r="O432" i="2"/>
  <c r="N432" i="2"/>
  <c r="M432" i="2"/>
  <c r="K432" i="2"/>
  <c r="G432" i="2"/>
  <c r="O431" i="2"/>
  <c r="N431" i="2"/>
  <c r="M431" i="2"/>
  <c r="K431" i="2"/>
  <c r="G431" i="2"/>
  <c r="O430" i="2"/>
  <c r="N430" i="2"/>
  <c r="M430" i="2"/>
  <c r="K430" i="2"/>
  <c r="G430" i="2"/>
  <c r="O429" i="2"/>
  <c r="N429" i="2"/>
  <c r="M429" i="2"/>
  <c r="K429" i="2"/>
  <c r="G429" i="2"/>
  <c r="O428" i="2"/>
  <c r="N428" i="2"/>
  <c r="M428" i="2"/>
  <c r="K428" i="2"/>
  <c r="G428" i="2"/>
  <c r="O427" i="2"/>
  <c r="N427" i="2"/>
  <c r="M427" i="2"/>
  <c r="K427" i="2"/>
  <c r="G427" i="2"/>
  <c r="O426" i="2"/>
  <c r="N426" i="2"/>
  <c r="M426" i="2"/>
  <c r="K426" i="2"/>
  <c r="G426" i="2"/>
  <c r="O425" i="2"/>
  <c r="N425" i="2"/>
  <c r="M425" i="2"/>
  <c r="K425" i="2"/>
  <c r="G425" i="2"/>
  <c r="O424" i="2"/>
  <c r="N424" i="2"/>
  <c r="M424" i="2"/>
  <c r="K424" i="2"/>
  <c r="G424" i="2"/>
  <c r="O423" i="2"/>
  <c r="N423" i="2"/>
  <c r="M423" i="2"/>
  <c r="K423" i="2"/>
  <c r="G423" i="2"/>
  <c r="O422" i="2"/>
  <c r="N422" i="2"/>
  <c r="M422" i="2"/>
  <c r="K422" i="2"/>
  <c r="G422" i="2"/>
  <c r="O421" i="2"/>
  <c r="N421" i="2"/>
  <c r="M421" i="2"/>
  <c r="K421" i="2"/>
  <c r="G421" i="2"/>
  <c r="O420" i="2"/>
  <c r="N420" i="2"/>
  <c r="M420" i="2"/>
  <c r="K420" i="2"/>
  <c r="G420" i="2"/>
  <c r="O419" i="2"/>
  <c r="N419" i="2"/>
  <c r="M419" i="2"/>
  <c r="K419" i="2"/>
  <c r="G419" i="2"/>
  <c r="O418" i="2"/>
  <c r="N418" i="2"/>
  <c r="M418" i="2"/>
  <c r="K418" i="2"/>
  <c r="G418" i="2"/>
  <c r="O417" i="2"/>
  <c r="N417" i="2"/>
  <c r="M417" i="2"/>
  <c r="K417" i="2"/>
  <c r="G417" i="2"/>
  <c r="O416" i="2"/>
  <c r="N416" i="2"/>
  <c r="M416" i="2"/>
  <c r="K416" i="2"/>
  <c r="G416" i="2"/>
  <c r="O415" i="2"/>
  <c r="N415" i="2"/>
  <c r="M415" i="2"/>
  <c r="K415" i="2"/>
  <c r="G415" i="2"/>
  <c r="O414" i="2"/>
  <c r="N414" i="2"/>
  <c r="M414" i="2"/>
  <c r="K414" i="2"/>
  <c r="G414" i="2"/>
  <c r="O413" i="2"/>
  <c r="N413" i="2"/>
  <c r="M413" i="2"/>
  <c r="K413" i="2"/>
  <c r="G413" i="2"/>
  <c r="O412" i="2"/>
  <c r="N412" i="2"/>
  <c r="M412" i="2"/>
  <c r="K412" i="2"/>
  <c r="G412" i="2"/>
  <c r="O411" i="2"/>
  <c r="N411" i="2"/>
  <c r="M411" i="2"/>
  <c r="K411" i="2"/>
  <c r="G411" i="2"/>
  <c r="O410" i="2"/>
  <c r="N410" i="2"/>
  <c r="M410" i="2"/>
  <c r="K410" i="2"/>
  <c r="G410" i="2"/>
  <c r="O409" i="2"/>
  <c r="N409" i="2"/>
  <c r="M409" i="2"/>
  <c r="K409" i="2"/>
  <c r="G409" i="2"/>
  <c r="O408" i="2"/>
  <c r="N408" i="2"/>
  <c r="M408" i="2"/>
  <c r="K408" i="2"/>
  <c r="G408" i="2"/>
  <c r="O407" i="2"/>
  <c r="N407" i="2"/>
  <c r="M407" i="2"/>
  <c r="K407" i="2"/>
  <c r="G407" i="2"/>
  <c r="O406" i="2"/>
  <c r="N406" i="2"/>
  <c r="M406" i="2"/>
  <c r="G406" i="2"/>
  <c r="O405" i="2"/>
  <c r="M405" i="2"/>
  <c r="K405" i="2"/>
  <c r="N405" i="2" s="1"/>
  <c r="G405" i="2"/>
  <c r="O404" i="2"/>
  <c r="M404" i="2"/>
  <c r="K404" i="2"/>
  <c r="G404" i="2"/>
  <c r="O403" i="2"/>
  <c r="M403" i="2"/>
  <c r="K403" i="2"/>
  <c r="G403" i="2"/>
  <c r="O402" i="2"/>
  <c r="M402" i="2"/>
  <c r="K402" i="2"/>
  <c r="G402" i="2"/>
  <c r="O401" i="2"/>
  <c r="M401" i="2"/>
  <c r="K401" i="2"/>
  <c r="G401" i="2"/>
  <c r="O400" i="2"/>
  <c r="M400" i="2"/>
  <c r="K400" i="2"/>
  <c r="N400" i="2" s="1"/>
  <c r="G400" i="2"/>
  <c r="O399" i="2"/>
  <c r="M399" i="2"/>
  <c r="K399" i="2"/>
  <c r="G399" i="2"/>
  <c r="O398" i="2"/>
  <c r="M398" i="2"/>
  <c r="K398" i="2"/>
  <c r="G398" i="2"/>
  <c r="O397" i="2"/>
  <c r="M397" i="2"/>
  <c r="K397" i="2"/>
  <c r="G397" i="2"/>
  <c r="O396" i="2"/>
  <c r="M396" i="2"/>
  <c r="K396" i="2"/>
  <c r="G396" i="2"/>
  <c r="O395" i="2"/>
  <c r="M395" i="2"/>
  <c r="K395" i="2"/>
  <c r="N395" i="2" s="1"/>
  <c r="G395" i="2"/>
  <c r="O394" i="2"/>
  <c r="M394" i="2"/>
  <c r="K394" i="2"/>
  <c r="G394" i="2"/>
  <c r="O393" i="2"/>
  <c r="M393" i="2"/>
  <c r="K393" i="2"/>
  <c r="G393" i="2"/>
  <c r="O392" i="2"/>
  <c r="M392" i="2"/>
  <c r="K392" i="2"/>
  <c r="G392" i="2"/>
  <c r="O391" i="2"/>
  <c r="M391" i="2"/>
  <c r="K391" i="2"/>
  <c r="G391" i="2"/>
  <c r="O390" i="2"/>
  <c r="M390" i="2"/>
  <c r="K390" i="2"/>
  <c r="N390" i="2" s="1"/>
  <c r="G390" i="2"/>
  <c r="O389" i="2"/>
  <c r="M389" i="2"/>
  <c r="K389" i="2"/>
  <c r="G389" i="2"/>
  <c r="O388" i="2"/>
  <c r="M388" i="2"/>
  <c r="K388" i="2"/>
  <c r="G388" i="2"/>
  <c r="O387" i="2"/>
  <c r="M387" i="2"/>
  <c r="K387" i="2"/>
  <c r="G387" i="2"/>
  <c r="O386" i="2"/>
  <c r="M386" i="2"/>
  <c r="K386" i="2"/>
  <c r="G386" i="2"/>
  <c r="O385" i="2"/>
  <c r="M385" i="2"/>
  <c r="K385" i="2"/>
  <c r="N385" i="2" s="1"/>
  <c r="G385" i="2"/>
  <c r="O384" i="2"/>
  <c r="M384" i="2"/>
  <c r="K384" i="2"/>
  <c r="G384" i="2"/>
  <c r="O383" i="2"/>
  <c r="M383" i="2"/>
  <c r="K383" i="2"/>
  <c r="G383" i="2"/>
  <c r="O382" i="2"/>
  <c r="M382" i="2"/>
  <c r="K382" i="2"/>
  <c r="G382" i="2"/>
  <c r="O381" i="2"/>
  <c r="N381" i="2"/>
  <c r="M381" i="2"/>
  <c r="K381" i="2"/>
  <c r="G381" i="2"/>
  <c r="O380" i="2"/>
  <c r="M380" i="2"/>
  <c r="K380" i="2"/>
  <c r="G380" i="2"/>
  <c r="O379" i="2"/>
  <c r="M379" i="2"/>
  <c r="K379" i="2"/>
  <c r="N379" i="2" s="1"/>
  <c r="G379" i="2"/>
  <c r="O378" i="2"/>
  <c r="M378" i="2"/>
  <c r="K378" i="2"/>
  <c r="N378" i="2" s="1"/>
  <c r="G378" i="2"/>
  <c r="O377" i="2"/>
  <c r="M377" i="2"/>
  <c r="K377" i="2"/>
  <c r="N377" i="2" s="1"/>
  <c r="G377" i="2"/>
  <c r="O376" i="2"/>
  <c r="M376" i="2"/>
  <c r="K376" i="2"/>
  <c r="G376" i="2"/>
  <c r="O375" i="2"/>
  <c r="M375" i="2"/>
  <c r="K375" i="2"/>
  <c r="N375" i="2" s="1"/>
  <c r="G375" i="2"/>
  <c r="O374" i="2"/>
  <c r="N374" i="2"/>
  <c r="M374" i="2"/>
  <c r="K374" i="2"/>
  <c r="G374" i="2"/>
  <c r="O373" i="2"/>
  <c r="M373" i="2"/>
  <c r="K373" i="2"/>
  <c r="G373" i="2"/>
  <c r="O372" i="2"/>
  <c r="M372" i="2"/>
  <c r="N372" i="2" s="1"/>
  <c r="K372" i="2"/>
  <c r="G372" i="2"/>
  <c r="O371" i="2"/>
  <c r="M371" i="2"/>
  <c r="K371" i="2"/>
  <c r="G371" i="2"/>
  <c r="O370" i="2"/>
  <c r="M370" i="2"/>
  <c r="K370" i="2"/>
  <c r="N370" i="2" s="1"/>
  <c r="G370" i="2"/>
  <c r="O369" i="2"/>
  <c r="M369" i="2"/>
  <c r="K369" i="2"/>
  <c r="N369" i="2" s="1"/>
  <c r="G369" i="2"/>
  <c r="O368" i="2"/>
  <c r="M368" i="2"/>
  <c r="K368" i="2"/>
  <c r="N368" i="2" s="1"/>
  <c r="G368" i="2"/>
  <c r="O367" i="2"/>
  <c r="M367" i="2"/>
  <c r="K367" i="2"/>
  <c r="G367" i="2"/>
  <c r="O366" i="2"/>
  <c r="M366" i="2"/>
  <c r="K366" i="2"/>
  <c r="N366" i="2" s="1"/>
  <c r="G366" i="2"/>
  <c r="O365" i="2"/>
  <c r="M365" i="2"/>
  <c r="K365" i="2"/>
  <c r="N365" i="2" s="1"/>
  <c r="G365" i="2"/>
  <c r="O364" i="2"/>
  <c r="M364" i="2"/>
  <c r="K364" i="2"/>
  <c r="N364" i="2" s="1"/>
  <c r="G364" i="2"/>
  <c r="O363" i="2"/>
  <c r="M363" i="2"/>
  <c r="K363" i="2"/>
  <c r="G363" i="2"/>
  <c r="O362" i="2"/>
  <c r="N362" i="2"/>
  <c r="M362" i="2"/>
  <c r="K362" i="2"/>
  <c r="G362" i="2"/>
  <c r="O361" i="2"/>
  <c r="M361" i="2"/>
  <c r="K361" i="2"/>
  <c r="G361" i="2"/>
  <c r="O360" i="2"/>
  <c r="M360" i="2"/>
  <c r="N360" i="2" s="1"/>
  <c r="K360" i="2"/>
  <c r="G360" i="2"/>
  <c r="O359" i="2"/>
  <c r="M359" i="2"/>
  <c r="K359" i="2"/>
  <c r="N359" i="2" s="1"/>
  <c r="G359" i="2"/>
  <c r="O358" i="2"/>
  <c r="M358" i="2"/>
  <c r="K358" i="2"/>
  <c r="N358" i="2" s="1"/>
  <c r="G358" i="2"/>
  <c r="O357" i="2"/>
  <c r="M357" i="2"/>
  <c r="K357" i="2"/>
  <c r="N357" i="2" s="1"/>
  <c r="G357" i="2"/>
  <c r="O356" i="2"/>
  <c r="M356" i="2"/>
  <c r="K356" i="2"/>
  <c r="N356" i="2" s="1"/>
  <c r="G356" i="2"/>
  <c r="O355" i="2"/>
  <c r="M355" i="2"/>
  <c r="K355" i="2"/>
  <c r="N355" i="2" s="1"/>
  <c r="G355" i="2"/>
  <c r="O354" i="2"/>
  <c r="N354" i="2"/>
  <c r="M354" i="2"/>
  <c r="K354" i="2"/>
  <c r="G354" i="2"/>
  <c r="O353" i="2"/>
  <c r="M353" i="2"/>
  <c r="K353" i="2"/>
  <c r="G353" i="2"/>
  <c r="O352" i="2"/>
  <c r="M352" i="2"/>
  <c r="N352" i="2" s="1"/>
  <c r="K352" i="2"/>
  <c r="G352" i="2"/>
  <c r="O351" i="2"/>
  <c r="M351" i="2"/>
  <c r="K351" i="2"/>
  <c r="G351" i="2"/>
  <c r="O350" i="2"/>
  <c r="M350" i="2"/>
  <c r="K350" i="2"/>
  <c r="N350" i="2" s="1"/>
  <c r="G350" i="2"/>
  <c r="O349" i="2"/>
  <c r="M349" i="2"/>
  <c r="K349" i="2"/>
  <c r="N349" i="2" s="1"/>
  <c r="G349" i="2"/>
  <c r="O348" i="2"/>
  <c r="M348" i="2"/>
  <c r="K348" i="2"/>
  <c r="N348" i="2" s="1"/>
  <c r="G348" i="2"/>
  <c r="O347" i="2"/>
  <c r="M347" i="2"/>
  <c r="K347" i="2"/>
  <c r="N347" i="2" s="1"/>
  <c r="G347" i="2"/>
  <c r="O346" i="2"/>
  <c r="M346" i="2"/>
  <c r="K346" i="2"/>
  <c r="N346" i="2" s="1"/>
  <c r="G346" i="2"/>
  <c r="O345" i="2"/>
  <c r="M345" i="2"/>
  <c r="K345" i="2"/>
  <c r="N345" i="2" s="1"/>
  <c r="G345" i="2"/>
  <c r="O344" i="2"/>
  <c r="M344" i="2"/>
  <c r="K344" i="2"/>
  <c r="N344" i="2" s="1"/>
  <c r="G344" i="2"/>
  <c r="O343" i="2"/>
  <c r="M343" i="2"/>
  <c r="K343" i="2"/>
  <c r="G343" i="2"/>
  <c r="O342" i="2"/>
  <c r="N342" i="2"/>
  <c r="M342" i="2"/>
  <c r="K342" i="2"/>
  <c r="G342" i="2"/>
  <c r="O341" i="2"/>
  <c r="M341" i="2"/>
  <c r="K341" i="2"/>
  <c r="G341" i="2"/>
  <c r="O340" i="2"/>
  <c r="N340" i="2"/>
  <c r="M340" i="2"/>
  <c r="K340" i="2"/>
  <c r="G340" i="2"/>
  <c r="O339" i="2"/>
  <c r="M339" i="2"/>
  <c r="K339" i="2"/>
  <c r="G339" i="2"/>
  <c r="O338" i="2"/>
  <c r="M338" i="2"/>
  <c r="N338" i="2" s="1"/>
  <c r="K338" i="2"/>
  <c r="G338" i="2"/>
  <c r="O337" i="2"/>
  <c r="M337" i="2"/>
  <c r="K337" i="2"/>
  <c r="N337" i="2" s="1"/>
  <c r="G337" i="2"/>
  <c r="O336" i="2"/>
  <c r="M336" i="2"/>
  <c r="K336" i="2"/>
  <c r="N336" i="2" s="1"/>
  <c r="G336" i="2"/>
  <c r="O335" i="2"/>
  <c r="M335" i="2"/>
  <c r="K335" i="2"/>
  <c r="N335" i="2" s="1"/>
  <c r="G335" i="2"/>
  <c r="O334" i="2"/>
  <c r="N334" i="2"/>
  <c r="M334" i="2"/>
  <c r="K334" i="2"/>
  <c r="G334" i="2"/>
  <c r="O333" i="2"/>
  <c r="M333" i="2"/>
  <c r="K333" i="2"/>
  <c r="G333" i="2"/>
  <c r="O332" i="2"/>
  <c r="N332" i="2"/>
  <c r="M332" i="2"/>
  <c r="G332" i="2"/>
  <c r="O331" i="2"/>
  <c r="M331" i="2"/>
  <c r="K331" i="2"/>
  <c r="N331" i="2" s="1"/>
  <c r="G331" i="2"/>
  <c r="O330" i="2"/>
  <c r="M330" i="2"/>
  <c r="N330" i="2" s="1"/>
  <c r="G330" i="2"/>
  <c r="O329" i="2"/>
  <c r="N329" i="2"/>
  <c r="M329" i="2"/>
  <c r="K329" i="2"/>
  <c r="G329" i="2"/>
  <c r="O328" i="2"/>
  <c r="M328" i="2"/>
  <c r="K328" i="2"/>
  <c r="N328" i="2" s="1"/>
  <c r="G328" i="2"/>
  <c r="O327" i="2"/>
  <c r="N327" i="2"/>
  <c r="M327" i="2"/>
  <c r="K327" i="2"/>
  <c r="G327" i="2"/>
  <c r="O326" i="2"/>
  <c r="M326" i="2"/>
  <c r="K326" i="2"/>
  <c r="N326" i="2" s="1"/>
  <c r="G326" i="2"/>
  <c r="O325" i="2"/>
  <c r="N325" i="2"/>
  <c r="M325" i="2"/>
  <c r="K325" i="2"/>
  <c r="G325" i="2"/>
  <c r="O324" i="2"/>
  <c r="M324" i="2"/>
  <c r="K324" i="2"/>
  <c r="N324" i="2" s="1"/>
  <c r="G324" i="2"/>
  <c r="O323" i="2"/>
  <c r="N323" i="2"/>
  <c r="M323" i="2"/>
  <c r="K323" i="2"/>
  <c r="G323" i="2"/>
  <c r="O322" i="2"/>
  <c r="M322" i="2"/>
  <c r="K322" i="2"/>
  <c r="N322" i="2" s="1"/>
  <c r="G322" i="2"/>
  <c r="O321" i="2"/>
  <c r="N321" i="2"/>
  <c r="M321" i="2"/>
  <c r="K321" i="2"/>
  <c r="G321" i="2"/>
  <c r="O320" i="2"/>
  <c r="M320" i="2"/>
  <c r="K320" i="2"/>
  <c r="N320" i="2" s="1"/>
  <c r="G320" i="2"/>
  <c r="O319" i="2"/>
  <c r="N319" i="2"/>
  <c r="M319" i="2"/>
  <c r="K319" i="2"/>
  <c r="G319" i="2"/>
  <c r="O318" i="2"/>
  <c r="M318" i="2"/>
  <c r="K318" i="2"/>
  <c r="N318" i="2" s="1"/>
  <c r="G318" i="2"/>
  <c r="O317" i="2"/>
  <c r="N317" i="2"/>
  <c r="M317" i="2"/>
  <c r="K317" i="2"/>
  <c r="G317" i="2"/>
  <c r="O316" i="2"/>
  <c r="M316" i="2"/>
  <c r="K316" i="2"/>
  <c r="N316" i="2" s="1"/>
  <c r="G316" i="2"/>
  <c r="O315" i="2"/>
  <c r="N315" i="2"/>
  <c r="M315" i="2"/>
  <c r="K315" i="2"/>
  <c r="G315" i="2"/>
  <c r="O314" i="2"/>
  <c r="M314" i="2"/>
  <c r="K314" i="2"/>
  <c r="N314" i="2" s="1"/>
  <c r="G314" i="2"/>
  <c r="O313" i="2"/>
  <c r="N313" i="2"/>
  <c r="M313" i="2"/>
  <c r="K313" i="2"/>
  <c r="G313" i="2"/>
  <c r="O312" i="2"/>
  <c r="M312" i="2"/>
  <c r="K312" i="2"/>
  <c r="N312" i="2" s="1"/>
  <c r="G312" i="2"/>
  <c r="O311" i="2"/>
  <c r="N311" i="2"/>
  <c r="M311" i="2"/>
  <c r="K311" i="2"/>
  <c r="G311" i="2"/>
  <c r="O310" i="2"/>
  <c r="M310" i="2"/>
  <c r="K310" i="2"/>
  <c r="N310" i="2" s="1"/>
  <c r="G310" i="2"/>
  <c r="O309" i="2"/>
  <c r="N309" i="2"/>
  <c r="M309" i="2"/>
  <c r="K309" i="2"/>
  <c r="G309" i="2"/>
  <c r="O308" i="2"/>
  <c r="M308" i="2"/>
  <c r="K308" i="2"/>
  <c r="N308" i="2" s="1"/>
  <c r="G308" i="2"/>
  <c r="O307" i="2"/>
  <c r="N307" i="2"/>
  <c r="M307" i="2"/>
  <c r="K307" i="2"/>
  <c r="G307" i="2"/>
  <c r="O306" i="2"/>
  <c r="M306" i="2"/>
  <c r="K306" i="2"/>
  <c r="N306" i="2" s="1"/>
  <c r="G306" i="2"/>
  <c r="O305" i="2"/>
  <c r="N305" i="2"/>
  <c r="M305" i="2"/>
  <c r="K305" i="2"/>
  <c r="G305" i="2"/>
  <c r="O304" i="2"/>
  <c r="M304" i="2"/>
  <c r="K304" i="2"/>
  <c r="N304" i="2" s="1"/>
  <c r="G304" i="2"/>
  <c r="O303" i="2"/>
  <c r="N303" i="2"/>
  <c r="M303" i="2"/>
  <c r="K303" i="2"/>
  <c r="G303" i="2"/>
  <c r="O302" i="2"/>
  <c r="M302" i="2"/>
  <c r="K302" i="2"/>
  <c r="N302" i="2" s="1"/>
  <c r="G302" i="2"/>
  <c r="O301" i="2"/>
  <c r="N301" i="2"/>
  <c r="M301" i="2"/>
  <c r="K301" i="2"/>
  <c r="G301" i="2"/>
  <c r="O300" i="2"/>
  <c r="M300" i="2"/>
  <c r="K300" i="2"/>
  <c r="N300" i="2" s="1"/>
  <c r="G300" i="2"/>
  <c r="O299" i="2"/>
  <c r="N299" i="2"/>
  <c r="M299" i="2"/>
  <c r="K299" i="2"/>
  <c r="G299" i="2"/>
  <c r="O298" i="2"/>
  <c r="M298" i="2"/>
  <c r="K298" i="2"/>
  <c r="N298" i="2" s="1"/>
  <c r="G298" i="2"/>
  <c r="O297" i="2"/>
  <c r="N297" i="2"/>
  <c r="M297" i="2"/>
  <c r="K297" i="2"/>
  <c r="G297" i="2"/>
  <c r="O296" i="2"/>
  <c r="M296" i="2"/>
  <c r="K296" i="2"/>
  <c r="N296" i="2" s="1"/>
  <c r="G296" i="2"/>
  <c r="O295" i="2"/>
  <c r="N295" i="2"/>
  <c r="M295" i="2"/>
  <c r="K295" i="2"/>
  <c r="G295" i="2"/>
  <c r="O294" i="2"/>
  <c r="M294" i="2"/>
  <c r="K294" i="2"/>
  <c r="N294" i="2" s="1"/>
  <c r="G294" i="2"/>
  <c r="O293" i="2"/>
  <c r="N293" i="2"/>
  <c r="M293" i="2"/>
  <c r="K293" i="2"/>
  <c r="G293" i="2"/>
  <c r="O292" i="2"/>
  <c r="M292" i="2"/>
  <c r="K292" i="2"/>
  <c r="N292" i="2" s="1"/>
  <c r="G292" i="2"/>
  <c r="O291" i="2"/>
  <c r="N291" i="2"/>
  <c r="M291" i="2"/>
  <c r="K291" i="2"/>
  <c r="G291" i="2"/>
  <c r="O290" i="2"/>
  <c r="M290" i="2"/>
  <c r="K290" i="2"/>
  <c r="N290" i="2" s="1"/>
  <c r="G290" i="2"/>
  <c r="O289" i="2"/>
  <c r="N289" i="2"/>
  <c r="M289" i="2"/>
  <c r="K289" i="2"/>
  <c r="G289" i="2"/>
  <c r="O288" i="2"/>
  <c r="N288" i="2"/>
  <c r="M288" i="2"/>
  <c r="G288" i="2"/>
  <c r="N287" i="2"/>
  <c r="O287" i="2" s="1"/>
  <c r="M287" i="2"/>
  <c r="G287" i="2"/>
  <c r="M286" i="2"/>
  <c r="N286" i="2" s="1"/>
  <c r="O286" i="2" s="1"/>
  <c r="G286" i="2"/>
  <c r="N285" i="2"/>
  <c r="O285" i="2" s="1"/>
  <c r="M285" i="2"/>
  <c r="G285" i="2"/>
  <c r="O284" i="2"/>
  <c r="N284" i="2"/>
  <c r="M284" i="2"/>
  <c r="G284" i="2"/>
  <c r="N283" i="2"/>
  <c r="O283" i="2" s="1"/>
  <c r="M283" i="2"/>
  <c r="G283" i="2"/>
  <c r="M282" i="2"/>
  <c r="N282" i="2" s="1"/>
  <c r="O282" i="2" s="1"/>
  <c r="G282" i="2"/>
  <c r="N281" i="2"/>
  <c r="O281" i="2" s="1"/>
  <c r="M281" i="2"/>
  <c r="G281" i="2"/>
  <c r="M280" i="2"/>
  <c r="N280" i="2" s="1"/>
  <c r="O280" i="2" s="1"/>
  <c r="G280" i="2"/>
  <c r="O279" i="2"/>
  <c r="N279" i="2"/>
  <c r="M279" i="2"/>
  <c r="G279" i="2"/>
  <c r="M278" i="2"/>
  <c r="K278" i="2"/>
  <c r="G278" i="2"/>
  <c r="O277" i="2"/>
  <c r="N277" i="2"/>
  <c r="M277" i="2"/>
  <c r="G277" i="2"/>
  <c r="N276" i="2"/>
  <c r="O276" i="2" s="1"/>
  <c r="M276" i="2"/>
  <c r="G276" i="2"/>
  <c r="O275" i="2"/>
  <c r="N275" i="2"/>
  <c r="M275" i="2"/>
  <c r="G275" i="2"/>
  <c r="M274" i="2"/>
  <c r="N274" i="2" s="1"/>
  <c r="O274" i="2" s="1"/>
  <c r="G274" i="2"/>
  <c r="N273" i="2"/>
  <c r="O273" i="2" s="1"/>
  <c r="M273" i="2"/>
  <c r="G273" i="2"/>
  <c r="O272" i="2"/>
  <c r="N272" i="2"/>
  <c r="M272" i="2"/>
  <c r="G272" i="2"/>
  <c r="N271" i="2"/>
  <c r="O271" i="2" s="1"/>
  <c r="M271" i="2"/>
  <c r="K271" i="2"/>
  <c r="G271" i="2"/>
  <c r="N270" i="2"/>
  <c r="O270" i="2" s="1"/>
  <c r="M270" i="2"/>
  <c r="G270" i="2"/>
  <c r="M269" i="2"/>
  <c r="N269" i="2" s="1"/>
  <c r="O269" i="2" s="1"/>
  <c r="G269" i="2"/>
  <c r="M268" i="2"/>
  <c r="K268" i="2"/>
  <c r="N268" i="2" s="1"/>
  <c r="O268" i="2" s="1"/>
  <c r="G268" i="2"/>
  <c r="M267" i="2"/>
  <c r="K267" i="2"/>
  <c r="G267" i="2"/>
  <c r="M266" i="2"/>
  <c r="N266" i="2" s="1"/>
  <c r="O266" i="2" s="1"/>
  <c r="G266" i="2"/>
  <c r="O265" i="2"/>
  <c r="N265" i="2"/>
  <c r="M265" i="2"/>
  <c r="G265" i="2"/>
  <c r="M264" i="2"/>
  <c r="N264" i="2" s="1"/>
  <c r="O264" i="2" s="1"/>
  <c r="G264" i="2"/>
  <c r="N263" i="2"/>
  <c r="O263" i="2" s="1"/>
  <c r="M263" i="2"/>
  <c r="G263" i="2"/>
  <c r="M262" i="2"/>
  <c r="N262" i="2" s="1"/>
  <c r="O262" i="2" s="1"/>
  <c r="K262" i="2"/>
  <c r="G262" i="2"/>
  <c r="N261" i="2"/>
  <c r="O261" i="2" s="1"/>
  <c r="M261" i="2"/>
  <c r="G261" i="2"/>
  <c r="M260" i="2"/>
  <c r="N260" i="2" s="1"/>
  <c r="O260" i="2" s="1"/>
  <c r="G260" i="2"/>
  <c r="O259" i="2"/>
  <c r="N259" i="2"/>
  <c r="M259" i="2"/>
  <c r="G259" i="2"/>
  <c r="N258" i="2"/>
  <c r="O258" i="2" s="1"/>
  <c r="M258" i="2"/>
  <c r="G258" i="2"/>
  <c r="M257" i="2"/>
  <c r="N257" i="2" s="1"/>
  <c r="O257" i="2" s="1"/>
  <c r="G257" i="2"/>
  <c r="M256" i="2"/>
  <c r="K256" i="2"/>
  <c r="N256" i="2" s="1"/>
  <c r="O256" i="2" s="1"/>
  <c r="G256" i="2"/>
  <c r="N255" i="2"/>
  <c r="O255" i="2" s="1"/>
  <c r="M255" i="2"/>
  <c r="G255" i="2"/>
  <c r="O254" i="2"/>
  <c r="N254" i="2"/>
  <c r="M254" i="2"/>
  <c r="K254" i="2"/>
  <c r="G254" i="2"/>
  <c r="M253" i="2"/>
  <c r="K253" i="2"/>
  <c r="N253" i="2" s="1"/>
  <c r="O253" i="2" s="1"/>
  <c r="G253" i="2"/>
  <c r="M252" i="2"/>
  <c r="N252" i="2" s="1"/>
  <c r="O252" i="2" s="1"/>
  <c r="G252" i="2"/>
  <c r="O251" i="2"/>
  <c r="N251" i="2"/>
  <c r="M251" i="2"/>
  <c r="G251" i="2"/>
  <c r="M250" i="2"/>
  <c r="K250" i="2"/>
  <c r="N250" i="2" s="1"/>
  <c r="O250" i="2" s="1"/>
  <c r="G250" i="2"/>
  <c r="O249" i="2"/>
  <c r="N249" i="2"/>
  <c r="M249" i="2"/>
  <c r="G249" i="2"/>
  <c r="M248" i="2"/>
  <c r="N248" i="2" s="1"/>
  <c r="O248" i="2" s="1"/>
  <c r="G248" i="2"/>
  <c r="N247" i="2"/>
  <c r="O247" i="2" s="1"/>
  <c r="M247" i="2"/>
  <c r="K247" i="2"/>
  <c r="G247" i="2"/>
  <c r="M246" i="2"/>
  <c r="N246" i="2" s="1"/>
  <c r="O246" i="2" s="1"/>
  <c r="G246" i="2"/>
  <c r="M245" i="2"/>
  <c r="N245" i="2" s="1"/>
  <c r="O245" i="2" s="1"/>
  <c r="G245" i="2"/>
  <c r="O244" i="2"/>
  <c r="N244" i="2"/>
  <c r="M244" i="2"/>
  <c r="G244" i="2"/>
  <c r="N243" i="2"/>
  <c r="O243" i="2" s="1"/>
  <c r="M243" i="2"/>
  <c r="G243" i="2"/>
  <c r="M242" i="2"/>
  <c r="N242" i="2" s="1"/>
  <c r="O242" i="2" s="1"/>
  <c r="K242" i="2"/>
  <c r="G242" i="2"/>
  <c r="M241" i="2"/>
  <c r="N241" i="2" s="1"/>
  <c r="O241" i="2" s="1"/>
  <c r="K241" i="2"/>
  <c r="G241" i="2"/>
  <c r="M240" i="2"/>
  <c r="N240" i="2" s="1"/>
  <c r="O240" i="2" s="1"/>
  <c r="G240" i="2"/>
  <c r="M239" i="2"/>
  <c r="K239" i="2"/>
  <c r="N239" i="2" s="1"/>
  <c r="O239" i="2" s="1"/>
  <c r="G239" i="2"/>
  <c r="O238" i="2"/>
  <c r="M238" i="2"/>
  <c r="N238" i="2" s="1"/>
  <c r="G238" i="2"/>
  <c r="M237" i="2"/>
  <c r="N237" i="2" s="1"/>
  <c r="O237" i="2" s="1"/>
  <c r="G237" i="2"/>
  <c r="N236" i="2"/>
  <c r="O236" i="2" s="1"/>
  <c r="M236" i="2"/>
  <c r="K236" i="2"/>
  <c r="G236" i="2"/>
  <c r="O235" i="2"/>
  <c r="N235" i="2"/>
  <c r="M235" i="2"/>
  <c r="G235" i="2"/>
  <c r="M234" i="2"/>
  <c r="N234" i="2" s="1"/>
  <c r="O234" i="2" s="1"/>
  <c r="G234" i="2"/>
  <c r="O233" i="2"/>
  <c r="N233" i="2"/>
  <c r="M233" i="2"/>
  <c r="K233" i="2"/>
  <c r="G233" i="2"/>
  <c r="O232" i="2"/>
  <c r="N232" i="2"/>
  <c r="M232" i="2"/>
  <c r="G232" i="2"/>
  <c r="N231" i="2"/>
  <c r="O231" i="2" s="1"/>
  <c r="M231" i="2"/>
  <c r="G231" i="2"/>
  <c r="M230" i="2"/>
  <c r="N230" i="2" s="1"/>
  <c r="O230" i="2" s="1"/>
  <c r="G230" i="2"/>
  <c r="O229" i="2"/>
  <c r="M229" i="2"/>
  <c r="K229" i="2"/>
  <c r="N229" i="2" s="1"/>
  <c r="G229" i="2"/>
  <c r="O228" i="2"/>
  <c r="N228" i="2"/>
  <c r="M228" i="2"/>
  <c r="G228" i="2"/>
  <c r="N227" i="2"/>
  <c r="O227" i="2" s="1"/>
  <c r="M227" i="2"/>
  <c r="K227" i="2"/>
  <c r="G227" i="2"/>
  <c r="N226" i="2"/>
  <c r="O226" i="2" s="1"/>
  <c r="M226" i="2"/>
  <c r="G226" i="2"/>
  <c r="M225" i="2"/>
  <c r="N225" i="2" s="1"/>
  <c r="O225" i="2" s="1"/>
  <c r="G225" i="2"/>
  <c r="M224" i="2"/>
  <c r="N224" i="2" s="1"/>
  <c r="O224" i="2" s="1"/>
  <c r="G224" i="2"/>
  <c r="M223" i="2"/>
  <c r="N223" i="2" s="1"/>
  <c r="O223" i="2" s="1"/>
  <c r="G223" i="2"/>
  <c r="M222" i="2"/>
  <c r="N222" i="2" s="1"/>
  <c r="O222" i="2" s="1"/>
  <c r="G222" i="2"/>
  <c r="N221" i="2"/>
  <c r="O221" i="2" s="1"/>
  <c r="M221" i="2"/>
  <c r="G221" i="2"/>
  <c r="M220" i="2"/>
  <c r="N220" i="2" s="1"/>
  <c r="O220" i="2" s="1"/>
  <c r="G220" i="2"/>
  <c r="O219" i="2"/>
  <c r="M219" i="2"/>
  <c r="K219" i="2"/>
  <c r="N219" i="2" s="1"/>
  <c r="G219" i="2"/>
  <c r="N218" i="2"/>
  <c r="O218" i="2" s="1"/>
  <c r="M218" i="2"/>
  <c r="G218" i="2"/>
  <c r="M217" i="2"/>
  <c r="N217" i="2" s="1"/>
  <c r="O217" i="2" s="1"/>
  <c r="G217" i="2"/>
  <c r="O216" i="2"/>
  <c r="N216" i="2"/>
  <c r="M216" i="2"/>
  <c r="G216" i="2"/>
  <c r="M215" i="2"/>
  <c r="K215" i="2"/>
  <c r="N215" i="2" s="1"/>
  <c r="O215" i="2" s="1"/>
  <c r="G215" i="2"/>
  <c r="O214" i="2"/>
  <c r="N214" i="2"/>
  <c r="M214" i="2"/>
  <c r="K214" i="2"/>
  <c r="G214" i="2"/>
  <c r="O213" i="2"/>
  <c r="M213" i="2"/>
  <c r="N213" i="2" s="1"/>
  <c r="G213" i="2"/>
  <c r="O212" i="2"/>
  <c r="N212" i="2"/>
  <c r="M212" i="2"/>
  <c r="G212" i="2"/>
  <c r="M211" i="2"/>
  <c r="K211" i="2"/>
  <c r="N211" i="2" s="1"/>
  <c r="O211" i="2" s="1"/>
  <c r="G211" i="2"/>
  <c r="M210" i="2"/>
  <c r="N210" i="2" s="1"/>
  <c r="O210" i="2" s="1"/>
  <c r="G210" i="2"/>
  <c r="M209" i="2"/>
  <c r="N209" i="2" s="1"/>
  <c r="O209" i="2" s="1"/>
  <c r="G209" i="2"/>
  <c r="M208" i="2"/>
  <c r="N208" i="2" s="1"/>
  <c r="O208" i="2" s="1"/>
  <c r="K208" i="2"/>
  <c r="G208" i="2"/>
  <c r="O207" i="2"/>
  <c r="N207" i="2"/>
  <c r="M207" i="2"/>
  <c r="G207" i="2"/>
  <c r="M206" i="2"/>
  <c r="N206" i="2" s="1"/>
  <c r="O206" i="2" s="1"/>
  <c r="G206" i="2"/>
  <c r="N205" i="2"/>
  <c r="O205" i="2" s="1"/>
  <c r="M205" i="2"/>
  <c r="K205" i="2"/>
  <c r="G205" i="2"/>
  <c r="M204" i="2"/>
  <c r="N204" i="2" s="1"/>
  <c r="O204" i="2" s="1"/>
  <c r="G204" i="2"/>
  <c r="M203" i="2"/>
  <c r="N203" i="2" s="1"/>
  <c r="O203" i="2" s="1"/>
  <c r="G203" i="2"/>
  <c r="M202" i="2"/>
  <c r="N202" i="2" s="1"/>
  <c r="O202" i="2" s="1"/>
  <c r="G202" i="2"/>
  <c r="M201" i="2"/>
  <c r="N201" i="2" s="1"/>
  <c r="O201" i="2" s="1"/>
  <c r="G201" i="2"/>
  <c r="O200" i="2"/>
  <c r="N200" i="2"/>
  <c r="M200" i="2"/>
  <c r="G200" i="2"/>
  <c r="O199" i="2"/>
  <c r="N199" i="2"/>
  <c r="M199" i="2"/>
  <c r="G199" i="2"/>
  <c r="M198" i="2"/>
  <c r="N198" i="2" s="1"/>
  <c r="O198" i="2" s="1"/>
  <c r="K198" i="2"/>
  <c r="G198" i="2"/>
  <c r="M197" i="2"/>
  <c r="N197" i="2" s="1"/>
  <c r="O197" i="2" s="1"/>
  <c r="K197" i="2"/>
  <c r="G197" i="2"/>
  <c r="M196" i="2"/>
  <c r="N196" i="2" s="1"/>
  <c r="O196" i="2" s="1"/>
  <c r="G196" i="2"/>
  <c r="M195" i="2"/>
  <c r="K195" i="2"/>
  <c r="N195" i="2" s="1"/>
  <c r="O195" i="2" s="1"/>
  <c r="G195" i="2"/>
  <c r="O194" i="2"/>
  <c r="N194" i="2"/>
  <c r="M194" i="2"/>
  <c r="G194" i="2"/>
  <c r="O193" i="2"/>
  <c r="N193" i="2"/>
  <c r="M193" i="2"/>
  <c r="G193" i="2"/>
  <c r="M192" i="2"/>
  <c r="N192" i="2" s="1"/>
  <c r="O192" i="2" s="1"/>
  <c r="G192" i="2"/>
  <c r="M191" i="2"/>
  <c r="N191" i="2" s="1"/>
  <c r="O191" i="2" s="1"/>
  <c r="G191" i="2"/>
  <c r="N190" i="2"/>
  <c r="O190" i="2" s="1"/>
  <c r="M190" i="2"/>
  <c r="K190" i="2"/>
  <c r="G190" i="2"/>
  <c r="O189" i="2"/>
  <c r="N189" i="2"/>
  <c r="M189" i="2"/>
  <c r="G189" i="2"/>
  <c r="M188" i="2"/>
  <c r="N188" i="2" s="1"/>
  <c r="O188" i="2" s="1"/>
  <c r="G188" i="2"/>
  <c r="M187" i="2"/>
  <c r="K187" i="2"/>
  <c r="G187" i="2"/>
  <c r="O186" i="2"/>
  <c r="N186" i="2"/>
  <c r="M186" i="2"/>
  <c r="G186" i="2"/>
  <c r="N185" i="2"/>
  <c r="O185" i="2" s="1"/>
  <c r="M185" i="2"/>
  <c r="G185" i="2"/>
  <c r="O184" i="2"/>
  <c r="N184" i="2"/>
  <c r="M184" i="2"/>
  <c r="G184" i="2"/>
  <c r="N183" i="2"/>
  <c r="O183" i="2" s="1"/>
  <c r="M183" i="2"/>
  <c r="G183" i="2"/>
  <c r="M182" i="2"/>
  <c r="N182" i="2" s="1"/>
  <c r="O182" i="2" s="1"/>
  <c r="G182" i="2"/>
  <c r="O181" i="2"/>
  <c r="M181" i="2"/>
  <c r="K181" i="2"/>
  <c r="N181" i="2" s="1"/>
  <c r="G181" i="2"/>
  <c r="M180" i="2"/>
  <c r="N180" i="2" s="1"/>
  <c r="O180" i="2" s="1"/>
  <c r="K180" i="2"/>
  <c r="G180" i="2"/>
  <c r="O179" i="2"/>
  <c r="N179" i="2"/>
  <c r="M179" i="2"/>
  <c r="G179" i="2"/>
  <c r="N178" i="2"/>
  <c r="O178" i="2" s="1"/>
  <c r="M178" i="2"/>
  <c r="G178" i="2"/>
  <c r="M177" i="2"/>
  <c r="N177" i="2" s="1"/>
  <c r="O177" i="2" s="1"/>
  <c r="K177" i="2"/>
  <c r="G177" i="2"/>
  <c r="M176" i="2"/>
  <c r="N176" i="2" s="1"/>
  <c r="O176" i="2" s="1"/>
  <c r="G176" i="2"/>
  <c r="O175" i="2"/>
  <c r="M175" i="2"/>
  <c r="N175" i="2" s="1"/>
  <c r="G175" i="2"/>
  <c r="M174" i="2"/>
  <c r="N174" i="2" s="1"/>
  <c r="O174" i="2" s="1"/>
  <c r="G174" i="2"/>
  <c r="N173" i="2"/>
  <c r="O173" i="2" s="1"/>
  <c r="M173" i="2"/>
  <c r="G173" i="2"/>
  <c r="O172" i="2"/>
  <c r="N172" i="2"/>
  <c r="M172" i="2"/>
  <c r="G172" i="2"/>
  <c r="O171" i="2"/>
  <c r="N171" i="2"/>
  <c r="M171" i="2"/>
  <c r="G171" i="2"/>
  <c r="M170" i="2"/>
  <c r="N170" i="2" s="1"/>
  <c r="O170" i="2" s="1"/>
  <c r="G170" i="2"/>
  <c r="M169" i="2"/>
  <c r="N169" i="2" s="1"/>
  <c r="O169" i="2" s="1"/>
  <c r="G169" i="2"/>
  <c r="O168" i="2"/>
  <c r="N168" i="2"/>
  <c r="M168" i="2"/>
  <c r="G168" i="2"/>
  <c r="O167" i="2"/>
  <c r="N167" i="2"/>
  <c r="M167" i="2"/>
  <c r="K167" i="2"/>
  <c r="G167" i="2"/>
  <c r="N166" i="2"/>
  <c r="O166" i="2" s="1"/>
  <c r="M166" i="2"/>
  <c r="G166" i="2"/>
  <c r="O165" i="2"/>
  <c r="N165" i="2"/>
  <c r="M165" i="2"/>
  <c r="G165" i="2"/>
  <c r="M164" i="2"/>
  <c r="N164" i="2" s="1"/>
  <c r="O164" i="2" s="1"/>
  <c r="G164" i="2"/>
  <c r="O163" i="2"/>
  <c r="N163" i="2"/>
  <c r="M163" i="2"/>
  <c r="G163" i="2"/>
  <c r="O162" i="2"/>
  <c r="N162" i="2"/>
  <c r="M162" i="2"/>
  <c r="G162" i="2"/>
  <c r="N161" i="2"/>
  <c r="O161" i="2" s="1"/>
  <c r="M161" i="2"/>
  <c r="G161" i="2"/>
  <c r="M160" i="2"/>
  <c r="N160" i="2" s="1"/>
  <c r="O160" i="2" s="1"/>
  <c r="G160" i="2"/>
  <c r="N159" i="2"/>
  <c r="O159" i="2" s="1"/>
  <c r="M159" i="2"/>
  <c r="G159" i="2"/>
  <c r="N158" i="2"/>
  <c r="O158" i="2" s="1"/>
  <c r="M158" i="2"/>
  <c r="G158" i="2"/>
  <c r="O157" i="2"/>
  <c r="N157" i="2"/>
  <c r="M157" i="2"/>
  <c r="G157" i="2"/>
  <c r="M156" i="2"/>
  <c r="N156" i="2" s="1"/>
  <c r="O156" i="2" s="1"/>
  <c r="G156" i="2"/>
  <c r="M155" i="2"/>
  <c r="N155" i="2" s="1"/>
  <c r="O155" i="2" s="1"/>
  <c r="G155" i="2"/>
  <c r="M154" i="2"/>
  <c r="N154" i="2" s="1"/>
  <c r="O154" i="2" s="1"/>
  <c r="G154" i="2"/>
  <c r="O153" i="2"/>
  <c r="N153" i="2"/>
  <c r="M153" i="2"/>
  <c r="G153" i="2"/>
  <c r="O152" i="2"/>
  <c r="N152" i="2"/>
  <c r="M152" i="2"/>
  <c r="G152" i="2"/>
  <c r="M151" i="2"/>
  <c r="K151" i="2"/>
  <c r="N151" i="2" s="1"/>
  <c r="O151" i="2" s="1"/>
  <c r="G151" i="2"/>
  <c r="O150" i="2"/>
  <c r="N150" i="2"/>
  <c r="M150" i="2"/>
  <c r="G150" i="2"/>
  <c r="N149" i="2"/>
  <c r="O149" i="2" s="1"/>
  <c r="M149" i="2"/>
  <c r="G149" i="2"/>
  <c r="O148" i="2"/>
  <c r="N148" i="2"/>
  <c r="M148" i="2"/>
  <c r="K148" i="2"/>
  <c r="G148" i="2"/>
  <c r="N147" i="2"/>
  <c r="O147" i="2" s="1"/>
  <c r="M147" i="2"/>
  <c r="G147" i="2"/>
  <c r="M146" i="2"/>
  <c r="K146" i="2"/>
  <c r="N146" i="2" s="1"/>
  <c r="O146" i="2" s="1"/>
  <c r="G146" i="2"/>
  <c r="M145" i="2"/>
  <c r="K145" i="2"/>
  <c r="N145" i="2" s="1"/>
  <c r="O145" i="2" s="1"/>
  <c r="G145" i="2"/>
  <c r="M144" i="2"/>
  <c r="K144" i="2"/>
  <c r="N144" i="2" s="1"/>
  <c r="O144" i="2" s="1"/>
  <c r="G144" i="2"/>
  <c r="M143" i="2"/>
  <c r="K143" i="2"/>
  <c r="G143" i="2"/>
  <c r="M142" i="2"/>
  <c r="N142" i="2" s="1"/>
  <c r="O142" i="2" s="1"/>
  <c r="G142" i="2"/>
  <c r="O141" i="2"/>
  <c r="N141" i="2"/>
  <c r="M141" i="2"/>
  <c r="G141" i="2"/>
  <c r="M140" i="2"/>
  <c r="N140" i="2" s="1"/>
  <c r="O140" i="2" s="1"/>
  <c r="G140" i="2"/>
  <c r="N139" i="2"/>
  <c r="O139" i="2" s="1"/>
  <c r="M139" i="2"/>
  <c r="G139" i="2"/>
  <c r="M138" i="2"/>
  <c r="N138" i="2" s="1"/>
  <c r="O138" i="2" s="1"/>
  <c r="G138" i="2"/>
  <c r="N137" i="2"/>
  <c r="O137" i="2" s="1"/>
  <c r="M137" i="2"/>
  <c r="G137" i="2"/>
  <c r="O136" i="2"/>
  <c r="N136" i="2"/>
  <c r="M136" i="2"/>
  <c r="G136" i="2"/>
  <c r="O135" i="2"/>
  <c r="N135" i="2"/>
  <c r="M135" i="2"/>
  <c r="G135" i="2"/>
  <c r="M134" i="2"/>
  <c r="N134" i="2" s="1"/>
  <c r="O134" i="2" s="1"/>
  <c r="G134" i="2"/>
  <c r="N133" i="2"/>
  <c r="O133" i="2" s="1"/>
  <c r="M133" i="2"/>
  <c r="G133" i="2"/>
  <c r="M132" i="2"/>
  <c r="N132" i="2" s="1"/>
  <c r="O132" i="2" s="1"/>
  <c r="G132" i="2"/>
  <c r="O131" i="2"/>
  <c r="N131" i="2"/>
  <c r="M131" i="2"/>
  <c r="G131" i="2"/>
  <c r="N130" i="2"/>
  <c r="O130" i="2" s="1"/>
  <c r="M130" i="2"/>
  <c r="G130" i="2"/>
  <c r="M129" i="2"/>
  <c r="N129" i="2" s="1"/>
  <c r="O129" i="2" s="1"/>
  <c r="K129" i="2"/>
  <c r="G129" i="2"/>
  <c r="M128" i="2"/>
  <c r="N128" i="2" s="1"/>
  <c r="O128" i="2" s="1"/>
  <c r="K128" i="2"/>
  <c r="G128" i="2"/>
  <c r="M127" i="2"/>
  <c r="N127" i="2" s="1"/>
  <c r="O127" i="2" s="1"/>
  <c r="G127" i="2"/>
  <c r="M126" i="2"/>
  <c r="N126" i="2" s="1"/>
  <c r="O126" i="2" s="1"/>
  <c r="G126" i="2"/>
  <c r="O125" i="2"/>
  <c r="N125" i="2"/>
  <c r="M125" i="2"/>
  <c r="G125" i="2"/>
  <c r="O124" i="2"/>
  <c r="N124" i="2"/>
  <c r="M124" i="2"/>
  <c r="G124" i="2"/>
  <c r="M123" i="2"/>
  <c r="N123" i="2" s="1"/>
  <c r="O123" i="2" s="1"/>
  <c r="G123" i="2"/>
  <c r="M122" i="2"/>
  <c r="N122" i="2" s="1"/>
  <c r="O122" i="2" s="1"/>
  <c r="G122" i="2"/>
  <c r="N121" i="2"/>
  <c r="O121" i="2" s="1"/>
  <c r="M121" i="2"/>
  <c r="G121" i="2"/>
  <c r="N120" i="2"/>
  <c r="O120" i="2" s="1"/>
  <c r="M120" i="2"/>
  <c r="G120" i="2"/>
  <c r="O119" i="2"/>
  <c r="N119" i="2"/>
  <c r="M119" i="2"/>
  <c r="G119" i="2"/>
  <c r="N118" i="2"/>
  <c r="O118" i="2" s="1"/>
  <c r="M118" i="2"/>
  <c r="G118" i="2"/>
  <c r="M117" i="2"/>
  <c r="N117" i="2" s="1"/>
  <c r="O117" i="2" s="1"/>
  <c r="G117" i="2"/>
  <c r="N116" i="2"/>
  <c r="O116" i="2" s="1"/>
  <c r="M116" i="2"/>
  <c r="G116" i="2"/>
  <c r="M115" i="2"/>
  <c r="N115" i="2" s="1"/>
  <c r="O115" i="2" s="1"/>
  <c r="G115" i="2"/>
  <c r="O114" i="2"/>
  <c r="N114" i="2"/>
  <c r="M114" i="2"/>
  <c r="G114" i="2"/>
  <c r="M113" i="2"/>
  <c r="N113" i="2" s="1"/>
  <c r="O113" i="2" s="1"/>
  <c r="G113" i="2"/>
  <c r="O112" i="2"/>
  <c r="N112" i="2"/>
  <c r="M112" i="2"/>
  <c r="G112" i="2"/>
  <c r="M111" i="2"/>
  <c r="N111" i="2" s="1"/>
  <c r="O111" i="2" s="1"/>
  <c r="G111" i="2"/>
  <c r="M110" i="2"/>
  <c r="K110" i="2"/>
  <c r="N110" i="2" s="1"/>
  <c r="O110" i="2" s="1"/>
  <c r="G110" i="2"/>
  <c r="M109" i="2"/>
  <c r="N109" i="2" s="1"/>
  <c r="O109" i="2" s="1"/>
  <c r="G109" i="2"/>
  <c r="M108" i="2"/>
  <c r="N108" i="2" s="1"/>
  <c r="O108" i="2" s="1"/>
  <c r="G108" i="2"/>
  <c r="N107" i="2"/>
  <c r="O107" i="2" s="1"/>
  <c r="M107" i="2"/>
  <c r="G107" i="2"/>
  <c r="N106" i="2"/>
  <c r="O106" i="2" s="1"/>
  <c r="M106" i="2"/>
  <c r="G106" i="2"/>
  <c r="M105" i="2"/>
  <c r="N105" i="2" s="1"/>
  <c r="O105" i="2" s="1"/>
  <c r="G105" i="2"/>
  <c r="M104" i="2"/>
  <c r="N104" i="2" s="1"/>
  <c r="O104" i="2" s="1"/>
  <c r="G104" i="2"/>
  <c r="M103" i="2"/>
  <c r="K103" i="2"/>
  <c r="N103" i="2" s="1"/>
  <c r="O103" i="2" s="1"/>
  <c r="G103" i="2"/>
  <c r="M102" i="2"/>
  <c r="K102" i="2"/>
  <c r="N102" i="2" s="1"/>
  <c r="O102" i="2" s="1"/>
  <c r="G102" i="2"/>
  <c r="M101" i="2"/>
  <c r="N101" i="2" s="1"/>
  <c r="O101" i="2" s="1"/>
  <c r="G101" i="2"/>
  <c r="N100" i="2"/>
  <c r="O100" i="2" s="1"/>
  <c r="M100" i="2"/>
  <c r="G100" i="2"/>
  <c r="O99" i="2"/>
  <c r="N99" i="2"/>
  <c r="M99" i="2"/>
  <c r="G99" i="2"/>
  <c r="M98" i="2"/>
  <c r="N98" i="2" s="1"/>
  <c r="O98" i="2" s="1"/>
  <c r="G98" i="2"/>
  <c r="M97" i="2"/>
  <c r="N97" i="2" s="1"/>
  <c r="O97" i="2" s="1"/>
  <c r="G97" i="2"/>
  <c r="O96" i="2"/>
  <c r="N96" i="2"/>
  <c r="M96" i="2"/>
  <c r="G96" i="2"/>
  <c r="O95" i="2"/>
  <c r="N95" i="2"/>
  <c r="M95" i="2"/>
  <c r="G95" i="2"/>
  <c r="M94" i="2"/>
  <c r="N94" i="2" s="1"/>
  <c r="O94" i="2" s="1"/>
  <c r="K94" i="2"/>
  <c r="G94" i="2"/>
  <c r="M93" i="2"/>
  <c r="N93" i="2" s="1"/>
  <c r="O93" i="2" s="1"/>
  <c r="G93" i="2"/>
  <c r="N92" i="2"/>
  <c r="O92" i="2" s="1"/>
  <c r="M92" i="2"/>
  <c r="G92" i="2"/>
  <c r="N91" i="2"/>
  <c r="O91" i="2" s="1"/>
  <c r="M91" i="2"/>
  <c r="G91" i="2"/>
  <c r="O90" i="2"/>
  <c r="N90" i="2"/>
  <c r="M90" i="2"/>
  <c r="G90" i="2"/>
  <c r="M89" i="2"/>
  <c r="N89" i="2" s="1"/>
  <c r="O89" i="2" s="1"/>
  <c r="G89" i="2"/>
  <c r="M88" i="2"/>
  <c r="N88" i="2" s="1"/>
  <c r="O88" i="2" s="1"/>
  <c r="K88" i="2"/>
  <c r="G88" i="2"/>
  <c r="M87" i="2"/>
  <c r="N87" i="2" s="1"/>
  <c r="O87" i="2" s="1"/>
  <c r="G87" i="2"/>
  <c r="O86" i="2"/>
  <c r="N86" i="2"/>
  <c r="M86" i="2"/>
  <c r="G86" i="2"/>
  <c r="M85" i="2"/>
  <c r="N85" i="2" s="1"/>
  <c r="O85" i="2" s="1"/>
  <c r="G85" i="2"/>
  <c r="M84" i="2"/>
  <c r="N84" i="2" s="1"/>
  <c r="O84" i="2" s="1"/>
  <c r="G84" i="2"/>
  <c r="O83" i="2"/>
  <c r="N83" i="2"/>
  <c r="M83" i="2"/>
  <c r="G83" i="2"/>
  <c r="N82" i="2"/>
  <c r="O82" i="2" s="1"/>
  <c r="M82" i="2"/>
  <c r="G82" i="2"/>
  <c r="M81" i="2"/>
  <c r="N81" i="2" s="1"/>
  <c r="O81" i="2" s="1"/>
  <c r="G81" i="2"/>
  <c r="M80" i="2"/>
  <c r="N80" i="2" s="1"/>
  <c r="O80" i="2" s="1"/>
  <c r="G80" i="2"/>
  <c r="N79" i="2"/>
  <c r="O79" i="2" s="1"/>
  <c r="M79" i="2"/>
  <c r="G79" i="2"/>
  <c r="N78" i="2"/>
  <c r="O78" i="2" s="1"/>
  <c r="M78" i="2"/>
  <c r="G78" i="2"/>
  <c r="M77" i="2"/>
  <c r="N77" i="2" s="1"/>
  <c r="O77" i="2" s="1"/>
  <c r="G77" i="2"/>
  <c r="O76" i="2"/>
  <c r="M76" i="2"/>
  <c r="N76" i="2" s="1"/>
  <c r="G76" i="2"/>
  <c r="M75" i="2"/>
  <c r="K75" i="2"/>
  <c r="G75" i="2"/>
  <c r="M74" i="2"/>
  <c r="N74" i="2" s="1"/>
  <c r="O74" i="2" s="1"/>
  <c r="G74" i="2"/>
  <c r="O73" i="2"/>
  <c r="N73" i="2"/>
  <c r="M73" i="2"/>
  <c r="G73" i="2"/>
  <c r="M72" i="2"/>
  <c r="N72" i="2" s="1"/>
  <c r="O72" i="2" s="1"/>
  <c r="G72" i="2"/>
  <c r="N71" i="2"/>
  <c r="O71" i="2" s="1"/>
  <c r="M71" i="2"/>
  <c r="G71" i="2"/>
  <c r="N70" i="2"/>
  <c r="O70" i="2" s="1"/>
  <c r="M70" i="2"/>
  <c r="G70" i="2"/>
  <c r="M69" i="2"/>
  <c r="N69" i="2" s="1"/>
  <c r="O69" i="2" s="1"/>
  <c r="G69" i="2"/>
  <c r="O68" i="2"/>
  <c r="N68" i="2"/>
  <c r="M68" i="2"/>
  <c r="G68" i="2"/>
  <c r="O67" i="2"/>
  <c r="N67" i="2"/>
  <c r="M67" i="2"/>
  <c r="G67" i="2"/>
  <c r="N66" i="2"/>
  <c r="O66" i="2" s="1"/>
  <c r="M66" i="2"/>
  <c r="G66" i="2"/>
  <c r="M65" i="2"/>
  <c r="K65" i="2"/>
  <c r="N65" i="2" s="1"/>
  <c r="O65" i="2" s="1"/>
  <c r="G65" i="2"/>
  <c r="M64" i="2"/>
  <c r="N64" i="2" s="1"/>
  <c r="O64" i="2" s="1"/>
  <c r="G64" i="2"/>
  <c r="M63" i="2"/>
  <c r="N63" i="2" s="1"/>
  <c r="O63" i="2" s="1"/>
  <c r="G63" i="2"/>
  <c r="M62" i="2"/>
  <c r="N62" i="2" s="1"/>
  <c r="O62" i="2" s="1"/>
  <c r="G62" i="2"/>
  <c r="N61" i="2"/>
  <c r="O61" i="2" s="1"/>
  <c r="M61" i="2"/>
  <c r="G61" i="2"/>
  <c r="M60" i="2"/>
  <c r="N60" i="2" s="1"/>
  <c r="O60" i="2" s="1"/>
  <c r="G60" i="2"/>
  <c r="O59" i="2"/>
  <c r="N59" i="2"/>
  <c r="M59" i="2"/>
  <c r="G59" i="2"/>
  <c r="M58" i="2"/>
  <c r="N58" i="2" s="1"/>
  <c r="O58" i="2" s="1"/>
  <c r="G58" i="2"/>
  <c r="M57" i="2"/>
  <c r="N57" i="2" s="1"/>
  <c r="O57" i="2" s="1"/>
  <c r="G57" i="2"/>
  <c r="O56" i="2"/>
  <c r="N56" i="2"/>
  <c r="M56" i="2"/>
  <c r="G56" i="2"/>
  <c r="O55" i="2"/>
  <c r="N55" i="2"/>
  <c r="M55" i="2"/>
  <c r="G55" i="2"/>
  <c r="N54" i="2"/>
  <c r="O54" i="2" s="1"/>
  <c r="M54" i="2"/>
  <c r="G54" i="2"/>
  <c r="M53" i="2"/>
  <c r="N53" i="2" s="1"/>
  <c r="O53" i="2" s="1"/>
  <c r="G53" i="2"/>
  <c r="O52" i="2"/>
  <c r="N52" i="2"/>
  <c r="M52" i="2"/>
  <c r="G52" i="2"/>
  <c r="N51" i="2"/>
  <c r="O51" i="2" s="1"/>
  <c r="M51" i="2"/>
  <c r="G51" i="2"/>
  <c r="M50" i="2"/>
  <c r="K50" i="2"/>
  <c r="N50" i="2" s="1"/>
  <c r="O50" i="2" s="1"/>
  <c r="G50" i="2"/>
  <c r="M49" i="2"/>
  <c r="N49" i="2" s="1"/>
  <c r="O49" i="2" s="1"/>
  <c r="K49" i="2"/>
  <c r="G49" i="2"/>
  <c r="M48" i="2"/>
  <c r="N48" i="2" s="1"/>
  <c r="O48" i="2" s="1"/>
  <c r="G48" i="2"/>
  <c r="M47" i="2"/>
  <c r="N47" i="2" s="1"/>
  <c r="O47" i="2" s="1"/>
  <c r="G47" i="2"/>
  <c r="M46" i="2"/>
  <c r="K46" i="2"/>
  <c r="G46" i="2"/>
  <c r="M45" i="2"/>
  <c r="N45" i="2" s="1"/>
  <c r="O45" i="2" s="1"/>
  <c r="G45" i="2"/>
  <c r="O44" i="2"/>
  <c r="N44" i="2"/>
  <c r="M44" i="2"/>
  <c r="G44" i="2"/>
  <c r="M43" i="2"/>
  <c r="N43" i="2" s="1"/>
  <c r="O43" i="2" s="1"/>
  <c r="G43" i="2"/>
  <c r="O42" i="2"/>
  <c r="N42" i="2"/>
  <c r="M42" i="2"/>
  <c r="G42" i="2"/>
  <c r="M41" i="2"/>
  <c r="N41" i="2" s="1"/>
  <c r="O41" i="2" s="1"/>
  <c r="G41" i="2"/>
  <c r="M40" i="2"/>
  <c r="N40" i="2" s="1"/>
  <c r="O40" i="2" s="1"/>
  <c r="G40" i="2"/>
  <c r="O39" i="2"/>
  <c r="N39" i="2"/>
  <c r="M39" i="2"/>
  <c r="G39" i="2"/>
  <c r="O38" i="2"/>
  <c r="N38" i="2"/>
  <c r="M38" i="2"/>
  <c r="G38" i="2"/>
  <c r="M37" i="2"/>
  <c r="N37" i="2" s="1"/>
  <c r="O37" i="2" s="1"/>
  <c r="G37" i="2"/>
  <c r="M36" i="2"/>
  <c r="N36" i="2" s="1"/>
  <c r="O36" i="2" s="1"/>
  <c r="G36" i="2"/>
  <c r="M35" i="2"/>
  <c r="N35" i="2" s="1"/>
  <c r="O35" i="2" s="1"/>
  <c r="G35" i="2"/>
  <c r="O34" i="2"/>
  <c r="N34" i="2"/>
  <c r="M34" i="2"/>
  <c r="G34" i="2"/>
  <c r="N33" i="2"/>
  <c r="O33" i="2" s="1"/>
  <c r="M33" i="2"/>
  <c r="G33" i="2"/>
  <c r="O32" i="2"/>
  <c r="N32" i="2"/>
  <c r="M32" i="2"/>
  <c r="G32" i="2"/>
  <c r="M31" i="2"/>
  <c r="N31" i="2" s="1"/>
  <c r="O31" i="2" s="1"/>
  <c r="G31" i="2"/>
  <c r="O30" i="2"/>
  <c r="N30" i="2"/>
  <c r="M30" i="2"/>
  <c r="G30" i="2"/>
  <c r="O29" i="2"/>
  <c r="M29" i="2"/>
  <c r="K29" i="2"/>
  <c r="N29" i="2" s="1"/>
  <c r="G29" i="2"/>
  <c r="N28" i="2"/>
  <c r="O28" i="2" s="1"/>
  <c r="M28" i="2"/>
  <c r="G28" i="2"/>
  <c r="N27" i="2"/>
  <c r="O27" i="2" s="1"/>
  <c r="M27" i="2"/>
  <c r="G27" i="2"/>
  <c r="O26" i="2"/>
  <c r="M26" i="2"/>
  <c r="N26" i="2" s="1"/>
  <c r="G26" i="2"/>
  <c r="O25" i="2"/>
  <c r="N25" i="2"/>
  <c r="M25" i="2"/>
  <c r="G25" i="2"/>
  <c r="M24" i="2"/>
  <c r="N24" i="2" s="1"/>
  <c r="O24" i="2" s="1"/>
  <c r="G24" i="2"/>
  <c r="M23" i="2"/>
  <c r="K23" i="2"/>
  <c r="G23" i="2"/>
  <c r="O22" i="2"/>
  <c r="N22" i="2"/>
  <c r="M22" i="2"/>
  <c r="G22" i="2"/>
  <c r="N21" i="2"/>
  <c r="O21" i="2" s="1"/>
  <c r="M21" i="2"/>
  <c r="G21" i="2"/>
  <c r="N20" i="2"/>
  <c r="O20" i="2" s="1"/>
  <c r="M20" i="2"/>
  <c r="G20" i="2"/>
  <c r="M19" i="2"/>
  <c r="K19" i="2"/>
  <c r="N19" i="2" s="1"/>
  <c r="O19" i="2" s="1"/>
  <c r="G19" i="2"/>
  <c r="N18" i="2"/>
  <c r="O18" i="2" s="1"/>
  <c r="M18" i="2"/>
  <c r="G18" i="2"/>
  <c r="M17" i="2"/>
  <c r="N17" i="2" s="1"/>
  <c r="O17" i="2" s="1"/>
  <c r="G17" i="2"/>
  <c r="M16" i="2"/>
  <c r="N16" i="2" s="1"/>
  <c r="O16" i="2" s="1"/>
  <c r="G16" i="2"/>
  <c r="N15" i="2"/>
  <c r="O15" i="2" s="1"/>
  <c r="M15" i="2"/>
  <c r="G15" i="2"/>
  <c r="M14" i="2"/>
  <c r="K14" i="2"/>
  <c r="G14" i="2"/>
  <c r="O13" i="2"/>
  <c r="M13" i="2"/>
  <c r="N13" i="2" s="1"/>
  <c r="G13" i="2"/>
  <c r="N12" i="2"/>
  <c r="O12" i="2" s="1"/>
  <c r="M12" i="2"/>
  <c r="G12" i="2"/>
  <c r="M11" i="2"/>
  <c r="N11" i="2" s="1"/>
  <c r="O11" i="2" s="1"/>
  <c r="G11" i="2"/>
  <c r="N10" i="2"/>
  <c r="O10" i="2" s="1"/>
  <c r="M10" i="2"/>
  <c r="G10" i="2"/>
  <c r="M9" i="2"/>
  <c r="N9" i="2" s="1"/>
  <c r="O9" i="2" s="1"/>
  <c r="G9" i="2"/>
  <c r="O8" i="2"/>
  <c r="N8" i="2"/>
  <c r="M8" i="2"/>
  <c r="G8" i="2"/>
  <c r="N187" i="2" l="1"/>
  <c r="O187" i="2" s="1"/>
  <c r="N278" i="2"/>
  <c r="O278" i="2" s="1"/>
  <c r="N339" i="2"/>
  <c r="N367" i="2"/>
  <c r="N386" i="2"/>
  <c r="N391" i="2"/>
  <c r="N396" i="2"/>
  <c r="N401" i="2"/>
  <c r="N614" i="2"/>
  <c r="N654" i="2"/>
  <c r="N361" i="2"/>
  <c r="N594" i="2"/>
  <c r="N634" i="2"/>
  <c r="K670" i="2"/>
  <c r="N14" i="2"/>
  <c r="O14" i="2" s="1"/>
  <c r="N8" i="1"/>
  <c r="M349" i="1"/>
  <c r="N23" i="2"/>
  <c r="O23" i="2" s="1"/>
  <c r="N341" i="2"/>
  <c r="N376" i="2"/>
  <c r="N581" i="2"/>
  <c r="N621" i="2"/>
  <c r="N661" i="2"/>
  <c r="M670" i="2"/>
  <c r="R674" i="2" s="1"/>
  <c r="R675" i="2" s="1"/>
  <c r="R676" i="2" s="1"/>
  <c r="N343" i="2"/>
  <c r="N363" i="2"/>
  <c r="N576" i="2"/>
  <c r="N596" i="2"/>
  <c r="N616" i="2"/>
  <c r="N636" i="2"/>
  <c r="N656" i="2"/>
  <c r="N333" i="2"/>
  <c r="N353" i="2"/>
  <c r="N373" i="2"/>
  <c r="N382" i="2"/>
  <c r="N387" i="2"/>
  <c r="N392" i="2"/>
  <c r="N397" i="2"/>
  <c r="N402" i="2"/>
  <c r="N586" i="2"/>
  <c r="N606" i="2"/>
  <c r="N626" i="2"/>
  <c r="N646" i="2"/>
  <c r="N666" i="2"/>
  <c r="N46" i="2"/>
  <c r="O46" i="2" s="1"/>
  <c r="N75" i="2"/>
  <c r="O75" i="2" s="1"/>
  <c r="N143" i="2"/>
  <c r="O143" i="2" s="1"/>
  <c r="N267" i="2"/>
  <c r="O267" i="2" s="1"/>
  <c r="N351" i="2"/>
  <c r="N371" i="2"/>
  <c r="N380" i="2"/>
  <c r="N584" i="2"/>
  <c r="N604" i="2"/>
  <c r="N624" i="2"/>
  <c r="N644" i="2"/>
  <c r="N664" i="2"/>
  <c r="N383" i="2"/>
  <c r="N388" i="2"/>
  <c r="N393" i="2"/>
  <c r="N398" i="2"/>
  <c r="N403" i="2"/>
  <c r="O673" i="2"/>
  <c r="O678" i="2"/>
  <c r="O679" i="2" s="1"/>
  <c r="N384" i="2"/>
  <c r="N389" i="2"/>
  <c r="N394" i="2"/>
  <c r="N399" i="2"/>
  <c r="N404" i="2"/>
  <c r="O8" i="1" l="1"/>
  <c r="N349" i="1"/>
  <c r="N670" i="2"/>
  <c r="N681" i="2" l="1"/>
  <c r="N682" i="2" s="1"/>
  <c r="O670" i="2"/>
  <c r="N360" i="1"/>
  <c r="N361" i="1" s="1"/>
  <c r="O349" i="1"/>
</calcChain>
</file>

<file path=xl/sharedStrings.xml><?xml version="1.0" encoding="utf-8"?>
<sst xmlns="http://schemas.openxmlformats.org/spreadsheetml/2006/main" count="3418" uniqueCount="1954">
  <si>
    <t>※この情報は店舗様およびAmazonでの重要な情報となります。データの取扱には十分にご注意ください。</t>
  </si>
  <si>
    <t>ASIN別売上(ビジネスレポート)</t>
  </si>
  <si>
    <t>表示期間</t>
  </si>
  <si>
    <t>8月</t>
  </si>
  <si>
    <t>出典</t>
  </si>
  <si>
    <t>BusinessReport-08-09-26.csv</t>
  </si>
  <si>
    <t>販売手数料</t>
  </si>
  <si>
    <t>実額(トランザクションレポートより)。未マッチSKUのみ暫定15%</t>
  </si>
  <si>
    <t>商品名</t>
  </si>
  <si>
    <t>SKU</t>
  </si>
  <si>
    <t>ASIN</t>
  </si>
  <si>
    <t>親ASIN</t>
  </si>
  <si>
    <t>セッション数</t>
  </si>
  <si>
    <t>ユニットセッション率</t>
  </si>
  <si>
    <t>平均単価</t>
  </si>
  <si>
    <t>売上個数</t>
  </si>
  <si>
    <t>売上</t>
  </si>
  <si>
    <t>売上件数</t>
  </si>
  <si>
    <t>仕入値</t>
  </si>
  <si>
    <t>仕入値合計</t>
  </si>
  <si>
    <t>利益(粗利)</t>
  </si>
  <si>
    <t>利益率（粗利率）</t>
  </si>
  <si>
    <t>チャオ ちゅーる 1歳までの子ねこ用バラエティ 3種アソート 40本 （オリジナルおしぼりセット）猫用 キャットフード</t>
  </si>
  <si>
    <t>B0DPFPJ7XD</t>
  </si>
  <si>
    <t>フィリップス 電動歯ブラシ ソニッケアー ダイヤモンドクリーン9000 ワンランク上の白さへ</t>
  </si>
  <si>
    <t>B0D28N991R</t>
  </si>
  <si>
    <t>【セット品】アイスノン シャツミスト ICE KING 本体300ml＋詰替280ml セット 白元アース 冷感スプレー 衣類用 消臭 除菌 瞬間冷却 暑さ対策 熱中症対策 通勤 通学 スポーツ 作業着 アウトドア 大容量セット</t>
  </si>
  <si>
    <t>B0H7437XRV</t>
  </si>
  <si>
    <t>【まとめ買い】ロッシモイストエイド 馬油ナチュラルミルクローション 485ml×4個 オリジナルスパウトパウチ付き 大容量 ボディミルク 保湿 乾燥肌 全身用 家族用 ポンプタイプ スキンケア (4)</t>
  </si>
  <si>
    <t>B0H2W8TN9T</t>
  </si>
  <si>
    <t>【まとめ買い】熱中対策 シャツクール 冷感ストロング 詰替用 250ml×4個セット ＋ オリジナルスパウトパウチ付き 冷感スプレー 衣類用 ひんやり 冷却スプレー 熱中症対策 暑さ対策 汗対策 消臭 通勤 通学 作業着 アウトドア</t>
  </si>
  <si>
    <t>B0H38NZN4X</t>
  </si>
  <si>
    <t>【セット品】ペットライン 懐石 2つのごほうび 6種セット 総合栄養食 国産 小分けタイプ 650g ×6個 アソート バラエティ キャットフード ドライ 大容量 まとめ買い 猫用 おやつ</t>
  </si>
  <si>
    <t>B0FH7137W6</t>
  </si>
  <si>
    <t>【セット品】レノア アロマジュエル Perfume N°7 ジャスミンローズの香り 本体 420mL + 詰め替え 1410mL セット 香り付けビーズ 洗濯用 フレグランスビーズ 大容量</t>
  </si>
  <si>
    <t>B0HD77WVWR</t>
  </si>
  <si>
    <t>【6袋セット】ビオレ 子どもも使える冷タオル 5枚入×6袋 ＋ maple treeオリジナルスパウトパウチ付き ノンアルコール 無香性 首かけ46cm 個包装 熱中対策 冷却タオル 暑さ対策 通学 通勤 アウトドア 花王</t>
  </si>
  <si>
    <t>B0H6XVG97Y</t>
  </si>
  <si>
    <t>クーリア シールバインダー とうめいシールバインダー クリア 01065</t>
  </si>
  <si>
    <t>B0FL297CY2</t>
  </si>
  <si>
    <t>B0FM44VB6Z</t>
  </si>
  <si>
    <t>【セット品】アース モンスーン 虫よけ線香 ラベンダーの香り 100巻 + 保存缶セット 専用保存缶付き 線香立て付き 長時間燃焼 約7時間 キャンプ アウトドア BBQ ベランダ 庭 農作業 屋外用 虫よけ アース製薬</t>
  </si>
  <si>
    <t>B0H6XNRDNZ</t>
  </si>
  <si>
    <t>エクセル 乳酸菌生成エキス コスモスラクト バード 30ml 鳥用 サプリ 綿棒付き</t>
  </si>
  <si>
    <t>B0D1P44HT9</t>
  </si>
  <si>
    <t>【P&amp;G】アリエール ジェルボール 4D 微香 つめかえ用 メガジャンボサイズ 83個入 ×4個セット</t>
  </si>
  <si>
    <t>B0CKJ4FCMH</t>
  </si>
  <si>
    <t>【セット品】クーリア クリアジェムステッカー 6種セット エンジェル ストロベリー レモン グレープ ソーダ プラネット 透明 ジェムシール デコレーション 手帳 ノート スマホ コラージュ</t>
  </si>
  <si>
    <t>B0HC1KZX44</t>
  </si>
  <si>
    <t>【まとめ買い】はだまも お肌の虫よけミスト 200ml×3個セット 虫よけスプレー ディート無配合 イカリジン配合 お肌にやさしい ミストタイプ 4種のうるおい成分配合 家族で使える アース製薬</t>
  </si>
  <si>
    <t>B0H7R5YVM7</t>
  </si>
  <si>
    <t>【まとめ買い】Bioré ビオレ 冷タオル 無香性 5本入×5セット 計25本 ＋ オリジナルスパウトパウチ付き 冷感タオル 個包装 大容量 汗拭きシート クールタオル 暑さ対策 熱中症対策 スポーツ 通勤 通学 レジャー (25本)</t>
  </si>
  <si>
    <t>B0H2RF5V5S</t>
  </si>
  <si>
    <t>【まとめ買い】トップ クリアリキッド 抗菌 部屋干し 詰め替え 500g ×3個セット | 洗濯洗剤 液体洗剤 生乾き臭対策 24時間抗菌 消臭 ライオン</t>
  </si>
  <si>
    <t>B0HBZS241P</t>
  </si>
  <si>
    <t>マルカン インコのおやつ かじりま専科 ２本入り 鳥 おやつ スナック・ビスケット (３袋)</t>
  </si>
  <si>
    <t>B0DNTM1LPB</t>
  </si>
  <si>
    <t>B0F746FDX1</t>
  </si>
  <si>
    <t>【セット品】 いなば チャオ こだわり焼かつおディナー 4種 アソート 国産 30g×16袋 猫用 パウチ キャットフード バラエティセット</t>
  </si>
  <si>
    <t>B0FCBGT5FS</t>
  </si>
  <si>
    <t>ロイヤルカナン FHN インドア ロングヘアー 猫用 4kg キャットフード ドライ（オリジナルおしぼりセット） (4kg)</t>
  </si>
  <si>
    <t>B0D6RQT442</t>
  </si>
  <si>
    <t>B0DGLWF4P5</t>
  </si>
  <si>
    <t>デビフ dbf おさんぽくん ササミ と 鶏肉&amp;レバー 60g(15g×4袋) ×４袋セット 犬用 おやつ 2種 アソート</t>
  </si>
  <si>
    <t>B0DQ7VK36R</t>
  </si>
  <si>
    <t>【セット品】 いなば チャオ 焼かつおディナー 高齢猫用 2種 アソートセット 50g×16袋 国産 猫用 パウチ ウェットフード まとめ買い</t>
  </si>
  <si>
    <t>B0GYCL5F3R</t>
  </si>
  <si>
    <t>【セット品】レノア 煮沸レベル超消臭 抗菌ビーズ 黄ばみブロッカー シトラスホワイト 本体420mL＋詰め替え1410mLセット 香り付けビーズ 洗濯 消臭 抗菌 黄ばみ対策 縦型・ドラム式対応 大容量</t>
  </si>
  <si>
    <t>B0HD7N75QV</t>
  </si>
  <si>
    <t>F-02 英樹確認 2026-09-21: 本体722円＋詰め替え2,140円 = 2,862円(仕入先により変動あり。8月実績KPI原価の確認。一次根拠未照合)</t>
  </si>
  <si>
    <t>【まとめ買い】ロッシモイストエイド 馬油ナチュラルミルクローション 485ml×2個オリジナルスパウトパウチ付き 大容量 ボディミルク 保湿 乾燥肌 全身用 家族用 ポンプタイプ スキンケア (2)</t>
  </si>
  <si>
    <t>B0H7C9RK42</t>
  </si>
  <si>
    <t>アース・ペット スタミノール 食欲がない時に 犬・猫用 100g</t>
  </si>
  <si>
    <t>B0DGQQH4TT</t>
  </si>
  <si>
    <t>B0G1H9B4K2</t>
  </si>
  <si>
    <t>【セット品】 いなば 鶏づくし とりささみ 5種 (180ｇ×5袋) 合計5袋セット 猫 キャットフード ウェット ゼリー おやつ 小分け パウチ アソート 水分補給</t>
  </si>
  <si>
    <t>B0FL6WTK7G</t>
  </si>
  <si>
    <t>【5種セット】いなば チャオ ちゅーるスープ 4連パック (35gx4袋) 各8袋 合計40袋（ まぐろ/かつお＆かつお節/まぐろ＆貝柱/とりささみ＆しらす/とりささみ＆サーモン ） 猫 おやつ 水分補給 キャットフード ウェッフード パウチ まとめ買い バラエティ アソート</t>
  </si>
  <si>
    <t>B0FV817DG5</t>
  </si>
  <si>
    <t>【セット品】アリエール ジェルボール 爽快クール 涼感 リフレッシュクールの香り 大容量98個セット 85個＋13個 洗濯洗剤 消臭 まとめ買い ドラム式 縦型 P&amp;G 日用品 夏季限定</t>
  </si>
  <si>
    <t>B0H9JY5P2B</t>
  </si>
  <si>
    <t>ドクターズチョイス ゴートミルク(ヤギミルク) 犬猫用みるく 120g ×2袋（オリジナルおしぼり付き） (2袋)</t>
  </si>
  <si>
    <t>B0DKSGDMCZ</t>
  </si>
  <si>
    <t>B0DKSGNRCF</t>
  </si>
  <si>
    <t>マルカン インコのおやつ かじりま専科 ２本入り 鳥 おやつ スナック・ビスケット (２袋)</t>
  </si>
  <si>
    <t>B0DNTLXPQ5</t>
  </si>
  <si>
    <t>【5種セット】いなば ちゅーるスープ 4連パック (35gx4袋) 各12袋 合計60袋 （ まぐろ/かつお＆かつお節/まぐろ＆貝柱/とりささみ＆しらす/とりささみ＆サーモン ） 猫 おやつ 水分補給 キャットフード ウェッフード パウチ まとめ買い バラエティ アソート</t>
  </si>
  <si>
    <t>B0FV7YZ7HY</t>
  </si>
  <si>
    <t>デビフ おすわりくん ササミ ７５ｇ ×４袋セット 犬用 おやつ</t>
  </si>
  <si>
    <t>B0DQ83K574</t>
  </si>
  <si>
    <t>ロイヤルカナン ヘアボール ケア 毛玉が気になる成猫用 400g 便秘 栄養 (1)</t>
  </si>
  <si>
    <t>B0D1XWHPKJ</t>
  </si>
  <si>
    <t>B0D847F8R3</t>
  </si>
  <si>
    <t>【セット品】アリエール MiRAi 超濃縮 液体 爽快COOL 本体410g＋詰め替え920g セット 涼感リフレッシュクールの香り コンパクト洗濯洗剤 すすぎ1回OK タテ型 ドラム式対応 夏限定</t>
  </si>
  <si>
    <t>B0H9QPJHCH</t>
  </si>
  <si>
    <t>【セット品】 いなば ちゅ～る トッパー ドライ 3種 (180g×3) 合計３袋セット 犬用 おやつ ドックフード アソート</t>
  </si>
  <si>
    <t>B0FL244HK2</t>
  </si>
  <si>
    <t>【まとめ買い】ロッシモイストエイド 馬油ナチュラルミルクローション 485ml×3個 オリジナルスパウトパウチ付き 大容量 ボディミルク 保湿 乾燥肌 全身用 家族用 ポンプタイプ スキンケア (3)</t>
  </si>
  <si>
    <t>B0H7C6TPM9</t>
  </si>
  <si>
    <t>【5種セット】 いなば トッパーまぜて ちゅ〜るボール (まぐろ/かつお/とりささみ/まぐろかつお節味/とりささみ本格だし) 猫 おやつ キャットフード アソート まとめ買い</t>
  </si>
  <si>
    <t>B0FV7TS5Y7</t>
  </si>
  <si>
    <t>ロイヤルカナン ステアライズド 避妊・去勢 成猫用 生後12ヵ月齢以上 2kg キャットフード（オリジナルおしぼり付き）</t>
  </si>
  <si>
    <t>B0D21NMPL4</t>
  </si>
  <si>
    <t>INTEX(インテックス) 空気入れ ポンプ AC エレクトリックポンプ 100V 66639 [日本正規品]</t>
  </si>
  <si>
    <t>B07Q5846PR</t>
  </si>
  <si>
    <t>B0GZ3JF5XW</t>
  </si>
  <si>
    <t>ロイヤルカナン FHN キトン 子猫用 成長後期の子猫専用フード 生後12ヵ月以下 ドライ キャットフード （オリジナルおしぼり付） (2kg)</t>
  </si>
  <si>
    <t>B0DJLXVQSH</t>
  </si>
  <si>
    <t>【まとめ買い】潤素肌 薬用和ハッカ 水ミスト 250mL×6個 オリジナルスパウトパウチ付き 化粧水 ミスト ハッカ クール 保湿 顔 ボディ 全身用 夏用 冷感 スプレー 薬用</t>
  </si>
  <si>
    <t>B0H2W39TW1</t>
  </si>
  <si>
    <t>チャオ (CIAO) ちゅ~るごはん まぐろバラエティ 14g×20本 猫用おやつ</t>
  </si>
  <si>
    <t>B0BW9D1GCL</t>
  </si>
  <si>
    <t>ロイヤルカナン FCN ヘアボール ケア 猫用2kg 毛玉が気になる成猫用 ドライ キャットフード</t>
  </si>
  <si>
    <t>B0D2225VHG</t>
  </si>
  <si>
    <t>【セット品】I ROKA イ ロカ ミュゲインザエア 柔軟剤 本体540mL＋詰替650mL セット 花王 プレミアム柔軟剤 香水のような上質な香り ピュアムスク 高級アンバー 衣類用 日本製</t>
  </si>
  <si>
    <t>B0H9QJNS2Q</t>
  </si>
  <si>
    <t>ロイヤルカナン アペタイトコントロール おねだりの多い成猫用 ネコ 400g</t>
  </si>
  <si>
    <t>B0D21SBN9D</t>
  </si>
  <si>
    <t>ロイヤルカナン BHN プードル 成犬用 ドッグフード ドライ（オリジナルおしぼり付き） (3kg)</t>
  </si>
  <si>
    <t>B0D21Q4LGF</t>
  </si>
  <si>
    <t>B0DGLZ2TXR</t>
  </si>
  <si>
    <t>【セット品】小林製薬 熱中対策 シャツクール 冷感ストロング 本体100ml+詰替250ml 衣類用冷感スプレー 衣類にスプレーするだけ 汗をかくたびひんやり持続 消臭 除菌 暑さ対策 通勤 通学 スポーツ 屋外作業</t>
  </si>
  <si>
    <t>B0H7PDFT1Q</t>
  </si>
  <si>
    <t>【公式】ICY ZAP アイシーザップ クーリングスカルプセラム サマーシャーベットの香り 暑さ対策 お風呂上りドライヤー 頭ひんやり 冷感 汗対策100mL</t>
  </si>
  <si>
    <t>B0F937NTLY</t>
  </si>
  <si>
    <t>ロイヤルカナン FHN エクシジェント トライアルセット 猫用 120g×3種</t>
  </si>
  <si>
    <t>B003GYQGXM</t>
  </si>
  <si>
    <t>ゴン太の歯磨き専用ガムSSサイズ L8020乳酸菌入り ４種 アソート 120g ×4個セット 国産品</t>
  </si>
  <si>
    <t>B0F9932WN7</t>
  </si>
  <si>
    <t>ペロQ 犬用おやつ ビーフ&amp;チーズ（4本） チキン&amp;ミルク（4本）スイートポテト（4本）まとめ買い【12本セット】おしぼり おまけつき</t>
  </si>
  <si>
    <t>B0BVZ18YLS</t>
  </si>
  <si>
    <t>【セット品】サンライズ ゴン太の歯磨き専用おやつ 鶏アキレス 50g ×３袋セット 犬用おやつ ハミガキ</t>
  </si>
  <si>
    <t>B0F9FD5B54</t>
  </si>
  <si>
    <t>【セット品】いなば 魚づくし まぐろ・かつお 6種 アソート (60ｇ×3袋) 合計６袋セット 猫 パウチ おやつ ウェット キャット フード</t>
  </si>
  <si>
    <t>B0FDGC838R</t>
  </si>
  <si>
    <t>ゴン太の歯磨き専用ガムSSサイズ L8020乳酸菌入り 3種 アソート 120g ×3個セット 国産品</t>
  </si>
  <si>
    <t>B0GXMW1CHQ</t>
  </si>
  <si>
    <t>ドクターズチョイス おいしい納豆菌 ふりかけタイプ 80g (2袋)</t>
  </si>
  <si>
    <t>B0DKSXGXNZ</t>
  </si>
  <si>
    <t>B0DKSKVX6D</t>
  </si>
  <si>
    <t>【まとめ買い】Bioré ビオレ 冷タオル 無香性 5本入×4セット 計20本 ＋ オリジナルスパウトパウチ付き 冷感タオル 個包装 大容量 汗拭きシート クールタオル 暑さ対策 熱中症対策 スポーツ 通勤 通学 レジャー (20本)</t>
  </si>
  <si>
    <t>B0H2VXSDD1</t>
  </si>
  <si>
    <t>【セット品】いなば 魚づくし 高齢猫用 まぐろ・かつお 2種 アソート (60ｇ×3袋) 合計６袋セット 猫 パウチ おやつ ウェット キャット フード</t>
  </si>
  <si>
    <t>B0FDGFLMZN</t>
  </si>
  <si>
    <t>ロイヤルカナン BHN プードル 成犬用 1.5kg ドッグフード ドライ チキン味</t>
  </si>
  <si>
    <t>B0D21VRPVD</t>
  </si>
  <si>
    <t>【まとめ買い】ロッシモイストエイド 馬油スキンクリーム 220g 4個セット 馬油 保湿クリーム 全身 顔 手 足 ボディクリーム ハンドクリーム 乾燥肌 スキンケア 日本製 コスメテックスローランド</t>
  </si>
  <si>
    <t>B0HB3SFNPM</t>
  </si>
  <si>
    <t>日本カルシウム工業 冷水筒浄水パック 水道水の塩素・カルキを99%カット アルカリイオン水が簡単</t>
  </si>
  <si>
    <t>B00NOXLDH4</t>
  </si>
  <si>
    <t>チャオ (CIAO) ピュアちゅ~る まぐろバラエティ 14g×20本 猫用おやつ</t>
  </si>
  <si>
    <t>B0C2C8K5DR</t>
  </si>
  <si>
    <t>【セット品】ペットライン 懐石 2つのごほうび 4種セット キャットフード ドライ 総合栄養食 国産 小分けタイプ 600g ×4個 アソート バラエティ 大容量 まとめ買い</t>
  </si>
  <si>
    <t>B0FH715WJ6</t>
  </si>
  <si>
    <t>CIAO(チャオ) 焼かつおディナー 高齢猫用かつお節・ほたて貝柱入り 50g×16袋【まとめ買い】</t>
  </si>
  <si>
    <t>B00JRNM0NG</t>
  </si>
  <si>
    <t>【3個セット】柑橘王子 フェイシャルクリアホイップSP 詰め替え 300ml×3個 泡洗顔 メンズ洗顔 洗顔フォーム レフィル 皮脂 毛穴汚れ テカリ対策 ビタミンC誘導体配合 シトラスの香り 大容量 まとめ買い</t>
  </si>
  <si>
    <t>B0H7QV799G</t>
  </si>
  <si>
    <t>ロイヤルカナン BHN ポメラニアン 成犬～高齢犬用 生後8ヵ月齢以上 ドライ ドックフード（オリジナルおしぼり付き） (1.5kg)</t>
  </si>
  <si>
    <t>B0D4ZLTH8J</t>
  </si>
  <si>
    <t>ドクターズチョイス おいしい納豆菌 ふりかけタイプ 80g (5袋)</t>
  </si>
  <si>
    <t>B0DKSPG7VK</t>
  </si>
  <si>
    <t>【花王】ビオレ　毛穴すっきりパック　鼻用　白色タイプ　１０枚入 ×５個セット</t>
  </si>
  <si>
    <t>B00URAIVZ4</t>
  </si>
  <si>
    <t>デビフ おさんぽくん ササミ シニア犬用 60g（小分けパック15g×4袋入） ×4袋セット 犬用 おやつ</t>
  </si>
  <si>
    <t>B0DQ7ZX95D</t>
  </si>
  <si>
    <t>【まとめ買い】消臭元 トイレのスプレー パルファム ノアール 280mL 4個セット トイレ用 消臭スプレー 消臭芳香剤 瞬間消臭 芳香 長時間 小林製薬</t>
  </si>
  <si>
    <t>B0HB36RZPY</t>
  </si>
  <si>
    <t>F-03 英樹確認 2026-09-21: 1,232円(仕入先により変動あり。8月実績KPI原価の確認。一次根拠未照合)</t>
  </si>
  <si>
    <t>【セット品】いなば まぐろジュレ 乳酸菌入り バラエティ 3種 （65g×4個） 3箱セット +オリジナルスプーン付き 猫 ウェット キャットフード お試し アソート</t>
  </si>
  <si>
    <t>B0FD9LYGTK</t>
  </si>
  <si>
    <t>フィリップス 電動シェーバー 7000シリーズ 密着して剃れる</t>
  </si>
  <si>
    <t>B0C57Y8QC8</t>
  </si>
  <si>
    <t>B0F8W5CCFD</t>
  </si>
  <si>
    <t>ニチドウ Dr.PRO. ドクター・プロ ベビーミルクスーパーIGP 幼猫用 100g （オリジナルおしぼり付） (1個)</t>
  </si>
  <si>
    <t>B0DGQLX4K1</t>
  </si>
  <si>
    <t>B0DGQMZZQZ</t>
  </si>
  <si>
    <t>【セット品】ナチュラルペットフーズ PRO ADVANCE セキセイインコ 650g × 2個セット シード＆ペレットミックス 総合栄養食 鳥 餌</t>
  </si>
  <si>
    <t>B0DNT4KT8F</t>
  </si>
  <si>
    <t>【4種セット】にゃんspoon 2種のアソート (10g×4本入り) 4種セット 猫用 おやつ にゃんスプーン まとめ買い お試し 猫のおやつ</t>
  </si>
  <si>
    <t>B0FL5BF3VN</t>
  </si>
  <si>
    <t>ニチドウ Dr.PRO. ドクター・プロ ベビーミルク スーパーIGP 幼犬用 100g (2個)</t>
  </si>
  <si>
    <t>B0DGQKZLC8</t>
  </si>
  <si>
    <t>B0DGQLL9P5</t>
  </si>
  <si>
    <t>黒瀬ペットフード 長崎県産 あわの穂 80g (1個)</t>
  </si>
  <si>
    <t>B0DGPS3K6K</t>
  </si>
  <si>
    <t>ドクターズチョイス ゴートミルク(ヤギミルク) 犬猫用みるく 120g ×4袋（オリジナルおしぼり付き） (4袋)</t>
  </si>
  <si>
    <t>B0DKSVB9B5</t>
  </si>
  <si>
    <t>ドクターズチョイス 納豆菌ジャーキー スティックタイプ 4種 150g×4袋セット（オリジナルおしぼり付き）</t>
  </si>
  <si>
    <t>B0DKT1ZKB4</t>
  </si>
  <si>
    <t>いなば 鴨づくし かもだし仕立て 180g（60g×3袋）3種類×2セット 計6個 アソート キャットフード 猫用 ウェットフード パウチ 成猫用 食べ比べ バラエティ まとめ買い</t>
  </si>
  <si>
    <t>B0H6XK6Z1F</t>
  </si>
  <si>
    <t>U574</t>
  </si>
  <si>
    <t>B0D318NKLR</t>
  </si>
  <si>
    <t>B0H6FX6L1H</t>
  </si>
  <si>
    <t>ドクターズチョイス おいしい納豆菌 ふりかけタイプ 80g (4袋)</t>
  </si>
  <si>
    <t>B0DKS7KSRB</t>
  </si>
  <si>
    <t>【セット品】レノア 煮沸レベル超消臭 抗菌ビーズ FRESH おひさまフローラルの香り 本体400mL＋詰め替え990mL セット 衣類用 消臭ビーズ 防カビ P&amp;G</t>
  </si>
  <si>
    <t>B0HG1T7VG8</t>
  </si>
  <si>
    <t>ラビオーム 【ロート製薬】 バリアビオソープ ポンプ本体 180ml フローラルの香り デリケート部位用ジェルソープ(乳酸菌 弱酸性 防腐剤フリー 敏感肌パッチテスト済)オンライン先行発売</t>
  </si>
  <si>
    <t>B0DNM4FZYY</t>
  </si>
  <si>
    <t>B0F18S5YX3</t>
  </si>
  <si>
    <t>デ・オウ　薬用プロテクトデオジャム × 10個セット</t>
  </si>
  <si>
    <t>B06XSS5CK7</t>
  </si>
  <si>
    <t>【セット品】アース製薬 マモルームエッセンス 虫よけパール 180日用 500g 3種セット【澄んだレモン・すっきりハッカ・やわらかいクリーンムスク】置き型 虫よけ 消臭 天然精油配合 玄関 リビング 寝室 室内用 大容量 約180日×3個セット</t>
  </si>
  <si>
    <t>B0H7R1KTV5</t>
  </si>
  <si>
    <t>日本カルシウム工業 ペットボトル用浄水器 クリスタルH2O 1個入</t>
  </si>
  <si>
    <t>B01CNBX6X6</t>
  </si>
  <si>
    <t>B0GF8Y6V95</t>
  </si>
  <si>
    <t>クーリア シールバインダー マイシールバインダー しずくちゃん しずくパーク 04390</t>
  </si>
  <si>
    <t>B0FW4K6VZY</t>
  </si>
  <si>
    <t>B0FW4KP3DK</t>
  </si>
  <si>
    <t>【セット品】いなば とろみ 3種アソート 80g×12個セット とりささみ 野菜入り 牛肉入り 犬用 ウェットフード ドッグフード 国産 レトルト ごはん おかず 水分補給 シニア犬 小型犬 まとめ買い (12)</t>
  </si>
  <si>
    <t>B0H6FSWHXS</t>
  </si>
  <si>
    <t>B0H6FYTPS8</t>
  </si>
  <si>
    <t>ニチドウ 毛玉クリーン60g (2袋)</t>
  </si>
  <si>
    <t>B0DJCXKM4G</t>
  </si>
  <si>
    <t>B0DJCXYHLS</t>
  </si>
  <si>
    <t>【4個セット】柑橘王子 フェイシャルクリアホイップSP 詰め替え 300ml×4個 メンズ 泡洗顔 レフィル 洗顔フォーム 毛穴汚れ 皮脂 テカリ対策 ビタミンC誘導体配合 シトラスの香り 大容量 まとめ買い</t>
  </si>
  <si>
    <t>B0H7QV7T3Y</t>
  </si>
  <si>
    <t>ロイヤルカナン BHN ポメラニアン 成犬～高齢犬用 生後8ヵ月齢以上 ドライ ドックフード（オリジナルおしぼり付き） (800g)</t>
  </si>
  <si>
    <t>B0D4ZK8VF1</t>
  </si>
  <si>
    <t>いなばペットフード 焼かつおディナー 子ねこ用 かつお節・ほたて貝柱入り 50g×16コ</t>
  </si>
  <si>
    <t>B00JRNM1DU</t>
  </si>
  <si>
    <t>ペッツルート 超小型犬・小型犬の散歩用 もっと！虫よけエリアスマイル 120日 Ｓうさぎ ピンク</t>
  </si>
  <si>
    <t>B0CC8WVVP7</t>
  </si>
  <si>
    <t>ショーワグローブ【食品衛生法適合】ナイスハンド きれいな手 つかいきりグローブ 天然ゴム 100枚入 M 1函 ホワイト 左右兼用 粉なし</t>
  </si>
  <si>
    <t>B0BCJ1NK3Y</t>
  </si>
  <si>
    <t>B0CDP1WPDD</t>
  </si>
  <si>
    <t>いなば ちゅ~るごはん とりささみ チキンミックス味 20本 犬用おやつ</t>
  </si>
  <si>
    <t>B086YH6X3B</t>
  </si>
  <si>
    <t>【セット品】ジル スチュアート リボンファッションショー コレクション 2025 クリスマス限定コフレ 可愛いポーチ付きメイクセット クリスマスプレゼント</t>
  </si>
  <si>
    <t>B0G1B6SS86</t>
  </si>
  <si>
    <t>【4個セット】小林製薬 糸ようじ コンパクトヘッド フロス&amp;ピック 60本入 計240本 デンタルフロス 歯間ブラシ ピック 歯垢除去 コンパクトヘッド 奥歯 歯間ケア 毎日のオーラルケア まとめ買い</t>
  </si>
  <si>
    <t>B0H7PDPRHH</t>
  </si>
  <si>
    <t>サンライズ ゴン太の歯磨き専用ガムSSサイズ L8020乳酸菌入り クロロフィル入り 低脂肪 120g 3袋セット(90本)</t>
  </si>
  <si>
    <t>B0DJ36NJ7G</t>
  </si>
  <si>
    <t>B0DK8FSKVP</t>
  </si>
  <si>
    <t>ショーワグローブ(Showaglove) ニトリスト・スーパーロング 40cmロング NO.887 パウダーフリー 左右兼用50枚　厚さ0.15mm ブルー Ｍサイズ</t>
  </si>
  <si>
    <t>B01NCX79TA</t>
  </si>
  <si>
    <t>B0CCZ43HJJ</t>
  </si>
  <si>
    <t>【セット品】猫専用 おいしい納豆菌 かつお味 ササミ味 80g×2個セット 猫用おやつ 納豆菌配合 腸内環境 サポート 乳酸菌 キャットフード おやつ 猫間食 国産 (2)</t>
  </si>
  <si>
    <t>B0H6FVKGND</t>
  </si>
  <si>
    <t>B0H6G5W312</t>
  </si>
  <si>
    <t>着圧レギンス スリムウォーク ビューアクティ (Beau-Acty) スタイルキープ レギンス ブラック M 着圧 レギンス ヨガ スポーツ</t>
  </si>
  <si>
    <t>B08CBN98HD</t>
  </si>
  <si>
    <t>B0DHXD4592</t>
  </si>
  <si>
    <t>ラボン(Lavons) トゥザムーン to the Moon ベッドルーム&amp;ファブリックミスト ノクターナルブルーの香り 詰め替え 大容量 600ml</t>
  </si>
  <si>
    <t>B0CVM4KZVR</t>
  </si>
  <si>
    <t>B0F8MRXQPG</t>
  </si>
  <si>
    <t>【詰め替えセット】トゥルースト バイエスフリー酸熱TR (シャンプー ＆ トリートメント) 各400ml ダメージ補修 ヘアケア</t>
  </si>
  <si>
    <t>B0FVF8NVDL</t>
  </si>
  <si>
    <t>クーリア シール ボンボンドロップシール すいーつボンボン 01215</t>
  </si>
  <si>
    <t>B0GSQDYTFZ</t>
  </si>
  <si>
    <t>B0GSQGD2Z6</t>
  </si>
  <si>
    <t>ペットボトル用浄水器 クリスタルH2O 2本セット</t>
  </si>
  <si>
    <t>B009S4H3B8</t>
  </si>
  <si>
    <t>マルカン 半生ソフトフルーツフード 100g 飼鳥用 鳥 おやつ フルーツ (２袋)</t>
  </si>
  <si>
    <t>B0DNTDMBX3</t>
  </si>
  <si>
    <t>B0F5NMZZ18</t>
  </si>
  <si>
    <t>マルカン ちゅーいんぐかむかむ さつまいも ８枚入り ×3袋セット 犬 おやつ かため ドッグフード</t>
  </si>
  <si>
    <t>B0DPMD2T82</t>
  </si>
  <si>
    <t>【まとめ買い】アイスノン 頭を冷やすスプレーGOLD 95g×3個セット 白元アース 冷却スプレー 頭皮用 冷感スプレー 強力クール 暑さ対策 汗対策 通勤 通学 スポーツ 屋外作業 熱中症対策 まとめ買い</t>
  </si>
  <si>
    <t>B0H73ZGBR3</t>
  </si>
  <si>
    <t>【公式】ICY ZAP アイシーザップ クーリングスクエアパック クールフェイスパック 部分用マスク CICAエクソソーム メントールフリー</t>
  </si>
  <si>
    <t>B0F8BCMYPC</t>
  </si>
  <si>
    <t>ロイヤルカナン FHN インドア +7 猫用 400g フィーライン ヘルス ニュートリション ドライ キャットフード チキン味 室内で生活する7歳以上の高齢猫用</t>
  </si>
  <si>
    <t>B0D21N8B9T</t>
  </si>
  <si>
    <t>ミツエイ シャルム フレグランスムスク 柔軟剤 詰替 800ml オリジナルスパウトパウチ付き 詰め替え シャルムフレグランスムスクの香り 大容量 衣類 ふんわり 消臭 抗菌 静電気防止 部屋干し 柔軟仕上げ</t>
  </si>
  <si>
    <t>B0H5Q8RLQS</t>
  </si>
  <si>
    <t>トーラス 小動物の知恵 脱臭食 ペット用 30ml×2本</t>
  </si>
  <si>
    <t>B0812DYT68</t>
  </si>
  <si>
    <t>B0814XGKWZ</t>
  </si>
  <si>
    <t>和みのうるうる水綿棒 個包装 50本入×7個</t>
  </si>
  <si>
    <t>B0B3XH69V8</t>
  </si>
  <si>
    <t>B0B3XCXR5B</t>
  </si>
  <si>
    <t>クーリア バインダー ボンボンドロップシールバインダーセット キャンディツインズ 01222</t>
  </si>
  <si>
    <t>B0GSQCP1MX</t>
  </si>
  <si>
    <t>B0GSQDZB5N</t>
  </si>
  <si>
    <t>NEO(ネオ) ドッグスターNEO ササミ巻きクッキー チーズ 8本入×2袋セット 犬用 おやつ</t>
  </si>
  <si>
    <t>B0DPMHLFKD</t>
  </si>
  <si>
    <t>B0FZQTSZGJ</t>
  </si>
  <si>
    <t>【セット品】アース製薬 サラテクト 虫よけ 2種セット 大容量400mL 無香料スプレー＋BIGサイズ虫よけシート20枚入 携帯用 蚊 ブヨ アブ マダニ トコジラミ アウトドア キャンプ 防除用医薬部外品</t>
  </si>
  <si>
    <t>B0H9F4SXZP</t>
  </si>
  <si>
    <t>トイレその後に フレッシュグリーン 280ml×2本セット オリジナルスパウトパウチ付き 小林製薬 トイレ用 消臭スプレー 消臭芳香剤 瞬間消臭 除菌 トイレ 芳香剤 まとめ買い</t>
  </si>
  <si>
    <t>B0H6L99WP3</t>
  </si>
  <si>
    <t>アース・ペット スタミノールV 100g ×2本セット 犬 サプリ</t>
  </si>
  <si>
    <t>B0DGY23B6S</t>
  </si>
  <si>
    <t>JILL STUART ジルスチュアート ホワイトフローラル オードトワレ ローラーボール 10ml</t>
  </si>
  <si>
    <t>B0DJH135LR</t>
  </si>
  <si>
    <t>ヤーマン 洗顔ブラシ ミーゼ mysé クレンズリフト ピンク MS70P</t>
  </si>
  <si>
    <t>B07YC7GS5K</t>
  </si>
  <si>
    <t>B09KV6GLWG</t>
  </si>
  <si>
    <t>肌ラボ 白潤プレミアム 薬用浸透美白クリーム [医薬部外品] 50グラム</t>
  </si>
  <si>
    <t>B08WSHQWL8</t>
  </si>
  <si>
    <t>B0GX1C97SW</t>
  </si>
  <si>
    <t>ゴミ袋 取っ手付き ポリ袋 LLサイズ 300枚×6個セット 乳白 縦53cm×横29.5cm マチ14.5cm 取り出しやすい コンパクト 収納 ごみ袋</t>
  </si>
  <si>
    <t>B0BX5LW4RD</t>
  </si>
  <si>
    <t>B0CV7PJ7YP</t>
  </si>
  <si>
    <t>（まとめ買い）ドギーマン 無添加良品 アキレススティック 100g 犬用おやつ 【×3】</t>
  </si>
  <si>
    <t>B0F2FPD2TD</t>
  </si>
  <si>
    <t>（まとめ買い）いなばペットフード 焼きミックスちゅ～る和え まぐろ味とえび味 10g×3袋 猫用おやつ 【×20】</t>
  </si>
  <si>
    <t>B0CB459XR2</t>
  </si>
  <si>
    <t>アイスノン シャツミスト ミントの香り 300ml</t>
  </si>
  <si>
    <t>B06VVJXQX1</t>
  </si>
  <si>
    <t>B0FFGDP69T</t>
  </si>
  <si>
    <t>マルカン りんご大収穫祭 サクふわフリーズドライ ４５ｇ おやつ 保存料・着色料・砂糖不使用</t>
  </si>
  <si>
    <t>B0BY135MQY</t>
  </si>
  <si>
    <t>チャオ (CIAO) ちゅ~る まぐろ 贅沢セレクト 14g×20本 猫用おやつ</t>
  </si>
  <si>
    <t>B079YPLCVJ</t>
  </si>
  <si>
    <t>B0GV1R4W1F</t>
  </si>
  <si>
    <t>クーリア バインダー ボンボンドロップシールバインダーセット マイリボンクローゼット 01225</t>
  </si>
  <si>
    <t>B0GSQC8JP3</t>
  </si>
  <si>
    <t>マルカン 半生ソフトフルーツフード 100g 飼鳥用 鳥 おやつ フルーツ (３袋)</t>
  </si>
  <si>
    <t>B0DNTGZPTP</t>
  </si>
  <si>
    <t>焼ささみディナー パウチ かにかま・ほたて貝柱入り 50g×16コ</t>
  </si>
  <si>
    <t>B01DLX3HSO</t>
  </si>
  <si>
    <t>ゴミ袋 取っ手付き ポリ袋 LLサイズ 300枚 乳白 縦53cm×横29.5cm マチ14.5cm 取り出しやすい コンパクト 収納 ごみ袋</t>
  </si>
  <si>
    <t>B0BX2C1YFR</t>
  </si>
  <si>
    <t>わんわん チョイあげ 国産 13種 バラエティセット アソート 犬用 おやつ</t>
  </si>
  <si>
    <t>B0F2HPB231</t>
  </si>
  <si>
    <t>B0FZRGY38H</t>
  </si>
  <si>
    <t>ケアセラ(CareCera) APフェイス&amp;ボディ 乳液 200ml (セラミドプラス×8種の天然型セラミド配合)</t>
  </si>
  <si>
    <t>B074QQC44S</t>
  </si>
  <si>
    <t>B0H412Z57D</t>
  </si>
  <si>
    <t>PT-201YG20</t>
  </si>
  <si>
    <t>B00ESQT8U0</t>
  </si>
  <si>
    <t>B00K7VI88I</t>
  </si>
  <si>
    <t>B0DNTFK76H</t>
  </si>
  <si>
    <t>【セット品】日本ペットフード バーディー うずらフード １ｋｇ 鳥 フード 餌 えさ 種 穀類 (２袋)</t>
  </si>
  <si>
    <t>B0DNT6RSPJ</t>
  </si>
  <si>
    <t>B0FCY4XT2J</t>
  </si>
  <si>
    <t>リセッシュ除菌EX WIDE JET（ワイドジェット）ストロング しぶとい！しみつき５大悪臭に（汗・皮脂臭、調理臭、加齢臭、生乾き臭、ペット臭） 香りが残らないタイプ 本体390ml</t>
  </si>
  <si>
    <t>B0CY4TVW1P</t>
  </si>
  <si>
    <t>ペロQ スイートポテト お得な24本セット おまけおにぎりペン付きセット</t>
  </si>
  <si>
    <t>B091KJ4L35</t>
  </si>
  <si>
    <t>【セット品】ニベア クレンジングオイル 本体195ml＋つめかえ170ml セット メイク落とし W洗顔不要 濡れた手OK 毛穴 角栓 黒ずみ ウォータープルーフ対応 ビューティースキン NIVEA 花王</t>
  </si>
  <si>
    <t>B0H6LVWN9W</t>
  </si>
  <si>
    <t>【セット品】P&amp;G ファブリーズ レノアハピネスミスト おやすみラベンダーブレンド 本体370mL＋詰替1240mL セット 消臭 除菌 衣類・布製品用 5つ星ホテル推奨の香り 大容量</t>
  </si>
  <si>
    <t>B0HGY7NBDJ</t>
  </si>
  <si>
    <t>F-09 英樹確認 2026-09-21: 現在値で正しい(Amazon在庫リストの単価1,178との差は残す。在庫リストは変更しない。一次根拠未照合)</t>
  </si>
  <si>
    <t>ペロQ 犬用おやつ スイートポテト味 8個セット (まとめ買い)</t>
  </si>
  <si>
    <t>B09229MWMT</t>
  </si>
  <si>
    <t>ニベア プレミアム ボディミルク ホワイトニング シトラス&amp;ローズの香り 190g 【 うるおって澄みわたる肌に 】 &amp;ltボディ用乳液 &gt; 乾燥肌~普通肌 [医薬部外品]</t>
  </si>
  <si>
    <t>B07VMRWJMH</t>
  </si>
  <si>
    <t>ペティオ (Petio) プレシャンテ ダブルラバーブラシ ペット用</t>
  </si>
  <si>
    <t>B004VK3CH8</t>
  </si>
  <si>
    <t>B0DK4YLCP9</t>
  </si>
  <si>
    <t>アース・ペット スタミノール S 食欲がない時に 33g 犬・猫用</t>
  </si>
  <si>
    <t>B0DGQMZG4Y</t>
  </si>
  <si>
    <t>【まとめ買い 大容量】 ソフラン アロマリッチ キャサリン 柔軟剤 本体 480ml+詰め替え 特大950ml フローラルブーケアロマの香り</t>
  </si>
  <si>
    <t>B0CHYD2HNT</t>
  </si>
  <si>
    <t>B0F3HD7PMH</t>
  </si>
  <si>
    <t>アース製薬 サラテクト 無香料 400ml 3本セット 【防除用医薬部外品】 蚊 虫除けスプレー 大型 大容量</t>
  </si>
  <si>
    <t>B00XTAQGZG</t>
  </si>
  <si>
    <t>ロイヤルカナン ステアライズド 避妊・去勢 成猫用 生後12ヵ月齢以上 400g 猫用 (オリジナルおしぼり付)</t>
  </si>
  <si>
    <t>B0CWY16P9Q</t>
  </si>
  <si>
    <t>【公式】 コスメテックスローランド ラテボタニカル クレンズジェル 300ml クレンジング ジェル 洗顔 メイク落とし 保湿</t>
  </si>
  <si>
    <t>B07PJHGNPY</t>
  </si>
  <si>
    <t>B08HSVSK27</t>
  </si>
  <si>
    <t>ドクターズチョイス おいしい納豆菌 ふりかけタイプ 80g (3袋)</t>
  </si>
  <si>
    <t>B0DKSRRB5W</t>
  </si>
  <si>
    <t>ペティオ (Petio) 犬猫用マット 防ダニ加工 ふれた瞬間ひんやりマット M</t>
  </si>
  <si>
    <t>B0DZ2KQTWY</t>
  </si>
  <si>
    <t>クーリア シール ボンボンドロップシール ミニ しずくちゃん しずくの森のなかまたち 04285</t>
  </si>
  <si>
    <t>B0FW4NJ43B</t>
  </si>
  <si>
    <t>B0FW4L9MB7</t>
  </si>
  <si>
    <t>ミツエイ WHITE FRAGRANCE MUSK 衣料用 柔軟剤 ムスク ふんわり 静電気防止</t>
  </si>
  <si>
    <t>B07QVDPL2Q</t>
  </si>
  <si>
    <t>いなば とろみ とりささみ 80g 48個セット</t>
  </si>
  <si>
    <t>B004KCX1BY</t>
  </si>
  <si>
    <t>B079NJRBN3</t>
  </si>
  <si>
    <t>ラテボタニカル クレンズジェル 300ml×5個</t>
  </si>
  <si>
    <t>B08HSY677V</t>
  </si>
  <si>
    <t>肌ラボ 白潤 薬用美白化粧水 しっとり 大容量ポンプ 400ml</t>
  </si>
  <si>
    <t>B0CWG8S8Y8</t>
  </si>
  <si>
    <t>ライオン ソフラン アロマリッチ キャサリン つめかえ用 特大 (950mL) 詰め替え用 柔軟剤</t>
  </si>
  <si>
    <t>B0CKWV1NS8</t>
  </si>
  <si>
    <t>メイベリン リップ シャインコンパルジョン SPK21 チェリーピンク ツヤ</t>
  </si>
  <si>
    <t>B07L3SYZ5M</t>
  </si>
  <si>
    <t>B07NWV228X</t>
  </si>
  <si>
    <t>ユニ・チャーム エルディ フィンガーレギュラー(60コ入)</t>
  </si>
  <si>
    <t>B002JTHWCO</t>
  </si>
  <si>
    <t>アース・ペット 猫スタミノール 毛玉ケア 50g ×2本セット 猫用 サプリ</t>
  </si>
  <si>
    <t>B0DGY2R4L4</t>
  </si>
  <si>
    <t>いなば CIAO(チャオ) 焼かつおディナー 高齢猫用ほたて貝柱入り 50g×16袋【まとめ買い】</t>
  </si>
  <si>
    <t>B01LXSDHMM</t>
  </si>
  <si>
    <t>きんだい(Kindai) ウェットタオル 冷ひやネックタオル 56×20cm 50本入り 日本製 大判 防災 使い捨て 個包装 暑さ対策 熱中症 407514</t>
  </si>
  <si>
    <t>B0F6XTGTGP</t>
  </si>
  <si>
    <t>B0GYFZ82W3</t>
  </si>
  <si>
    <t>ナチュラルペットフーズ エクセル カルシウム 220g 3袋 鳥用 シード食 小鳥 栄養補助食 ボレー粉</t>
  </si>
  <si>
    <t>B0D1BM6NH4</t>
  </si>
  <si>
    <t>肌ラボ 極潤 薬用ハリクリーム 【医薬部外品】 無香料 50 グラム</t>
  </si>
  <si>
    <t>B09C7NHGQM</t>
  </si>
  <si>
    <t>B0GXJRJH1W</t>
  </si>
  <si>
    <t>【まとめ買い】 NEO(ネオ) ドッグスターNEO ササミ巻きクッキー チーズ 8本入 犬 犬用 おやつ (3袋)</t>
  </si>
  <si>
    <t>B0DPMJDJBR</t>
  </si>
  <si>
    <t>ファブリーズ W除菌+消臭スプレー 布用 フラワーブロッサム 本体 370mL</t>
  </si>
  <si>
    <t>B073TYS8C7</t>
  </si>
  <si>
    <t>B0BW86WWVP</t>
  </si>
  <si>
    <t>肌ラボ 極潤 薬用ハリ化粧水 エイジングケア 【医薬部外品】 無香料 170ml</t>
  </si>
  <si>
    <t>B09C7LPC7M</t>
  </si>
  <si>
    <t>B0F2J24Y1R</t>
  </si>
  <si>
    <t>【60枚セット】 使い捨て 貼る カイロ ぽかぽか家族 レギュラー 60枚 (10枚×6セット) 12時間持続 備蓄 防寒 寒さ対策 冬 通勤通学 レジャー スポーツ観戦 防災</t>
  </si>
  <si>
    <t>B0G19XDTSM</t>
  </si>
  <si>
    <t>ペティオ (Petio) 犬猫用マット 防ダニ加工 ふれた瞬間ひんやりマット L</t>
  </si>
  <si>
    <t>B0DZ2K7LCD</t>
  </si>
  <si>
    <t>ニチドウ Dr.PRO. ドクター・プロ ベビーミルク スーパーIGP 幼犬用 100g (3個)</t>
  </si>
  <si>
    <t>B0DGQJXT78</t>
  </si>
  <si>
    <t>ファブリーズ 消臭芳香剤 トイレ用 ブルー・シャボン 6mL×2個</t>
  </si>
  <si>
    <t>B07QLXGTY9</t>
  </si>
  <si>
    <t>B0BX94HGY2</t>
  </si>
  <si>
    <t>【セット品】ジョイペット 犬用 リンスインシャンプー 本体350mL+詰替280mL セット 犬用シャンプー 犬 シャンプー リンス入り 泡立ち やさしい洗い心地 ニオイケア 被毛ケア 全犬種対応 詰め替えセット まとめ買い</t>
  </si>
  <si>
    <t>B0H7QVKX4W</t>
  </si>
  <si>
    <t>【5本セット】消臭元 トイレのスプレー パルファムブラン 280ml×5本 オリジナルスパウトパウチ付き トイレ用 消臭スプレー 消臭 芳香剤 瞬間消臭 ホワイトフローラル まとめ買い 小林製薬</t>
  </si>
  <si>
    <t>B0H6LFFH5G</t>
  </si>
  <si>
    <t>サンライズ ゴン太の歯磨き専用ガムSSサイズ L8020乳酸菌入り クロロフィル入り 120g 3袋セット</t>
  </si>
  <si>
    <t>B0GXN9DY7W</t>
  </si>
  <si>
    <t>日本カルシウム工業 パワー水素水 1本入</t>
  </si>
  <si>
    <t>B00GSLW9FO</t>
  </si>
  <si>
    <t>【ケース販売】アタック抗菌EX 部屋干し用 高湿度90%密集干しでも天日干し級に強力消臭 洗濯洗剤 液体 つめかえ用 1520ｇ×6個</t>
  </si>
  <si>
    <t>B0FL7TRX5V</t>
  </si>
  <si>
    <t>B0H834LZ9P</t>
  </si>
  <si>
    <t>ZENBUWASH 王様戦隊キングオージャー</t>
  </si>
  <si>
    <t>B0BV9FG7LH</t>
  </si>
  <si>
    <t>【セット品】イースター インコセレクション トータルペレット 300グラム (x 2) インコ 餌 主食</t>
  </si>
  <si>
    <t>B0DNTLK9V1</t>
  </si>
  <si>
    <t>クーリア バインダー マイシールバインダー こびとづかん カクレモモジリ&amp;スモモノウチ 04809</t>
  </si>
  <si>
    <t>B0GSQBDVWX</t>
  </si>
  <si>
    <t>B0GSQG9BX9</t>
  </si>
  <si>
    <t>ドギーマン ウッディースタイル くつろぎドッグベッド</t>
  </si>
  <si>
    <t>B0B1Q2C578</t>
  </si>
  <si>
    <t>B0B2WL6S54</t>
  </si>
  <si>
    <t>ファブリーズ 消臭芳香剤 消臭+抗菌 トイレ用 フルーティ・クラシック・ブーケ 6.3mLｘ2個</t>
  </si>
  <si>
    <t>B0CB648B93</t>
  </si>
  <si>
    <t>クーリア シール ボンボンドロップシール ミニ しずくちゃん みるみるちゃん 04284</t>
  </si>
  <si>
    <t>B0FW4HY82L</t>
  </si>
  <si>
    <t>【セット品】 わんわん チョイめし シリーズ 人気5種 80g X10 犬用 ドックフード おやつ アソート お試し 国産</t>
  </si>
  <si>
    <t>B0FJ2HVBTL</t>
  </si>
  <si>
    <t>リポソームショット クレンジングブースター 180ml シャンプー前の頭皮ケア</t>
  </si>
  <si>
    <t>B0FZ3Y7QNM</t>
  </si>
  <si>
    <t>カビキラー 防カビジェル お試しセット 本体＋つけかえ2個 やさしいフローラル 約6週間持続 浴室用 防カビ剤 黒カビ予防 お風呂に置くだけ ジェルタイプ 簡単防カビ バス用品 まとめ買い</t>
  </si>
  <si>
    <t>B0H7LCTPH8</t>
  </si>
  <si>
    <t>【5種セット】いなば トッパーまぜて ちゅ~るボール (10g×3袋) 合計5袋セット 犬用 おやつ トッパー ドックフード アソート バラエティ</t>
  </si>
  <si>
    <t>B0FCB8NRRT</t>
  </si>
  <si>
    <t>リッツ リバイバル うるおい玉 EGF フリーズドライ 美容液 無添加 無香料 6回分 エイジングケア</t>
  </si>
  <si>
    <t>B08F5BDMFL</t>
  </si>
  <si>
    <t>サンライズ ゴン太の歯磨き専用ガムSSサイズ L8020乳酸菌入り クロロフィル入り 低脂肪 120g 2袋セット(60本)</t>
  </si>
  <si>
    <t>B0DJ33JRVV</t>
  </si>
  <si>
    <t>いなば ちゅ~る 軟骨・野菜バラエティ 20本 総合栄養食 犬用おやつ</t>
  </si>
  <si>
    <t>B09V2K6W2V</t>
  </si>
  <si>
    <t>【セット品】レノア 煮沸レベル超消臭 抗菌ビーズ 爽快クール 本体400mL＋詰め替え990mL 2点セット 涼感リフレッシュクールの香り 衣類消臭 香り付け 縦型・ドラム式対応</t>
  </si>
  <si>
    <t>B0HG1DQL38</t>
  </si>
  <si>
    <t>ペティオ (Petio) 犬猫用マット 電気を使わない アルミ＆ジェル ソフトクールマット 2L</t>
  </si>
  <si>
    <t>B0CXJHK4WN</t>
  </si>
  <si>
    <t>B0D6RBGR2D</t>
  </si>
  <si>
    <t>【セット品】クーリア もっちもちシール 6種セット クラウドポップタイム・えながのおいしいごはん・おやすみバニー・なかよしうみあにまる・ゆるかふぇびより・ふわふわぽっぷ デコレーションシール ぷっくりシール まとめ買い</t>
  </si>
  <si>
    <t>B0HBSVXZ7C</t>
  </si>
  <si>
    <t>【セット品】トップ クリアリキッド 抗菌 本体 840g＋超特大 つめかえ用 1420g セット 洗濯洗剤 液体洗剤 100時間抗菌 微香性 フレッシュフローラル すすぎ1回対応 部屋干し 合計2260g</t>
  </si>
  <si>
    <t>B0HG5QSD5D</t>
  </si>
  <si>
    <t>コスメテックスローランド エアリー&amp;イージー グロッシーヘアワックス100g×2個</t>
  </si>
  <si>
    <t>B0BLXZ3CSD</t>
  </si>
  <si>
    <t>B0BLY4DVK7</t>
  </si>
  <si>
    <t>ユニ・チャーム グラン・デリサッポロポテトつぶベジ 20g</t>
  </si>
  <si>
    <t>B0DK98BX8W</t>
  </si>
  <si>
    <t>デビフ おすわりくん 超小粒 ササミ ７５ｇ ×４袋セット 犬用 おやつ</t>
  </si>
  <si>
    <t>B0DQ889RZT</t>
  </si>
  <si>
    <t>サンライズ ゴン太の歯磨き専用ガムSSサイズ L8020乳酸菌入り ブルーベリー味 120g 3袋セット 犬用</t>
  </si>
  <si>
    <t>B0DQ85XG66</t>
  </si>
  <si>
    <t>【セット品】ペティオ (Petio) ハッピークリーン 本体 300ml 詰め替え 250ml 犬・猫ペット臭さ 消臭&amp;除菌EX 除菌スプレー 消臭スプレー</t>
  </si>
  <si>
    <t>B0FXG1TTTC</t>
  </si>
  <si>
    <t>GOAT'S MILK ゴートミルク ソープ 6個セット スイートベビーパウダーの香り 固形せっけん石鹸</t>
  </si>
  <si>
    <t>B0D6GCKFCP</t>
  </si>
  <si>
    <t>【3個セット】アースノーマット 1プッシュ式スプレー 200回分 蚊取りスプレー 1日1プッシュ 約200日分 無香料 電気・電池不要 室内用 蚊対策 玄関 リビング 寝室 まとめ買い</t>
  </si>
  <si>
    <t>B0H7R8MMWB</t>
  </si>
  <si>
    <t>レノア ハピネス 夢ふわタッチ 柔軟剤 アンティークローズ 本体 ディズニーコラボデザイン 400mL</t>
  </si>
  <si>
    <t>B0D4VCHF7T</t>
  </si>
  <si>
    <t>ロイヤルカナン BHN プードル 子犬用 800g ドッグフード ドライ シーフード</t>
  </si>
  <si>
    <t>B0D6RPKQDW</t>
  </si>
  <si>
    <t>【セット品】アタックZERO ドラム式専用 本体570g＋詰め替え1460g セット 花王 洗濯洗剤 液体 洗濯槽まで消臭 部屋干し 生乾き臭対策 抗菌 大容量 詰替え ドラム式洗濯機専用 Attack ZERO</t>
  </si>
  <si>
    <t>B0HBZTFFTG</t>
  </si>
  <si>
    <t>ペッツルート (Petz Route) もっと虫よけ エリアスマイル 70日 S うさぎ 超小型犬・小型犬の散歩用</t>
  </si>
  <si>
    <t>B0F2SN45YZ</t>
  </si>
  <si>
    <t>肌ラボ 極潤 ハリパーフェクトゲル 高機能オールインワン 無香料 100 グラム 【医薬部外品】</t>
  </si>
  <si>
    <t>B09C86L9JT</t>
  </si>
  <si>
    <t>アース・ペット スタミノール 関節ケア 100g ×２本セット 犬 サプリ</t>
  </si>
  <si>
    <t>B0DGY3DVHQ</t>
  </si>
  <si>
    <t>クーリア シールバインダー とうめいシールバインダー ホワイト 01064</t>
  </si>
  <si>
    <t>B0FL25CNBG</t>
  </si>
  <si>
    <t>ロイヤルカナン FHN インドア ロングヘアー 猫用 キャットフード ドライ（オリジナルおしぼりセット） (400g)</t>
  </si>
  <si>
    <t>B0D226Y7VQ</t>
  </si>
  <si>
    <t>【まとめ買い】ハイスキン ぷるっとワセリン ハイスキンモイストジェル N フローラル 190g 3個セット オールインワンジェル 保湿ジェル ワセリン配合 保湿 顔 全身 スキンケア 日本製</t>
  </si>
  <si>
    <t>B0HB3894P3</t>
  </si>
  <si>
    <t>クーリア バインダー ボンボンドロップシールバインダーセット ナイトミャウ 01224</t>
  </si>
  <si>
    <t>B0GSQ2Q1RY</t>
  </si>
  <si>
    <t>ショーワグローブ【食品衛生法適合】ナイスハンド きれいな手 つかいきりグローブ 天然ゴム 100枚入 L 1函 ホワイト 左右兼用 粉なし</t>
  </si>
  <si>
    <t>B0BCGZP3JN</t>
  </si>
  <si>
    <t>Earth Pharmaceutical アース製薬 イヤな虫 ゼロデナイト 6～8畳用x2本</t>
  </si>
  <si>
    <t>B0C2P37K82</t>
  </si>
  <si>
    <t>Intex Underwater Play Sticks</t>
  </si>
  <si>
    <t>B00764ROYI</t>
  </si>
  <si>
    <t>クーリア シール スペシャルもっちもちシール ハムハムエンジェル 01195</t>
  </si>
  <si>
    <t>B0G488MRHS</t>
  </si>
  <si>
    <t>B0G488RGW2</t>
  </si>
  <si>
    <t>クーリア シール ボンボンドロップシール ミニ しずくちゃん うるおいちゃん 04283</t>
  </si>
  <si>
    <t>B0FW4HK2PT</t>
  </si>
  <si>
    <t>【5種セット】 いなば トッパーまぜて ちゅ〜るボール 5種 各2袋 計10袋 (まぐろ/かつお/とりささみ/まぐろかつお節味/とりささみ本格だし) 猫 おやつ キャットフード アソート まとめ買い</t>
  </si>
  <si>
    <t>B0FV7XQ74Y</t>
  </si>
  <si>
    <t>クーリア バインダー マイシールバインダー こびとづかん 集合 04810</t>
  </si>
  <si>
    <t>B0GSQ9KN3R</t>
  </si>
  <si>
    <t>クーリア シール エターナルジュエリークラウンシール トゥインクルクラウン 01057</t>
  </si>
  <si>
    <t>B0FL28QWGY</t>
  </si>
  <si>
    <t>肌ラボ 白潤プレミアム 薬用浸透美白乳液 [医薬部外品] 140ミリリットル (x 1)</t>
  </si>
  <si>
    <t>B08WS9L34F</t>
  </si>
  <si>
    <t>クーリア シール ボンボンドロップシール うぃっしゅボンボン 01214</t>
  </si>
  <si>
    <t>B0GSQHT9VX</t>
  </si>
  <si>
    <t>【まとめ買い】プライバシー UVパウダー SPF50+ PA++++ メイクの上から使えるUV 2個セット 日焼け止めパウダー UVカット テカリ防止 化粧直し 紫外線対策 黒龍堂</t>
  </si>
  <si>
    <t>B0HB31Z1Y8</t>
  </si>
  <si>
    <t>【セット品】いなば とろみ 3種アソート 80g×6個セット とりささみ 野菜入り 牛肉入り 犬用 ウェットフード ドッグフード 国産 レトルト ごはん おかず 水分補給 シニア犬 小型犬 まとめ買い (6)</t>
  </si>
  <si>
    <t>B0H6FMF7TC</t>
  </si>
  <si>
    <t>ニチドウ 毛玉クリーン60g (3袋)</t>
  </si>
  <si>
    <t>B0DJCX5CCW</t>
  </si>
  <si>
    <t>アタックZERO アタック液体史上 最高の清潔力。無菌レベルの消臭力 部屋干し ワンハンドタイプ</t>
  </si>
  <si>
    <t>B0CWL9YQ9R</t>
  </si>
  <si>
    <t>猫専用 おいしい納豆菌 かつお味 幼猫～高齢猫用 ふりかけ 80g</t>
  </si>
  <si>
    <t>B01B21BACW</t>
  </si>
  <si>
    <t>ペティオ (Petio) プレシャンテ ネイルカッター ストッパー付 犬用</t>
  </si>
  <si>
    <t>B00IHQIS9Y</t>
  </si>
  <si>
    <t>B0DK4ZC16Z</t>
  </si>
  <si>
    <t>クーリア シール キラシャカジュエリーシール きらりんエナガマーチ 01210</t>
  </si>
  <si>
    <t>B0GSQHDKNZ</t>
  </si>
  <si>
    <t>B0GSQGJVRH</t>
  </si>
  <si>
    <t>【セット品】レノア 超消臭 爽快COOL 涼感リフレッシュクールの香り 本体450mL＋詰め替え1265mL 超特大 2点セット 柔軟剤 抗菌</t>
  </si>
  <si>
    <t>B0HG1F5B7T</t>
  </si>
  <si>
    <t>クーリア バインダー ボンボンドロップシールバインダーセット きらりんエナガマーチ 01223</t>
  </si>
  <si>
    <t>B0GSQHQRV7</t>
  </si>
  <si>
    <t>【セット販売】銀のスプーン にっぽんSelect とろリッチ 2種のアソート 焼津産まぐろ節使用＆枕崎産かつお節使用（6g×8本）×5コ</t>
  </si>
  <si>
    <t>B09CCJ41XF</t>
  </si>
  <si>
    <t>レノア 超消臭1WEEK 柔軟剤 SPORTS フレッシュシトラスの香り 詰め替え 1900mL [大容量]</t>
  </si>
  <si>
    <t>B0DVSJZ4FN</t>
  </si>
  <si>
    <t>B0H61YN1J2</t>
  </si>
  <si>
    <t>糸ようじ 小林製薬の スルッと入るタイプ Y字型 狭い歯間にも入りやすい フロス&amp;ピック デンタルフロス 大容量 32本入 小林製薬</t>
  </si>
  <si>
    <t>B0CH9ZH48V</t>
  </si>
  <si>
    <t>B0H3KR3XH9</t>
  </si>
  <si>
    <t>クマさんのジェルクッション L</t>
  </si>
  <si>
    <t>B09ZB57CVL</t>
  </si>
  <si>
    <t>熱冷却シート 大人・子供兼用 16枚入×5個</t>
  </si>
  <si>
    <t>B09SKW71Z7</t>
  </si>
  <si>
    <t>B09SKZJLCB</t>
  </si>
  <si>
    <t>【2個セット】アイスノン ICE KING 極冷えボディミスト 金木犀の香り 150mL×2個 冷却ミスト ボディ用 夏 保冷 スポーツ 熱中症</t>
  </si>
  <si>
    <t>B0D9XP3W5N</t>
  </si>
  <si>
    <t>わんわん チョイあげ 国産 バラエティセット アソート 犬用 おやつ (14種)</t>
  </si>
  <si>
    <t>B0FCB839T7</t>
  </si>
  <si>
    <t>【セット品】クーリア キラリンウォーターシール 6種セット スイートピンクタイム ハムハムエンジェル シュガーミエル シーグラスアイランド もちえなが キャンディツインズ デコシール 手帳シール コラージュ</t>
  </si>
  <si>
    <t>B0HBT7BPCT</t>
  </si>
  <si>
    <t>ペッツルート もっと虫よけエリアスマイル 60日M こあら</t>
  </si>
  <si>
    <t>B0D4DPY659</t>
  </si>
  <si>
    <t>B0GXN9CDT3</t>
  </si>
  <si>
    <t>B0GXMTZGHS</t>
  </si>
  <si>
    <t>クーリア シール エターナルジュエリークラウンシール フェアリーブルーコア 01056</t>
  </si>
  <si>
    <t>B0FL2D7M2S</t>
  </si>
  <si>
    <t>B0FM3PZ2SB</t>
  </si>
  <si>
    <t>ables(アブレス) 猫ハウス キャットハウス secret base ベーカリーバッグ 爪とぎ付き</t>
  </si>
  <si>
    <t>B0CHVNF9PJ</t>
  </si>
  <si>
    <t>【まとめ買い】熱冷却シート 大人・子供兼用 16枚入×3個セット 冷却シート 日本製 10時間冷却 発熱 冷感シート ジェルシート おでこ用 家庭用 常備用 急な発熱 暑さ対策 48枚（16枚×3）</t>
  </si>
  <si>
    <t>B0H9X3NL5X</t>
  </si>
  <si>
    <t>クーリア シール スペシャルもっちもちシール パクっとモグモグフード 01194</t>
  </si>
  <si>
    <t>B0G48D3D95</t>
  </si>
  <si>
    <t>肌ラボ 極潤 ヒアルロン酸 化粧水 ヒアルロン酸3種配合 大容量ポンプタイプ 400ml</t>
  </si>
  <si>
    <t>B074GY15HN</t>
  </si>
  <si>
    <t>熱冷却シート 大人・子供兼用 16枚入</t>
  </si>
  <si>
    <t>B09LQP2343</t>
  </si>
  <si>
    <t>クーリア バインダー マイシールバインダー こびとづかん カクレモモジリチラシ 04808</t>
  </si>
  <si>
    <t>B0GSQJBZ71</t>
  </si>
  <si>
    <t>(白元アース)アイスノン シャツミスト ミントの香り 大容量 300ml（お買い得2個セット）</t>
  </si>
  <si>
    <t>B073DXFR9B</t>
  </si>
  <si>
    <t>ケアセラ(CareCera) APフェイス&amp;ボディ乳液 大容量本体 400ml (セラミドプラス×7種の天然型セラミド配合)</t>
  </si>
  <si>
    <t>B0CC5JWFMK</t>
  </si>
  <si>
    <t>柳屋ヘアリキッド微香性シトラス240ml</t>
  </si>
  <si>
    <t>B000FQORGW</t>
  </si>
  <si>
    <t>[BANDAI] 鬼滅の刃 DX日輪刀 ~胡蝶しのぶ~</t>
  </si>
  <si>
    <t>B08X2H18TS</t>
  </si>
  <si>
    <t>【セット品】トップ クリアリキッド 抗菌 本体 840g＋つめかえ用 900g セット 洗濯洗剤 液体洗剤 100時間抗菌 微香性 フレッシュフローラル すすぎ1回対応 部屋干し</t>
  </si>
  <si>
    <t>B0HG5MGBBW</t>
  </si>
  <si>
    <t>アース・バイオケミカル スタミノール 子いぬ・子ねこ用 100g</t>
  </si>
  <si>
    <t>B09Z2V4W29</t>
  </si>
  <si>
    <t>クーリア バインダー バッグマイシールバインダー スイートピンクタイム 01113</t>
  </si>
  <si>
    <t>B0FRS8Q4SR</t>
  </si>
  <si>
    <t>B0GRSV7W2Z</t>
  </si>
  <si>
    <t>肌ラボ 極潤 ヒアルロン酸 化粧水 ヒアルロン酸3種配合 詰替用 170ml</t>
  </si>
  <si>
    <t>B074GY15HH</t>
  </si>
  <si>
    <t>B08C1CSYJK</t>
  </si>
  <si>
    <t>ハミング消臭実感 ローズガーデンの香り 詰め替え 400ml</t>
  </si>
  <si>
    <t>B08XY8NHV4</t>
  </si>
  <si>
    <t>B0G7FL945C</t>
  </si>
  <si>
    <t>クーリア バインダー バッグマイシールバインダー きらりんエナガマーチ 01114</t>
  </si>
  <si>
    <t>B0FRS9RLPL</t>
  </si>
  <si>
    <t>いなば ちゅ~る 水分補給 とりささみ ビーフミックス味 20本 犬用おやつ</t>
  </si>
  <si>
    <t>B0C2BV491C</t>
  </si>
  <si>
    <t>ペティオ (Petio) 猫用おもちゃ とぎぐるみ 組み替えられるハニワポール</t>
  </si>
  <si>
    <t>B0BX2RL7ZX</t>
  </si>
  <si>
    <t>ペッツルート (Petz Route) もっと虫よけ エリアスマイル 140日 M くま 中型犬・大型犬の散歩用</t>
  </si>
  <si>
    <t>B0F2SL3945</t>
  </si>
  <si>
    <t>[DERMASHARE] 美容液 スティック バーム バクチオール エイジングケア 高保湿 容量13g ダーマシェア</t>
  </si>
  <si>
    <t>B0F9DZL2MG</t>
  </si>
  <si>
    <t>ミツエイ MAGNOLIA FRAGRANCE BLOOM ファブリックリフレッシャー 350ml オリジナルスパウトパウチ付き 消臭スプレー 除菌99.9％ 布製品用スプレー 衣類 ソファ カーテン 寝具 芳香 消臭 除菌 マグノリアフレグランスブルーム 本体</t>
  </si>
  <si>
    <t>B0H5QMNR9N</t>
  </si>
  <si>
    <t>【まとめ買い】トップ クリアリキッド つめかえ用 500g × 3袋セット 合計1500g 衣料用 液体洗剤 アクアフローラルの香り すすぎ1回対応</t>
  </si>
  <si>
    <t>B0HG4LCDMM</t>
  </si>
  <si>
    <t>アリエール 液体 1720g 漂白剤レベル洗浄 エリそで＆くすみ 洗濯洗剤 詰め替え</t>
  </si>
  <si>
    <t>B0FCFK55ZK</t>
  </si>
  <si>
    <t>抗菌セレブにゃんこ毛布</t>
  </si>
  <si>
    <t>B0BJTKTP1S</t>
  </si>
  <si>
    <t>デビフ 鶏肉&amp;さつまいも 150g×3個 【まとめ買い】150グラム (x 3)</t>
  </si>
  <si>
    <t>B09XXSMK31</t>
  </si>
  <si>
    <t>ショーワグローブ(Showaglove) 【ニトリル手袋・使いきり手袋】No.882 ニトリスト・タッチ 100枚入 ブルー Mサイズ 1函 左右兼用 食品衛生法適合 パウダーフリー ラテックスフリー</t>
  </si>
  <si>
    <t>B009KHWMDM</t>
  </si>
  <si>
    <t>B0DB26NNNR</t>
  </si>
  <si>
    <t>ペティオ (Petio)犬用食器 Porta 木目調 陶器食器 S</t>
  </si>
  <si>
    <t>B08XBHLDW9</t>
  </si>
  <si>
    <t>B0DKX9B2TS</t>
  </si>
  <si>
    <t>B0GXMH2SLH</t>
  </si>
  <si>
    <t>ペッツルート (Petz Route) もっと虫よけ エリアスマイル 70日 M くま 中型犬・大型犬の散歩用</t>
  </si>
  <si>
    <t>B0F2SHJW4P</t>
  </si>
  <si>
    <t>クーリア バインダー キラキラシールバインダー デイジー 01281</t>
  </si>
  <si>
    <t>B0GTN92Y74</t>
  </si>
  <si>
    <t>B0GTNG6XZR</t>
  </si>
  <si>
    <t>クーリア バインダー キラキラシールバインダー リボンA 01278</t>
  </si>
  <si>
    <t>B0GTN9B64K</t>
  </si>
  <si>
    <t>ソフラン エアリス LION ライオン ソフランエアリス バルコニー 本体 480ml</t>
  </si>
  <si>
    <t>B0BXBQ71WB</t>
  </si>
  <si>
    <t>天然温泉の素 美肌の湯 （30g×2個入）×3袋セット</t>
  </si>
  <si>
    <t>B009T2J9NY</t>
  </si>
  <si>
    <t>ソフラン エアリス プールサイド (ネモフィラ＆ウォーターリリーの香り) 柔軟剤 本体 480ml 1</t>
  </si>
  <si>
    <t>B0BXBPLT8T</t>
  </si>
  <si>
    <t>J スーパーハードジェル330g</t>
  </si>
  <si>
    <t>B000FQORYY</t>
  </si>
  <si>
    <t>アドメイト (ADD. MATE) リールリードアドバンス Mサイズ ブルー</t>
  </si>
  <si>
    <t>B07GVMH1BB</t>
  </si>
  <si>
    <t>B07K6SWJCM</t>
  </si>
  <si>
    <t>はだまも お肌の虫よけ ミスト コールマン 60ml 虫除けスプレー 持ち運び 朝使って夜まで 虫よけスプレー 蚊 トコジラミ キャンプ アウトドア</t>
  </si>
  <si>
    <t>B0DTPCTQTJ</t>
  </si>
  <si>
    <t>B0F2D4N7YQ</t>
  </si>
  <si>
    <t>Seabreeze シーブリーズ SEA BREEZE アイスドライシャンプー 95g 水のいらないシャンプー クール 夏 サラサラ 洗い流し不要 スプレー 簡単 リフレッシュ 清涼感</t>
  </si>
  <si>
    <t>B0F3CGTSL2</t>
  </si>
  <si>
    <t>クーリア バインダー キラキラシールバインダー ハートA 01282</t>
  </si>
  <si>
    <t>B0GTN71Q6N</t>
  </si>
  <si>
    <t>クーリア シール プレミアムオーロラスポンジシール マジカルウィッシュ 91151</t>
  </si>
  <si>
    <t>B0DSPH9P9F</t>
  </si>
  <si>
    <t>B0FVVCKSGS</t>
  </si>
  <si>
    <t>クーリア シール プレミアムオーロラスポンジシール スイートハニークラウド 91150</t>
  </si>
  <si>
    <t>B0DSPJF5G1</t>
  </si>
  <si>
    <t>クーリア シール プレミアムオーロラスポンジシール おやすみバニー 91148</t>
  </si>
  <si>
    <t>B0DSPNW2GB</t>
  </si>
  <si>
    <t>クーリア シール プレミアムオーロラスポンジシール エアリーチュチュ 91149</t>
  </si>
  <si>
    <t>B0DSPLJ25P</t>
  </si>
  <si>
    <t>日立マクセル 3.5型 フロッピーディスク COLOR CLUB MFHD18CC.22P</t>
  </si>
  <si>
    <t>B0000ACBA8</t>
  </si>
  <si>
    <t>柳屋本店 ヘアトニック 微香性シトラス240ml 【HTRC3】</t>
  </si>
  <si>
    <t>B000FQORIA</t>
  </si>
  <si>
    <t>B08V51YHQR</t>
  </si>
  <si>
    <t>マルカン お散歩ボトルトップ ピンク 犬用</t>
  </si>
  <si>
    <t>B000TI6994</t>
  </si>
  <si>
    <t>B07HQXNB5T</t>
  </si>
  <si>
    <t>マルカン お散歩ボトルトップ ブルー 犬用</t>
  </si>
  <si>
    <t>B000TI9N74</t>
  </si>
  <si>
    <t>シッカロールキュア 140g</t>
  </si>
  <si>
    <t>B000V2FG38</t>
  </si>
  <si>
    <t>B01M5CTWHH</t>
  </si>
  <si>
    <t>本島椿 純椿油プッシュタイプ 65ml</t>
  </si>
  <si>
    <t>B001V7WMLG</t>
  </si>
  <si>
    <t>B0HBBLP112</t>
  </si>
  <si>
    <t>花王(Kao) KAO キーピング アイロン用スムーザー ハンディスプレー</t>
  </si>
  <si>
    <t>B002RK8YO0</t>
  </si>
  <si>
    <t>天然成分入浴剤 つるつる 美肌の湯 2袋入 二股ラジウム温泉の湯の華</t>
  </si>
  <si>
    <t>B002VTK0OY</t>
  </si>
  <si>
    <t>ダンロップ ホームプロダクツ ゴム手袋 使い捨て 天然ゴム 極薄 ホワイト S 調理 掃除 洗濯 介護 食堂 50枚入</t>
  </si>
  <si>
    <t>B002WGTO52</t>
  </si>
  <si>
    <t>B07TVLNJMW</t>
  </si>
  <si>
    <t>ダンロップ ホームプロダクツ ゴム手袋 使い捨て 天然ゴム 極薄 ホワイト M 調理 掃除 洗濯 介護 食堂 50枚入</t>
  </si>
  <si>
    <t>B002WGVRSY</t>
  </si>
  <si>
    <t>ワンピースフィルム ストロングワールド 【DVD】</t>
  </si>
  <si>
    <t>B003OMWLEE</t>
  </si>
  <si>
    <t>ペティオ (Petio) プレシャンテ スキバサミ ペット用</t>
  </si>
  <si>
    <t>B004VK6M2A</t>
  </si>
  <si>
    <t>B0DK4Z3FV1</t>
  </si>
  <si>
    <t>ペティオ (Petio) プレシャンテ ダブルブラッシングブラシ 長毛犬・長毛猫用 M サイズ</t>
  </si>
  <si>
    <t>B004VK6R4I</t>
  </si>
  <si>
    <t>B016W85MAQ</t>
  </si>
  <si>
    <t>ペティオ (Petio) プレシャンテ ネイルカッター ハサミ式 犬用</t>
  </si>
  <si>
    <t>B004VK7CYC</t>
  </si>
  <si>
    <t>LUX(ラックス) ラックス バイオフュージョン ダメージディフェンス シャンプー ポンプ 250g</t>
  </si>
  <si>
    <t>B006YJUZH4</t>
  </si>
  <si>
    <t>B0G64V6N5F</t>
  </si>
  <si>
    <t>ジェックス ピュアクリスタル 軟水化フィルター 犬用 2個入</t>
  </si>
  <si>
    <t>B007KE1TPY</t>
  </si>
  <si>
    <t>B07C1YZXPS</t>
  </si>
  <si>
    <t>XMARKIKRF-WH</t>
  </si>
  <si>
    <t>B008V6D5M0</t>
  </si>
  <si>
    <t>B01DK6WL48</t>
  </si>
  <si>
    <t>ショーワグローブ(Showaglove) 【ニトリル手袋・使いきり手袋】No.882 ニトリスト・タッチ 100枚入 ブルー Lサイズ 1函 左右兼用 食品衛生法適合 パウダーフリー ラテックスフリー</t>
  </si>
  <si>
    <t>B009KI3DFM</t>
  </si>
  <si>
    <t>ショーワグローブ(Showaglove) 【ニトリル手袋・使いきり手袋】No.882 ニトリスト・タッチ 100枚入 ブルー Sサイズ 1函 左右兼用 食品衛生法適合 パウダーフリー ラテックスフリー</t>
  </si>
  <si>
    <t>B009KI64XK</t>
  </si>
  <si>
    <t>ショーワグローブ 【パウダーフリー】No.882 ニトリスト・タッチ 100枚入 ブルー SSサイズ 1函</t>
  </si>
  <si>
    <t>B00BES4SDW</t>
  </si>
  <si>
    <t>ショーワグローブ 【パウダーフリー】No.882 ニトリスト・タッチ 100枚入 ブルー LLサイズ 1函</t>
  </si>
  <si>
    <t>B00BES4T40</t>
  </si>
  <si>
    <t>【まとめ買い】キーピング アイロン用 スムーザー つめかえ用 ×2セット</t>
  </si>
  <si>
    <t>B00H4QPH2E</t>
  </si>
  <si>
    <t>いなば とろみ とりささみ 80g 24個セット</t>
  </si>
  <si>
    <t>B00HVQ3ENQ</t>
  </si>
  <si>
    <t>いなば とろみ とりささみ 牛肉入り 80g 24個セット</t>
  </si>
  <si>
    <t>B00HVQ3EPE</t>
  </si>
  <si>
    <t>B0FT7Q25TP</t>
  </si>
  <si>
    <t>チョイあげ 犬用おやつ ヒョロささみチーズ 60グラム (x 3) (まとめ買い)</t>
  </si>
  <si>
    <t>B00W3AXUAM</t>
  </si>
  <si>
    <t>スターウォーズ/フォースの覚醒 Star Wars The Force Awakens ザー・ブラック・シアリーズ The Black Series - グアビアン・エンフォーサー・シックス・インチ・フィガー GUAVIAN ENFORCER 6 Inch Figure [並行輸入品]</t>
  </si>
  <si>
    <t>B00WO09XRK</t>
  </si>
  <si>
    <t>いなば とろみ 缶 とりささみ 野菜入り 80g×24缶</t>
  </si>
  <si>
    <t>B00X555XYA</t>
  </si>
  <si>
    <t>LUCIDO-L(ルシードエル) オイルトリートメント #EXヘアオイル リッチモイスチャー</t>
  </si>
  <si>
    <t>B012MF1OT6</t>
  </si>
  <si>
    <t>B0CGVL4GZZ</t>
  </si>
  <si>
    <t>ミノン薬用ヘアシャンプー つめかえ用 380mL ヘアシャンプー 敏感肌 かゆみ フケ 保湿 乾燥対策 弱酸性 低刺激性 【医薬部外品】</t>
  </si>
  <si>
    <t>B0132TF3NO</t>
  </si>
  <si>
    <t>B0HC23VCDD</t>
  </si>
  <si>
    <t>バブ ピースフルハーブ 12錠入(4種類×3錠) 炭酸 入浴剤 薬用 [医薬部外品]</t>
  </si>
  <si>
    <t>B013SPZS2S</t>
  </si>
  <si>
    <t>B0DHSC99D3</t>
  </si>
  <si>
    <t>エレコム ワイヤレス トラックボールマウス EX-G 握りの極み 6ボタン チルトホイール（左右スクロール） ブラック M-XT3DRBK</t>
  </si>
  <si>
    <t>B016QCPNUW</t>
  </si>
  <si>
    <t>B0CHYHN8CS</t>
  </si>
  <si>
    <t>Schick(シック) ハイドロ5プレミアム パワーセレクト 5枚刃 ホルダー(刃付き+替刃1コ入) 髭剃り カミソリ 男性用</t>
  </si>
  <si>
    <t>B019606FIA</t>
  </si>
  <si>
    <t>B0CXYCG6PL</t>
  </si>
  <si>
    <t>コスメテックスローランド ロッシモイストエイド マッサージ コールドクリームN 300g (メイク落とし リフトアップ 美容)</t>
  </si>
  <si>
    <t>B01CXMRX02</t>
  </si>
  <si>
    <t>B0BJ6FQJMQ</t>
  </si>
  <si>
    <t>ボナカジャパン KB-F ツールエプロン</t>
  </si>
  <si>
    <t>B01CY7CDGK</t>
  </si>
  <si>
    <t>いなば 【セット販売】チャオ ちゅ～る まぐろ＆贅沢サーモン （14g×4本）×6コ[ちゅーる]</t>
  </si>
  <si>
    <t>B01DLX1VZA</t>
  </si>
  <si>
    <t>ママクック 犬用 おやつ フード トッピング フリーズドライのササミ 150g 国産</t>
  </si>
  <si>
    <t>B01DN6ZIGI</t>
  </si>
  <si>
    <t>アルカリイオン 水素水 1本入り</t>
  </si>
  <si>
    <t>B01GZQ2XYI</t>
  </si>
  <si>
    <t>【３個セット】アルカリイオン 水素水　500ｍｌペットボトル約180～200本分製水</t>
  </si>
  <si>
    <t>B01J4BVX06</t>
  </si>
  <si>
    <t>ワイド ハイター クリア ヒーロー</t>
  </si>
  <si>
    <t>B01MR6LG3R</t>
  </si>
  <si>
    <t>ペロQ ２種×１６本 計３２本</t>
  </si>
  <si>
    <t>B01N4NRDEP</t>
  </si>
  <si>
    <t>ニチドウ 香り長持ちシャンプー ローズ</t>
  </si>
  <si>
    <t>B071W69ZKT</t>
  </si>
  <si>
    <t>B07TFVJC4Y</t>
  </si>
  <si>
    <t>ビオレu 【大容量】 つめかえ用4回分 1.35リットル (x 1)</t>
  </si>
  <si>
    <t>B0743GXHY6</t>
  </si>
  <si>
    <t>B0BZVZRJM8</t>
  </si>
  <si>
    <t>肌ラボ 濃い極潤 オールインワン パーフェクトゲル ヒアルロン酸×スクワラン×セラミド×サクラン配合 100g</t>
  </si>
  <si>
    <t>B074DYTBQ6</t>
  </si>
  <si>
    <t>B0H2LKRRHF</t>
  </si>
  <si>
    <t>アイリスオーヤマ 電気毛布 敷き 洗える 140×80cm ダニ退治 シングル キャンプ 節電 省エネ スライド温度調整 フランネル ふわふわ 敷き毛布 EHB-F1480-DT カラー×サイズ EHB-F1480-DT ダークブラウン [並行輸入品]</t>
  </si>
  <si>
    <t>B074P2HDPJ</t>
  </si>
  <si>
    <t>B0G2BJ6QNV</t>
  </si>
  <si>
    <t>ペティオ (Petio) あったか 着るブランケット ブラウン ペット用 L サイズ</t>
  </si>
  <si>
    <t>B076V2ZSBF</t>
  </si>
  <si>
    <t>B0771CR32R</t>
  </si>
  <si>
    <t>ペティオ (Petio) あったか 着るブランケット ピンク ペット用 L サイズ</t>
  </si>
  <si>
    <t>B076V62149</t>
  </si>
  <si>
    <t>トモダ(Tomoda) 玩具 しゃぼん玉 楽しく学べるシャボン玉 バブル シャボン玉 外遊び 実験</t>
  </si>
  <si>
    <t>B077VKWV58</t>
  </si>
  <si>
    <t>肌ラボ 白潤 薬用美白化粧水 つめかえ用 美白成分3種配合 170ミリリットル (x 1)</t>
  </si>
  <si>
    <t>B079RF1XJJ</t>
  </si>
  <si>
    <t>B0G6344546</t>
  </si>
  <si>
    <t>肌ラボ 白潤 薬用美白化粧水 しっとりタイプ つめかえ用 美白成分3種配合 170ミリリットル (x 1)</t>
  </si>
  <si>
    <t>B079RMZPK3</t>
  </si>
  <si>
    <t>B0B46CWYZJ</t>
  </si>
  <si>
    <t>アイメディア(Aimedia) 風呂水ポンプまとめてキレイ 3回分 風呂洗剤 洗濯機 風呂水 給水ポンプ ホース 洗浄剤 ヌメリ フィルター</t>
  </si>
  <si>
    <t>B07B9C6FZV</t>
  </si>
  <si>
    <t>B0FFSP2CLJ</t>
  </si>
  <si>
    <t>[モレーンコーポレーション] 取出しやすい 医療用品メーカー 食品衛生法適合 グレイシアハイジーン XS 125枚入り 調理用 ニトリルグローブ ニトリルゴム手袋 ニトリル手袋 青 パウダーフリー ラテックスフリー グローブ 作業用</t>
  </si>
  <si>
    <t>B07BGSTT34</t>
  </si>
  <si>
    <t>B0CVQJ7F5D</t>
  </si>
  <si>
    <t>何も入れないささみだけのたま伝説 70g×6個セット</t>
  </si>
  <si>
    <t>B07DZWTQ8B</t>
  </si>
  <si>
    <t>キュキュット Kyukyutto 【まとめ買い】 食器用洗剤 粉末 グレープフルーツの香り 食洗機用 クエン酸効果 詰め替え 550g × 3個</t>
  </si>
  <si>
    <t>B07F6J8KX1</t>
  </si>
  <si>
    <t>B0FTGH59QM</t>
  </si>
  <si>
    <t>花王 アイロン用キーピング 衣料用のり剤 ハンディスプレー 400ml 1個 + つめかえ用 350ml 2個</t>
  </si>
  <si>
    <t>B07FP2S7RZ</t>
  </si>
  <si>
    <t>LUCIDO(ルシード) -L(ルシードエル) オイルトリートメント #EXヘアリペアオイル アルガンオイル 洗い流さないトリートメント 単品 60ミリリットル (x 1)</t>
  </si>
  <si>
    <t>B07GF4LJ3D</t>
  </si>
  <si>
    <t>B0CCV4NMB3</t>
  </si>
  <si>
    <t>信長の野望・大志 パワーアップキット</t>
  </si>
  <si>
    <t>B07GY9VZC2</t>
  </si>
  <si>
    <t>B07NVW8G2M</t>
  </si>
  <si>
    <t>アイリスオーヤマ 電気毛布 掛け 洗える 60×120cm 電気ひざ掛け ダニ退治 セミダブル ダブル キャンプ 節電 省エネ スライド温度調整 掛け毛布 EBK-1206-ZR 赤×黒チェック</t>
  </si>
  <si>
    <t>B07HJL9ZGH</t>
  </si>
  <si>
    <t>エレコム WiFi 無線LAN ルーター 11ac ac2600 1733+800Mbps IPv6対応 トレンドマイクロセキュリティ 3階建/4LDK デュアルバンド WRC-2533GST2</t>
  </si>
  <si>
    <t>B07J3G43L1</t>
  </si>
  <si>
    <t>KATE(ケイト) ケイト ナチュラル ジェル プロテクションエキスパート 化粧下地 SPF50+/PA+++ 30グラム (x 1)</t>
  </si>
  <si>
    <t>B07NPNRNBC</t>
  </si>
  <si>
    <t>メイベリン シャインコンパルジョン</t>
  </si>
  <si>
    <t>ミューズメン石鹸 × 3個セット</t>
  </si>
  <si>
    <t>B07PS1FXBH</t>
  </si>
  <si>
    <t>ピュオーラ 泡で出てくるハミガキ マイルドタイプ 190ml 口臭/歯周病予防 [医薬部外品] (研磨剤無配合)</t>
  </si>
  <si>
    <t>B07PXDKFTR</t>
  </si>
  <si>
    <t>B07QZYGRSD</t>
  </si>
  <si>
    <t>アイスノン シャツミスト エキストラミントの香り 大容量 つめかえ用 × 2個セット</t>
  </si>
  <si>
    <t>B07Q49Q3VP</t>
  </si>
  <si>
    <t>B0CZJJ3HRW</t>
  </si>
  <si>
    <t>アイスノン シャツミスト エキストラミントの香り 大容量 つめかえ用 × 4個セット 280ミリリットル (x 4)</t>
  </si>
  <si>
    <t>B07Q5DDZQW</t>
  </si>
  <si>
    <t>Kong(コング) 猫用おもちゃ コングキャットヤーニマルズ オレンジ M サイズ</t>
  </si>
  <si>
    <t>B07Q6NCPZS</t>
  </si>
  <si>
    <t>LUCIDO-L(ルシードエル) オイルトリートメント #EXヘアオイル シアーグロス アルガンオイル 洗い流さないトリートメント 透明感あふれるツヤ 60ミリリットル (x 1)</t>
  </si>
  <si>
    <t>B07W82Q5V7</t>
  </si>
  <si>
    <t>B0CCTZ3YP1</t>
  </si>
  <si>
    <t>らくハピ いれるだけバブルーン トイレボウル × 6個セット</t>
  </si>
  <si>
    <t>B07XLJ28GX</t>
  </si>
  <si>
    <t>ヤーマン 洗顔ブラシ ミーゼ mysé クレンズリフト ローズ MS70R</t>
  </si>
  <si>
    <t>B07YC8CJ3Y</t>
  </si>
  <si>
    <t>【セット販売】銀のスプーン 三ツ星グルメ おやつ にっぽんSelect 2種のアソートとろリッチ まぐろ節使用＆かつお節使用 48g（6g×8本）×5コ</t>
  </si>
  <si>
    <t>B0828QWPYH</t>
  </si>
  <si>
    <t>【医薬部外品】デオナチュレ 足指さらさらクリーム 足用 直ヌリ 制汗剤 クリーム クリーム1個</t>
  </si>
  <si>
    <t>B083LX5VMB</t>
  </si>
  <si>
    <t>PCA所得税</t>
  </si>
  <si>
    <t>B0842R98VL</t>
  </si>
  <si>
    <t>帝人フロンティア 3D着圧サポーター 女性用レギンス 1枚入り ブラックM</t>
  </si>
  <si>
    <t>B0844GSPPP</t>
  </si>
  <si>
    <t>帝人フロンティア 3D着圧サポーター 男性用レギンス 1枚入り ブラックM</t>
  </si>
  <si>
    <t>B0844PNTH7</t>
  </si>
  <si>
    <t>帝人フロンティア 3D着圧サポーター 女性用レギンス 1枚入り ブラックL</t>
  </si>
  <si>
    <t>B0844WFL3F</t>
  </si>
  <si>
    <t>さらふあ マスク用とりかえシート [５０枚入り] 日本製</t>
  </si>
  <si>
    <t>B085FY17QH</t>
  </si>
  <si>
    <t>【旧型モデル】KATE(ケイト) ケイト スキンカバーフィルターファンデーション 00 明るく透明感のある肌 13g</t>
  </si>
  <si>
    <t>B085Q77F7B</t>
  </si>
  <si>
    <t>B0CZTJJ88C</t>
  </si>
  <si>
    <t>【3個セット】カルシウムイオン水 【日本製】カルシュウム原料10%増量 天然成分100％の原材料使用　独自製法スーパートルマリン配合PH7.5～8.6 (カートリッジ1本で500mLボトル120～150本分製水)</t>
  </si>
  <si>
    <t>B0867JPKTD</t>
  </si>
  <si>
    <t>いなば ちゅ~るごはん とりささみ・ビーフバラエティ 20本 犬用おやつ</t>
  </si>
  <si>
    <t>B086YFC21V</t>
  </si>
  <si>
    <t>B09245VRJL</t>
  </si>
  <si>
    <t>サラテクト 虫よけシート 虫よけウェットティッシュ [BIGサイズシート 20枚入]×4個</t>
  </si>
  <si>
    <t>B08794LB41</t>
  </si>
  <si>
    <t>サラテクト 虫よけシート 虫よけウェットティッシュ [BIGサイズシート 20枚入]×5個</t>
  </si>
  <si>
    <t>B0899BJL52</t>
  </si>
  <si>
    <t>ニベア ロイヤルブルーリップ しっとりなめらかタイプ【医薬部外品】 リップクリーム 2g</t>
  </si>
  <si>
    <t>B08CB75NZ3</t>
  </si>
  <si>
    <t>B08CL5FQJT</t>
  </si>
  <si>
    <t>ニベア ロイヤルブルーリップ しっとりもっちりタイプ【医薬部外品】 リップクリーム 2g</t>
  </si>
  <si>
    <t>B08CB7BQP9</t>
  </si>
  <si>
    <t>アイメディア(Aimedia) 静電気防止スプレー 300ml 62着分 日本製 クリーニング屋さん品質 パチパチ対策 花粉対策 静電気対策 無香料</t>
  </si>
  <si>
    <t>B08CZWJNYV</t>
  </si>
  <si>
    <t>B0G7HWSWHK</t>
  </si>
  <si>
    <t>HP 有線ゲームヘッドフォン Xbox One ヘッドセット サラウンドサウンド RGB LED照明 ノイズアイソレーション オーバーイヤーゲームヘッドセット 調節可能なマイク付き PS4 Xbox One Nintendo Switch PC ノートパソコン用 (ブラック)</t>
  </si>
  <si>
    <t>B08J1NDTZ7</t>
  </si>
  <si>
    <t>【2個セット】リセッシュ 除菌ＥＸ デオドラントパワー 香りが残らないタイプ つめかえ用 特大サイズ 680ml</t>
  </si>
  <si>
    <t>B08MC2J6ZW</t>
  </si>
  <si>
    <t>Shark シャーク 充電式サイクロンスティッククリーナー CH966J ブルージーン</t>
  </si>
  <si>
    <t>B08T19TKZ6</t>
  </si>
  <si>
    <t>B0FZ5DZPML</t>
  </si>
  <si>
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</t>
  </si>
  <si>
    <t>B08T73PJG6</t>
  </si>
  <si>
    <t>B08W9VCBNG</t>
  </si>
  <si>
    <t>柳屋 ヘアトニック 微香性シトラス240ml 【HTRC3】</t>
  </si>
  <si>
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</si>
  <si>
    <t>B08VXZPJYQ</t>
  </si>
  <si>
    <t>B0B27LM3SY</t>
  </si>
  <si>
    <t>GEX ピュアクリスタル プチ 静かな水の流れ 静音 活性炭フィルター1枚付き フィルター式給水器 ホワイト 犬用 800mL</t>
  </si>
  <si>
    <t>B08W2YP4WK</t>
  </si>
  <si>
    <t>B0BGY94CQP</t>
  </si>
  <si>
    <t>肌ラボ 白潤プレミアム 薬用浸透美白化粧水(ボトル170ml)</t>
  </si>
  <si>
    <t>B08WSHPTWZ</t>
  </si>
  <si>
    <t>B0CX3KL3RR</t>
  </si>
  <si>
    <t>遊戯王OCG デュエルモンスターズ PREMIUM PACK プレミアム パック 2021</t>
  </si>
  <si>
    <t>B08X98W9NF</t>
  </si>
  <si>
    <t>チームファイブ TEAMFIVE TFマウスガードDFR</t>
  </si>
  <si>
    <t>B096YCL4YG</t>
  </si>
  <si>
    <t>LUCIDO-L(ルシードエル) オイルトリートメント #EXヘアオイル うねり・くせケア</t>
  </si>
  <si>
    <t>B09BHPY74H</t>
  </si>
  <si>
    <t>B0G63VBVTD</t>
  </si>
  <si>
    <t>INTEX(インテックス) フィルターカートリッジ 2個セット</t>
  </si>
  <si>
    <t>B09BTN7DNJ</t>
  </si>
  <si>
    <t>[山善] 電気毛布 敷き 電気敷毛布 (130×80cm) (丸洗い可能) (ダニ対策機能) (温度調節機能) ホワイト×ベージュ YMS-16</t>
  </si>
  <si>
    <t>B09C1PH1WZ</t>
  </si>
  <si>
    <t>B0G1B8B8ZR</t>
  </si>
  <si>
    <t>50の恵 コラーゲン養潤液プレミアム つめかえ用【医薬部外品】 癒しのオリーブシトラスの香り 200 ミリリットル</t>
  </si>
  <si>
    <t>B09C73X1L2</t>
  </si>
  <si>
    <t>B0B9GLZLVQ</t>
  </si>
  <si>
    <t>肌ラボ 極潤 薬用ハリ乳液 【医薬部外品】 無香料 140 ミリリットル</t>
  </si>
  <si>
    <t>B09C7N8CLJ</t>
  </si>
  <si>
    <t>50の恵 コラーゲン養潤液プレミアム 高保湿オールインワン 癒しのオリーブシトラスの香り 【医薬部外品】 230ml</t>
  </si>
  <si>
    <t>B09C7PDGGM</t>
  </si>
  <si>
    <t>ペロQ 犬用おやつ ビーフ&amp;チーズ（4本） チキン&amp;ミルク（4本）まとめ買い【8本セット】</t>
  </si>
  <si>
    <t>B09FZ8P3W4</t>
  </si>
  <si>
    <t>BRUNO コンパクトフロア空気清浄機 ホワイト ブルーノ 空気清浄機 小型 おしゃれ 花粉対策 花粉 除菌 脱臭 BOE081-WH</t>
  </si>
  <si>
    <t>B09J1QDK12</t>
  </si>
  <si>
    <t>B09HQKV3DQ</t>
  </si>
  <si>
    <t>リベルタ カビ取り剤 【弱酸性デイリーカビ退治】カビダッシュ防カビ・抗菌プラス 排水口 パイプクリーナー ゴムパッキン 浴室 お風呂 リニューアル</t>
  </si>
  <si>
    <t>B09L1H1CCH</t>
  </si>
  <si>
    <t>M-GAMING USBマイクロフォン Thronmax ROSA EDITION ピンク MG-M4R</t>
  </si>
  <si>
    <t>B09L7QD1HP</t>
  </si>
  <si>
    <t>Diane(ダイアン) 【携帯用】 ドライシャンプー (水のいらないシャンプー) フレッシュマンゴー&amp;ムスクの香り ダイアン パーフェクトビューティー 40g</t>
  </si>
  <si>
    <t>B09RK5KS2J</t>
  </si>
  <si>
    <t>B0H86SZ78H</t>
  </si>
  <si>
    <t>お部屋の虫キラー フマキラー(Fumakilla) 1発ジェット</t>
  </si>
  <si>
    <t>B09ST434D7</t>
  </si>
  <si>
    <t>【肌にやさしい】フィリップス 電動シェーバー 5000シリーズ 電動 髭剃り メンズ (27枚刃・回転式・お風呂剃り&amp;丸洗い可) S5445/03 ブラック 【Amazon.co.jp限定】</t>
  </si>
  <si>
    <t>B09TPSTJLV</t>
  </si>
  <si>
    <t>B0G2XYFY5M</t>
  </si>
  <si>
    <t>レック バルサン ダニ捕りシート ダニーノ (24枚入) 捕獲したダニごと捨てる H00392</t>
  </si>
  <si>
    <t>B09W8N2JH2</t>
  </si>
  <si>
    <t>B09W98WQXW</t>
  </si>
  <si>
    <t>ハズブロ(HASBRO) スター・ウォーズ ブラックシリーズ ダース・ベイダー プレミアム エレクトロニックヘルメット F8103 スター・ウォーズ:オビ=ワン・ケノービロールプレイアイテム 電動</t>
  </si>
  <si>
    <t>B09WWSX3GB</t>
  </si>
  <si>
    <t>B0GMFK57X8</t>
  </si>
  <si>
    <t>デビフ 鶏肉&amp;チーズ 150g×3個 【まとめ買い】 150グラム (x 3)</t>
  </si>
  <si>
    <t>B09XXTB2XR</t>
  </si>
  <si>
    <t>肌ラボ 白潤薬用美白化粧水しっとりタイプ つめかえ用 170mL 2</t>
  </si>
  <si>
    <t>フィリップス 電動シェーバー 9000シリーズ なめらかに深剃り</t>
  </si>
  <si>
    <t>B0B6J14CSV</t>
  </si>
  <si>
    <t>B0FV8SDV7N</t>
  </si>
  <si>
    <t>フィリップス 9000 シリーズ メンズ 電動シェーバー 電気シェーバー 髭剃り 72枚刃・360-Dフレックスヘッド・パーソナル フィット シェイビング/SkinIQテクノロジー S9697/31【2022年モデル】</t>
  </si>
  <si>
    <t>B0B6J1MLCK</t>
  </si>
  <si>
    <t>オーシャントリコ シークレットメイク BBクリーム ナチュラル 30ｇ</t>
  </si>
  <si>
    <t>B0B7WQ9Y46</t>
  </si>
  <si>
    <t>Philips(フィリップス) HX6803/72(ライトブルー) ソニッケアー プロテクトクリーン</t>
  </si>
  <si>
    <t>B0B9WR58RY</t>
  </si>
  <si>
    <t>【旧型モデル】KATE(ケイト)ピンポイントカラースナイパー GN</t>
  </si>
  <si>
    <t>B0BBGW4K9W</t>
  </si>
  <si>
    <t>B0BJKC5DC5</t>
  </si>
  <si>
    <t>ラボン(Lavons) トゥザムーン to the Moon 柔軟剤 トワイライトマジックの香り 500ml</t>
  </si>
  <si>
    <t>B0BCVFMLGJ</t>
  </si>
  <si>
    <t>B0FNQZT93N</t>
  </si>
  <si>
    <t>極みのAg+抗菌綿棒 紙の個包装 100本入×15個</t>
  </si>
  <si>
    <t>B0BD43NW2J</t>
  </si>
  <si>
    <t>B0BD428L2F</t>
  </si>
  <si>
    <t>ラボン(Lavons) トゥザムーン to the Moon ベッドルーム&amp;ファブリックミスト トワイライトマジックの香り 300ml</t>
  </si>
  <si>
    <t>B0BD8LHBR4</t>
  </si>
  <si>
    <t>B0H2LX49KK</t>
  </si>
  <si>
    <t>ニベア ロイヤルブルーボディクリーム 薬用うるおい密封ケア 160g 〔医薬部外品〕【無香料・無着色】【肌荒れ、ひびを防ぐ抗炎症成分配合】 本体</t>
  </si>
  <si>
    <t>B0BDRZBJLH</t>
  </si>
  <si>
    <t>B0F32T7TS4</t>
  </si>
  <si>
    <t>コスメテックスローランド 柑橘王子 薬用メラノサーチクリーム【医薬部外品】180mL</t>
  </si>
  <si>
    <t>B0BFC89KYF</t>
  </si>
  <si>
    <t>ONPO(温泡) 炭酸 入浴剤 [80錠入] 詰め合わせ (森・ゆず・桃・ローズ) 血行促進 肩のこり 腰痛 緩和 医薬部外品</t>
  </si>
  <si>
    <t>B0BHDCQND4</t>
  </si>
  <si>
    <t>B0CLNLRX8G</t>
  </si>
  <si>
    <t>蓄熱着る毛布 S</t>
  </si>
  <si>
    <t>B0BJTPYT7X</t>
  </si>
  <si>
    <t>蓄熱着る毛布 M</t>
  </si>
  <si>
    <t>B0BJTWBXVP</t>
  </si>
  <si>
    <t>Diane Be True(ダイアン ビートゥルー) ボディミルク [グリーン&amp;ムスクの香り] リラックス リッチモイスチャー 本体 400ml 無添加</t>
  </si>
  <si>
    <t>B0BKSPC5SK</t>
  </si>
  <si>
    <t>B0F9WRKWJR</t>
  </si>
  <si>
    <t>B0BLGHWBVT</t>
  </si>
  <si>
    <t>ShotNavi Evolve PRO(ショットナビ) ブラック 大画面カラー液晶 最新GPSチップ「M10」 GPSゴルフナビ ゴルフ距離計 ゴルフウォッチ 競技利用OK FF</t>
  </si>
  <si>
    <t>B0BLS3HVDZ</t>
  </si>
  <si>
    <t>B0BTLX9DDW</t>
  </si>
  <si>
    <t>クーリア [シール帳]マイシールバインダー/ガールズコラゾン ユニコーン</t>
  </si>
  <si>
    <t>B0BNQ1WFF9</t>
  </si>
  <si>
    <t>Bulldog(ブルドッグ) オリジナル 替刃(4コ入) 髭剃り カミソリ</t>
  </si>
  <si>
    <t>B0BS3K6D56</t>
  </si>
  <si>
    <t>B0FTSPWQC3</t>
  </si>
  <si>
    <t>フィリップス 電動シェーバー 5000シリーズ やさしく剃れる</t>
  </si>
  <si>
    <t>B0BSFHF9JQ</t>
  </si>
  <si>
    <t>距離計 ショットナビ(Shot Navi) ゴルフ 距離測定器 距離計 時計 ナビ GPS GPSナビ みちびき ショットナビ エヴォルヴ プロ Shot Navi Evolve PRO</t>
  </si>
  <si>
    <t>【医薬部外品】ニベアＵＶ 薬用ジェル_ほてりを防ぐ消炎剤配合（ＳＰＦ３５／ＰＡ＋＋＋）</t>
  </si>
  <si>
    <t>B0BTRNFDZG</t>
  </si>
  <si>
    <t>【医薬部外品】ニベアＵＶ 薬用エッセンス_ほてりを防ぐ消炎剤配合（ＳＰＦ３５／ＰＡ＋＋＋）</t>
  </si>
  <si>
    <t>B0BTSB7VL4</t>
  </si>
  <si>
    <t>LUX(ラックス) バスグロウ トリートメント 本体 490g ストレート&amp;シャイン うねり補整 ケラチン配合</t>
  </si>
  <si>
    <t>B0BV96M8B5</t>
  </si>
  <si>
    <t>B0D73FG8ZX</t>
  </si>
  <si>
    <t>LUX(ラックス) バスグロウ シャンプー 本体 490g ストレート&amp;シャイン うねり補整 ケラチン配合</t>
  </si>
  <si>
    <t>B0BV9CXK2X</t>
  </si>
  <si>
    <t>フラワーブロッサム 本体</t>
  </si>
  <si>
    <t>ブラウン(Braun) ボディグルーマー PRO X XT5300-b ボディ ボディシェーバー 自然な長さに整える/剃り上げる 進化した4Dブレード カッティングエリアの面積が2倍に 腕 指 脚 ワキ デリケートゾーン 顔 6つのアタッチメント ボディ トリマー 【Amazon.co.jp 限定】</t>
  </si>
  <si>
    <t>B0BY19X8S3</t>
  </si>
  <si>
    <t>B0HFVJD97Z</t>
  </si>
  <si>
    <t>B0H6FLWPNM</t>
  </si>
  <si>
    <t>Nike メンズ トレーナー</t>
  </si>
  <si>
    <t>B0BYHVBBKN</t>
  </si>
  <si>
    <t>B0CN54V1JD</t>
  </si>
  <si>
    <t>Nike メンズ ダウンシフター 12 シューズ、ブラック/ブラック (Dm0919-002)、9 ワイド, ブラック、ダークスモークグレー-パーティクルグレー, 9 Wide</t>
  </si>
  <si>
    <t>B0BYRCK3YF</t>
  </si>
  <si>
    <t>B0C3X5WM97</t>
  </si>
  <si>
    <t>Nike ダウンシフター12 4E (DM0919-002)_8, ブラック/Dk スモークグレー-パーティクルグレー, 8 Wide</t>
  </si>
  <si>
    <t>B0BYRD6F86</t>
  </si>
  <si>
    <t>白瑠 アイセラム 15g</t>
  </si>
  <si>
    <t>B0BYYX4TM6</t>
  </si>
  <si>
    <t>パナソニック ラムダッシュPRO メンズシェーバー 5枚刃 全自動洗浄充電器 充電中でも剃れる シルバー ES-LV7J-S</t>
  </si>
  <si>
    <t>B0BZXL5DZ7</t>
  </si>
  <si>
    <t>B0C3CBZRWS</t>
  </si>
  <si>
    <t>パナソニック ラムダッシュPRO メンズシェーバー 5枚刃 充電中でも剃れる シルバー ES-LV5J-S</t>
  </si>
  <si>
    <t>B0BZXVF56J</t>
  </si>
  <si>
    <t>ゴミ袋 取っ手付き ポリ袋 Lサイズ 300枚×2個セット 乳白 縦48cm×横25.5cm マチ13.5cm 取り出しやすい コンパクト 収納 ごみ袋</t>
  </si>
  <si>
    <t>B0C27GG96R</t>
  </si>
  <si>
    <t>[ナイキ] ワイドシューズ (エクストラワイド-4E) オールアバウトワイドシューズ</t>
  </si>
  <si>
    <t>柑橘王子 メラノサーチVitaC洗顔 120g</t>
  </si>
  <si>
    <t>B0C3YTGLHD</t>
  </si>
  <si>
    <t>B0GYF533B3</t>
  </si>
  <si>
    <t>クマさんのジェルクッション M</t>
  </si>
  <si>
    <t>B0C3ZK69B1</t>
  </si>
  <si>
    <t>【旧型モデル】ケイト リップモンスター 104</t>
  </si>
  <si>
    <t>B0C4GBW2CR</t>
  </si>
  <si>
    <t>フィリップス 電動シェーバー 5000シリーズ ワンランク上の快適な深剃り</t>
  </si>
  <si>
    <t>B0C57Z1XL4</t>
  </si>
  <si>
    <t>B0DVC1CQST</t>
  </si>
  <si>
    <t>B0C5812GDQ</t>
  </si>
  <si>
    <t>レイス(Race) ちいかわ はがせるマニキュア3本セット 230410</t>
  </si>
  <si>
    <t>B0C5X3DVGM</t>
  </si>
  <si>
    <t>B0H5VK7LCM</t>
  </si>
  <si>
    <t>ラボン(Lavons) トゥザムーン to the Moon ベッドルーム&amp;ファブリックミスト トワイライトマジックの香り 詰め替え 大容量 600ml</t>
  </si>
  <si>
    <t>B0C6JP73C6</t>
  </si>
  <si>
    <t>ブラウン メンズシェーバー シリーズ5 51-W1200S-V</t>
  </si>
  <si>
    <t>B0C7GG37QV</t>
  </si>
  <si>
    <t>アイスノン 爆冷スプレー 無香料 大容量 冷却スプレー 3本セット</t>
  </si>
  <si>
    <t>B0C7KPZQPS</t>
  </si>
  <si>
    <t>L'Oreal Paris(ロレアルパリ) ウォーター トリートメント ジャンボサイズ</t>
  </si>
  <si>
    <t>B0C7VP75S6</t>
  </si>
  <si>
    <t>B0BS625WVW</t>
  </si>
  <si>
    <t>HX6877/56(ホワイト) ソニッケアー プロテクトクリーン プレミアム</t>
  </si>
  <si>
    <t>B0C8HBC8Q7</t>
  </si>
  <si>
    <t>ファブリーズ 消臭芳香剤 消臭+抗菌 トイレ用 ナチュラル・マウンテン・エア 6.3mLｘ2個</t>
  </si>
  <si>
    <t>B0CB65C7W3</t>
  </si>
  <si>
    <t>ファブリーズ 消臭芳香剤 消臭+抗菌 トイレ用 フレッシュ・クリーン・ラベンダー 6.3mLｘ2個</t>
  </si>
  <si>
    <t>B0CB65N8RC</t>
  </si>
  <si>
    <t>ファブリーズ 消臭芳香剤 消臭+抗菌 トイレ用 グリーン・シトラス・ガーデン 6.3mLｘ2個</t>
  </si>
  <si>
    <t>B0CB65SGYG</t>
  </si>
  <si>
    <t>ファブリーズ 消臭芳香剤 消臭+抗菌 トイレ用 ウルトラ・フレッシュ・シャボン 6.3mLｘ2個</t>
  </si>
  <si>
    <t>B0CB68MNFL</t>
  </si>
  <si>
    <t>ブラウン 電気シェーバー シリーズ8 洗浄機付き 電動 髭剃り メンズ 【Amazon.co.jp 限定】 8560cc 5 in 1 100％防水設計 4+1 カットシステム 進化したキワぞり刃 夕方ヒゲ、ゼロへ 電動シェーバー 【最新2023年秋モデル】</t>
  </si>
  <si>
    <t>B0CBPDCQLF</t>
  </si>
  <si>
    <t>B0H6FG97R1</t>
  </si>
  <si>
    <t>ペッツルート もっと虫よけエリアスマイル 60日S うさぎ</t>
  </si>
  <si>
    <t>B0CC8LTJKM</t>
  </si>
  <si>
    <t>LUCIDO-L(ルシードエル) オイルトリートメント #EXヘアオイル シアーグロス</t>
  </si>
  <si>
    <t>LUCIDO-L(ルシードエル) オイルトリートメント #EXヘアリペアオイル</t>
  </si>
  <si>
    <t>プロジェクター 小型【電動フォーカス】Lisowod 17000lm 着脱式バッテリー付き1080PフルHD WiFi6 Bluetooth5.2 プロジェクター タッチキー ズーム機能 300"大画面 4K対応家庭用プロジェクター HIFIスピーカー内蔵密閉光学設計を採用 静音projector 天井投影ホームシアターモバイルぷろじえくたーIOS/Android/パソコン/TVStick/PS5対応 日本語取扱書付き 永久修理サービス An1</t>
  </si>
  <si>
    <t>B0CCXTDV4R</t>
  </si>
  <si>
    <t>887 ニトリスト</t>
  </si>
  <si>
    <t>メンソレータムリップ フラッシュティントリップ オレンジ 2個セット (6種のオイル配合 高保湿 美発色 落ちにくい UV対策 SPF26 PA+++)</t>
  </si>
  <si>
    <t>B0CD1BX571</t>
  </si>
  <si>
    <t>B0CDW8DL65</t>
  </si>
  <si>
    <t>ナイスハンドきれいな手つかいきりグローブ</t>
  </si>
  <si>
    <t>メンソレータムリップ フラッシュティントリップ 1個</t>
  </si>
  <si>
    <t>『5袋セット』激冷えくん 熱中レスキュー ボディクールシート 鬼クール 20枚×2P レック 冷却用品</t>
  </si>
  <si>
    <t>B0CFKLQPXM</t>
  </si>
  <si>
    <t>ペティオ (Petio) 犬猫用マット 洗える やさしい手ざわりの４層あったかマットAWY Ｍ</t>
  </si>
  <si>
    <t>B0CG6DGL47</t>
  </si>
  <si>
    <t>B0CGW3YDSF</t>
  </si>
  <si>
    <t>ペティオ (Petio) 電気であたたかいペットのための厚型ソフトヒーター コントローラー付 2L</t>
  </si>
  <si>
    <t>B0CG9CRLPF</t>
  </si>
  <si>
    <t>B0DKMWS2XH</t>
  </si>
  <si>
    <t>ペティオ (Petio) 電気であたたかいペットのための厚型ソフトヒーター コントローラー付 S</t>
  </si>
  <si>
    <t>B0CG9FRPBM</t>
  </si>
  <si>
    <t>ビオレｕ ザ ボディ ぬれた肌に使うボディ乳液 金木犀の香り セット（フック+ノズル+つりさげパック300ｍｌ）お風呂場で立ったままワンプッシュボディクリーム</t>
  </si>
  <si>
    <t>B0CGRHPCQH</t>
  </si>
  <si>
    <t>B0DX1943LS</t>
  </si>
  <si>
    <t>アトリックス ハンドミルキーローション 140ｇ ハンドクリーム ハンドミルク 乳液</t>
  </si>
  <si>
    <t>B0CJFL5J9T</t>
  </si>
  <si>
    <t>B0F2M6NMWM</t>
  </si>
  <si>
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</t>
  </si>
  <si>
    <t>B0CJXT7K2T</t>
  </si>
  <si>
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 (ブルー,4枚)</t>
  </si>
  <si>
    <t>B0CJXTB1RW</t>
  </si>
  <si>
    <t>NANOX one(ナノックスワン) プロ 詰替ウルトラジャンボ1400g パウダリーソープ 菌の根幹まで遺伝子レベル洗浄で最高峰の洗浄・消臭力 洗濯洗剤 色変化防止 抗菌 ウイルス除去 洗濯槽のニオイ抑制 ダメージケア</t>
  </si>
  <si>
    <t>B0CKSBJBRP</t>
  </si>
  <si>
    <t>温泡</t>
  </si>
  <si>
    <t>【セット】ぬくっ子くつ用カイロすべり止め付5足入り×２袋セット</t>
  </si>
  <si>
    <t>B0CNW83WXS</t>
  </si>
  <si>
    <t>レック(LEC) サンリオ クロミ ウエットティシュケース 純水99.9% ウエットティシュ 付き</t>
  </si>
  <si>
    <t>B0CQP26KKQ</t>
  </si>
  <si>
    <t>B0HGMCD9SF</t>
  </si>
  <si>
    <t>B0CQQXHFQR</t>
  </si>
  <si>
    <t>レック サンリオ ウェットティッシュケース</t>
  </si>
  <si>
    <t>コールマン 虫よけ泡マーカー [不快害虫用] ハーブの香り 泡でテントを囲んで虫よせつけない! キャンプ アウトドアなどの虫よけに (アース製薬)</t>
  </si>
  <si>
    <t>B0CSCSYB94</t>
  </si>
  <si>
    <t>ファブリーズ 消臭芳香剤 トイレ用 消臭成分最高レベル フレッシュ・ブルー・シャボン 6.3mLｘ2個</t>
  </si>
  <si>
    <t>B0CSMGSZ94</t>
  </si>
  <si>
    <t>NEXXUS(ネクサス) ネクサス リペアアンドカラープロテクト ヘアオイル</t>
  </si>
  <si>
    <t>B0CTB5P54T</t>
  </si>
  <si>
    <t>B0D8NMT864</t>
  </si>
  <si>
    <t>NEXXUS(ネクサス) リペアアンドカラープロテクト トリートメント ポンプ</t>
  </si>
  <si>
    <t>B0CTB8T88Q</t>
  </si>
  <si>
    <t>B0CZS152V2</t>
  </si>
  <si>
    <t>ブラウン 電気シェーバー シリーズ5 電動 髭剃り メンズ 【Amazon.co.jp限定】 52-M1200s ミント キワゾリトリマー 防水設計 充電式 コードレス ディープキャッチ網刃 トラベルケース</t>
  </si>
  <si>
    <t>B0CTQ1XFRL</t>
  </si>
  <si>
    <t>B0H8BVK79S</t>
  </si>
  <si>
    <t>B0HCMGXGQD</t>
  </si>
  <si>
    <t>ブラウン 電気シェーバー シリーズ7 洗浄機付き 電動 髭剃り メンズ 【Amazon.co.jp限定】 72-C7500cc ヒゲトリマー チタニウムゴールド</t>
  </si>
  <si>
    <t>B0CTQBV88B</t>
  </si>
  <si>
    <t>B0HGQYGVRH</t>
  </si>
  <si>
    <t>ブラウン 電気シェーバー シリーズ7 電動 髭剃り メンズ 【Amazon.co.jp限定】 72-C1500s ヒゲトリマー チタニウムゴールド</t>
  </si>
  <si>
    <t>B0CTQDNSP7</t>
  </si>
  <si>
    <t>Diane(ダイアン) 【携帯用】 デオドラントスプレー ボディ用 ドライシャンプー [UVケア]グレープフルーツ&amp;ペパーミントの香り 40g +BODY プラスボディ 制汗 スプレー</t>
  </si>
  <si>
    <t>B0CV7GXQQ1</t>
  </si>
  <si>
    <t>B0H2V2NFK2</t>
  </si>
  <si>
    <t>Diane(ダイアン) デオドラントスプレー ボディ用 ドライシャンプー [UVケア]グレープフルーツ&amp;ペパーミントの香り 95g +BODY プラスボディ 制汗 スプレー</t>
  </si>
  <si>
    <t>B0CV7JSHCW</t>
  </si>
  <si>
    <t>アタックZERO アタック液体史上 最高の清潔力。無菌レベルの消臭力 ドラム式専用 大サイズ 本体</t>
  </si>
  <si>
    <t>B0CVL2TKZW</t>
  </si>
  <si>
    <t>B0FX9THSC9</t>
  </si>
  <si>
    <t>アタックZERO アタック液体史上 最高の清潔力。無菌レベルの消臭力 ワンハンドタイプ</t>
  </si>
  <si>
    <t>B0CVL5DS7F</t>
  </si>
  <si>
    <t>アタックZERO アタック液体史上 最高の清潔力。無菌レベルの消臭力 大サイズ 本体</t>
  </si>
  <si>
    <t>B0CVL8GXLL</t>
  </si>
  <si>
    <t>アタックZERO アタック液体史上 最高の清潔力。無菌レベルの消臭力 ドラム式専用 ワンハンドタイプ</t>
  </si>
  <si>
    <t>B0CVM8ZV39</t>
  </si>
  <si>
    <t>[モレーンコーポレーション] 取出しやすい 医療用品メーカー 食品衛生法適合 グレイシアハイジーン</t>
  </si>
  <si>
    <t>ビオレ Bioré Zｅｒｏ お風呂で使う汗ケアローション 無香性 200ｍｌ</t>
  </si>
  <si>
    <t>B0CVS37JDK</t>
  </si>
  <si>
    <t>B0G62MFZ8L</t>
  </si>
  <si>
    <t>レノア Lenor オードリュクス 香り付け専用ビーズ マインドフルネスシリーズ サンデー 詰め替え 855mL</t>
  </si>
  <si>
    <t>B0CVXCGV99</t>
  </si>
  <si>
    <t>B0GTCFXVVX</t>
  </si>
  <si>
    <t>アタックZERO アタック液体史上 最高の清潔力。無菌レベルの消臭力 部屋干し 大サイズ 本体</t>
  </si>
  <si>
    <t>B0CWKPLGB8</t>
  </si>
  <si>
    <t>ブラウン 電動歯ブラシ オーラルB 【プレミアムモデル】iO7 歯科クリーニングのような磨き上がり トラベルケース+ 替えブラシ3本付き iOM7.3V2.2K BK 防水 歯科医推奨No.1ブランド【Amazon.co.jp 限定】</t>
  </si>
  <si>
    <t>B0CX11ZTQT</t>
  </si>
  <si>
    <t>B0H4LHYTMH</t>
  </si>
  <si>
    <t>リーゼ ブリーチオンカラー フランネルフラワーベージュ</t>
  </si>
  <si>
    <t>B0CXDF85SH</t>
  </si>
  <si>
    <t>B0G628ZM5L</t>
  </si>
  <si>
    <t>リーゼ 泡ブリーチ ナチュラルトーン</t>
  </si>
  <si>
    <t>B0CXDGZGVT</t>
  </si>
  <si>
    <t>B0G62KR882</t>
  </si>
  <si>
    <t>リーゼ ブリーチオンカラー ラナンキュラスオレンジ</t>
  </si>
  <si>
    <t>B0CXDJMBSQ</t>
  </si>
  <si>
    <t>B0GY7Y7VWQ</t>
  </si>
  <si>
    <t>リーゼ ブリーチオンカラー さくらピンク</t>
  </si>
  <si>
    <t>B0CXDLHH2D</t>
  </si>
  <si>
    <t>ペティオ (Petio) 犬猫用マット 電気を使わない アルミ＆ジェル ソフトクールマット M</t>
  </si>
  <si>
    <t>B0CXHYSH9B</t>
  </si>
  <si>
    <t>ペティオ (Petio) 犬用おもちゃ ひんやりぬいぐるみ アイス</t>
  </si>
  <si>
    <t>B0CXHZ5XZD</t>
  </si>
  <si>
    <t>B0D6N3VG63</t>
  </si>
  <si>
    <t>ペティオ (Petio) 犬猫用マット 広々寝そべれるクールアルミピローシートHNZ M</t>
  </si>
  <si>
    <t>B0CXJ3Y11L</t>
  </si>
  <si>
    <t>B0D6N5XP2S</t>
  </si>
  <si>
    <t>やわらか冷感マットM</t>
  </si>
  <si>
    <t>B0CYP9BM5T</t>
  </si>
  <si>
    <t>やわらか冷感マットL</t>
  </si>
  <si>
    <t>B0CYPBRJ4H</t>
  </si>
  <si>
    <t>アリエール MiRAi 洗濯洗剤 濃縮 漂白剤級の消臭プラス* 詰め替え 約2.2倍/640g[タテ・ドラム式OK]</t>
  </si>
  <si>
    <t>B0CZX177M4</t>
  </si>
  <si>
    <t>B0F9P624XX</t>
  </si>
  <si>
    <t>アリエール MiRAi 洗濯洗剤 濃縮 漂白剤級の消臭プラス* 詰め替え 約3.2倍/920g[タテ・ドラム式OK]</t>
  </si>
  <si>
    <t>B0CZXCVH5P</t>
  </si>
  <si>
    <t>アリエール MiRAi 洗濯洗剤 濃縮 漂白剤級の消臭プラス* 詰め替え 約4.3倍/1.22kg[タテ・ドラム式OK]</t>
  </si>
  <si>
    <t>B0CZXQNBMH</t>
  </si>
  <si>
    <t>【肌にやさしい】フィリップス 電動シェーバー 9000シリーズ 洗浄機付きモデル 電動 髭剃り メンズ (72枚刃・回転式・お風呂剃り &amp; 丸洗い可・) S9980/50 アドリアブルー 【Amazon.co.jp限定】</t>
  </si>
  <si>
    <t>B0D46JFXTR</t>
  </si>
  <si>
    <t>B0F8VLPRYP</t>
  </si>
  <si>
    <t>Gyutto（ギュット） コルセットヘアマスク 200g （トステアトリートメント うねりケア 縮毛・ダメージ補修 ヘアマスク ヘアパック ヘアトリートメント）</t>
  </si>
  <si>
    <t>B0D5CMG6TL</t>
  </si>
  <si>
    <t>B0H8NGPB59</t>
  </si>
  <si>
    <t>MilagrosEyes ミラグロスアイズ つけまつげ 部分用 つけま 軽量 軽い 束感 自然 ナチュラル 部分用つけまつげ (No7)</t>
  </si>
  <si>
    <t>B0D62LZH1R</t>
  </si>
  <si>
    <t>B0D78FFZ99</t>
  </si>
  <si>
    <t>[ナイキ] コート ビジョン ロー NN W COURT VISION LO NN ブラック/ホワイト DH3158-003 日本国内正規品</t>
  </si>
  <si>
    <t>B0D6LCC76L</t>
  </si>
  <si>
    <t>[ナイキ] コート ビジョン ロー NN W COURT VISION LO NN ブラック/ホワイト DH3158-003 日本国内正規品 23.5cm</t>
  </si>
  <si>
    <t>B0D6LFJ81H</t>
  </si>
  <si>
    <t>[ナイキ] コート ビジョン ロー NN W COURT VISION LO NN ブラック/ホワイト DH3158-003 日本国内正規品 23.0cm</t>
  </si>
  <si>
    <t>B0D6LFJLHC</t>
  </si>
  <si>
    <t>Procter &amp; Gamble P&amp;G レノア 超消臭 煮沸レベル消臭 抗菌ビーズ 消臭+防カビ クリーンフレッシュ 詰替用 特大サイズ 1040mL</t>
  </si>
  <si>
    <t>B0D76J7THK</t>
  </si>
  <si>
    <t>Kindsion プロジェクター ワイヤレス LAN モジュール ELPAP10 エプソン EB-1761W EB-1771W EB-1776W EB-1970W EB-1975W EB-1985WU EB-2040 EB-S04 EB-S05 EB-S31 EB-S41 EB-U04用 EB-U0。 5、EB-W04、EB-W05。</t>
  </si>
  <si>
    <t>B0D7BYGX43</t>
  </si>
  <si>
    <t>ハミングフレア リッチフローラル詰め替え大容量2500ml</t>
  </si>
  <si>
    <t>B0D9ZG8RN4</t>
  </si>
  <si>
    <t>B0DM1RLGNW</t>
  </si>
  <si>
    <t>ニトリスト</t>
  </si>
  <si>
    <t>ブラウン 電動歯ブラシ オーラルB【電動初心者の決定版】iO2 iOS21D90BK ブラック 防水 歯科医推奨No.1ブランド【Amazon.co.jp 限定】</t>
  </si>
  <si>
    <t>B0DB48CFG7</t>
  </si>
  <si>
    <t>B0H8WHNNHB</t>
  </si>
  <si>
    <t>ハミングフレア リッチ&amp;フローラルの香りつめかえ大容量2500ml×4個【ケース販売】</t>
  </si>
  <si>
    <t>B0DBQHCZJN</t>
  </si>
  <si>
    <t>ペティオ (Petio) 猫用ベッド あったかくつろぎベッド クッション付 ネコ耳ドーム ネイビーブルー</t>
  </si>
  <si>
    <t>B0DD3WLX4K</t>
  </si>
  <si>
    <t>花王 ハミングフレア リッチフローラル 詰替 940mL</t>
  </si>
  <si>
    <t>B0DDTHXYYQ</t>
  </si>
  <si>
    <t>【6個セット】 いなばペットフード CIAO 焼本かつお 高齢猫用 かつお節味 1本</t>
  </si>
  <si>
    <t>B0DFCLML8Z</t>
  </si>
  <si>
    <t>パナソニック 電動歯ブラシ ドルツ 【Amazon.co.jp限定】 ハイグレードモデル W音波振動 歯垢除去 黒 EW-NDPD6-K</t>
  </si>
  <si>
    <t>B0DFFZZXQW</t>
  </si>
  <si>
    <t>B0H8G9LLS7</t>
  </si>
  <si>
    <t>ニチドウ Dr.PRO. ドクター・プロ ベビーミルクスーパーIGP 幼猫用 100g ×2（オリジナルおしぼり付） (2個)</t>
  </si>
  <si>
    <t>B0DGQM622X</t>
  </si>
  <si>
    <t>B0DGQMHPKQ</t>
  </si>
  <si>
    <t>【まとめ買い】アース・ペット スタミノール 食欲がない時に 犬・猫用 100g ×2個 (200g)</t>
  </si>
  <si>
    <t>B0DGQQGD2K</t>
  </si>
  <si>
    <t>アース・ペット 猫スタミノール 食欲 50g ×２本セット サプリ</t>
  </si>
  <si>
    <t>B0DGY42SR6</t>
  </si>
  <si>
    <t>バブ ナイトアロマ 12錠入(4種類×3錠) 炭酸 入浴剤 薬用 [医薬部外品]</t>
  </si>
  <si>
    <t>マイシールバインダー フルフルベアーズ</t>
  </si>
  <si>
    <t>B0DK8ZDC8J</t>
  </si>
  <si>
    <t>ファブリーズ 消臭芳香剤 車用 イージークリップ さくらフローラル 2.4mLｘ2個</t>
  </si>
  <si>
    <t>B0DKF48FLP</t>
  </si>
  <si>
    <t>B0DR8RT35T</t>
  </si>
  <si>
    <t>ドクターズチョイス ゴートミルク(ヤギミルク) 犬猫用みるく 120g ×3袋（オリジナルおしぼり付き） (3袋)</t>
  </si>
  <si>
    <t>B0DKSB8SFX</t>
  </si>
  <si>
    <t>国泰ジャパン secret base ミルクパック 交換用 爪とぎ 猫ハウス キャットハウス</t>
  </si>
  <si>
    <t>B0DM5LGBY2</t>
  </si>
  <si>
    <t>国泰ジャパン secret base ステップハウス 交換用 爪とぎ 猫ハウス キャットハウス</t>
  </si>
  <si>
    <t>B0DMF4QD8H</t>
  </si>
  <si>
    <t>Nexxus 【セット買い】(ネクサス) インテンスダメージリペア シャンプー+コンディショナー(トリートメント) 各440g 1回分おまけ付き 日本製</t>
  </si>
  <si>
    <t>B0DMZ5Q8R7</t>
  </si>
  <si>
    <t>B0DZP2Y4JX</t>
  </si>
  <si>
    <t>NEXXUS(ネクサス) 【セット買い】リペアアンドカラープロテクト シャンプー+コンディショナー(トリートメント) 各440g 1回分おまけ付き 日本製</t>
  </si>
  <si>
    <t>B0DMZNB3P1</t>
  </si>
  <si>
    <t>【セット品】日本ペットフード バーディー うずらフード １ｋｇ 鳥 フード 餌 えさ 種 穀類 (３袋)</t>
  </si>
  <si>
    <t>B0DNT5KW48</t>
  </si>
  <si>
    <t>ユニ・チャーム グランデリサッポロポテトバーベQチーズ 20g</t>
  </si>
  <si>
    <t>B0DPZ3C1WC</t>
  </si>
  <si>
    <t>クラックス カット ピースシール なっとうちゃん 127446</t>
  </si>
  <si>
    <t>B0DQ82VY54</t>
  </si>
  <si>
    <t>サンライズ ゴン太の歯磨き専用ガムSSサイズ L8020乳酸菌入り ブルーベリー味 120g 2袋セット 犬用</t>
  </si>
  <si>
    <t>B0DQ86B7G8</t>
  </si>
  <si>
    <t>ブラウン 電気シェーバー シリーズ9 SPORT 電動 髭剃り メンズ 9360cc 【Amazon.co.jp 限定】6in1アルコール洗浄システム付 シェーバーケース付 ブラック</t>
  </si>
  <si>
    <t>B0DSJB2627</t>
  </si>
  <si>
    <t>B0H8BXC94Q</t>
  </si>
  <si>
    <t>レノア アロマジュエル HOTEL お洗濯の香り付けビーズ ホワイトムスクの香り 本体 420mL</t>
  </si>
  <si>
    <t>B0DTH88H1S</t>
  </si>
  <si>
    <t>B0DYCNJYT8</t>
  </si>
  <si>
    <t>花王 ハミングFフレグランス フローラル＆スウィート2L 420633</t>
  </si>
  <si>
    <t>B0DV57G9Z1</t>
  </si>
  <si>
    <t>NEXXUS(ネクサス) インテンスダメージリペア ピーチ＆ジャスミン シャンプー トリートメント 本体セット 440g+440g</t>
  </si>
  <si>
    <t>B0DVSL2RGH</t>
  </si>
  <si>
    <t>クーリア シール ハピピチョアチョアポップシール ねこねこ 91206</t>
  </si>
  <si>
    <t>B0DVSRWNNX</t>
  </si>
  <si>
    <t>B0G2HSNX3G</t>
  </si>
  <si>
    <t>クーリア シール ハピピチョアチョアポップシール わんわん 91205</t>
  </si>
  <si>
    <t>B0DVSTCMHN</t>
  </si>
  <si>
    <t>クーリア バインダー マイシールバインダー エナガシロップ 91213</t>
  </si>
  <si>
    <t>B0DVSV4W6Q</t>
  </si>
  <si>
    <t>B0GJR88FN8</t>
  </si>
  <si>
    <t>クーリア シール ハピピチョアチョアポップシール うさうさ 91203</t>
  </si>
  <si>
    <t>B0DVSVKP1W</t>
  </si>
  <si>
    <t>クーリア バインダー マイシールバインダー フルフルパピー 91209</t>
  </si>
  <si>
    <t>B0DVSW1YS7</t>
  </si>
  <si>
    <t>ラビオーム 【ロート製薬】 バリアビオソープ 詰替 150ml (乳酸菌 弱酸性 防腐剤フリー 敏感肌パッチテスト済)</t>
  </si>
  <si>
    <t>B0DWXLFL51</t>
  </si>
  <si>
    <t>レノア アロマジュエル HOTEL お洗濯の香り付けビーズ ホワイトムスクの香り</t>
  </si>
  <si>
    <t>ファブリーズ 消臭芳香剤 玄関用 ホワイトムスクの香り 詰め替え入り本体ケース 7mL+詰め替え 7mL×2個</t>
  </si>
  <si>
    <t>B0DYHF8897</t>
  </si>
  <si>
    <t>イカリ消毒 ムシクリンカメムシ用ジャンボエアゾール 550ml×24本 殺虫剤 カメムシ 駆除 強力噴射 6ヶ月持続 屋外用</t>
  </si>
  <si>
    <t>B0DYNL9BD5</t>
  </si>
  <si>
    <t>B0DYS915XX</t>
  </si>
  <si>
    <t>ペティオ (Petio) 猫用ベッド ひんやりくつろぎベッド クッション付ネコ耳ドームHNA クールブルー</t>
  </si>
  <si>
    <t>B0DZ2G215Y</t>
  </si>
  <si>
    <t>ペティオ (Petio) 猫用ハンモック necoco広々涼めるキャットハンモックHNA グレイ＆ネイビー</t>
  </si>
  <si>
    <t>B0DZ2G6JDY</t>
  </si>
  <si>
    <t>ペティオ (Petio) 猫用ハンモック necoco広々涼めるキャットハンモックHNA ブルー＆グレイ</t>
  </si>
  <si>
    <t>B0DZ2LRXCK</t>
  </si>
  <si>
    <t>【終売品】レノア Lenor オードリュクス 柔軟剤 シダーウッド&amp;ベルガモットハーブの香り 本体 475mL</t>
  </si>
  <si>
    <t>B0DZ5M7VSV</t>
  </si>
  <si>
    <t>レノア 煮沸レベル超消臭 抗菌ビーズ SPORTS クールリフレッシュ&amp;シトラスの香り 本体 420mL 柔軟剤と一緒に使って効果長続き</t>
  </si>
  <si>
    <t>B0F2FFW7YC</t>
  </si>
  <si>
    <t>B0H2TM8PPN</t>
  </si>
  <si>
    <t>クラシエホームプロダクツ いち髪 ペアセット(なめらか) 480ml+480g</t>
  </si>
  <si>
    <t>B0F2HX697Z</t>
  </si>
  <si>
    <t>チャオ (CIAO) ちゅ~る とりささみバラエティ 14g×40本 BOX</t>
  </si>
  <si>
    <t>B0F2SPV2W1</t>
  </si>
  <si>
    <t>チャオ (CIAO) ちゅ～るごはん シニア猫用バラエティ 14g×36本 猫用おやつ BOX</t>
  </si>
  <si>
    <t>B0F2T1WVDB</t>
  </si>
  <si>
    <t>[ 公式/小林製薬 ] 熱さまシート 強冷感 大人用 冷却シート 肌にやさしい 弱酸性 12枚</t>
  </si>
  <si>
    <t>B0F3N7P243</t>
  </si>
  <si>
    <t>B0GQZ4Q7CS</t>
  </si>
  <si>
    <t>【終売品】レノア Lenor オードリュクス 柔軟剤 シダーウッド&amp;ベルガモットハーブの香り 詰め替え 680mL</t>
  </si>
  <si>
    <t>B0F4K2KJKF</t>
  </si>
  <si>
    <t>レノア P&amp;G オードリュクス 柔軟剤 シダーウッド&amp;ベルガモットハーブの香り 詰め替え 超特大 1050ml</t>
  </si>
  <si>
    <t>B0F62WSPRM</t>
  </si>
  <si>
    <t>【Amazon.co.jp限定】 タカラトミー(TAKARA TOMY) リカちゃん ドール おでかけワンピースいっぱいセット 着せ替え おままごと おもちゃ 3歳以上</t>
  </si>
  <si>
    <t>B0F65744TW</t>
  </si>
  <si>
    <t>【3個セット】アース・ペット BOTANICAL ボタニカル 虫よけスプレー 120ml×3 犬 猫 天然由来成分 なめても安心</t>
  </si>
  <si>
    <t>B0F74CPHD1</t>
  </si>
  <si>
    <t>【公式】ICY ZAP アイシーザップ ネッククーラー サマーシャーベットの香り (サマーシャーベット)</t>
  </si>
  <si>
    <t>B0F937H5MN</t>
  </si>
  <si>
    <t>【公式】ICY ZAP アイシーザップ クールドライシャンプー サマーシャーベットの香り 暑さ対策 クール 頭ひんやり スッキリ 冷感 汗対策 風呂キャンセル界隈 頭皮 身体兼用 55mL</t>
  </si>
  <si>
    <t>B0F93NYRVV</t>
  </si>
  <si>
    <t>[ショーワグローブ] ニトリル手袋・黒・使いきり手袋 No.891 ニトリスト・ブラック 100枚入 ブラック SSサイズ 1函 左右兼用 食品衛生法適合 パウダーフリー ラテックスフリー</t>
  </si>
  <si>
    <t>B0F948CN5F</t>
  </si>
  <si>
    <t>アリエール 液体 1720g 部屋干し＆スポーツ漂白剤レベル消臭 洗濯洗剤 詰め替え</t>
  </si>
  <si>
    <t>B0FBT9F7Q1</t>
  </si>
  <si>
    <t>B0GF7ZFWB4</t>
  </si>
  <si>
    <t>アリエール 液体 1720g 洗濯槽まるごと除菌＋カビ撃減 洗濯洗剤 詰め替え</t>
  </si>
  <si>
    <t>B0FCFHH3MZ</t>
  </si>
  <si>
    <t>マイシールバインダー キャンディツインズ</t>
  </si>
  <si>
    <t>B0FCS3NVMK</t>
  </si>
  <si>
    <t>B0FDKD8JWK</t>
  </si>
  <si>
    <t>P&amp;G レノア消臭抗菌ビーズMEN ムスク 特大 1040ml</t>
  </si>
  <si>
    <t>B0FD7JND1F</t>
  </si>
  <si>
    <t>LUX (ラックス) スーパーリッチクリスタル キンモクセイ シャンプー トリートメント セット 450g＋450g</t>
  </si>
  <si>
    <t>B0FF47J347</t>
  </si>
  <si>
    <t>LUX (ラックス) バスグロウ キンモクセイ リペア＆シャイン お試し容量ポンプペア シャンプー トリートメント セット 400g+400g</t>
  </si>
  <si>
    <t>B0FF4B9KDB</t>
  </si>
  <si>
    <t>アイスノン シャツミスト 白元アース 冷却スプレー 冷感スプレー ひんやり 冷たい 服にかける 消臭 除菌 暑さ対策 詰め替え 熱中症 猛暑 ミント せっけん</t>
  </si>
  <si>
    <t>【2セット】 パナソニック Panasonic 洗濯用洗浄強化剤 極ラク汚れはがし N-GY1 [900ml] キャップ付き kao 共同開発 洗たく （汚れはがし剤対応機種専用）</t>
  </si>
  <si>
    <t>B0FGMHTKKM</t>
  </si>
  <si>
    <t>パナソニック メンズ シェーバー ラムダッシュ PRO 5枚刃 電動 髭剃り ラムダッシュAI⁺ ACアダプター充電 ES-L551U-S チタンシルバー</t>
  </si>
  <si>
    <t>B0FKFXCT5X</t>
  </si>
  <si>
    <t>B0FPLHSCPV</t>
  </si>
  <si>
    <t>クーリア シール エターナルジュエリークラウンシール ダークムーンエンジェル 01058</t>
  </si>
  <si>
    <t>B0FL25FXCZ</t>
  </si>
  <si>
    <t>クーリア シール エターナルジュエリークラウンシール マジカルドリーミー 01059</t>
  </si>
  <si>
    <t>B0FL2BS87Q</t>
  </si>
  <si>
    <t>【ケース販売】アタック抗菌EX 洗濯洗剤 液体 100日間蓄積した黄ばみもつけ置き級に強力洗浄 つめかえ用 1590ｇ×6個</t>
  </si>
  <si>
    <t>B0FL7V5Z4L</t>
  </si>
  <si>
    <t>B0H82QWXW6</t>
  </si>
  <si>
    <t>フィリップス 電動歯ブラシ ソニッケアー 5500 自然な白い歯へ</t>
  </si>
  <si>
    <t>B0FMKMWLHH</t>
  </si>
  <si>
    <t>B0FTYSPMSN</t>
  </si>
  <si>
    <t>ファブリーズ レノアハピネスミスト 消臭スプレー(衣類・布用) ホワイトティーの香り 5つ星ホテル推奨 詰め替え 1240mL×6 [ケース品]</t>
  </si>
  <si>
    <t>B0FMXCTJJ1</t>
  </si>
  <si>
    <t>B0FW4M4KKG</t>
  </si>
  <si>
    <t>ファブリーズ レノアハピネスミスト 消臭スプレー(衣類・布用) ホワイトムスクの香り 5つ星ホテル推奨 詰め替え 1240mL×6 [ケース品]</t>
  </si>
  <si>
    <t>B0FMXWXWHF</t>
  </si>
  <si>
    <t>B0FPQNFSFC</t>
  </si>
  <si>
    <t>ブラウン メンズシェーバー シリーズ5 アズールブルー 防水 充電式 52-A1200s</t>
  </si>
  <si>
    <t>B0FQ3G4HYB</t>
  </si>
  <si>
    <t>クーリア バインダー バッグマイシールバインダー もふころりん／ねこ 01115</t>
  </si>
  <si>
    <t>B0FRS8BY3V</t>
  </si>
  <si>
    <t>クーリア バインダー マイシールバインダー 平成レトロファンシー キャンディツインズ 01146</t>
  </si>
  <si>
    <t>B0FRS8PB58</t>
  </si>
  <si>
    <t>クーリア バインダー マイシールバインダー ミルキーシャイキャット 01136</t>
  </si>
  <si>
    <t>B0FRS8X8M7</t>
  </si>
  <si>
    <t>クーリア バインダー バッグマイシールバインダー チャーミングルーム 01118</t>
  </si>
  <si>
    <t>B0FRS98197</t>
  </si>
  <si>
    <t>クーリア バインダー マイシールバインダー 平成レトロファンシー メモリークローバー 01147</t>
  </si>
  <si>
    <t>B0FRS9W3FT</t>
  </si>
  <si>
    <t>クーリア バインダー バッグマイシールバインダー ナイトミャウ 01117</t>
  </si>
  <si>
    <t>B0FRS9YW3T</t>
  </si>
  <si>
    <t>クーリア バインダー バッグマイシールバインダー キャンディツインズ 01116</t>
  </si>
  <si>
    <t>B0FRSBPK5W</t>
  </si>
  <si>
    <t>Bulldog(ブルドッグ) ブルドッグ 5枚刃 オリジナル バンブーホルダー</t>
  </si>
  <si>
    <t>クーリア シール キラキラおはじきシール しずくちゃん しずくちゃん 04382</t>
  </si>
  <si>
    <t>B0FW4J69P6</t>
  </si>
  <si>
    <t>B0FW4QQQF7</t>
  </si>
  <si>
    <t>クーリア シール キラキラおはじきシール しずくちゃん みるみるちゃん 04383</t>
  </si>
  <si>
    <t>B0FW4J77K2</t>
  </si>
  <si>
    <t>クーリア シール キラリンウォーターシール しずくちゃん しずくパーク 04387</t>
  </si>
  <si>
    <t>B0FW4JXFJC</t>
  </si>
  <si>
    <t>B0FW4NJ9B3</t>
  </si>
  <si>
    <t>クーリア シール キラリンウォーターシール しずくちゃん しずくの森のなかまたち 04388</t>
  </si>
  <si>
    <t>B0FW4L9BSQ</t>
  </si>
  <si>
    <t>クーリア シール キラキラおはじきシール スイートカフェ 01099</t>
  </si>
  <si>
    <t>B0FW4L9WM5</t>
  </si>
  <si>
    <t>B0FW4G8GBH</t>
  </si>
  <si>
    <t>クーリア シール キラキラおはじきシール おやすみバニー 01102</t>
  </si>
  <si>
    <t>B0FW4N2FK8</t>
  </si>
  <si>
    <t>ブラウン 電気シェーバー シリーズ9 PRO+ 電動 髭剃り 9587cc-V 2023年モデル 6in1アルコール洗浄システム・美顔器ヘッド付き シルバー</t>
  </si>
  <si>
    <t>B0FWJYG1BS</t>
  </si>
  <si>
    <t>B0H6FM1763</t>
  </si>
  <si>
    <t>B0H6FRPYWF</t>
  </si>
  <si>
    <t>【まとめ買い】エクセル セキセイインコ 主食 皮付き 1.3kg×2袋｜ナチュラルペットフーズ｜皮付きブレンド フード 餌 エサ 国産</t>
  </si>
  <si>
    <t>B0G2XTW9P2</t>
  </si>
  <si>
    <t>クーリア シール スペシャルもっちもちシール キャロットうさちゃん 01196</t>
  </si>
  <si>
    <t>B0G48D5CXZ</t>
  </si>
  <si>
    <t>P&amp;G ボールドジェルボール4D ホワイトティー ハイパージャンボ 27個</t>
  </si>
  <si>
    <t>B0G6SRWMT7</t>
  </si>
  <si>
    <t>ユニチャーム ハンディワイパー本体 ＋1枚</t>
  </si>
  <si>
    <t>B0GBTPJ63F</t>
  </si>
  <si>
    <t>P＆G ボールド ジェルボール4D 心弾けるホワイトティー＆フローラル 詰替 超メガジャンボ70個</t>
  </si>
  <si>
    <t>B0GCCS4L9K</t>
  </si>
  <si>
    <t>ビオレ おうちdeエステ ディープクレイ洗顔 １８０ｇ 毛穴 黒ずみ 毛穴汚れ 角栓 クレイ 洗顔料</t>
  </si>
  <si>
    <t>B0GL776DRB</t>
  </si>
  <si>
    <t>B0HFBG145W</t>
  </si>
  <si>
    <t>STARWARS プレミアヘルメット</t>
  </si>
  <si>
    <t>クーリア バインダー マイシールバインダー シュガーミエル 01241</t>
  </si>
  <si>
    <t>B0GSQ5TGBD</t>
  </si>
  <si>
    <t>B0GSQGRJ2G</t>
  </si>
  <si>
    <t>クーリア シール キラシャカジュエリーシール キャンディツインズ 01209</t>
  </si>
  <si>
    <t>B0GSQ5TGBM</t>
  </si>
  <si>
    <t>クーリア バインダー マイシールバインダー おやすみバニー 01242</t>
  </si>
  <si>
    <t>B0GSQ67Z26</t>
  </si>
  <si>
    <t>クーリア シール キラシャカジュエリーシール クラウドポップタイム 01205</t>
  </si>
  <si>
    <t>B0GSQ6N4ZM</t>
  </si>
  <si>
    <t>クーリア シール キラシャカジュエリーシール ナイトミャウ 01208</t>
  </si>
  <si>
    <t>B0GSQ6WXPC</t>
  </si>
  <si>
    <t>クーリア シール キラリンウォーターシール こびとづかん カクレモモジリ 04651</t>
  </si>
  <si>
    <t>B0GSQ8C7RP</t>
  </si>
  <si>
    <t>B0GSQ9NT7B</t>
  </si>
  <si>
    <t>クーリア バインダー マイシールバインダー こびとづかん カクレモモジリアップ 04807</t>
  </si>
  <si>
    <t>B0GSQ8G4Q2</t>
  </si>
  <si>
    <t>クーリア シール キラリンウォーターシール こびとづかん 集合 04650</t>
  </si>
  <si>
    <t>B0GSQ8XKB2</t>
  </si>
  <si>
    <t>クーリア シール キラシャカジュエリーシール ミータイムホーミーズ 01206</t>
  </si>
  <si>
    <t>B0GSQ98RVH</t>
  </si>
  <si>
    <t>クーリア バインダー マイシールバインダー もふころりんうさぎ 01238</t>
  </si>
  <si>
    <t>B0GSQ99VRS</t>
  </si>
  <si>
    <t>クーリア バインダー マイシールバインダー クラウドポップタイム 01243</t>
  </si>
  <si>
    <t>B0GSQCBT5P</t>
  </si>
  <si>
    <t>クーリア バインダー マイシールバインダー キャンディツインズ 01237</t>
  </si>
  <si>
    <t>B0GSQCP1MR</t>
  </si>
  <si>
    <t>クーリア バインダー マイシールバインダー エナガシロップ 01240</t>
  </si>
  <si>
    <t>B0GSQCQXXY</t>
  </si>
  <si>
    <t>クーリア バインダー マイシールバインダー もふころりん にゃんこ もふころりんねこ 01239</t>
  </si>
  <si>
    <t>B0GSQDN987</t>
  </si>
  <si>
    <t>クーリア シール キラシャカジュエリーシール フラッフィーコットンキャンディ 01207</t>
  </si>
  <si>
    <t>B0GSQJQVMG</t>
  </si>
  <si>
    <t>クーリア バインダー マイシールバインダー キャンディツインズスター 01236</t>
  </si>
  <si>
    <t>B0GSQJTCK2</t>
  </si>
  <si>
    <t>クーリア シール ボンボンドロップシール パールベール ぴんきーボンボン 01219</t>
  </si>
  <si>
    <t>B0GSQM3DY7</t>
  </si>
  <si>
    <t>B0GSQHLGMX</t>
  </si>
  <si>
    <t>クーリア バインダー キラキラシールバインダー ハート 01283</t>
  </si>
  <si>
    <t>B0GTN3DDB7</t>
  </si>
  <si>
    <t>クーリア バインダー キラキラシールバインダー デイジーA 01280</t>
  </si>
  <si>
    <t>B0GTNG34QZ</t>
  </si>
  <si>
    <t>Laundrin'(ランドリン) 【2026年】 液体 柔軟剤 フレッシュモヒート 600ml</t>
  </si>
  <si>
    <t>B0GVXQ7XPV</t>
  </si>
  <si>
    <t>B0GZK1BZGT</t>
  </si>
  <si>
    <t>Laundrin'(ランドリン) 【2026年】 液体 柔軟剤 フレッシュモヒート 詰め替え 480ml</t>
  </si>
  <si>
    <t>B0GVXVGW8J</t>
  </si>
  <si>
    <t>【2個売り】ハイペット でぐーのきわみ 300g×2個セット（合計600g）デグー専用フード 主食 国産</t>
  </si>
  <si>
    <t>B0GWM87DLG</t>
  </si>
  <si>
    <t>ケアセラ(CareCera) APフェイス&amp;ボディ乳液</t>
  </si>
  <si>
    <t>ユニ・チャーム ソフィクールフレッシュ涼感おりものシート 50枚</t>
  </si>
  <si>
    <t>B0H5QRR88Z</t>
  </si>
  <si>
    <t>ユニ・チャーム ソフィクールフレッシュ超涼感ナプキン260羽つき 14枚</t>
  </si>
  <si>
    <t>B0H5QTSBP4</t>
  </si>
  <si>
    <t>レイス サンリオキャラクターズ はがせるマニキュア 5本セット 230728</t>
  </si>
  <si>
    <t>【セット品】猫専用 おいしい納豆菌 かつお味 ササミ味 80g×4個セット 猫用おやつ 納豆菌配合 腸内環境 サポート 乳酸菌 キャットフード おやつ 猫間食 国産 (4)</t>
  </si>
  <si>
    <t>B0H6FBX2H8</t>
  </si>
  <si>
    <t>new balance(ニューバランス) ユニセックス大人 2025年以前モデルU574</t>
  </si>
  <si>
    <t>ニベア クレンジングオイル ビューティースキン 195ml×2個セット オリジナルスパウトパウチ付き メイク落とし クレンジング オイル W洗顔不要 濡れた手OK 毛穴 汚れ 角栓 ウォータープルーフ対応 スキンケア 保湿 花王</t>
  </si>
  <si>
    <t>B0H6LNW7QD</t>
  </si>
  <si>
    <t>ダイアンドライシャンプー40g</t>
  </si>
  <si>
    <t>ブラウン 電気シェーバー ミドルモデル</t>
  </si>
  <si>
    <t>ブラウン 電気シェーバー</t>
  </si>
  <si>
    <t>ギュット</t>
  </si>
  <si>
    <t>ファブリーズ 消臭・除菌 5つ星ホテル推奨 衣類・布製品用消臭剤 レノア HAPPINESS Sleep おやすみラベンダーブレンドの香り 詰め替え 1240mL×6袋 [大容量] [ケース品]</t>
  </si>
  <si>
    <t>B0H8RZXB6Z</t>
  </si>
  <si>
    <t>ユニ・チャーム ソフィクールフレッシュ超涼感おりものシート 50枚</t>
  </si>
  <si>
    <t>B0H8YRSSFK</t>
  </si>
  <si>
    <t>【まとめ買い】小林製薬 冷凍庫用 熱さまシート ストロング 大人用 12枚×3個セット 合計36枚 冷却シート 強力冷却 瞬間冷却 おでこ用 発熱 暑さ対策</t>
  </si>
  <si>
    <t>B0H9XJ4MHS</t>
  </si>
  <si>
    <t>【セット品】クーリア キラリン ウォーターシール 6種セット スイートマジカル はむはむハムちゃん チャーミングルーム きらりんエナガマーチ ももいろみるく マイスパークル キラキラ デコシール 立体シール</t>
  </si>
  <si>
    <t>B0HC1DP7RM</t>
  </si>
  <si>
    <t>ミノン薬用ヘアシャンプー</t>
  </si>
  <si>
    <t>MAPLE TREE スパウトパウチ 30mL 100枚 キャップ付き 透明 自立式 小分け容器 PE・PET</t>
  </si>
  <si>
    <t>B0HG1RQC6T</t>
  </si>
  <si>
    <t>B0HG1YMV6J</t>
  </si>
  <si>
    <t>【20枚セット】MAPLE TREE スパウトパウチ 30mL キャップ付き 透明 自立式 小分け容器 PE・PET</t>
  </si>
  <si>
    <t>B0HG1RYW8Y</t>
  </si>
  <si>
    <t>MAPLE TREE スパウトパウチ 30mL 50枚 キャップ付き 透明 自立式 小分け容器 PE・PET</t>
  </si>
  <si>
    <t>B0HG1XMBDY</t>
  </si>
  <si>
    <t>【まとめ買い】トップ クリアリキッド抗菌 つめかえ用 1420g ×2個セット 洗濯洗剤 液体洗剤 100時間抗菌 部屋干し 生乾き臭対策 フレッシュフローラルの香り すすぎ1回</t>
  </si>
  <si>
    <t>B0HG5S2C9Q</t>
  </si>
  <si>
    <t>【セット品】トップ クリアリキッド 抗菌 本体 840g＋業務用 4kg セット 洗濯洗剤 液体洗剤 大容量 100時間抗菌 微香性 フレッシュフローラル すすぎ1回対応 部屋干し 合計4840g</t>
  </si>
  <si>
    <t>B0HG5Z8MR3</t>
  </si>
  <si>
    <t>クーリア おしりマルチチャーム 全6種 コンプリートセット 開封済み アソート キーホルダー バッグチャーム コレクション マスコット キャラクター Q-LiA</t>
  </si>
  <si>
    <t>B0HG6V7QY1</t>
  </si>
  <si>
    <t>【2個セット】レノア超消臭1WEEK 柔軟剤 詰め替え 1310mL おひさまフローラルの香り 超特大 詰替え 大容量 衣類用柔軟仕上げ剤 2袋セット</t>
  </si>
  <si>
    <t>B0HG9NG2N2</t>
  </si>
  <si>
    <t>【まとめ買い】アタック抗菌EX 部屋干し用 詰め替え 1520g ×2個セット 洗濯洗剤 液体 高湿度90%密集干しでも天日干し級に強力消臭 抗菌 洗濯用洗剤 大容量 花王</t>
  </si>
  <si>
    <t>B0HGB24GYM</t>
  </si>
  <si>
    <t>【まとめ買い】花王 アタック抗菌EX 洗濯洗剤 液体 詰め替え用 1590g×2個 合計3180g 黄ばみ除去成分新配合 100日間蓄積した黄ばみもつけ置き級に強力洗浄 抗菌 防臭 洗たく槽防カビ</t>
  </si>
  <si>
    <t>B0HGB9DW51</t>
  </si>
  <si>
    <t>サンリオ ウエットティッシュ ケース 純水99% ハローキティ マイメロディ クロミ シナモロール ポムポムプリン ハンギョドン</t>
  </si>
  <si>
    <t>【セット品】クーリア ボンボンドロップシール 12種セット BONBON DROP ぷっくり 立体 ラメ 型押し 手帳 交換 デコレーション</t>
  </si>
  <si>
    <t>B0HH47LBHJ</t>
  </si>
  <si>
    <t>広告費</t>
  </si>
  <si>
    <t>■ チャネル全体 経営KPI(手数料はトランザクション実額総額)</t>
  </si>
  <si>
    <t>プロモーション費</t>
  </si>
  <si>
    <t>手数料 実額総額(トランザクション)</t>
  </si>
  <si>
    <t>その他手数料</t>
  </si>
  <si>
    <t>粗利(チャネル・実額手数料)</t>
  </si>
  <si>
    <t>合計</t>
  </si>
  <si>
    <t>限界利益(チャネル・実額手数料)</t>
  </si>
  <si>
    <t>限界利益率(チャネル・実額手数料)</t>
  </si>
  <si>
    <t>送料</t>
  </si>
  <si>
    <t>※ 商品別のK列合計(実額配賦+15%推定)は商品分析用として N列に残す。未配賦53SKU ¥90,017 は暫定</t>
  </si>
  <si>
    <t>梱包資材</t>
  </si>
  <si>
    <t>F-13 英樹確認 2026-09-21: 確認済みの0円。理由=梱包資材費は主として楽天側へまとめて計上している(Amazonで未使用の意味ではない)。チャネル比較時は配賦注記として扱う</t>
  </si>
  <si>
    <t>限界利益</t>
  </si>
  <si>
    <t>限界利益率</t>
  </si>
  <si>
    <t>7月</t>
  </si>
  <si>
    <t>BusinessReport-03-08-26.csv</t>
  </si>
  <si>
    <t>b09tdkbh5f</t>
  </si>
  <si>
    <t>88-70W1-XZMJ</t>
  </si>
  <si>
    <t>AN-6RDB-97UY</t>
  </si>
  <si>
    <t>HR-ZDMA-9O7N</t>
  </si>
  <si>
    <t>【6袋セット】ビオレ 子どもも使える冷タオル 5枚入×6袋 ノンアルコール 無香性 首かけ46cm 個包装 熱中対策 冷却タオル 暑さ対策 通学 通勤 アウトドア 花王</t>
  </si>
  <si>
    <t>B0H6XVG97Y-6</t>
  </si>
  <si>
    <t>JE-7JGP-O8IA</t>
  </si>
  <si>
    <t>B0DTPHK44D-3</t>
  </si>
  <si>
    <t>SET-0004</t>
  </si>
  <si>
    <t>9P-8PHK-967H</t>
  </si>
  <si>
    <t>pr_1296040_20260108_29191932_0001</t>
  </si>
  <si>
    <t>40-U4OH-0ZIW</t>
  </si>
  <si>
    <t>IB-0HP8-NVUP</t>
  </si>
  <si>
    <t>pr_1296040_20260704_31478674_0001</t>
  </si>
  <si>
    <t>YW-8Q00-H7PB</t>
  </si>
  <si>
    <t>OC-UGNR-32XG</t>
  </si>
  <si>
    <t>pr_1296040_20250722_27264036_0001</t>
  </si>
  <si>
    <t>L7-YRY6-S0BM</t>
  </si>
  <si>
    <t>EI-RBC3-HZC5</t>
  </si>
  <si>
    <t>AX-TLFG-J5IY</t>
  </si>
  <si>
    <t>N7-TSZM-WM23</t>
  </si>
  <si>
    <t>pr_1296040_20260705_31492490_0001</t>
  </si>
  <si>
    <t>pr_1296040_20250614_26607517_0001</t>
  </si>
  <si>
    <t>ZD-EWSU-7Q81</t>
  </si>
  <si>
    <t>pr_1296040_F_20240515_20942635_0001</t>
  </si>
  <si>
    <t>pr_1296040_20260713_31611967_0001</t>
  </si>
  <si>
    <t>pr_1296040_20260506_30678663_0001</t>
  </si>
  <si>
    <t>pr_1296040_20260330_30175449_0001</t>
  </si>
  <si>
    <t>pr_1296040_20250614_26607983_0001</t>
  </si>
  <si>
    <t>pr_1296040_F_20260306_29879681_0001</t>
  </si>
  <si>
    <t>pr_1296040_20260530_31008859_0001</t>
  </si>
  <si>
    <t>3Y-N24A-UK0M</t>
  </si>
  <si>
    <t>pr_1296040_20251007_28095111_0001</t>
  </si>
  <si>
    <t>4Q-BEQ3-8O4U</t>
  </si>
  <si>
    <t>FN-IYIY-GY9L</t>
  </si>
  <si>
    <t>ロイヤルカナン BHN プードル 成犬用 ドッグフード ドライ とり味 1.5kg (オリジナルおしぼり付き)</t>
  </si>
  <si>
    <t>pr_1296040_20250331_25224480_0001</t>
  </si>
  <si>
    <t>4970501033585-4970501033592</t>
  </si>
  <si>
    <t>pr_1296040_20241024_22931559_0001</t>
  </si>
  <si>
    <t>UE-3AOO-OEP8</t>
  </si>
  <si>
    <t>pr_1296040_20260525_30949091_0001</t>
  </si>
  <si>
    <t>pr_1296040_20260704_31478669_0001</t>
  </si>
  <si>
    <t>FP-WPBG-5O5W</t>
  </si>
  <si>
    <t>【パウダーフリー】 ショーワグローブ(Showaglove) No.887 ニトリスト・スーパーロング 50枚入 ブルー Sサイズ 1函</t>
  </si>
  <si>
    <t>pr_1296040_20260608_31128214_0001</t>
  </si>
  <si>
    <t>B01MR788HG</t>
  </si>
  <si>
    <t>8I-LUJD-9XT8</t>
  </si>
  <si>
    <t>pr_1296040_20250825_27604387_0001</t>
  </si>
  <si>
    <t>77-L6ID-CKEB</t>
  </si>
  <si>
    <t>Y6-E9R0-IBVJ</t>
  </si>
  <si>
    <t>pr_1296040_20260521_30897755_0001</t>
  </si>
  <si>
    <t>KZ-IEV8-YRS8</t>
  </si>
  <si>
    <t>pr_1296040_20250716_27203644_0001</t>
  </si>
  <si>
    <t>7O-FN6D-SNQ7</t>
  </si>
  <si>
    <t>MZ-VBRX-QWR9</t>
  </si>
  <si>
    <t>pr_1296040_20260506_30678654_0001</t>
  </si>
  <si>
    <t>DQ-HLZ4-LZW4</t>
  </si>
  <si>
    <t>LU-PGSW-4F8D</t>
  </si>
  <si>
    <t>pr_1296040_20250606_26467617_0001</t>
  </si>
  <si>
    <t>X3-3XHG-T7MP</t>
  </si>
  <si>
    <t>NU-77VB-O0EJ</t>
  </si>
  <si>
    <t>ドクターズチョイス おいしい納豆菌 粒タイプ 280グラム (x 1)</t>
  </si>
  <si>
    <t>pr_1296040_20260422_30505377_0001</t>
  </si>
  <si>
    <t>B0070AT8SS</t>
  </si>
  <si>
    <t>YA-9JKU-3QI4</t>
  </si>
  <si>
    <t>pr_1296040_20250305_24717076_0001</t>
  </si>
  <si>
    <t>4P-S07Q-OVHK</t>
  </si>
  <si>
    <t>KN-JYZS-46PP</t>
  </si>
  <si>
    <t>pr_1296040_20251120_28635041_0001</t>
  </si>
  <si>
    <t>pr_1296040_20260119_29309089_0001</t>
  </si>
  <si>
    <t>pr_1296040_20260706_31504010_0001</t>
  </si>
  <si>
    <t>XB-NJW9-U771</t>
  </si>
  <si>
    <t>VX-OENW-Q45G</t>
  </si>
  <si>
    <t>pr_1296040_20250909_27764622_0001</t>
  </si>
  <si>
    <t>チャオ (CIAO) ちゅ~るごはん とりささみバラエティ 14g×20本 猫用おやつ</t>
  </si>
  <si>
    <t>pr_1296040_20250718_27225338_0001</t>
  </si>
  <si>
    <t>B0BW99XDFZ</t>
  </si>
  <si>
    <t>pr_1296040_20260524_30934179_0001</t>
  </si>
  <si>
    <t>pr_1296040_20250628_26989382_0001</t>
  </si>
  <si>
    <t>4970501033608</t>
  </si>
  <si>
    <t>pr_1296040_20260703_31462653_0001</t>
  </si>
  <si>
    <t>pr_1296040_20251107_28435321_0001</t>
  </si>
  <si>
    <t>pr_1296040_20260329_30160722_0001</t>
  </si>
  <si>
    <t>pr_1296040_20250919_27876201_0001</t>
  </si>
  <si>
    <t>pr_1296040_20250702_27050335_0001</t>
  </si>
  <si>
    <t>pr_1296040_20250710_27144663_0001</t>
  </si>
  <si>
    <t>pr_1296040_20250804_27403446_0001</t>
  </si>
  <si>
    <t>【まとめ買い】デオタンニング 薬用ストロング ソープ 100g (医薬部外品)×8個</t>
  </si>
  <si>
    <t>pr_1296040_20260706_31504071_0001</t>
  </si>
  <si>
    <t>B07TBBCKWQ</t>
  </si>
  <si>
    <t>pr_1296040_20250324_25080454_0001</t>
  </si>
  <si>
    <t>B00J7KII1M-5</t>
  </si>
  <si>
    <t>UK-T7R5-48TX</t>
  </si>
  <si>
    <t>0Q-YO5X-HH69</t>
  </si>
  <si>
    <t>A1-ISD4-FGSX</t>
  </si>
  <si>
    <t>pr_1296040_20251119_28614839_0001</t>
  </si>
  <si>
    <t>pr_1296040_20251007_28093345_0001</t>
  </si>
  <si>
    <t>TB-VVSS-PXQ0</t>
  </si>
  <si>
    <t>pr_1296040_20260115_29264032_0001</t>
  </si>
  <si>
    <t>pr_1296040_20250516_25961072_0001</t>
  </si>
  <si>
    <t>クーリア シール ボンボンドロップシール パールベール ほわいとボンボン 01218</t>
  </si>
  <si>
    <t>pr_1296040_20260709_31555724_0001</t>
  </si>
  <si>
    <t>B0GSQCH6LW</t>
  </si>
  <si>
    <t>9H-NBAZ-EEC8</t>
  </si>
  <si>
    <t>pr_1296040_20250701_27038706_0001</t>
  </si>
  <si>
    <t>4970501033516-4</t>
  </si>
  <si>
    <t>pr_1296040_20250731_27361189_0001</t>
  </si>
  <si>
    <t>B1-ZC11-NVSZ</t>
  </si>
  <si>
    <t>pr_1296040_20250901_27678794_0001</t>
  </si>
  <si>
    <t>SET-0003</t>
  </si>
  <si>
    <t>pr_1296040_20260330_30175423_0001</t>
  </si>
  <si>
    <t>b0bwdnysh3-1</t>
  </si>
  <si>
    <t>Dyson Pure Hot + Cool</t>
  </si>
  <si>
    <t>pr_1296040_20260729_31814175_0001</t>
  </si>
  <si>
    <t>B07QFZTNT7</t>
  </si>
  <si>
    <t>B0FH59XVQC</t>
  </si>
  <si>
    <t>クーリア シール ボンボンドロップシール パールベール よるえなボンボン 01220</t>
  </si>
  <si>
    <t>pr_1296040_20260709_31555756_0001</t>
  </si>
  <si>
    <t>B0GSQJXS8J</t>
  </si>
  <si>
    <t>3182550917612-1</t>
  </si>
  <si>
    <t>BF-OXCJ-9O1M</t>
  </si>
  <si>
    <t>ペティオ (Petio)Self Trimmer 乾電池式 コードレスバリカン コンパクト</t>
  </si>
  <si>
    <t>pr_1296040_20250924_27951780_0001</t>
  </si>
  <si>
    <t>B09YCLDNCY</t>
  </si>
  <si>
    <t>UJ-G1WI-QH6T</t>
  </si>
  <si>
    <t>肌美精 【医薬部外品】 CHOI クレンジングオイル 薬用 ニキビケア 詰め替え 130ml | W洗顔不要 マツエクok クレンジング メイク落とし スキンケア 肌荒れ 殺菌 消炎 毛穴 角質 角栓 黒ずみ</t>
  </si>
  <si>
    <t>pr_1296040_20250910_27776131_0001</t>
  </si>
  <si>
    <t>B0CBLKLGX7</t>
  </si>
  <si>
    <t>B0CL8X9PD4</t>
  </si>
  <si>
    <t>クーリア シール ボンボンドロップシール パールベール きらめきボンボン 01217</t>
  </si>
  <si>
    <t>pr_1296040_20260709_31555805_0001</t>
  </si>
  <si>
    <t>B0GSQ9JR8M</t>
  </si>
  <si>
    <t>EO-DM0B-2Y91</t>
  </si>
  <si>
    <t>AN-GW4B-XYQF</t>
  </si>
  <si>
    <t>IF-0HG8-HYIH</t>
  </si>
  <si>
    <t>B06XPT9591-5</t>
  </si>
  <si>
    <t>クーリア バインダー キラキラシールバインダー リボン 01279</t>
  </si>
  <si>
    <t>pr_1296040_20260709_31556623_0001</t>
  </si>
  <si>
    <t>B0GTNJ2KMW</t>
  </si>
  <si>
    <t>pr_1296040_20260715_31629780_0001</t>
  </si>
  <si>
    <t>1F-4D7U-O7AH</t>
  </si>
  <si>
    <t>pr_1296040_20260706_31504023_0001</t>
  </si>
  <si>
    <t>pr_1296040_20250901_27678799_0001</t>
  </si>
  <si>
    <t>pr_1296040_20250718_27232966_0001</t>
  </si>
  <si>
    <t>pr_1296040_20231216_19323222_0001</t>
  </si>
  <si>
    <t>pr_1296040_20250910_27776060_0001</t>
  </si>
  <si>
    <t>3G-N5ZN-0JUH</t>
  </si>
  <si>
    <t>pr_1296040_20250722_27263156_0001</t>
  </si>
  <si>
    <t>pr_1296040_20251120_28635074_0001</t>
  </si>
  <si>
    <t>B0GTC6TJJS</t>
  </si>
  <si>
    <t>pr_1296040_20251101_28370700_0001</t>
  </si>
  <si>
    <t>pr_1296040_F_20260401_30192243_0001</t>
  </si>
  <si>
    <t>pr_1296040_20260331_30179510_0001</t>
  </si>
  <si>
    <t>pr_1296040_20260330_30175229_0001</t>
  </si>
  <si>
    <t>1N-W9J5-UUNF</t>
  </si>
  <si>
    <t>RD-LGR5-P7Y1</t>
  </si>
  <si>
    <t>SET-4879-4893</t>
  </si>
  <si>
    <t>7A-P3UN-9Q12</t>
  </si>
  <si>
    <t>NK-PBCU-7D1K</t>
  </si>
  <si>
    <t>pr_1296040_20251017_28199402_0001</t>
  </si>
  <si>
    <t>pr_1296040_20260709_31556144_0001</t>
  </si>
  <si>
    <t>pr_1296040_20260506_30678671_0001</t>
  </si>
  <si>
    <t>pr_1296040_20250922_27927955_0001</t>
  </si>
  <si>
    <t>HD-4NH5-H3T9</t>
  </si>
  <si>
    <t>3182550721400</t>
  </si>
  <si>
    <t>U0-T38P-KB1V</t>
  </si>
  <si>
    <t>pr_1296040_20250709_27132411_0001</t>
  </si>
  <si>
    <t>ペティオ (Petio)犬用食器 Porta 木目調 陶器食器 M</t>
  </si>
  <si>
    <t>pr_1296040_20250502_25798206_0001</t>
  </si>
  <si>
    <t>B08XB9YVXM</t>
  </si>
  <si>
    <t>pr_1296040_F_20260318_30003482_0001</t>
  </si>
  <si>
    <t>B5-SO2A-XVKB</t>
  </si>
  <si>
    <t>pr_1296040_20251120_28635996_0001</t>
  </si>
  <si>
    <t>AM-KAFN-973E</t>
  </si>
  <si>
    <t>B00MVNSCW2-2</t>
  </si>
  <si>
    <t>pr_1296040_20250717_27219394_0001</t>
  </si>
  <si>
    <t>2023_1111_1223_new_660_5</t>
  </si>
  <si>
    <t>IY-Q5DZ-J1JL</t>
  </si>
  <si>
    <t>pr_1296040_20250625_26751908_0001</t>
  </si>
  <si>
    <t>pr_1296040_20260411_30305204_0001</t>
  </si>
  <si>
    <t>2J-O32V-SEZA</t>
  </si>
  <si>
    <t>TT-KQ8Y-HMVW</t>
  </si>
  <si>
    <t>日立 ふとん乾燥機 アッとドライ HFK-CV1A T ライトブラウン コンパクト 軽量モデル オールインワン収納 花粉</t>
  </si>
  <si>
    <t>pr_1296040_20251002_28038290_0001</t>
  </si>
  <si>
    <t>B09MPVKSWW</t>
  </si>
  <si>
    <t>B0FS1ZGL84</t>
  </si>
  <si>
    <t>いなば チャオ すごい乳酸菌 パウチ まぐろ ささみ入り ほたて味 40gx16コ</t>
  </si>
  <si>
    <t>pr_1296040_20260709_31542096_0001</t>
  </si>
  <si>
    <t>B09KMNKN91</t>
  </si>
  <si>
    <t>pr_1296040_20241108_23142168_0001</t>
  </si>
  <si>
    <t>pr_1296040_20250324_25080136_0001</t>
  </si>
  <si>
    <t>W0-HXVI-3V4V</t>
  </si>
  <si>
    <t>pr_1296040_F_20260401_30194040_0001</t>
  </si>
  <si>
    <t>pr_1296040_20251017_28199597_0001</t>
  </si>
  <si>
    <t>pr_1296040_20250919_27876366_0001</t>
  </si>
  <si>
    <t>セグレタ プレミア 艶ときデタングルブラシ ヘアブラシ セグレタ</t>
  </si>
  <si>
    <t>pr_1296040_20251107_28437207_0001</t>
  </si>
  <si>
    <t>B0F1KPMQCP</t>
  </si>
  <si>
    <t>pr_1296040_20260202_29462146_0001</t>
  </si>
  <si>
    <t>pr_1296040_20260709_31555933_0001</t>
  </si>
  <si>
    <t>pr_1296040_20250625_26753510_0001</t>
  </si>
  <si>
    <t>ZG-VF60-AQGL</t>
  </si>
  <si>
    <t>4970501033530-4</t>
  </si>
  <si>
    <t>pr_1296040_F_20260401_30194065_0001</t>
  </si>
  <si>
    <t>RT-7XCT-Z245</t>
  </si>
  <si>
    <t>pr_1296040_20260709_31555801_0001</t>
  </si>
  <si>
    <t>pr_1296040_20250830_27663851_0001</t>
  </si>
  <si>
    <t>B0H7FL2FYZ</t>
  </si>
  <si>
    <t>pr_1296040_20260709_31556152_0001</t>
  </si>
  <si>
    <t>pr_1296040_F_20260401_30194032_0001</t>
  </si>
  <si>
    <t>XW-NDHF-MOY1</t>
  </si>
  <si>
    <t>4973321945755-3</t>
  </si>
  <si>
    <t>PF-WKWV-G07K</t>
  </si>
  <si>
    <t>pr_1296040_20260417_30443065_0001</t>
  </si>
  <si>
    <t>pr_1296040_20250611_26567746_0001</t>
  </si>
  <si>
    <t>pr_1296040_20251120_28635210_0001</t>
  </si>
  <si>
    <t>pr_1296040_20260305_29862659_0001</t>
  </si>
  <si>
    <t>pr_1296040_20260108_29192066_0001</t>
  </si>
  <si>
    <t>pr_1296040_20241108_23142203_0001</t>
  </si>
  <si>
    <t>EI-5C18-LOJY</t>
  </si>
  <si>
    <t>pr_1296040_20250628_26989337_0001</t>
  </si>
  <si>
    <t>IA-LFXR-IZK4</t>
  </si>
  <si>
    <t>L1-R5FP-CFXO</t>
  </si>
  <si>
    <t>pr_1296040_20240328_20430434_0001</t>
  </si>
  <si>
    <t>【医薬部外品】ビオレｕ 泡ハンドソープ シトラスの香り つめかえ用 ７７０ｍｌ</t>
  </si>
  <si>
    <t>pr_1296040_20250910_27777804_0001</t>
  </si>
  <si>
    <t>B0BY2PJQG2</t>
  </si>
  <si>
    <t>B0F52VTBYT</t>
  </si>
  <si>
    <t>pr_1296040_20260403_30216476_0001</t>
  </si>
  <si>
    <t>QH-DRAD-SF6F</t>
  </si>
  <si>
    <t>PIGEON ピジョン 手動鼻吸い器 SHUPOT-pump　片手で簡単にお鼻すっきり吸引　持ち運び便利</t>
  </si>
  <si>
    <t>pr_1296040_20251114_28533423_0001</t>
  </si>
  <si>
    <t>B0D9QDZ65L</t>
  </si>
  <si>
    <t>B0DD7BL5GJ</t>
  </si>
  <si>
    <t>pr_1296040_20260428_30594124_0001</t>
  </si>
  <si>
    <t>KI-8KXF-04UL</t>
  </si>
  <si>
    <t>pr_1296040_20260709_31555896_0001</t>
  </si>
  <si>
    <t>pr_1296040_20260413_30324470_0001</t>
  </si>
  <si>
    <t>L4-KHNX-65LM</t>
  </si>
  <si>
    <t>デオタンニング　薬用ストロングソープ 2個セット</t>
  </si>
  <si>
    <t>pr_1296040_20251120_28635831_0001</t>
  </si>
  <si>
    <t>B00XD8FY8O</t>
  </si>
  <si>
    <t>B0BN15GR4T</t>
  </si>
  <si>
    <t>pr_1296040_20260617_31248168_0001</t>
  </si>
  <si>
    <t>pr_1296040_20260704_31478495_0001</t>
  </si>
  <si>
    <t>pr_1296040_20260108_29191890_0001</t>
  </si>
  <si>
    <t>【旧品】 アクアレーベル スペシャルジェルクリームA (オイルイン)</t>
  </si>
  <si>
    <t>pr_1296040_20260331_30183772_0001</t>
  </si>
  <si>
    <t>B07F7GH9ZM</t>
  </si>
  <si>
    <t>B07NZ9V68L</t>
  </si>
  <si>
    <t>93-84SQ-JQ69</t>
  </si>
  <si>
    <t>pr_1296040_20260525_30949566_0001</t>
  </si>
  <si>
    <t>pr_1296040_20260717_31663963_0001</t>
  </si>
  <si>
    <t>pr_1296040_F_20260316_29981601_0001</t>
  </si>
  <si>
    <t>pr_1296040_20260330_30175447_0001</t>
  </si>
  <si>
    <t>DP-96PK-TQ5B</t>
  </si>
  <si>
    <t>ロイヤルカナン　猫　おねだりの多い成猫用　ＦＣＮ　アペタイト　コントロール　２ｋｇ</t>
  </si>
  <si>
    <t>B092D85L73</t>
  </si>
  <si>
    <t>マンダム ルシードエル オイルトリートメント EXヘアオイル 60ml</t>
  </si>
  <si>
    <t>pr_1296040_20251009_28116672_0001</t>
  </si>
  <si>
    <t>B00MWK6ZEQ</t>
  </si>
  <si>
    <t>B0CCV2Y4G6</t>
  </si>
  <si>
    <t>B0DGPYRB49</t>
  </si>
  <si>
    <t>ユニ・チャーム グラン・デリサッポロポテトバ-ベQ 20g</t>
  </si>
  <si>
    <t>pr_1296040_20260424_30530160_0001</t>
  </si>
  <si>
    <t>B0DK98GL1Y</t>
  </si>
  <si>
    <t>角栓溶かす ジェル&amp;スクラブ</t>
  </si>
  <si>
    <t>pr_1296040_20251108_28444843_0001</t>
  </si>
  <si>
    <t>B084MSTHB1</t>
  </si>
  <si>
    <t>pr_1296040_20260424_30530171_0001</t>
  </si>
  <si>
    <t>pr_1296040_20251128_28724759_0001</t>
  </si>
  <si>
    <t>PLATZ PET SUPPLIES &amp; FUN セーフティカラー 65 スペクトラム 犬用お散歩ライト 超小型・小型犬推奨</t>
  </si>
  <si>
    <t>pr_1296040_20231208_19234269_0001</t>
  </si>
  <si>
    <t>B0CNPCN25D</t>
  </si>
  <si>
    <t>B0CNX757BZ</t>
  </si>
  <si>
    <t>レノア 超消臭 煮沸レベル 抗菌ビーズ スポーツ クールリフレッシュ＆シトラス 詰め替え 超特大 1410mL 抗菌 P＆G</t>
  </si>
  <si>
    <t>pr_1296040_20251112_28504849_0001</t>
  </si>
  <si>
    <t>B0D6G9RW9Y</t>
  </si>
  <si>
    <t>V0-CT6I-DA4T</t>
  </si>
  <si>
    <t>pr_1296040_20250625_26751819_0001</t>
  </si>
  <si>
    <t>pr_1296040_20251118_28596716_0001</t>
  </si>
  <si>
    <t>pr_1296040_20251120_28634907_0001</t>
  </si>
  <si>
    <t>pr_1296040_20240803_21754438_0001</t>
  </si>
  <si>
    <t>pr_1296040_20260329_30160975_0001</t>
  </si>
  <si>
    <t>pr_1296040_F_20260411_30304441_0001</t>
  </si>
  <si>
    <t>クーリア シール ボンボンドロップシール まじょねこボンボン 01213</t>
  </si>
  <si>
    <t>pr_1296040_20260709_31556345_0001</t>
  </si>
  <si>
    <t>B0GSQ6JGHV</t>
  </si>
  <si>
    <t>pr_1296040_20251120_28636032_0001</t>
  </si>
  <si>
    <t>pr_1296040_20260704_31478543_0001</t>
  </si>
  <si>
    <t>pr_1296040_20260525_30949542_0001</t>
  </si>
  <si>
    <t>pr_1296040_20231218_19345060_0001</t>
  </si>
  <si>
    <t>pr_1296040_20260108_29191799_0001</t>
  </si>
  <si>
    <t>3182550927369-1</t>
  </si>
  <si>
    <t>pr_1296040_20260428_30594342_0001</t>
  </si>
  <si>
    <t>pr_1296040_20260711_31582245_0001</t>
  </si>
  <si>
    <t>pr_1296040_F_20260401_30192233_0001</t>
  </si>
  <si>
    <t>口腔保湿ミスト うるおうハニーレモン ハビナース クリンスマイル マウスウォッシュ 洗口液 乾燥・口臭・ネバツキ予防 口内浄化 オーラルケア 口腔ケア 薬用成分CPC配合 医薬部外品 日本製 1023212</t>
  </si>
  <si>
    <t>pr_1296040_20251108_28445670_0001</t>
  </si>
  <si>
    <t>B08WJWQBBP</t>
  </si>
  <si>
    <t>B0BPW7DQ8H</t>
  </si>
  <si>
    <t>pr_1296040_20260415_30379465_0001</t>
  </si>
  <si>
    <t>4987244145055-a</t>
  </si>
  <si>
    <t>pr_1296040_F_20250909_27767675_0001</t>
  </si>
  <si>
    <t>HF-1RM3-30R1</t>
  </si>
  <si>
    <t>4973321945755-2</t>
  </si>
  <si>
    <t>pr_1296040_20260330_30169979_0001</t>
  </si>
  <si>
    <t>pr_1296040_20260616_31228822_0001</t>
  </si>
  <si>
    <t>【大容量】アタックＺＥＲＯ 衣類から洗濯槽まで、アタックＺＥＲＯ液体史上 最高峰の消臭 ドラム式専用 つめかえ用 ７８０ｇ 本体 ３８０ｇ</t>
  </si>
  <si>
    <t>pr_1296040_20260718_31677497_0001</t>
  </si>
  <si>
    <t>B0FRRCKTGG</t>
  </si>
  <si>
    <t>B0H8F5WT8Z</t>
  </si>
  <si>
    <t>pr_1296040_20260709_31556026_0001</t>
  </si>
  <si>
    <t>pr_1296040_20260709_31556609_0001</t>
  </si>
  <si>
    <t>グラン・デリ ワンちゃん専用サッポロポテト つぶつぶベジタブル 3種の野菜入りチーズ味 20g</t>
  </si>
  <si>
    <t>pr_1296040_20260424_30530123_0001</t>
  </si>
  <si>
    <t>B0DPZ1NY5M</t>
  </si>
  <si>
    <t>MORITA 洗える電気敷毛布 140×80cm 室温センサー付 ダニ退治 頭寒足熱配線で足元あったか TMB-S14KS ブラウン</t>
  </si>
  <si>
    <t>pr_1296040_20251008_28104429_0001</t>
  </si>
  <si>
    <t>B07XZ283Z1</t>
  </si>
  <si>
    <t>ペティオ (Petio) 犬猫用マット 広々寝そべれるクールアルミピローシートHNZ L</t>
  </si>
  <si>
    <t>pr_1296040_20250625_26753447_0001</t>
  </si>
  <si>
    <t>B0CXJ2JXFR</t>
  </si>
  <si>
    <t>8T-YV6L-BK10</t>
  </si>
  <si>
    <t>pr_1296040_20260403_30217809_0001</t>
  </si>
  <si>
    <t>pr_1296040_20260329_30161081_0001</t>
  </si>
  <si>
    <t>泡ぶくミトン</t>
  </si>
  <si>
    <t>pr_1296040_20251126_28705454_0001</t>
  </si>
  <si>
    <t>B000BNEQXS</t>
  </si>
  <si>
    <t>pr_1296040_20260330_30175428_0001</t>
  </si>
  <si>
    <t>pr_1296040_20260330_30175430_0001</t>
  </si>
  <si>
    <t>pr_1296040_20250927_27978182_0001</t>
  </si>
  <si>
    <t>pr_1296040_20241031_23039284_0001</t>
  </si>
  <si>
    <t>B08Y95LNR1-2</t>
  </si>
  <si>
    <t>4901477705435-2</t>
  </si>
  <si>
    <t>pr_1296040_20260704_31478489_0001</t>
  </si>
  <si>
    <t>AZ-TW4H-CXZ1</t>
  </si>
  <si>
    <t>2023_1128_3367_new_736_6</t>
  </si>
  <si>
    <t>サンライズ ゴン太の歯磨き専用ガムSSサイズ L8020乳酸菌入り 低脂肪タイプ 120g 3袋セット</t>
  </si>
  <si>
    <t>JZ-BNL4-2INJ</t>
  </si>
  <si>
    <t>D7-BXRO-2MNC</t>
  </si>
  <si>
    <t>【まとめ買い】ガードハロー スタンディングチューブ 165g ×2セット</t>
  </si>
  <si>
    <t>pr_1296040_F_20260411_30304422_0001</t>
  </si>
  <si>
    <t>B00GYNCS2A</t>
  </si>
  <si>
    <t>AST-0013-3414-6317</t>
  </si>
  <si>
    <t>pr_1296040_20260519_30873031_0001</t>
  </si>
  <si>
    <t>pr_1296040_20240405_20510585_0001</t>
  </si>
  <si>
    <t>pr_1296040_20250628_26989393_0001</t>
  </si>
  <si>
    <t>pr_1296040_20250625_26751915_0001</t>
  </si>
  <si>
    <t>pr_1296040_20250731_27362504_0001</t>
  </si>
  <si>
    <t>W6-BU9G-4QO9</t>
  </si>
  <si>
    <t>チョイあげ チョイでか 犬用おやつ ささみガムの星 7個 (x 3) (まとめ買い)</t>
  </si>
  <si>
    <t>pr_1296040_20250718_27233084_0001</t>
  </si>
  <si>
    <t>B00W3AXKSE</t>
  </si>
  <si>
    <t>IY-33TK-6X6W</t>
  </si>
  <si>
    <t>B0G4868QSM</t>
  </si>
  <si>
    <t>pr_1296040_20250625_26753486_0001</t>
  </si>
  <si>
    <t>【セット品】黒瀬ペットフード mania(マニア) プロショップ専用 中型インコ低脂肪 1リットル (x 2) 小鳥 餌 バード エサ</t>
  </si>
  <si>
    <t>DE-FIL5-RHQ0</t>
  </si>
  <si>
    <t>pr_1296040_20260709_31555887_0001</t>
  </si>
  <si>
    <t>pr_1296040_20250704_27071497_0001</t>
  </si>
  <si>
    <t>pr_1296040_20260516_30817248_0001</t>
  </si>
  <si>
    <t>AST-1759-1766-1773-1780-1797-1803</t>
  </si>
  <si>
    <t>pr_1296040_20251120_28635222_0001</t>
  </si>
  <si>
    <t>pr_1296040_20260330_30175439_0001</t>
  </si>
  <si>
    <t>ペティオ (Petio) プレシャンテ 短毛犬用 回転スリッカーブラシ レギュラー</t>
  </si>
  <si>
    <t>pr_1296040_20260710_31566344_0001</t>
  </si>
  <si>
    <t>B00IHQIPTW</t>
  </si>
  <si>
    <t>B07BZ2WYR7</t>
  </si>
  <si>
    <t>pr_1296040_F_20240515_20942572_0001</t>
  </si>
  <si>
    <t>エプソン 純正 インクカートリッジ IB09KA ブラック 標準インク</t>
  </si>
  <si>
    <t>pr_1296040_20260530_31010122_0001</t>
  </si>
  <si>
    <t>B08JG97VP4</t>
  </si>
  <si>
    <t>B0BQVLFLK8</t>
  </si>
  <si>
    <t>pr_1296040_20260709_31556629_0001</t>
  </si>
  <si>
    <t>pr_1296040_20260709_31556627_0001</t>
  </si>
  <si>
    <t>pr_1296040_20260515_30803191_0001</t>
  </si>
  <si>
    <t>ペティオ (Petio) プレシャンテ ピンブラシ 長毛犬・長毛猫用 L サイズ</t>
  </si>
  <si>
    <t>pr_1296040_20260114_29254257_0001</t>
  </si>
  <si>
    <t>B004VK6QGC</t>
  </si>
  <si>
    <t>B016W85WOC</t>
  </si>
  <si>
    <t>アース・ペット スタミノール S 食欲がない時に 33g ×2個セット</t>
  </si>
  <si>
    <t>HZ-GWQK-JATQ</t>
  </si>
  <si>
    <t>pr_1296040_20251120_28635144_0001</t>
  </si>
  <si>
    <t>pr_1296040_20260613_31198686_0001</t>
  </si>
  <si>
    <t>pr_1296040_20251120_28635054_0001</t>
  </si>
  <si>
    <t>pr_1296040_20251025_28288825_0001</t>
  </si>
  <si>
    <t>【セット販売】銀のスプーン 三ツ星グルメ にゃんスプーン まぐろ味 40g（10g×4本）×4コ</t>
  </si>
  <si>
    <t>pr_1296040_20241129_23453461_0001</t>
  </si>
  <si>
    <t>B0D3HJMVDF</t>
  </si>
  <si>
    <t>pr_1296040_20260428_30594321_0001</t>
  </si>
  <si>
    <t>レノア アロマジュエル 香り付け専用ビーズ おひさまフローラル 本体 470ml</t>
  </si>
  <si>
    <t>pr_1296040_20250927_27981023_0001</t>
  </si>
  <si>
    <t>B0BXPZD8FM</t>
  </si>
  <si>
    <t>ドギーマン 純アルミ ひんやりジェルマット リーフ ダブルワイド</t>
  </si>
  <si>
    <t>pr_1296040_20260413_30324476_0001</t>
  </si>
  <si>
    <t>B0CTGVQV8M</t>
  </si>
  <si>
    <t>B0CW8BCNZD</t>
  </si>
  <si>
    <t>ユニ・チャーム グラン・デリ ワンちゃん専用 サッポロポテト バーベQあじ 20g×6個</t>
  </si>
  <si>
    <t>pr_1296040_20260424_30530229_0001</t>
  </si>
  <si>
    <t>B0DFLQHML1</t>
  </si>
  <si>
    <t>ユニ・チャーム グラン・デリ ワンちゃん専用 サッポロポテト つぶつぶベジタブル 20g×6個</t>
  </si>
  <si>
    <t>pr_1296040_20260424_30530247_0001</t>
  </si>
  <si>
    <t>B0DFM3RCHK</t>
  </si>
  <si>
    <t>いなば 魚八パウチ しらす入り 60g×16袋 (ボール販売)</t>
  </si>
  <si>
    <t>pr_1296040_20260630_31412611_0001</t>
  </si>
  <si>
    <t>B0DHJRT3H6</t>
  </si>
  <si>
    <t>チョイめし ドッグフード 親子丼 80グラム (x 10) (まとめ買い)</t>
  </si>
  <si>
    <t>pr_1296040_20250718_27233680_0001</t>
  </si>
  <si>
    <t>B00PTLEHA4</t>
  </si>
  <si>
    <t>チョイめし ドッグフード なんか良さそう習慣 80グラム (x 10) (まとめ買い)</t>
  </si>
  <si>
    <t>pr_1296040_20250718_27233688_0001</t>
  </si>
  <si>
    <t>B00PTQX0IE</t>
  </si>
  <si>
    <t>charm(チャーム) マルカン サクサク！ かじりんご お徳用 １５ｇx３袋</t>
  </si>
  <si>
    <t>pr_1296040_20260718_31677255_0001</t>
  </si>
  <si>
    <t>B0B7D1F21S</t>
  </si>
  <si>
    <t>pr_1296040_20250502_25798139_0001</t>
  </si>
  <si>
    <t>pr_1296040_20260725_31765809_0001</t>
  </si>
  <si>
    <t>pr_1296040_20250916_27838023_0001</t>
  </si>
  <si>
    <t>pr_1296040_20250820_27556840_0001</t>
  </si>
  <si>
    <t>pr_1296040_20250920_27908118_0001</t>
  </si>
  <si>
    <t>いなば 金のだしカップ まぐろ・かつお節入り 70g×6コ</t>
  </si>
  <si>
    <t>pr_1296040_20250730_27352852_0001</t>
  </si>
  <si>
    <t>B01G81SWCM</t>
  </si>
  <si>
    <t>pr_1296040_20260713_31611410_0001</t>
  </si>
  <si>
    <t>アイスノン シャツミスト エキストラミントの香り 300ml</t>
  </si>
  <si>
    <t>pr_1296040_20260703_31462629_0001</t>
  </si>
  <si>
    <t>B06VVK22G4</t>
  </si>
  <si>
    <t>pr_1296040_20251107_28437349_0001</t>
  </si>
  <si>
    <t>pr_1296040_20250701_27035873_0001</t>
  </si>
  <si>
    <t>ミニマルランド ひんやりクールアルミロフト うさぎ</t>
  </si>
  <si>
    <t>pr_1296040_20260712_31590729_0001</t>
  </si>
  <si>
    <t>B07B7XLH97</t>
  </si>
  <si>
    <t>pr_1296040_20250717_27219403_0001</t>
  </si>
  <si>
    <t>pr_1296040_20250628_26989407_0001</t>
  </si>
  <si>
    <t>pr_1296040_20260704_31478550_0001</t>
  </si>
  <si>
    <t>pr_1296040_20260709_31555928_0001</t>
  </si>
  <si>
    <t>[シールシート]ボンボンドロップシール/ゆにこんボンボン</t>
  </si>
  <si>
    <t>pr_1296040_20260709_31556395_0001</t>
  </si>
  <si>
    <t>B0FGWZ4GPH</t>
  </si>
  <si>
    <t>pr_1296040_20260525_30949548_0001</t>
  </si>
  <si>
    <t>ゴン太の歯磨き専用ガムSSサイズ L8020乳酸菌入り 低脂肪 2種 アソート 120g ×2個セット 国産品 (2袋)</t>
  </si>
  <si>
    <t>HZ-GO1M-Z1Z1</t>
  </si>
  <si>
    <t>pr_1296040_20260730_31830689_0001</t>
  </si>
  <si>
    <t>熱中対策 シャツクール 冷感ストロング 衣類にスプレーするだけ 汗をかくとひんやり続く 冷感スプレー 100ml 小林製薬</t>
  </si>
  <si>
    <t>pr_1296040_20260629_31405906_0001</t>
  </si>
  <si>
    <t>B086Q1MHHP</t>
  </si>
  <si>
    <t>B0H5QTZH7G</t>
  </si>
  <si>
    <t>pr_1296040_20260330_30175420_0001</t>
  </si>
  <si>
    <t>pr_1296040_20250909_27762962_0001</t>
  </si>
  <si>
    <t>pr_1296040_20251120_28635009_0001</t>
  </si>
  <si>
    <t>pr_1296040_20260629_31405784_0001</t>
  </si>
  <si>
    <t>KF-NTR5-0U65</t>
  </si>
  <si>
    <t>ユニ・チャーム ソフィクール超涼感デリケートウェット 8枚×2個パック</t>
  </si>
  <si>
    <t>pr_1296040_20260730_31830127_0001</t>
  </si>
  <si>
    <t>B0H5QL7Z48</t>
  </si>
  <si>
    <t>ピジョン 全身泡ソープ しっとり 詰替用 400ml</t>
  </si>
  <si>
    <t>pr_1296040_20260331_30184071_0001</t>
  </si>
  <si>
    <t>B00IIJNGRE</t>
  </si>
  <si>
    <t>pr_1296040_20260709_31556476_0001</t>
  </si>
  <si>
    <t>pr_1296040_20260709_31556487_0001</t>
  </si>
  <si>
    <t>pr_1296040_20260709_31556634_0001</t>
  </si>
  <si>
    <t>pr_1296040_20260709_31556613_0001</t>
  </si>
  <si>
    <t>ピジョン ベビークールジェリー 50g (0ヵ月~)×2個セット</t>
  </si>
  <si>
    <t>2023_1110_9237_new_220_30</t>
  </si>
  <si>
    <t>B01GNNT026</t>
  </si>
  <si>
    <t>pr_1296040_20260704_31478559_0001</t>
  </si>
  <si>
    <t>pr_1296040_20260709_31555939_0001</t>
  </si>
  <si>
    <t>pr_1296040_20260424_30530126_0001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</si>
</sst>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>
    <font>
      <sz val="11"/>
      <color theme="1"/>
      <name val="ＭＳ Ｐゴシック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  <scheme val="minor"/>
    </font>
    <font>
      <sz val="10"/>
      <name val="Arial"/>
      <family val="2"/>
      <charset val="128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0" fontId="1" fillId="0" borderId="0" xfId="0" applyNumberFormat="1" applyFont="1"/>
    <xf numFmtId="1" fontId="1" fillId="0" borderId="0" xfId="0" applyNumberFormat="1" applyFont="1"/>
    <xf numFmtId="176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76" fontId="5" fillId="0" borderId="0" xfId="0" applyNumberFormat="1" applyFont="1"/>
    <xf numFmtId="0" fontId="5" fillId="2" borderId="0" xfId="0" applyFont="1" applyFill="1"/>
    <xf numFmtId="0" fontId="6" fillId="0" borderId="0" xfId="0" applyFont="1"/>
    <xf numFmtId="0" fontId="5" fillId="3" borderId="0" xfId="0" applyFont="1" applyFill="1"/>
    <xf numFmtId="3" fontId="0" fillId="0" borderId="0" xfId="0" applyNumberForma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1"/>
  <sheetViews>
    <sheetView topLeftCell="A314" workbookViewId="0">
      <selection activeCell="N358" sqref="N358"/>
    </sheetView>
  </sheetViews>
  <sheetFormatPr baseColWidth="10" defaultColWidth="8.83203125" defaultRowHeight="14"/>
  <cols>
    <col min="1" max="1" width="46.6640625" customWidth="1"/>
    <col min="2" max="2" width="20" customWidth="1"/>
    <col min="3" max="4" width="13" customWidth="1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  <c r="B3" s="1" t="s">
        <v>1483</v>
      </c>
    </row>
    <row r="4" spans="1:15">
      <c r="A4" s="1" t="s">
        <v>4</v>
      </c>
      <c r="B4" s="1" t="s">
        <v>1484</v>
      </c>
    </row>
    <row r="5" spans="1:15">
      <c r="A5" s="1" t="s">
        <v>6</v>
      </c>
      <c r="B5" s="1" t="s">
        <v>7</v>
      </c>
    </row>
    <row r="7" spans="1:1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6</v>
      </c>
      <c r="L7" s="1" t="s">
        <v>18</v>
      </c>
      <c r="M7" s="1" t="s">
        <v>19</v>
      </c>
      <c r="N7" s="1" t="s">
        <v>20</v>
      </c>
      <c r="O7" s="1" t="s">
        <v>21</v>
      </c>
    </row>
    <row r="8" spans="1:15">
      <c r="A8" s="1" t="s">
        <v>26</v>
      </c>
      <c r="B8" s="1" t="s">
        <v>1485</v>
      </c>
      <c r="C8" s="1" t="s">
        <v>27</v>
      </c>
      <c r="D8" s="1" t="s">
        <v>27</v>
      </c>
      <c r="E8" s="1">
        <v>2175</v>
      </c>
      <c r="F8" s="2">
        <v>6.3E-2</v>
      </c>
      <c r="G8" s="3">
        <f t="shared" ref="G8:G71" si="0">IF(H8=0,"",I8/H8)</f>
        <v>2856.6423357664235</v>
      </c>
      <c r="H8" s="1">
        <v>137</v>
      </c>
      <c r="I8" s="1">
        <v>391360</v>
      </c>
      <c r="J8" s="1">
        <v>130</v>
      </c>
      <c r="K8" s="1">
        <v>43550</v>
      </c>
      <c r="L8" s="1">
        <v>1065</v>
      </c>
      <c r="M8" s="1">
        <f t="shared" ref="M8:M71" si="1">SUM(H8*L8)</f>
        <v>145905</v>
      </c>
      <c r="N8" s="1">
        <f t="shared" ref="N8:N71" si="2">SUM(I8-K8-M8)</f>
        <v>201905</v>
      </c>
      <c r="O8" s="4">
        <f t="shared" ref="O8:O71" si="3">IF(I8=0,"",N8/I8)</f>
        <v>0.51590607113654952</v>
      </c>
    </row>
    <row r="9" spans="1:15">
      <c r="A9" s="1" t="s">
        <v>30</v>
      </c>
      <c r="B9" s="1" t="s">
        <v>1486</v>
      </c>
      <c r="C9" s="1" t="s">
        <v>31</v>
      </c>
      <c r="D9" s="1" t="s">
        <v>31</v>
      </c>
      <c r="E9" s="1">
        <v>851</v>
      </c>
      <c r="F9" s="2">
        <v>0.114</v>
      </c>
      <c r="G9" s="3">
        <f t="shared" si="0"/>
        <v>2794.4329896907216</v>
      </c>
      <c r="H9" s="1">
        <v>97</v>
      </c>
      <c r="I9" s="1">
        <v>271060</v>
      </c>
      <c r="J9" s="1">
        <v>78</v>
      </c>
      <c r="K9" s="1">
        <v>30905</v>
      </c>
      <c r="L9" s="1">
        <v>1900</v>
      </c>
      <c r="M9" s="1">
        <f t="shared" si="1"/>
        <v>184300</v>
      </c>
      <c r="N9" s="1">
        <f t="shared" si="2"/>
        <v>55855</v>
      </c>
      <c r="O9" s="4">
        <f t="shared" si="3"/>
        <v>0.20606138862244522</v>
      </c>
    </row>
    <row r="10" spans="1:15">
      <c r="A10" s="1" t="s">
        <v>22</v>
      </c>
      <c r="B10" s="1" t="s">
        <v>1487</v>
      </c>
      <c r="C10" s="1" t="s">
        <v>23</v>
      </c>
      <c r="D10" s="1" t="s">
        <v>23</v>
      </c>
      <c r="E10" s="1">
        <v>722</v>
      </c>
      <c r="F10" s="2">
        <v>0.12189999999999999</v>
      </c>
      <c r="G10" s="3">
        <f t="shared" si="0"/>
        <v>2798</v>
      </c>
      <c r="H10" s="1">
        <v>88</v>
      </c>
      <c r="I10" s="1">
        <v>246224</v>
      </c>
      <c r="J10" s="1">
        <v>83</v>
      </c>
      <c r="K10" s="1">
        <v>40173</v>
      </c>
      <c r="L10" s="1">
        <v>1537</v>
      </c>
      <c r="M10" s="1">
        <f t="shared" si="1"/>
        <v>135256</v>
      </c>
      <c r="N10" s="1">
        <f t="shared" si="2"/>
        <v>70795</v>
      </c>
      <c r="O10" s="4">
        <f t="shared" si="3"/>
        <v>0.28752274351809737</v>
      </c>
    </row>
    <row r="11" spans="1:15">
      <c r="A11" s="1" t="s">
        <v>28</v>
      </c>
      <c r="B11" s="1" t="s">
        <v>1488</v>
      </c>
      <c r="C11" s="1" t="s">
        <v>29</v>
      </c>
      <c r="D11" s="1" t="s">
        <v>29</v>
      </c>
      <c r="E11" s="1">
        <v>354</v>
      </c>
      <c r="F11" s="2">
        <v>0.17510000000000001</v>
      </c>
      <c r="G11" s="3">
        <f t="shared" si="0"/>
        <v>3580</v>
      </c>
      <c r="H11" s="1">
        <v>62</v>
      </c>
      <c r="I11" s="1">
        <v>221960</v>
      </c>
      <c r="J11" s="1">
        <v>50</v>
      </c>
      <c r="K11" s="1">
        <v>26423.62</v>
      </c>
      <c r="L11" s="1">
        <v>1916</v>
      </c>
      <c r="M11" s="1">
        <f t="shared" si="1"/>
        <v>118792</v>
      </c>
      <c r="N11" s="1">
        <f t="shared" si="2"/>
        <v>76744.38</v>
      </c>
      <c r="O11" s="4">
        <f t="shared" si="3"/>
        <v>0.34575770409082718</v>
      </c>
    </row>
    <row r="12" spans="1:15">
      <c r="A12" s="1" t="s">
        <v>1489</v>
      </c>
      <c r="B12" s="1" t="s">
        <v>1490</v>
      </c>
      <c r="C12" s="1" t="s">
        <v>37</v>
      </c>
      <c r="D12" s="1" t="s">
        <v>37</v>
      </c>
      <c r="E12" s="1">
        <v>339</v>
      </c>
      <c r="F12" s="2">
        <v>7.0800000000000002E-2</v>
      </c>
      <c r="G12" s="3">
        <f t="shared" si="0"/>
        <v>5030</v>
      </c>
      <c r="H12" s="1">
        <v>24</v>
      </c>
      <c r="I12" s="1">
        <v>120720</v>
      </c>
      <c r="J12" s="1">
        <v>19</v>
      </c>
      <c r="K12" s="1">
        <v>20504</v>
      </c>
      <c r="L12" s="1">
        <v>3312</v>
      </c>
      <c r="M12" s="1">
        <f t="shared" si="1"/>
        <v>79488</v>
      </c>
      <c r="N12" s="1">
        <f t="shared" si="2"/>
        <v>20728</v>
      </c>
      <c r="O12" s="4">
        <f t="shared" si="3"/>
        <v>0.17170311464546056</v>
      </c>
    </row>
    <row r="13" spans="1:15">
      <c r="A13" s="1" t="s">
        <v>121</v>
      </c>
      <c r="B13" s="1" t="s">
        <v>1491</v>
      </c>
      <c r="C13" s="1" t="s">
        <v>122</v>
      </c>
      <c r="D13" s="1" t="s">
        <v>122</v>
      </c>
      <c r="E13" s="1">
        <v>680</v>
      </c>
      <c r="F13" s="2">
        <v>7.9399999999999998E-2</v>
      </c>
      <c r="G13" s="3">
        <f t="shared" si="0"/>
        <v>1935.5555555555557</v>
      </c>
      <c r="H13" s="1">
        <v>54</v>
      </c>
      <c r="I13" s="1">
        <v>104520</v>
      </c>
      <c r="J13" s="1">
        <v>53</v>
      </c>
      <c r="K13" s="1">
        <v>11776</v>
      </c>
      <c r="L13" s="1">
        <v>900</v>
      </c>
      <c r="M13" s="1">
        <f t="shared" si="1"/>
        <v>48600</v>
      </c>
      <c r="N13" s="1">
        <f t="shared" si="2"/>
        <v>44144</v>
      </c>
      <c r="O13" s="4">
        <f t="shared" si="3"/>
        <v>0.42234978951396862</v>
      </c>
    </row>
    <row r="14" spans="1:15">
      <c r="A14" s="1" t="s">
        <v>49</v>
      </c>
      <c r="B14" s="1" t="s">
        <v>1492</v>
      </c>
      <c r="C14" s="1" t="s">
        <v>50</v>
      </c>
      <c r="D14" s="1" t="s">
        <v>50</v>
      </c>
      <c r="E14" s="1">
        <v>501</v>
      </c>
      <c r="F14" s="2">
        <v>6.59E-2</v>
      </c>
      <c r="G14" s="3">
        <f t="shared" si="0"/>
        <v>3013.848484848485</v>
      </c>
      <c r="H14" s="1">
        <v>33</v>
      </c>
      <c r="I14" s="1">
        <v>99457</v>
      </c>
      <c r="J14" s="1">
        <v>29</v>
      </c>
      <c r="K14" s="1">
        <v>11211</v>
      </c>
      <c r="L14" s="1">
        <v>1254</v>
      </c>
      <c r="M14" s="1">
        <f t="shared" si="1"/>
        <v>41382</v>
      </c>
      <c r="N14" s="1">
        <f t="shared" si="2"/>
        <v>46864</v>
      </c>
      <c r="O14" s="4">
        <f t="shared" si="3"/>
        <v>0.47119860844385009</v>
      </c>
    </row>
    <row r="15" spans="1:15">
      <c r="A15" s="1" t="s">
        <v>41</v>
      </c>
      <c r="B15" s="1" t="s">
        <v>1493</v>
      </c>
      <c r="C15" s="1" t="s">
        <v>42</v>
      </c>
      <c r="D15" s="1" t="s">
        <v>42</v>
      </c>
      <c r="E15" s="1">
        <v>600</v>
      </c>
      <c r="F15" s="2">
        <v>3.3300000000000003E-2</v>
      </c>
      <c r="G15" s="3">
        <f t="shared" si="0"/>
        <v>4940</v>
      </c>
      <c r="H15" s="1">
        <v>20</v>
      </c>
      <c r="I15" s="1">
        <v>98800</v>
      </c>
      <c r="J15" s="1">
        <v>20</v>
      </c>
      <c r="K15" s="1">
        <v>11513</v>
      </c>
      <c r="L15" s="1">
        <v>2649</v>
      </c>
      <c r="M15" s="1">
        <f t="shared" si="1"/>
        <v>52980</v>
      </c>
      <c r="N15" s="1">
        <f t="shared" si="2"/>
        <v>34307</v>
      </c>
      <c r="O15" s="4">
        <f t="shared" si="3"/>
        <v>0.34723684210526318</v>
      </c>
    </row>
    <row r="16" spans="1:15">
      <c r="A16" s="1" t="s">
        <v>108</v>
      </c>
      <c r="B16" s="1" t="s">
        <v>1494</v>
      </c>
      <c r="C16" s="1" t="s">
        <v>109</v>
      </c>
      <c r="D16" s="1" t="s">
        <v>109</v>
      </c>
      <c r="E16" s="1">
        <v>167</v>
      </c>
      <c r="F16" s="2">
        <v>0.14369999999999999</v>
      </c>
      <c r="G16" s="3">
        <f t="shared" si="0"/>
        <v>4113.333333333333</v>
      </c>
      <c r="H16" s="1">
        <v>24</v>
      </c>
      <c r="I16" s="1">
        <v>98720</v>
      </c>
      <c r="J16" s="1">
        <v>24</v>
      </c>
      <c r="K16" s="1">
        <v>11757</v>
      </c>
      <c r="L16" s="1">
        <v>2838</v>
      </c>
      <c r="M16" s="1">
        <f t="shared" si="1"/>
        <v>68112</v>
      </c>
      <c r="N16" s="1">
        <f t="shared" si="2"/>
        <v>18851</v>
      </c>
      <c r="O16" s="4">
        <f t="shared" si="3"/>
        <v>0.19095421393841167</v>
      </c>
    </row>
    <row r="17" spans="1:15">
      <c r="A17" s="1" t="s">
        <v>148</v>
      </c>
      <c r="B17" s="1" t="s">
        <v>1495</v>
      </c>
      <c r="C17" s="1" t="s">
        <v>149</v>
      </c>
      <c r="D17" s="1" t="s">
        <v>149</v>
      </c>
      <c r="E17" s="1">
        <v>607</v>
      </c>
      <c r="F17" s="2">
        <v>9.5600000000000004E-2</v>
      </c>
      <c r="G17" s="3">
        <f t="shared" si="0"/>
        <v>1701.1379310344828</v>
      </c>
      <c r="H17" s="1">
        <v>58</v>
      </c>
      <c r="I17" s="1">
        <v>98666</v>
      </c>
      <c r="J17" s="1">
        <v>43</v>
      </c>
      <c r="K17" s="1">
        <v>16588</v>
      </c>
      <c r="L17" s="1">
        <v>682</v>
      </c>
      <c r="M17" s="1">
        <f t="shared" si="1"/>
        <v>39556</v>
      </c>
      <c r="N17" s="1">
        <f t="shared" si="2"/>
        <v>42522</v>
      </c>
      <c r="O17" s="4">
        <f t="shared" si="3"/>
        <v>0.43096912816978494</v>
      </c>
    </row>
    <row r="18" spans="1:15">
      <c r="A18" s="1" t="s">
        <v>58</v>
      </c>
      <c r="B18" s="1" t="s">
        <v>1496</v>
      </c>
      <c r="C18" s="1" t="s">
        <v>59</v>
      </c>
      <c r="D18" s="1" t="s">
        <v>59</v>
      </c>
      <c r="E18" s="1">
        <v>325</v>
      </c>
      <c r="F18" s="2">
        <v>0.12920000000000001</v>
      </c>
      <c r="G18" s="3">
        <f t="shared" si="0"/>
        <v>2180</v>
      </c>
      <c r="H18" s="1">
        <v>42</v>
      </c>
      <c r="I18" s="1">
        <v>91560</v>
      </c>
      <c r="J18" s="1">
        <v>32</v>
      </c>
      <c r="K18" s="1">
        <v>14897</v>
      </c>
      <c r="L18" s="1">
        <v>1152</v>
      </c>
      <c r="M18" s="1">
        <f t="shared" si="1"/>
        <v>48384</v>
      </c>
      <c r="N18" s="1">
        <f t="shared" si="2"/>
        <v>28279</v>
      </c>
      <c r="O18" s="4">
        <f t="shared" si="3"/>
        <v>0.30885757972913935</v>
      </c>
    </row>
    <row r="19" spans="1:15">
      <c r="A19" s="1" t="s">
        <v>51</v>
      </c>
      <c r="B19" s="1" t="s">
        <v>1497</v>
      </c>
      <c r="C19" s="1" t="s">
        <v>52</v>
      </c>
      <c r="D19" s="1" t="s">
        <v>52</v>
      </c>
      <c r="E19" s="1">
        <v>168</v>
      </c>
      <c r="F19" s="2">
        <v>0.1726</v>
      </c>
      <c r="G19" s="3">
        <f t="shared" si="0"/>
        <v>3152.4137931034484</v>
      </c>
      <c r="H19" s="1">
        <v>29</v>
      </c>
      <c r="I19" s="1">
        <v>91420</v>
      </c>
      <c r="J19" s="1">
        <v>20</v>
      </c>
      <c r="K19" s="1">
        <v>8504</v>
      </c>
      <c r="L19" s="1">
        <v>1980</v>
      </c>
      <c r="M19" s="1">
        <f t="shared" si="1"/>
        <v>57420</v>
      </c>
      <c r="N19" s="1">
        <f t="shared" si="2"/>
        <v>25496</v>
      </c>
      <c r="O19" s="4">
        <f t="shared" si="3"/>
        <v>0.27888864581054473</v>
      </c>
    </row>
    <row r="20" spans="1:15">
      <c r="A20" s="1" t="s">
        <v>252</v>
      </c>
      <c r="B20" s="1" t="s">
        <v>1498</v>
      </c>
      <c r="C20" s="1" t="s">
        <v>253</v>
      </c>
      <c r="D20" s="1" t="s">
        <v>254</v>
      </c>
      <c r="E20" s="1">
        <v>21368</v>
      </c>
      <c r="F20" s="2">
        <v>4.3E-3</v>
      </c>
      <c r="G20" s="3">
        <f t="shared" si="0"/>
        <v>926.07608695652175</v>
      </c>
      <c r="H20" s="1">
        <v>92</v>
      </c>
      <c r="I20" s="1">
        <v>85199</v>
      </c>
      <c r="J20" s="1">
        <v>86</v>
      </c>
      <c r="K20" s="1">
        <v>14429</v>
      </c>
      <c r="L20" s="1">
        <v>232</v>
      </c>
      <c r="M20" s="1">
        <f t="shared" si="1"/>
        <v>21344</v>
      </c>
      <c r="N20" s="1">
        <f t="shared" si="2"/>
        <v>49426</v>
      </c>
      <c r="O20" s="4">
        <f t="shared" si="3"/>
        <v>0.58012417986126597</v>
      </c>
    </row>
    <row r="21" spans="1:15">
      <c r="A21" s="1" t="s">
        <v>72</v>
      </c>
      <c r="B21" s="1" t="s">
        <v>1499</v>
      </c>
      <c r="C21" s="1" t="s">
        <v>73</v>
      </c>
      <c r="D21" s="1" t="s">
        <v>74</v>
      </c>
      <c r="E21" s="1">
        <v>91</v>
      </c>
      <c r="F21" s="2">
        <v>0.47249999999999998</v>
      </c>
      <c r="G21" s="3">
        <f t="shared" si="0"/>
        <v>1835.7674418604652</v>
      </c>
      <c r="H21" s="1">
        <v>43</v>
      </c>
      <c r="I21" s="1">
        <v>78938</v>
      </c>
      <c r="J21" s="1">
        <v>31</v>
      </c>
      <c r="K21" s="1">
        <v>14269</v>
      </c>
      <c r="L21" s="1">
        <v>1100</v>
      </c>
      <c r="M21" s="1">
        <f t="shared" si="1"/>
        <v>47300</v>
      </c>
      <c r="N21" s="1">
        <f t="shared" si="2"/>
        <v>17369</v>
      </c>
      <c r="O21" s="4">
        <f t="shared" si="3"/>
        <v>0.22003344396868429</v>
      </c>
    </row>
    <row r="22" spans="1:15">
      <c r="A22" s="1" t="s">
        <v>43</v>
      </c>
      <c r="B22" s="1" t="s">
        <v>1500</v>
      </c>
      <c r="C22" s="1" t="s">
        <v>44</v>
      </c>
      <c r="D22" s="1" t="s">
        <v>44</v>
      </c>
      <c r="E22" s="1">
        <v>130</v>
      </c>
      <c r="F22" s="2">
        <v>0.25380000000000003</v>
      </c>
      <c r="G22" s="3">
        <f t="shared" si="0"/>
        <v>2390</v>
      </c>
      <c r="H22" s="1">
        <v>33</v>
      </c>
      <c r="I22" s="1">
        <v>78870</v>
      </c>
      <c r="J22" s="1">
        <v>29</v>
      </c>
      <c r="K22" s="1">
        <v>13467</v>
      </c>
      <c r="L22" s="1">
        <v>1287</v>
      </c>
      <c r="M22" s="1">
        <f t="shared" si="1"/>
        <v>42471</v>
      </c>
      <c r="N22" s="1">
        <f t="shared" si="2"/>
        <v>22932</v>
      </c>
      <c r="O22" s="4">
        <f t="shared" si="3"/>
        <v>0.29075694180296691</v>
      </c>
    </row>
    <row r="23" spans="1:15">
      <c r="A23" s="1" t="s">
        <v>24</v>
      </c>
      <c r="B23" s="1" t="s">
        <v>1501</v>
      </c>
      <c r="C23" s="1" t="s">
        <v>25</v>
      </c>
      <c r="D23" s="1" t="s">
        <v>25</v>
      </c>
      <c r="E23" s="1">
        <v>4866</v>
      </c>
      <c r="F23" s="2">
        <v>5.9999999999999995E-4</v>
      </c>
      <c r="G23" s="3">
        <f t="shared" si="0"/>
        <v>25480</v>
      </c>
      <c r="H23" s="1">
        <v>3</v>
      </c>
      <c r="I23" s="1">
        <v>76440</v>
      </c>
      <c r="J23" s="1">
        <v>3</v>
      </c>
      <c r="K23" s="1">
        <v>5830</v>
      </c>
      <c r="L23" s="1">
        <v>19800</v>
      </c>
      <c r="M23" s="1">
        <f t="shared" si="1"/>
        <v>59400</v>
      </c>
      <c r="N23" s="1">
        <f t="shared" si="2"/>
        <v>11210</v>
      </c>
      <c r="O23" s="4">
        <f t="shared" si="3"/>
        <v>0.14665096807953951</v>
      </c>
    </row>
    <row r="24" spans="1:15">
      <c r="A24" s="1" t="s">
        <v>262</v>
      </c>
      <c r="B24" s="1" t="s">
        <v>1502</v>
      </c>
      <c r="C24" s="1" t="s">
        <v>263</v>
      </c>
      <c r="D24" s="1" t="s">
        <v>263</v>
      </c>
      <c r="E24" s="1">
        <v>351</v>
      </c>
      <c r="F24" s="2">
        <v>8.5500000000000007E-2</v>
      </c>
      <c r="G24" s="3">
        <f t="shared" si="0"/>
        <v>2500</v>
      </c>
      <c r="H24" s="1">
        <v>30</v>
      </c>
      <c r="I24" s="1">
        <v>75000</v>
      </c>
      <c r="J24" s="1">
        <v>23</v>
      </c>
      <c r="K24" s="1">
        <v>8687</v>
      </c>
      <c r="L24" s="1">
        <v>1452</v>
      </c>
      <c r="M24" s="1">
        <f t="shared" si="1"/>
        <v>43560</v>
      </c>
      <c r="N24" s="1">
        <f t="shared" si="2"/>
        <v>22753</v>
      </c>
      <c r="O24" s="4">
        <f t="shared" si="3"/>
        <v>0.30337333333333333</v>
      </c>
    </row>
    <row r="25" spans="1:15">
      <c r="A25" s="1" t="s">
        <v>32</v>
      </c>
      <c r="B25" s="1" t="s">
        <v>1503</v>
      </c>
      <c r="C25" s="1" t="s">
        <v>33</v>
      </c>
      <c r="D25" s="1" t="s">
        <v>33</v>
      </c>
      <c r="E25" s="1">
        <v>191</v>
      </c>
      <c r="F25" s="2">
        <v>6.2800000000000009E-2</v>
      </c>
      <c r="G25" s="3">
        <f t="shared" si="0"/>
        <v>6180</v>
      </c>
      <c r="H25" s="1">
        <v>12</v>
      </c>
      <c r="I25" s="1">
        <v>74160</v>
      </c>
      <c r="J25" s="1">
        <v>12</v>
      </c>
      <c r="K25" s="1">
        <v>11517</v>
      </c>
      <c r="L25" s="1">
        <v>3795</v>
      </c>
      <c r="M25" s="1">
        <f t="shared" si="1"/>
        <v>45540</v>
      </c>
      <c r="N25" s="1">
        <f t="shared" si="2"/>
        <v>17103</v>
      </c>
      <c r="O25" s="4">
        <f t="shared" si="3"/>
        <v>0.23062297734627832</v>
      </c>
    </row>
    <row r="26" spans="1:15">
      <c r="A26" s="1" t="s">
        <v>133</v>
      </c>
      <c r="B26" s="1" t="s">
        <v>1504</v>
      </c>
      <c r="C26" s="1" t="s">
        <v>134</v>
      </c>
      <c r="D26" s="1" t="s">
        <v>134</v>
      </c>
      <c r="E26" s="1">
        <v>136</v>
      </c>
      <c r="F26" s="2">
        <v>0.23530000000000001</v>
      </c>
      <c r="G26" s="3">
        <f t="shared" si="0"/>
        <v>2180</v>
      </c>
      <c r="H26" s="1">
        <v>32</v>
      </c>
      <c r="I26" s="1">
        <v>69760</v>
      </c>
      <c r="J26" s="1">
        <v>20</v>
      </c>
      <c r="K26" s="1">
        <v>12597</v>
      </c>
      <c r="L26" s="1">
        <v>1122</v>
      </c>
      <c r="M26" s="1">
        <f t="shared" si="1"/>
        <v>35904</v>
      </c>
      <c r="N26" s="1">
        <f t="shared" si="2"/>
        <v>21259</v>
      </c>
      <c r="O26" s="4">
        <f t="shared" si="3"/>
        <v>0.30474483944954128</v>
      </c>
    </row>
    <row r="27" spans="1:15">
      <c r="A27" s="1" t="s">
        <v>55</v>
      </c>
      <c r="B27" s="1" t="s">
        <v>1505</v>
      </c>
      <c r="C27" s="1" t="s">
        <v>56</v>
      </c>
      <c r="D27" s="1" t="s">
        <v>57</v>
      </c>
      <c r="E27" s="1">
        <v>199</v>
      </c>
      <c r="F27" s="2">
        <v>0.23119999999999999</v>
      </c>
      <c r="G27" s="3">
        <f t="shared" si="0"/>
        <v>1498</v>
      </c>
      <c r="H27" s="1">
        <v>46</v>
      </c>
      <c r="I27" s="1">
        <v>68908</v>
      </c>
      <c r="J27" s="1">
        <v>43</v>
      </c>
      <c r="K27" s="1">
        <v>6866</v>
      </c>
      <c r="L27" s="1">
        <v>912</v>
      </c>
      <c r="M27" s="1">
        <f t="shared" si="1"/>
        <v>41952</v>
      </c>
      <c r="N27" s="1">
        <f t="shared" si="2"/>
        <v>20090</v>
      </c>
      <c r="O27" s="4">
        <f t="shared" si="3"/>
        <v>0.29154815115806582</v>
      </c>
    </row>
    <row r="28" spans="1:15">
      <c r="A28" s="1" t="s">
        <v>353</v>
      </c>
      <c r="B28" s="1" t="s">
        <v>1506</v>
      </c>
      <c r="C28" s="1" t="s">
        <v>354</v>
      </c>
      <c r="D28" s="1" t="s">
        <v>354</v>
      </c>
      <c r="E28" s="1">
        <v>270</v>
      </c>
      <c r="F28" s="2">
        <v>7.4099999999999999E-2</v>
      </c>
      <c r="G28" s="3">
        <f t="shared" si="0"/>
        <v>3442.5</v>
      </c>
      <c r="H28" s="1">
        <v>20</v>
      </c>
      <c r="I28" s="1">
        <v>68850</v>
      </c>
      <c r="J28" s="1">
        <v>13</v>
      </c>
      <c r="K28" s="1">
        <v>11661</v>
      </c>
      <c r="L28" s="1">
        <v>2283</v>
      </c>
      <c r="M28" s="1">
        <f t="shared" si="1"/>
        <v>45660</v>
      </c>
      <c r="N28" s="1">
        <f t="shared" si="2"/>
        <v>11529</v>
      </c>
      <c r="O28" s="4">
        <f t="shared" si="3"/>
        <v>0.16745098039215686</v>
      </c>
    </row>
    <row r="29" spans="1:15">
      <c r="A29" s="1" t="s">
        <v>110</v>
      </c>
      <c r="B29" s="1" t="s">
        <v>1507</v>
      </c>
      <c r="C29" s="1" t="s">
        <v>111</v>
      </c>
      <c r="D29" s="1" t="s">
        <v>111</v>
      </c>
      <c r="E29" s="1">
        <v>248</v>
      </c>
      <c r="F29" s="2">
        <v>0.1976</v>
      </c>
      <c r="G29" s="3">
        <f t="shared" si="0"/>
        <v>1330.7142857142858</v>
      </c>
      <c r="H29" s="1">
        <v>49</v>
      </c>
      <c r="I29" s="1">
        <v>65205</v>
      </c>
      <c r="J29" s="1">
        <v>32</v>
      </c>
      <c r="K29" s="1">
        <v>6046</v>
      </c>
      <c r="L29" s="1">
        <v>624</v>
      </c>
      <c r="M29" s="1">
        <f t="shared" si="1"/>
        <v>30576</v>
      </c>
      <c r="N29" s="1">
        <f t="shared" si="2"/>
        <v>28583</v>
      </c>
      <c r="O29" s="4">
        <f t="shared" si="3"/>
        <v>0.4383559542979833</v>
      </c>
    </row>
    <row r="30" spans="1:15">
      <c r="A30" s="1" t="s">
        <v>140</v>
      </c>
      <c r="B30" s="1" t="s">
        <v>1508</v>
      </c>
      <c r="C30" s="1" t="s">
        <v>141</v>
      </c>
      <c r="D30" s="1" t="s">
        <v>141</v>
      </c>
      <c r="E30" s="1">
        <v>114</v>
      </c>
      <c r="F30" s="2">
        <v>0.20180000000000001</v>
      </c>
      <c r="G30" s="3">
        <f t="shared" si="0"/>
        <v>2632.1739130434785</v>
      </c>
      <c r="H30" s="1">
        <v>23</v>
      </c>
      <c r="I30" s="1">
        <v>60540</v>
      </c>
      <c r="J30" s="1">
        <v>15</v>
      </c>
      <c r="K30" s="1">
        <v>6928</v>
      </c>
      <c r="L30" s="1">
        <v>1584</v>
      </c>
      <c r="M30" s="1">
        <f t="shared" si="1"/>
        <v>36432</v>
      </c>
      <c r="N30" s="1">
        <f t="shared" si="2"/>
        <v>17180</v>
      </c>
      <c r="O30" s="4">
        <f t="shared" si="3"/>
        <v>0.28377931945820944</v>
      </c>
    </row>
    <row r="31" spans="1:15">
      <c r="A31" s="1" t="s">
        <v>90</v>
      </c>
      <c r="B31" s="1" t="s">
        <v>1509</v>
      </c>
      <c r="C31" s="1" t="s">
        <v>91</v>
      </c>
      <c r="D31" s="1" t="s">
        <v>92</v>
      </c>
      <c r="E31" s="1">
        <v>118</v>
      </c>
      <c r="F31" s="2">
        <v>0.25419999999999998</v>
      </c>
      <c r="G31" s="3">
        <f t="shared" si="0"/>
        <v>1953.3333333333333</v>
      </c>
      <c r="H31" s="1">
        <v>30</v>
      </c>
      <c r="I31" s="1">
        <v>58600</v>
      </c>
      <c r="J31" s="1">
        <v>24</v>
      </c>
      <c r="K31" s="1">
        <v>9604</v>
      </c>
      <c r="L31" s="1">
        <v>960</v>
      </c>
      <c r="M31" s="1">
        <f t="shared" si="1"/>
        <v>28800</v>
      </c>
      <c r="N31" s="1">
        <f t="shared" si="2"/>
        <v>20196</v>
      </c>
      <c r="O31" s="4">
        <f t="shared" si="3"/>
        <v>0.34464163822525595</v>
      </c>
    </row>
    <row r="32" spans="1:15">
      <c r="A32" s="1" t="s">
        <v>357</v>
      </c>
      <c r="B32" s="1" t="s">
        <v>1510</v>
      </c>
      <c r="C32" s="1" t="s">
        <v>358</v>
      </c>
      <c r="D32" s="1" t="s">
        <v>359</v>
      </c>
      <c r="E32" s="1">
        <v>203</v>
      </c>
      <c r="F32" s="2">
        <v>0.16750000000000001</v>
      </c>
      <c r="G32" s="3">
        <f t="shared" si="0"/>
        <v>1703.2941176470588</v>
      </c>
      <c r="H32" s="1">
        <v>34</v>
      </c>
      <c r="I32" s="1">
        <v>57912</v>
      </c>
      <c r="J32" s="1">
        <v>30</v>
      </c>
      <c r="K32" s="1">
        <v>6626</v>
      </c>
      <c r="L32" s="1">
        <v>887</v>
      </c>
      <c r="M32" s="1">
        <f t="shared" si="1"/>
        <v>30158</v>
      </c>
      <c r="N32" s="1">
        <f t="shared" si="2"/>
        <v>21128</v>
      </c>
      <c r="O32" s="4">
        <f t="shared" si="3"/>
        <v>0.3648293963254593</v>
      </c>
    </row>
    <row r="33" spans="1:15">
      <c r="A33" s="1" t="s">
        <v>264</v>
      </c>
      <c r="B33" s="1" t="s">
        <v>1511</v>
      </c>
      <c r="C33" s="1" t="s">
        <v>265</v>
      </c>
      <c r="D33" s="1" t="s">
        <v>265</v>
      </c>
      <c r="E33" s="1">
        <v>2576</v>
      </c>
      <c r="F33" s="2">
        <v>1.8599999999999998E-2</v>
      </c>
      <c r="G33" s="3">
        <f t="shared" si="0"/>
        <v>1203.6666666666667</v>
      </c>
      <c r="H33" s="1">
        <v>48</v>
      </c>
      <c r="I33" s="1">
        <v>57776</v>
      </c>
      <c r="J33" s="1">
        <v>36</v>
      </c>
      <c r="K33" s="1">
        <v>5336</v>
      </c>
      <c r="L33" s="1">
        <v>658</v>
      </c>
      <c r="M33" s="1">
        <f t="shared" si="1"/>
        <v>31584</v>
      </c>
      <c r="N33" s="1">
        <f t="shared" si="2"/>
        <v>20856</v>
      </c>
      <c r="O33" s="4">
        <f t="shared" si="3"/>
        <v>0.36098033785654943</v>
      </c>
    </row>
    <row r="34" spans="1:15">
      <c r="A34" s="1" t="s">
        <v>38</v>
      </c>
      <c r="B34" s="1" t="s">
        <v>1512</v>
      </c>
      <c r="C34" s="1" t="s">
        <v>39</v>
      </c>
      <c r="D34" s="1" t="s">
        <v>40</v>
      </c>
      <c r="E34" s="1">
        <v>1956</v>
      </c>
      <c r="F34" s="2">
        <v>2.35E-2</v>
      </c>
      <c r="G34" s="3">
        <f t="shared" si="0"/>
        <v>1215.2173913043478</v>
      </c>
      <c r="H34" s="1">
        <v>46</v>
      </c>
      <c r="I34" s="1">
        <v>55900</v>
      </c>
      <c r="J34" s="1">
        <v>43</v>
      </c>
      <c r="K34" s="1">
        <v>9289</v>
      </c>
      <c r="L34" s="1">
        <v>504</v>
      </c>
      <c r="M34" s="1">
        <f t="shared" si="1"/>
        <v>23184</v>
      </c>
      <c r="N34" s="1">
        <f t="shared" si="2"/>
        <v>23427</v>
      </c>
      <c r="O34" s="4">
        <f t="shared" si="3"/>
        <v>0.41908765652951702</v>
      </c>
    </row>
    <row r="35" spans="1:15">
      <c r="A35" s="1" t="s">
        <v>150</v>
      </c>
      <c r="B35" s="1" t="s">
        <v>1513</v>
      </c>
      <c r="C35" s="1" t="s">
        <v>151</v>
      </c>
      <c r="D35" s="1" t="s">
        <v>151</v>
      </c>
      <c r="E35" s="1">
        <v>239</v>
      </c>
      <c r="F35" s="2">
        <v>0.23430000000000001</v>
      </c>
      <c r="G35" s="3">
        <f t="shared" si="0"/>
        <v>966.96428571428567</v>
      </c>
      <c r="H35" s="1">
        <v>56</v>
      </c>
      <c r="I35" s="1">
        <v>54150</v>
      </c>
      <c r="J35" s="1">
        <v>36</v>
      </c>
      <c r="K35" s="1">
        <v>4833</v>
      </c>
      <c r="L35" s="1">
        <v>396</v>
      </c>
      <c r="M35" s="1">
        <f t="shared" si="1"/>
        <v>22176</v>
      </c>
      <c r="N35" s="1">
        <f t="shared" si="2"/>
        <v>27141</v>
      </c>
      <c r="O35" s="4">
        <f t="shared" si="3"/>
        <v>0.50121883656509691</v>
      </c>
    </row>
    <row r="36" spans="1:15">
      <c r="A36" s="1" t="s">
        <v>106</v>
      </c>
      <c r="B36" s="1" t="s">
        <v>1514</v>
      </c>
      <c r="C36" s="1" t="s">
        <v>107</v>
      </c>
      <c r="D36" s="1" t="s">
        <v>107</v>
      </c>
      <c r="E36" s="1">
        <v>190</v>
      </c>
      <c r="F36" s="2">
        <v>5.79E-2</v>
      </c>
      <c r="G36" s="3">
        <f t="shared" si="0"/>
        <v>4800</v>
      </c>
      <c r="H36" s="1">
        <v>11</v>
      </c>
      <c r="I36" s="1">
        <v>52800</v>
      </c>
      <c r="J36" s="1">
        <v>11</v>
      </c>
      <c r="K36" s="1">
        <v>14135</v>
      </c>
      <c r="L36" s="1">
        <v>3940</v>
      </c>
      <c r="M36" s="1">
        <f t="shared" si="1"/>
        <v>43340</v>
      </c>
      <c r="N36" s="1">
        <f t="shared" si="2"/>
        <v>-4675</v>
      </c>
      <c r="O36" s="4">
        <f t="shared" si="3"/>
        <v>-8.8541666666666671E-2</v>
      </c>
    </row>
    <row r="37" spans="1:15">
      <c r="A37" s="1" t="s">
        <v>549</v>
      </c>
      <c r="B37" s="1" t="s">
        <v>1515</v>
      </c>
      <c r="C37" s="1" t="s">
        <v>550</v>
      </c>
      <c r="D37" s="1" t="s">
        <v>550</v>
      </c>
      <c r="E37" s="1">
        <v>412</v>
      </c>
      <c r="F37" s="2">
        <v>5.5800000000000002E-2</v>
      </c>
      <c r="G37" s="3">
        <f t="shared" si="0"/>
        <v>2280</v>
      </c>
      <c r="H37" s="1">
        <v>23</v>
      </c>
      <c r="I37" s="1">
        <v>52440</v>
      </c>
      <c r="J37" s="1">
        <v>18</v>
      </c>
      <c r="K37" s="1">
        <v>4799</v>
      </c>
      <c r="L37" s="1">
        <v>1294</v>
      </c>
      <c r="M37" s="1">
        <f t="shared" si="1"/>
        <v>29762</v>
      </c>
      <c r="N37" s="1">
        <f t="shared" si="2"/>
        <v>17879</v>
      </c>
      <c r="O37" s="4">
        <f t="shared" si="3"/>
        <v>0.34094202898550724</v>
      </c>
    </row>
    <row r="38" spans="1:15">
      <c r="A38" s="1" t="s">
        <v>75</v>
      </c>
      <c r="B38" s="1" t="s">
        <v>1516</v>
      </c>
      <c r="C38" s="1" t="s">
        <v>76</v>
      </c>
      <c r="D38" s="1" t="s">
        <v>76</v>
      </c>
      <c r="E38" s="1">
        <v>195</v>
      </c>
      <c r="F38" s="2">
        <v>0.1231</v>
      </c>
      <c r="G38" s="3">
        <f t="shared" si="0"/>
        <v>2180</v>
      </c>
      <c r="H38" s="1">
        <v>24</v>
      </c>
      <c r="I38" s="1">
        <v>52320</v>
      </c>
      <c r="J38" s="1">
        <v>23</v>
      </c>
      <c r="K38" s="1">
        <v>9057</v>
      </c>
      <c r="L38" s="1">
        <v>946</v>
      </c>
      <c r="M38" s="1">
        <f t="shared" si="1"/>
        <v>22704</v>
      </c>
      <c r="N38" s="1">
        <f t="shared" si="2"/>
        <v>20559</v>
      </c>
      <c r="O38" s="4">
        <f t="shared" si="3"/>
        <v>0.39294724770642203</v>
      </c>
    </row>
    <row r="39" spans="1:15">
      <c r="A39" s="1" t="s">
        <v>1189</v>
      </c>
      <c r="B39" s="1" t="s">
        <v>1517</v>
      </c>
      <c r="C39" s="1" t="s">
        <v>1190</v>
      </c>
      <c r="D39" s="1" t="s">
        <v>1191</v>
      </c>
      <c r="E39" s="1">
        <v>18778</v>
      </c>
      <c r="F39" s="2">
        <v>1E-4</v>
      </c>
      <c r="G39" s="3">
        <f t="shared" si="0"/>
        <v>25166</v>
      </c>
      <c r="H39" s="1">
        <v>2</v>
      </c>
      <c r="I39" s="1">
        <v>50332</v>
      </c>
      <c r="J39" s="1">
        <v>2</v>
      </c>
      <c r="K39" s="1">
        <v>5757</v>
      </c>
      <c r="L39" s="1">
        <v>17800</v>
      </c>
      <c r="M39" s="1">
        <f t="shared" si="1"/>
        <v>35600</v>
      </c>
      <c r="N39" s="1">
        <f t="shared" si="2"/>
        <v>8975</v>
      </c>
      <c r="O39" s="4">
        <f t="shared" si="3"/>
        <v>0.17831598188031472</v>
      </c>
    </row>
    <row r="40" spans="1:15">
      <c r="A40" s="1" t="s">
        <v>70</v>
      </c>
      <c r="B40" s="1" t="s">
        <v>1518</v>
      </c>
      <c r="C40" s="1" t="s">
        <v>71</v>
      </c>
      <c r="D40" s="1" t="s">
        <v>71</v>
      </c>
      <c r="E40" s="1">
        <v>141</v>
      </c>
      <c r="F40" s="2">
        <v>0.16309999999999999</v>
      </c>
      <c r="G40" s="3">
        <f t="shared" si="0"/>
        <v>2180</v>
      </c>
      <c r="H40" s="1">
        <v>23</v>
      </c>
      <c r="I40" s="1">
        <v>50140</v>
      </c>
      <c r="J40" s="1">
        <v>18</v>
      </c>
      <c r="K40" s="1">
        <v>5782</v>
      </c>
      <c r="L40" s="1">
        <v>958</v>
      </c>
      <c r="M40" s="1">
        <f t="shared" si="1"/>
        <v>22034</v>
      </c>
      <c r="N40" s="1">
        <f t="shared" si="2"/>
        <v>22324</v>
      </c>
      <c r="O40" s="4">
        <f t="shared" si="3"/>
        <v>0.44523334662943759</v>
      </c>
    </row>
    <row r="41" spans="1:15">
      <c r="A41" s="1" t="s">
        <v>135</v>
      </c>
      <c r="B41" s="1" t="s">
        <v>1519</v>
      </c>
      <c r="C41" s="1" t="s">
        <v>136</v>
      </c>
      <c r="D41" s="1" t="s">
        <v>136</v>
      </c>
      <c r="E41" s="1">
        <v>150</v>
      </c>
      <c r="F41" s="2">
        <v>0.20669999999999999</v>
      </c>
      <c r="G41" s="3">
        <f t="shared" si="0"/>
        <v>1498</v>
      </c>
      <c r="H41" s="1">
        <v>31</v>
      </c>
      <c r="I41" s="1">
        <v>46438</v>
      </c>
      <c r="J41" s="1">
        <v>30</v>
      </c>
      <c r="K41" s="1">
        <v>4501</v>
      </c>
      <c r="L41" s="1">
        <v>780</v>
      </c>
      <c r="M41" s="1">
        <f t="shared" si="1"/>
        <v>24180</v>
      </c>
      <c r="N41" s="1">
        <f t="shared" si="2"/>
        <v>17757</v>
      </c>
      <c r="O41" s="4">
        <f t="shared" si="3"/>
        <v>0.38238080882036263</v>
      </c>
    </row>
    <row r="42" spans="1:15">
      <c r="A42" s="1" t="s">
        <v>1520</v>
      </c>
      <c r="B42" s="1" t="s">
        <v>1521</v>
      </c>
      <c r="C42" s="1" t="s">
        <v>145</v>
      </c>
      <c r="D42" s="1" t="s">
        <v>145</v>
      </c>
      <c r="E42" s="1">
        <v>45</v>
      </c>
      <c r="F42" s="2">
        <v>0.24440000000000001</v>
      </c>
      <c r="G42" s="3">
        <f t="shared" si="0"/>
        <v>4198.181818181818</v>
      </c>
      <c r="H42" s="1">
        <v>11</v>
      </c>
      <c r="I42" s="1">
        <v>46180</v>
      </c>
      <c r="J42" s="1">
        <v>10</v>
      </c>
      <c r="K42" s="1">
        <v>7874</v>
      </c>
      <c r="L42" s="1">
        <v>2563</v>
      </c>
      <c r="M42" s="1">
        <f t="shared" si="1"/>
        <v>28193</v>
      </c>
      <c r="N42" s="1">
        <f t="shared" si="2"/>
        <v>10113</v>
      </c>
      <c r="O42" s="4">
        <f t="shared" si="3"/>
        <v>0.21899090515374622</v>
      </c>
    </row>
    <row r="43" spans="1:15">
      <c r="A43" s="1" t="s">
        <v>63</v>
      </c>
      <c r="B43" s="1" t="s">
        <v>1522</v>
      </c>
      <c r="C43" s="1" t="s">
        <v>64</v>
      </c>
      <c r="D43" s="1" t="s">
        <v>64</v>
      </c>
      <c r="E43" s="1">
        <v>86</v>
      </c>
      <c r="F43" s="2">
        <v>0.37209999999999999</v>
      </c>
      <c r="G43" s="3">
        <f t="shared" si="0"/>
        <v>1432.71875</v>
      </c>
      <c r="H43" s="1">
        <v>32</v>
      </c>
      <c r="I43" s="1">
        <v>45847</v>
      </c>
      <c r="J43" s="1">
        <v>25</v>
      </c>
      <c r="K43" s="1">
        <v>4834</v>
      </c>
      <c r="L43" s="1">
        <v>624</v>
      </c>
      <c r="M43" s="1">
        <f t="shared" si="1"/>
        <v>19968</v>
      </c>
      <c r="N43" s="1">
        <f t="shared" si="2"/>
        <v>21045</v>
      </c>
      <c r="O43" s="4">
        <f t="shared" si="3"/>
        <v>0.45902676292887212</v>
      </c>
    </row>
    <row r="44" spans="1:15">
      <c r="A44" s="1" t="s">
        <v>101</v>
      </c>
      <c r="B44" s="1" t="s">
        <v>1523</v>
      </c>
      <c r="C44" s="1" t="s">
        <v>102</v>
      </c>
      <c r="D44" s="1" t="s">
        <v>102</v>
      </c>
      <c r="E44" s="1">
        <v>265</v>
      </c>
      <c r="F44" s="2">
        <v>3.4000000000000002E-2</v>
      </c>
      <c r="G44" s="3">
        <f t="shared" si="0"/>
        <v>5031.1111111111113</v>
      </c>
      <c r="H44" s="1">
        <v>9</v>
      </c>
      <c r="I44" s="1">
        <v>45280</v>
      </c>
      <c r="J44" s="1">
        <v>8</v>
      </c>
      <c r="K44" s="1">
        <v>7670</v>
      </c>
      <c r="L44" s="1">
        <v>3517</v>
      </c>
      <c r="M44" s="1">
        <f t="shared" si="1"/>
        <v>31653</v>
      </c>
      <c r="N44" s="1">
        <f t="shared" si="2"/>
        <v>5957</v>
      </c>
      <c r="O44" s="4">
        <f t="shared" si="3"/>
        <v>0.13155918727915195</v>
      </c>
    </row>
    <row r="45" spans="1:15">
      <c r="A45" s="1" t="s">
        <v>118</v>
      </c>
      <c r="B45" s="1" t="s">
        <v>1524</v>
      </c>
      <c r="C45" s="1" t="s">
        <v>119</v>
      </c>
      <c r="D45" s="1" t="s">
        <v>120</v>
      </c>
      <c r="E45" s="1">
        <v>7</v>
      </c>
      <c r="F45" s="2">
        <v>0.85709999999999997</v>
      </c>
      <c r="G45" s="3">
        <f t="shared" si="0"/>
        <v>7480</v>
      </c>
      <c r="H45" s="1">
        <v>6</v>
      </c>
      <c r="I45" s="1">
        <v>44880</v>
      </c>
      <c r="J45" s="1">
        <v>6</v>
      </c>
      <c r="K45" s="1">
        <v>7602</v>
      </c>
      <c r="L45" s="1">
        <v>4753</v>
      </c>
      <c r="M45" s="1">
        <f t="shared" si="1"/>
        <v>28518</v>
      </c>
      <c r="N45" s="1">
        <f t="shared" si="2"/>
        <v>8760</v>
      </c>
      <c r="O45" s="4">
        <f t="shared" si="3"/>
        <v>0.19518716577540107</v>
      </c>
    </row>
    <row r="46" spans="1:15">
      <c r="A46" s="1" t="s">
        <v>238</v>
      </c>
      <c r="B46" s="1" t="s">
        <v>1525</v>
      </c>
      <c r="C46" s="1" t="s">
        <v>239</v>
      </c>
      <c r="D46" s="1" t="s">
        <v>240</v>
      </c>
      <c r="E46" s="1">
        <v>1403</v>
      </c>
      <c r="F46" s="2">
        <v>6.4000000000000003E-3</v>
      </c>
      <c r="G46" s="3">
        <f t="shared" si="0"/>
        <v>4862</v>
      </c>
      <c r="H46" s="1">
        <v>9</v>
      </c>
      <c r="I46" s="1">
        <v>43758</v>
      </c>
      <c r="J46" s="1">
        <v>7</v>
      </c>
      <c r="K46" s="1">
        <v>5007</v>
      </c>
      <c r="L46" s="1">
        <v>2699</v>
      </c>
      <c r="M46" s="1">
        <f t="shared" si="1"/>
        <v>24291</v>
      </c>
      <c r="N46" s="1">
        <f t="shared" si="2"/>
        <v>14460</v>
      </c>
      <c r="O46" s="4">
        <f t="shared" si="3"/>
        <v>0.33045385986562459</v>
      </c>
    </row>
    <row r="47" spans="1:15">
      <c r="A47" s="1" t="s">
        <v>514</v>
      </c>
      <c r="B47" s="1" t="s">
        <v>1526</v>
      </c>
      <c r="C47" s="1" t="s">
        <v>515</v>
      </c>
      <c r="D47" s="1" t="s">
        <v>254</v>
      </c>
      <c r="E47" s="1">
        <v>22954</v>
      </c>
      <c r="F47" s="2">
        <v>2E-3</v>
      </c>
      <c r="G47" s="3">
        <f t="shared" si="0"/>
        <v>914.87234042553189</v>
      </c>
      <c r="H47" s="1">
        <v>47</v>
      </c>
      <c r="I47" s="1">
        <v>42999</v>
      </c>
      <c r="J47" s="1">
        <v>46</v>
      </c>
      <c r="K47" s="1">
        <v>7303</v>
      </c>
      <c r="L47" s="1">
        <v>232</v>
      </c>
      <c r="M47" s="1">
        <f t="shared" si="1"/>
        <v>10904</v>
      </c>
      <c r="N47" s="1">
        <f t="shared" si="2"/>
        <v>24792</v>
      </c>
      <c r="O47" s="4">
        <f t="shared" si="3"/>
        <v>0.57657154817553902</v>
      </c>
    </row>
    <row r="48" spans="1:15">
      <c r="A48" s="1" t="s">
        <v>152</v>
      </c>
      <c r="B48" s="1" t="s">
        <v>1527</v>
      </c>
      <c r="C48" s="1" t="s">
        <v>153</v>
      </c>
      <c r="D48" s="1" t="s">
        <v>153</v>
      </c>
      <c r="E48" s="1">
        <v>47</v>
      </c>
      <c r="F48" s="2">
        <v>0.1915</v>
      </c>
      <c r="G48" s="3">
        <f t="shared" si="0"/>
        <v>4580</v>
      </c>
      <c r="H48" s="1">
        <v>9</v>
      </c>
      <c r="I48" s="1">
        <v>41220</v>
      </c>
      <c r="J48" s="1">
        <v>9</v>
      </c>
      <c r="K48" s="1">
        <v>6984</v>
      </c>
      <c r="L48" s="1">
        <v>2530</v>
      </c>
      <c r="M48" s="1">
        <f t="shared" si="1"/>
        <v>22770</v>
      </c>
      <c r="N48" s="1">
        <f t="shared" si="2"/>
        <v>11466</v>
      </c>
      <c r="O48" s="4">
        <f t="shared" si="3"/>
        <v>0.27816593886462881</v>
      </c>
    </row>
    <row r="49" spans="1:15">
      <c r="A49" s="6" t="s">
        <v>1528</v>
      </c>
      <c r="B49" s="1" t="s">
        <v>1529</v>
      </c>
      <c r="C49" s="1" t="s">
        <v>1530</v>
      </c>
      <c r="D49" s="1" t="s">
        <v>240</v>
      </c>
      <c r="E49" s="1">
        <v>622</v>
      </c>
      <c r="F49" s="2">
        <v>1.61E-2</v>
      </c>
      <c r="G49" s="3">
        <f t="shared" si="0"/>
        <v>4114.1000000000004</v>
      </c>
      <c r="H49" s="1">
        <v>10</v>
      </c>
      <c r="I49" s="1">
        <v>41141</v>
      </c>
      <c r="J49" s="1">
        <v>6</v>
      </c>
      <c r="K49" s="1">
        <v>4703</v>
      </c>
      <c r="L49" s="1">
        <v>2072</v>
      </c>
      <c r="M49" s="1">
        <f t="shared" si="1"/>
        <v>20720</v>
      </c>
      <c r="N49" s="1">
        <f t="shared" si="2"/>
        <v>15718</v>
      </c>
      <c r="O49" s="4">
        <f t="shared" si="3"/>
        <v>0.38205196762353855</v>
      </c>
    </row>
    <row r="50" spans="1:15">
      <c r="A50" s="1" t="s">
        <v>137</v>
      </c>
      <c r="B50" s="1" t="s">
        <v>1531</v>
      </c>
      <c r="C50" s="1" t="s">
        <v>138</v>
      </c>
      <c r="D50" s="1" t="s">
        <v>139</v>
      </c>
      <c r="E50" s="1">
        <v>97</v>
      </c>
      <c r="F50" s="2">
        <v>0.18559999999999999</v>
      </c>
      <c r="G50" s="3">
        <f t="shared" si="0"/>
        <v>2280</v>
      </c>
      <c r="H50" s="1">
        <v>18</v>
      </c>
      <c r="I50" s="1">
        <v>41040</v>
      </c>
      <c r="J50" s="1">
        <v>18</v>
      </c>
      <c r="K50" s="1">
        <v>5027</v>
      </c>
      <c r="L50" s="1">
        <v>695</v>
      </c>
      <c r="M50" s="1">
        <f t="shared" si="1"/>
        <v>12510</v>
      </c>
      <c r="N50" s="1">
        <f t="shared" si="2"/>
        <v>23503</v>
      </c>
      <c r="O50" s="4">
        <f t="shared" si="3"/>
        <v>0.57268518518518519</v>
      </c>
    </row>
    <row r="51" spans="1:15">
      <c r="A51" s="1" t="s">
        <v>103</v>
      </c>
      <c r="B51" s="1" t="s">
        <v>1532</v>
      </c>
      <c r="C51" s="1" t="s">
        <v>104</v>
      </c>
      <c r="D51" s="1" t="s">
        <v>105</v>
      </c>
      <c r="E51" s="1">
        <v>7880</v>
      </c>
      <c r="F51" s="2">
        <v>1.9E-3</v>
      </c>
      <c r="G51" s="3">
        <f t="shared" si="0"/>
        <v>2692.8</v>
      </c>
      <c r="H51" s="1">
        <v>15</v>
      </c>
      <c r="I51" s="1">
        <v>40392</v>
      </c>
      <c r="J51" s="1">
        <v>15</v>
      </c>
      <c r="K51" s="1">
        <v>6850</v>
      </c>
      <c r="L51" s="1">
        <v>1429</v>
      </c>
      <c r="M51" s="1">
        <f t="shared" si="1"/>
        <v>21435</v>
      </c>
      <c r="N51" s="1">
        <f t="shared" si="2"/>
        <v>12107</v>
      </c>
      <c r="O51" s="4">
        <f t="shared" si="3"/>
        <v>0.29973757179639532</v>
      </c>
    </row>
    <row r="52" spans="1:15">
      <c r="A52" s="1" t="s">
        <v>131</v>
      </c>
      <c r="B52" s="1" t="s">
        <v>1533</v>
      </c>
      <c r="C52" s="1" t="s">
        <v>132</v>
      </c>
      <c r="D52" s="1" t="s">
        <v>132</v>
      </c>
      <c r="E52" s="1">
        <v>90</v>
      </c>
      <c r="F52" s="2">
        <v>0.37780000000000002</v>
      </c>
      <c r="G52" s="3">
        <f t="shared" si="0"/>
        <v>1180</v>
      </c>
      <c r="H52" s="1">
        <v>34</v>
      </c>
      <c r="I52" s="1">
        <v>40120</v>
      </c>
      <c r="J52" s="1">
        <v>29</v>
      </c>
      <c r="K52" s="1">
        <v>3706</v>
      </c>
      <c r="L52" s="1">
        <v>564</v>
      </c>
      <c r="M52" s="1">
        <f t="shared" si="1"/>
        <v>19176</v>
      </c>
      <c r="N52" s="1">
        <f t="shared" si="2"/>
        <v>17238</v>
      </c>
      <c r="O52" s="4">
        <f t="shared" si="3"/>
        <v>0.42966101694915254</v>
      </c>
    </row>
    <row r="53" spans="1:15">
      <c r="A53" s="1" t="s">
        <v>99</v>
      </c>
      <c r="B53" s="1" t="s">
        <v>1534</v>
      </c>
      <c r="C53" s="1" t="s">
        <v>100</v>
      </c>
      <c r="D53" s="1" t="s">
        <v>100</v>
      </c>
      <c r="E53" s="1">
        <v>132</v>
      </c>
      <c r="F53" s="2">
        <v>0.20449999999999999</v>
      </c>
      <c r="G53" s="3">
        <f t="shared" si="0"/>
        <v>1480</v>
      </c>
      <c r="H53" s="1">
        <v>27</v>
      </c>
      <c r="I53" s="1">
        <v>39960</v>
      </c>
      <c r="J53" s="1">
        <v>22</v>
      </c>
      <c r="K53" s="1">
        <v>4515</v>
      </c>
      <c r="L53" s="1">
        <v>836</v>
      </c>
      <c r="M53" s="1">
        <f t="shared" si="1"/>
        <v>22572</v>
      </c>
      <c r="N53" s="1">
        <f t="shared" si="2"/>
        <v>12873</v>
      </c>
      <c r="O53" s="4">
        <f t="shared" si="3"/>
        <v>0.32214714714714715</v>
      </c>
    </row>
    <row r="54" spans="1:15">
      <c r="A54" s="1" t="s">
        <v>202</v>
      </c>
      <c r="B54" s="1" t="s">
        <v>1535</v>
      </c>
      <c r="C54" s="1" t="s">
        <v>203</v>
      </c>
      <c r="D54" s="1" t="s">
        <v>203</v>
      </c>
      <c r="E54" s="1">
        <v>275</v>
      </c>
      <c r="F54" s="2">
        <v>2.18E-2</v>
      </c>
      <c r="G54" s="3">
        <f t="shared" si="0"/>
        <v>6122.333333333333</v>
      </c>
      <c r="H54" s="1">
        <v>6</v>
      </c>
      <c r="I54" s="1">
        <v>36734</v>
      </c>
      <c r="J54" s="1">
        <v>6</v>
      </c>
      <c r="K54" s="1">
        <v>3363</v>
      </c>
      <c r="L54" s="1">
        <v>4820</v>
      </c>
      <c r="M54" s="1">
        <f t="shared" si="1"/>
        <v>28920</v>
      </c>
      <c r="N54" s="1">
        <f t="shared" si="2"/>
        <v>4451</v>
      </c>
      <c r="O54" s="4">
        <f t="shared" si="3"/>
        <v>0.12116839984755268</v>
      </c>
    </row>
    <row r="55" spans="1:15">
      <c r="A55" s="1" t="s">
        <v>86</v>
      </c>
      <c r="B55" s="1" t="s">
        <v>1536</v>
      </c>
      <c r="C55" s="1" t="s">
        <v>87</v>
      </c>
      <c r="D55" s="1" t="s">
        <v>87</v>
      </c>
      <c r="E55" s="1">
        <v>45</v>
      </c>
      <c r="F55" s="2">
        <v>0.2</v>
      </c>
      <c r="G55" s="3">
        <f t="shared" si="0"/>
        <v>3980</v>
      </c>
      <c r="H55" s="1">
        <v>9</v>
      </c>
      <c r="I55" s="1">
        <v>35820</v>
      </c>
      <c r="J55" s="1">
        <v>9</v>
      </c>
      <c r="K55" s="1">
        <v>6809</v>
      </c>
      <c r="L55" s="1">
        <v>2006</v>
      </c>
      <c r="M55" s="1">
        <f t="shared" si="1"/>
        <v>18054</v>
      </c>
      <c r="N55" s="1">
        <f t="shared" si="2"/>
        <v>10957</v>
      </c>
      <c r="O55" s="4">
        <f t="shared" si="3"/>
        <v>0.30589056393076491</v>
      </c>
    </row>
    <row r="56" spans="1:15">
      <c r="A56" s="1" t="s">
        <v>1224</v>
      </c>
      <c r="B56" s="1" t="s">
        <v>1537</v>
      </c>
      <c r="C56" s="1" t="s">
        <v>1225</v>
      </c>
      <c r="D56" s="1" t="s">
        <v>1226</v>
      </c>
      <c r="E56" s="1">
        <v>190971</v>
      </c>
      <c r="F56" s="2">
        <v>0</v>
      </c>
      <c r="G56" s="3">
        <f t="shared" si="0"/>
        <v>35800</v>
      </c>
      <c r="H56" s="1">
        <v>1</v>
      </c>
      <c r="I56" s="1">
        <v>35800</v>
      </c>
      <c r="J56" s="1">
        <v>1</v>
      </c>
      <c r="K56" s="1">
        <v>4095</v>
      </c>
      <c r="L56" s="1">
        <v>29880</v>
      </c>
      <c r="M56" s="1">
        <f t="shared" si="1"/>
        <v>29880</v>
      </c>
      <c r="N56" s="1">
        <f t="shared" si="2"/>
        <v>1825</v>
      </c>
      <c r="O56" s="4">
        <f t="shared" si="3"/>
        <v>5.0977653631284918E-2</v>
      </c>
    </row>
    <row r="57" spans="1:15">
      <c r="A57" s="1" t="s">
        <v>84</v>
      </c>
      <c r="B57" s="1" t="s">
        <v>1538</v>
      </c>
      <c r="C57" s="1" t="s">
        <v>85</v>
      </c>
      <c r="D57" s="1" t="s">
        <v>57</v>
      </c>
      <c r="E57" s="1">
        <v>181</v>
      </c>
      <c r="F57" s="2">
        <v>0.16569999999999999</v>
      </c>
      <c r="G57" s="3">
        <f t="shared" si="0"/>
        <v>1180</v>
      </c>
      <c r="H57" s="1">
        <v>30</v>
      </c>
      <c r="I57" s="1">
        <v>35400</v>
      </c>
      <c r="J57" s="1">
        <v>28</v>
      </c>
      <c r="K57" s="1">
        <v>3355</v>
      </c>
      <c r="L57" s="1">
        <v>608</v>
      </c>
      <c r="M57" s="1">
        <f t="shared" si="1"/>
        <v>18240</v>
      </c>
      <c r="N57" s="1">
        <f t="shared" si="2"/>
        <v>13805</v>
      </c>
      <c r="O57" s="4">
        <f t="shared" si="3"/>
        <v>0.3899717514124294</v>
      </c>
    </row>
    <row r="58" spans="1:15">
      <c r="A58" s="1" t="s">
        <v>60</v>
      </c>
      <c r="B58" s="1" t="s">
        <v>1539</v>
      </c>
      <c r="C58" s="1" t="s">
        <v>61</v>
      </c>
      <c r="D58" s="1" t="s">
        <v>62</v>
      </c>
      <c r="E58" s="1">
        <v>11</v>
      </c>
      <c r="F58" s="2">
        <v>0.36359999999999998</v>
      </c>
      <c r="G58" s="3">
        <f t="shared" si="0"/>
        <v>8780</v>
      </c>
      <c r="H58" s="1">
        <v>4</v>
      </c>
      <c r="I58" s="1">
        <v>35120</v>
      </c>
      <c r="J58" s="1">
        <v>3</v>
      </c>
      <c r="K58" s="1">
        <v>5948</v>
      </c>
      <c r="L58" s="1">
        <v>6631</v>
      </c>
      <c r="M58" s="1">
        <f t="shared" si="1"/>
        <v>26524</v>
      </c>
      <c r="N58" s="1">
        <f t="shared" si="2"/>
        <v>2648</v>
      </c>
      <c r="O58" s="4">
        <f t="shared" si="3"/>
        <v>7.5398633257403189E-2</v>
      </c>
    </row>
    <row r="59" spans="1:15">
      <c r="A59" s="1" t="s">
        <v>123</v>
      </c>
      <c r="B59" s="1" t="s">
        <v>1540</v>
      </c>
      <c r="C59" s="1" t="s">
        <v>124</v>
      </c>
      <c r="D59" s="1" t="s">
        <v>124</v>
      </c>
      <c r="E59" s="1">
        <v>1230</v>
      </c>
      <c r="F59" s="2">
        <v>2.2800000000000001E-2</v>
      </c>
      <c r="G59" s="3">
        <f t="shared" si="0"/>
        <v>1251.1428571428571</v>
      </c>
      <c r="H59" s="1">
        <v>28</v>
      </c>
      <c r="I59" s="1">
        <v>35032</v>
      </c>
      <c r="J59" s="1">
        <v>26</v>
      </c>
      <c r="K59" s="1">
        <v>3252</v>
      </c>
      <c r="L59" s="1">
        <v>548</v>
      </c>
      <c r="M59" s="1">
        <f t="shared" si="1"/>
        <v>15344</v>
      </c>
      <c r="N59" s="1">
        <f t="shared" si="2"/>
        <v>16436</v>
      </c>
      <c r="O59" s="4">
        <f t="shared" si="3"/>
        <v>0.46917104361726419</v>
      </c>
    </row>
    <row r="60" spans="1:15">
      <c r="A60" s="1" t="s">
        <v>77</v>
      </c>
      <c r="B60" s="1" t="s">
        <v>1541</v>
      </c>
      <c r="C60" s="1" t="s">
        <v>78</v>
      </c>
      <c r="D60" s="1" t="s">
        <v>78</v>
      </c>
      <c r="E60" s="1">
        <v>76</v>
      </c>
      <c r="F60" s="2">
        <v>0.15790000000000001</v>
      </c>
      <c r="G60" s="3">
        <f t="shared" si="0"/>
        <v>2780</v>
      </c>
      <c r="H60" s="1">
        <v>12</v>
      </c>
      <c r="I60" s="1">
        <v>33360</v>
      </c>
      <c r="J60" s="1">
        <v>11</v>
      </c>
      <c r="K60" s="1">
        <v>5652</v>
      </c>
      <c r="L60" s="1">
        <v>1338</v>
      </c>
      <c r="M60" s="1">
        <f t="shared" si="1"/>
        <v>16056</v>
      </c>
      <c r="N60" s="1">
        <f t="shared" si="2"/>
        <v>11652</v>
      </c>
      <c r="O60" s="4">
        <f t="shared" si="3"/>
        <v>0.34928057553956837</v>
      </c>
    </row>
    <row r="61" spans="1:15">
      <c r="A61" s="1" t="s">
        <v>174</v>
      </c>
      <c r="B61" s="1" t="s">
        <v>1542</v>
      </c>
      <c r="C61" s="1" t="s">
        <v>175</v>
      </c>
      <c r="D61" s="1" t="s">
        <v>176</v>
      </c>
      <c r="E61" s="1">
        <v>56</v>
      </c>
      <c r="F61" s="2">
        <v>0.28570000000000001</v>
      </c>
      <c r="G61" s="3">
        <f t="shared" si="0"/>
        <v>2080</v>
      </c>
      <c r="H61" s="1">
        <v>16</v>
      </c>
      <c r="I61" s="1">
        <v>33280</v>
      </c>
      <c r="J61" s="1">
        <v>13</v>
      </c>
      <c r="K61" s="1">
        <v>5632</v>
      </c>
      <c r="L61" s="1">
        <v>1254</v>
      </c>
      <c r="M61" s="1">
        <f t="shared" si="1"/>
        <v>20064</v>
      </c>
      <c r="N61" s="1">
        <f t="shared" si="2"/>
        <v>7584</v>
      </c>
      <c r="O61" s="4">
        <f t="shared" si="3"/>
        <v>0.22788461538461538</v>
      </c>
    </row>
    <row r="62" spans="1:15">
      <c r="A62" s="1" t="s">
        <v>154</v>
      </c>
      <c r="B62" s="1" t="s">
        <v>1543</v>
      </c>
      <c r="C62" s="1" t="s">
        <v>155</v>
      </c>
      <c r="D62" s="1" t="s">
        <v>155</v>
      </c>
      <c r="E62" s="1">
        <v>208</v>
      </c>
      <c r="F62" s="2">
        <v>5.7699999999999987E-2</v>
      </c>
      <c r="G62" s="3">
        <f t="shared" si="0"/>
        <v>2727.75</v>
      </c>
      <c r="H62" s="1">
        <v>12</v>
      </c>
      <c r="I62" s="1">
        <v>32733</v>
      </c>
      <c r="J62" s="1">
        <v>10</v>
      </c>
      <c r="K62" s="1">
        <v>5549</v>
      </c>
      <c r="L62" s="1">
        <v>1584</v>
      </c>
      <c r="M62" s="1">
        <f t="shared" si="1"/>
        <v>19008</v>
      </c>
      <c r="N62" s="1">
        <f t="shared" si="2"/>
        <v>8176</v>
      </c>
      <c r="O62" s="4">
        <f t="shared" si="3"/>
        <v>0.24977851098280024</v>
      </c>
    </row>
    <row r="63" spans="1:15">
      <c r="A63" s="1" t="s">
        <v>188</v>
      </c>
      <c r="B63" s="1" t="s">
        <v>1544</v>
      </c>
      <c r="C63" s="1" t="s">
        <v>189</v>
      </c>
      <c r="D63" s="1" t="s">
        <v>189</v>
      </c>
      <c r="E63" s="1">
        <v>33</v>
      </c>
      <c r="F63" s="2">
        <v>0.39389999999999997</v>
      </c>
      <c r="G63" s="3">
        <f t="shared" si="0"/>
        <v>2480</v>
      </c>
      <c r="H63" s="1">
        <v>13</v>
      </c>
      <c r="I63" s="1">
        <v>32240</v>
      </c>
      <c r="J63" s="1">
        <v>11</v>
      </c>
      <c r="K63" s="1">
        <v>5461</v>
      </c>
      <c r="L63" s="1">
        <v>1690</v>
      </c>
      <c r="M63" s="1">
        <f t="shared" si="1"/>
        <v>21970</v>
      </c>
      <c r="N63" s="1">
        <f t="shared" si="2"/>
        <v>4809</v>
      </c>
      <c r="O63" s="4">
        <f t="shared" si="3"/>
        <v>0.14916253101736973</v>
      </c>
    </row>
    <row r="64" spans="1:15">
      <c r="A64" s="1" t="s">
        <v>81</v>
      </c>
      <c r="B64" s="1" t="s">
        <v>1545</v>
      </c>
      <c r="C64" s="1" t="s">
        <v>82</v>
      </c>
      <c r="D64" s="1" t="s">
        <v>83</v>
      </c>
      <c r="E64" s="1">
        <v>40</v>
      </c>
      <c r="F64" s="2">
        <v>0.22500000000000001</v>
      </c>
      <c r="G64" s="3">
        <f t="shared" si="0"/>
        <v>3580</v>
      </c>
      <c r="H64" s="1">
        <v>9</v>
      </c>
      <c r="I64" s="1">
        <v>32220</v>
      </c>
      <c r="J64" s="1">
        <v>9</v>
      </c>
      <c r="K64" s="1">
        <v>5454</v>
      </c>
      <c r="L64" s="1">
        <v>1130</v>
      </c>
      <c r="M64" s="1">
        <f t="shared" si="1"/>
        <v>10170</v>
      </c>
      <c r="N64" s="1">
        <f t="shared" si="2"/>
        <v>16596</v>
      </c>
      <c r="O64" s="4">
        <f t="shared" si="3"/>
        <v>0.51508379888268152</v>
      </c>
    </row>
    <row r="65" spans="1:15">
      <c r="A65" s="1" t="s">
        <v>1546</v>
      </c>
      <c r="B65" s="1" t="s">
        <v>1547</v>
      </c>
      <c r="C65" s="1" t="s">
        <v>1548</v>
      </c>
      <c r="D65" s="1" t="s">
        <v>1548</v>
      </c>
      <c r="E65" s="1">
        <v>423</v>
      </c>
      <c r="F65" s="2">
        <v>3.3099999999999997E-2</v>
      </c>
      <c r="G65" s="3">
        <f t="shared" si="0"/>
        <v>2289.4285714285716</v>
      </c>
      <c r="H65" s="1">
        <v>14</v>
      </c>
      <c r="I65" s="1">
        <v>32052</v>
      </c>
      <c r="J65" s="1">
        <v>8</v>
      </c>
      <c r="K65" s="1">
        <v>5434</v>
      </c>
      <c r="L65" s="1">
        <v>1320</v>
      </c>
      <c r="M65" s="1">
        <f t="shared" si="1"/>
        <v>18480</v>
      </c>
      <c r="N65" s="1">
        <f t="shared" si="2"/>
        <v>8138</v>
      </c>
      <c r="O65" s="4">
        <f t="shared" si="3"/>
        <v>0.25389991264195683</v>
      </c>
    </row>
    <row r="66" spans="1:15">
      <c r="A66" s="1" t="s">
        <v>319</v>
      </c>
      <c r="B66" s="1" t="s">
        <v>1549</v>
      </c>
      <c r="C66" s="1" t="s">
        <v>320</v>
      </c>
      <c r="D66" s="1" t="s">
        <v>321</v>
      </c>
      <c r="E66" s="1">
        <v>79</v>
      </c>
      <c r="F66" s="2">
        <v>0.1772</v>
      </c>
      <c r="G66" s="3">
        <f t="shared" si="0"/>
        <v>2198</v>
      </c>
      <c r="H66" s="1">
        <v>14</v>
      </c>
      <c r="I66" s="1">
        <v>30772</v>
      </c>
      <c r="J66" s="1">
        <v>10</v>
      </c>
      <c r="K66" s="1">
        <v>5039</v>
      </c>
      <c r="L66" s="1">
        <v>1086</v>
      </c>
      <c r="M66" s="1">
        <f t="shared" si="1"/>
        <v>15204</v>
      </c>
      <c r="N66" s="1">
        <f t="shared" si="2"/>
        <v>10529</v>
      </c>
      <c r="O66" s="4">
        <f t="shared" si="3"/>
        <v>0.34216170544650981</v>
      </c>
    </row>
    <row r="67" spans="1:15">
      <c r="A67" s="1" t="s">
        <v>301</v>
      </c>
      <c r="B67" s="1" t="s">
        <v>1550</v>
      </c>
      <c r="C67" s="1" t="s">
        <v>302</v>
      </c>
      <c r="D67" s="1" t="s">
        <v>302</v>
      </c>
      <c r="E67" s="1">
        <v>52</v>
      </c>
      <c r="F67" s="2">
        <v>0.28849999999999998</v>
      </c>
      <c r="G67" s="3">
        <f t="shared" si="0"/>
        <v>1980</v>
      </c>
      <c r="H67" s="1">
        <v>15</v>
      </c>
      <c r="I67" s="1">
        <v>29700</v>
      </c>
      <c r="J67" s="1">
        <v>5</v>
      </c>
      <c r="K67" s="1">
        <v>5132</v>
      </c>
      <c r="L67" s="1">
        <v>1440</v>
      </c>
      <c r="M67" s="1">
        <f t="shared" si="1"/>
        <v>21600</v>
      </c>
      <c r="N67" s="1">
        <f t="shared" si="2"/>
        <v>2968</v>
      </c>
      <c r="O67" s="4">
        <f t="shared" si="3"/>
        <v>9.9932659932659929E-2</v>
      </c>
    </row>
    <row r="68" spans="1:15">
      <c r="A68" s="1" t="s">
        <v>95</v>
      </c>
      <c r="B68" s="1" t="s">
        <v>1551</v>
      </c>
      <c r="C68" s="1" t="s">
        <v>96</v>
      </c>
      <c r="D68" s="1" t="s">
        <v>96</v>
      </c>
      <c r="E68" s="1">
        <v>153</v>
      </c>
      <c r="F68" s="2">
        <v>0.1242</v>
      </c>
      <c r="G68" s="3">
        <f t="shared" si="0"/>
        <v>1498</v>
      </c>
      <c r="H68" s="1">
        <v>19</v>
      </c>
      <c r="I68" s="1">
        <v>28462</v>
      </c>
      <c r="J68" s="1">
        <v>19</v>
      </c>
      <c r="K68" s="1">
        <v>2973</v>
      </c>
      <c r="L68" s="1">
        <v>874</v>
      </c>
      <c r="M68" s="1">
        <f t="shared" si="1"/>
        <v>16606</v>
      </c>
      <c r="N68" s="1">
        <f t="shared" si="2"/>
        <v>8883</v>
      </c>
      <c r="O68" s="4">
        <f t="shared" si="3"/>
        <v>0.31210034431874079</v>
      </c>
    </row>
    <row r="69" spans="1:15">
      <c r="A69" s="1" t="s">
        <v>65</v>
      </c>
      <c r="B69" s="1" t="s">
        <v>1552</v>
      </c>
      <c r="C69" s="1" t="s">
        <v>66</v>
      </c>
      <c r="D69" s="1" t="s">
        <v>66</v>
      </c>
      <c r="E69" s="1">
        <v>99</v>
      </c>
      <c r="F69" s="2">
        <v>0.1111</v>
      </c>
      <c r="G69" s="3">
        <f t="shared" si="0"/>
        <v>2561.818181818182</v>
      </c>
      <c r="H69" s="1">
        <v>11</v>
      </c>
      <c r="I69" s="1">
        <v>28180</v>
      </c>
      <c r="J69" s="1">
        <v>9</v>
      </c>
      <c r="K69" s="1">
        <v>4773</v>
      </c>
      <c r="L69" s="1">
        <v>1584</v>
      </c>
      <c r="M69" s="1">
        <f t="shared" si="1"/>
        <v>17424</v>
      </c>
      <c r="N69" s="1">
        <f t="shared" si="2"/>
        <v>5983</v>
      </c>
      <c r="O69" s="4">
        <f t="shared" si="3"/>
        <v>0.21231369765791341</v>
      </c>
    </row>
    <row r="70" spans="1:15">
      <c r="A70" s="1" t="s">
        <v>400</v>
      </c>
      <c r="B70" s="1" t="s">
        <v>1553</v>
      </c>
      <c r="C70" s="1" t="s">
        <v>401</v>
      </c>
      <c r="D70" s="1" t="s">
        <v>402</v>
      </c>
      <c r="E70" s="1">
        <v>5189</v>
      </c>
      <c r="F70" s="2">
        <v>3.8999999999999998E-3</v>
      </c>
      <c r="G70" s="3">
        <f t="shared" si="0"/>
        <v>1408.2</v>
      </c>
      <c r="H70" s="1">
        <v>20</v>
      </c>
      <c r="I70" s="1">
        <v>28164</v>
      </c>
      <c r="J70" s="1">
        <v>13</v>
      </c>
      <c r="K70" s="1">
        <v>2612</v>
      </c>
      <c r="L70" s="1">
        <v>754</v>
      </c>
      <c r="M70" s="1">
        <f t="shared" si="1"/>
        <v>15080</v>
      </c>
      <c r="N70" s="1">
        <f t="shared" si="2"/>
        <v>10472</v>
      </c>
      <c r="O70" s="4">
        <f t="shared" si="3"/>
        <v>0.37182218434881409</v>
      </c>
    </row>
    <row r="71" spans="1:15">
      <c r="A71" s="1" t="s">
        <v>125</v>
      </c>
      <c r="B71" s="1" t="s">
        <v>1554</v>
      </c>
      <c r="C71" s="1" t="s">
        <v>126</v>
      </c>
      <c r="D71" s="1" t="s">
        <v>126</v>
      </c>
      <c r="E71" s="1">
        <v>821</v>
      </c>
      <c r="F71" s="2">
        <v>2.6800000000000001E-2</v>
      </c>
      <c r="G71" s="3">
        <f t="shared" si="0"/>
        <v>1280</v>
      </c>
      <c r="H71" s="1">
        <v>22</v>
      </c>
      <c r="I71" s="1">
        <v>28160</v>
      </c>
      <c r="J71" s="1">
        <v>18</v>
      </c>
      <c r="K71" s="1">
        <v>2617</v>
      </c>
      <c r="L71" s="1">
        <v>751</v>
      </c>
      <c r="M71" s="1">
        <f t="shared" si="1"/>
        <v>16522</v>
      </c>
      <c r="N71" s="1">
        <f t="shared" si="2"/>
        <v>9021</v>
      </c>
      <c r="O71" s="4">
        <f t="shared" si="3"/>
        <v>0.32034801136363639</v>
      </c>
    </row>
    <row r="72" spans="1:15">
      <c r="A72" s="1" t="s">
        <v>845</v>
      </c>
      <c r="B72" s="1" t="s">
        <v>1555</v>
      </c>
      <c r="C72" s="1" t="s">
        <v>846</v>
      </c>
      <c r="D72" s="1" t="s">
        <v>846</v>
      </c>
      <c r="E72" s="1">
        <v>418</v>
      </c>
      <c r="F72" s="2">
        <v>2.87E-2</v>
      </c>
      <c r="G72" s="3">
        <f t="shared" ref="G72:G135" si="4">IF(H72=0,"",I72/H72)</f>
        <v>2312.0833333333335</v>
      </c>
      <c r="H72" s="1">
        <v>12</v>
      </c>
      <c r="I72" s="1">
        <v>27745</v>
      </c>
      <c r="J72" s="1">
        <v>9</v>
      </c>
      <c r="K72" s="1">
        <v>4702</v>
      </c>
      <c r="L72" s="1">
        <v>1460</v>
      </c>
      <c r="M72" s="1">
        <f t="shared" ref="M72:M135" si="5">SUM(H72*L72)</f>
        <v>17520</v>
      </c>
      <c r="N72" s="1">
        <f t="shared" ref="N72:N135" si="6">SUM(I72-K72-M72)</f>
        <v>5523</v>
      </c>
      <c r="O72" s="4">
        <f t="shared" ref="O72:O135" si="7">IF(I72=0,"",N72/I72)</f>
        <v>0.1990628942151739</v>
      </c>
    </row>
    <row r="73" spans="1:15">
      <c r="A73" s="1" t="s">
        <v>250</v>
      </c>
      <c r="B73" s="1" t="s">
        <v>1556</v>
      </c>
      <c r="C73" s="1" t="s">
        <v>251</v>
      </c>
      <c r="D73" s="1" t="s">
        <v>251</v>
      </c>
      <c r="E73" s="1">
        <v>64</v>
      </c>
      <c r="F73" s="2">
        <v>0.21879999999999999</v>
      </c>
      <c r="G73" s="3">
        <f t="shared" si="4"/>
        <v>1980</v>
      </c>
      <c r="H73" s="1">
        <v>14</v>
      </c>
      <c r="I73" s="1">
        <v>27720</v>
      </c>
      <c r="J73" s="1">
        <v>12</v>
      </c>
      <c r="K73" s="1">
        <v>3210</v>
      </c>
      <c r="L73" s="1">
        <v>1328</v>
      </c>
      <c r="M73" s="1">
        <f t="shared" si="5"/>
        <v>18592</v>
      </c>
      <c r="N73" s="1">
        <f t="shared" si="6"/>
        <v>5918</v>
      </c>
      <c r="O73" s="4">
        <f t="shared" si="7"/>
        <v>0.21349206349206348</v>
      </c>
    </row>
    <row r="74" spans="1:15">
      <c r="A74" s="1" t="s">
        <v>551</v>
      </c>
      <c r="B74" s="1" t="s">
        <v>1557</v>
      </c>
      <c r="C74" s="1" t="s">
        <v>552</v>
      </c>
      <c r="D74" s="1" t="s">
        <v>321</v>
      </c>
      <c r="E74" s="1">
        <v>49</v>
      </c>
      <c r="F74" s="2">
        <v>0.24490000000000001</v>
      </c>
      <c r="G74" s="3">
        <f t="shared" si="4"/>
        <v>2280</v>
      </c>
      <c r="H74" s="1">
        <v>12</v>
      </c>
      <c r="I74" s="1">
        <v>27360</v>
      </c>
      <c r="J74" s="1">
        <v>9</v>
      </c>
      <c r="K74" s="1">
        <v>4890</v>
      </c>
      <c r="L74" s="1">
        <v>1170</v>
      </c>
      <c r="M74" s="1">
        <f t="shared" si="5"/>
        <v>14040</v>
      </c>
      <c r="N74" s="1">
        <f t="shared" si="6"/>
        <v>8430</v>
      </c>
      <c r="O74" s="4">
        <f t="shared" si="7"/>
        <v>0.30811403508771928</v>
      </c>
    </row>
    <row r="75" spans="1:15">
      <c r="A75" s="1" t="s">
        <v>1035</v>
      </c>
      <c r="B75" s="1" t="s">
        <v>1558</v>
      </c>
      <c r="C75" s="1" t="s">
        <v>1036</v>
      </c>
      <c r="D75" s="1" t="s">
        <v>1037</v>
      </c>
      <c r="E75" s="1">
        <v>90062</v>
      </c>
      <c r="F75" s="2">
        <v>0</v>
      </c>
      <c r="G75" s="3">
        <f t="shared" si="4"/>
        <v>26300</v>
      </c>
      <c r="H75" s="1">
        <v>1</v>
      </c>
      <c r="I75" s="1">
        <v>26300</v>
      </c>
      <c r="J75" s="1">
        <v>1</v>
      </c>
      <c r="K75" s="1">
        <v>3009</v>
      </c>
      <c r="L75" s="1">
        <v>22800</v>
      </c>
      <c r="M75" s="1">
        <f t="shared" si="5"/>
        <v>22800</v>
      </c>
      <c r="N75" s="1">
        <f t="shared" si="6"/>
        <v>491</v>
      </c>
      <c r="O75" s="4">
        <f t="shared" si="7"/>
        <v>1.8669201520912549E-2</v>
      </c>
    </row>
    <row r="76" spans="1:15">
      <c r="A76" s="1" t="s">
        <v>1559</v>
      </c>
      <c r="B76" s="1" t="s">
        <v>1560</v>
      </c>
      <c r="C76" s="1" t="s">
        <v>1561</v>
      </c>
      <c r="D76" s="1" t="s">
        <v>1561</v>
      </c>
      <c r="E76" s="1">
        <v>160</v>
      </c>
      <c r="F76" s="2">
        <v>0.1188</v>
      </c>
      <c r="G76" s="3">
        <f t="shared" si="4"/>
        <v>1380</v>
      </c>
      <c r="H76" s="1">
        <v>19</v>
      </c>
      <c r="I76" s="1">
        <v>26220</v>
      </c>
      <c r="J76" s="1">
        <v>11</v>
      </c>
      <c r="K76" s="1">
        <v>2427</v>
      </c>
      <c r="L76" s="1">
        <v>840</v>
      </c>
      <c r="M76" s="1">
        <f t="shared" si="5"/>
        <v>15960</v>
      </c>
      <c r="N76" s="1">
        <f t="shared" si="6"/>
        <v>7833</v>
      </c>
      <c r="O76" s="4">
        <f t="shared" si="7"/>
        <v>0.29874141876430205</v>
      </c>
    </row>
    <row r="77" spans="1:15">
      <c r="A77" s="1" t="s">
        <v>367</v>
      </c>
      <c r="B77" s="1" t="s">
        <v>1562</v>
      </c>
      <c r="C77" s="1" t="s">
        <v>368</v>
      </c>
      <c r="D77" s="1" t="s">
        <v>368</v>
      </c>
      <c r="E77" s="1">
        <v>651</v>
      </c>
      <c r="F77" s="2">
        <v>2.92E-2</v>
      </c>
      <c r="G77" s="3">
        <f t="shared" si="4"/>
        <v>1344.1052631578948</v>
      </c>
      <c r="H77" s="1">
        <v>19</v>
      </c>
      <c r="I77" s="1">
        <v>25538</v>
      </c>
      <c r="J77" s="1">
        <v>17</v>
      </c>
      <c r="K77" s="1">
        <v>2348</v>
      </c>
      <c r="L77" s="1">
        <v>440</v>
      </c>
      <c r="M77" s="1">
        <f t="shared" si="5"/>
        <v>8360</v>
      </c>
      <c r="N77" s="1">
        <f t="shared" si="6"/>
        <v>14830</v>
      </c>
      <c r="O77" s="4">
        <f t="shared" si="7"/>
        <v>0.58070326572166964</v>
      </c>
    </row>
    <row r="78" spans="1:15">
      <c r="A78" s="1" t="s">
        <v>601</v>
      </c>
      <c r="B78" s="1" t="s">
        <v>1563</v>
      </c>
      <c r="C78" s="1" t="s">
        <v>602</v>
      </c>
      <c r="D78" s="1" t="s">
        <v>602</v>
      </c>
      <c r="E78" s="1">
        <v>82</v>
      </c>
      <c r="F78" s="2">
        <v>0.20730000000000001</v>
      </c>
      <c r="G78" s="3">
        <f t="shared" si="4"/>
        <v>1480</v>
      </c>
      <c r="H78" s="1">
        <v>17</v>
      </c>
      <c r="I78" s="1">
        <v>25160</v>
      </c>
      <c r="J78" s="1">
        <v>10</v>
      </c>
      <c r="K78" s="1">
        <v>2316</v>
      </c>
      <c r="L78" s="1">
        <v>932</v>
      </c>
      <c r="M78" s="1">
        <f t="shared" si="5"/>
        <v>15844</v>
      </c>
      <c r="N78" s="1">
        <f t="shared" si="6"/>
        <v>7000</v>
      </c>
      <c r="O78" s="4">
        <f t="shared" si="7"/>
        <v>0.27821939586645467</v>
      </c>
    </row>
    <row r="79" spans="1:15">
      <c r="A79" s="1" t="s">
        <v>164</v>
      </c>
      <c r="B79" s="1" t="s">
        <v>1564</v>
      </c>
      <c r="C79" s="1" t="s">
        <v>165</v>
      </c>
      <c r="D79" s="1" t="s">
        <v>165</v>
      </c>
      <c r="E79" s="1">
        <v>53</v>
      </c>
      <c r="F79" s="2">
        <v>0.33960000000000001</v>
      </c>
      <c r="G79" s="3">
        <f t="shared" si="4"/>
        <v>1394.5</v>
      </c>
      <c r="H79" s="1">
        <v>18</v>
      </c>
      <c r="I79" s="1">
        <v>25101</v>
      </c>
      <c r="J79" s="1">
        <v>16</v>
      </c>
      <c r="K79" s="1">
        <v>2631</v>
      </c>
      <c r="L79" s="1">
        <v>624</v>
      </c>
      <c r="M79" s="1">
        <f t="shared" si="5"/>
        <v>11232</v>
      </c>
      <c r="N79" s="1">
        <f t="shared" si="6"/>
        <v>11238</v>
      </c>
      <c r="O79" s="4">
        <f t="shared" si="7"/>
        <v>0.44771124656388189</v>
      </c>
    </row>
    <row r="80" spans="1:15">
      <c r="A80" s="1" t="s">
        <v>303</v>
      </c>
      <c r="B80" s="1" t="s">
        <v>1565</v>
      </c>
      <c r="C80" s="1" t="s">
        <v>304</v>
      </c>
      <c r="D80" s="1" t="s">
        <v>305</v>
      </c>
      <c r="E80" s="1">
        <v>256</v>
      </c>
      <c r="F80" s="2">
        <v>8.9800000000000005E-2</v>
      </c>
      <c r="G80" s="3">
        <f t="shared" si="4"/>
        <v>1089</v>
      </c>
      <c r="H80" s="1">
        <v>23</v>
      </c>
      <c r="I80" s="1">
        <v>25047</v>
      </c>
      <c r="J80" s="1">
        <v>8</v>
      </c>
      <c r="K80" s="1">
        <v>2202</v>
      </c>
      <c r="L80" s="1">
        <v>384</v>
      </c>
      <c r="M80" s="1">
        <f t="shared" si="5"/>
        <v>8832</v>
      </c>
      <c r="N80" s="1">
        <f t="shared" si="6"/>
        <v>14013</v>
      </c>
      <c r="O80" s="4">
        <f t="shared" si="7"/>
        <v>0.55946819978440532</v>
      </c>
    </row>
    <row r="81" spans="1:15">
      <c r="A81" s="1" t="s">
        <v>392</v>
      </c>
      <c r="B81" s="1" t="s">
        <v>1566</v>
      </c>
      <c r="C81" s="1" t="s">
        <v>393</v>
      </c>
      <c r="D81" s="1" t="s">
        <v>394</v>
      </c>
      <c r="E81" s="1">
        <v>4309</v>
      </c>
      <c r="F81" s="2">
        <v>3.0000000000000001E-3</v>
      </c>
      <c r="G81" s="3">
        <f t="shared" si="4"/>
        <v>1906.1538461538462</v>
      </c>
      <c r="H81" s="1">
        <v>13</v>
      </c>
      <c r="I81" s="1">
        <v>24780</v>
      </c>
      <c r="J81" s="1">
        <v>9</v>
      </c>
      <c r="K81" s="1">
        <v>2624</v>
      </c>
      <c r="L81" s="1">
        <v>1030</v>
      </c>
      <c r="M81" s="1">
        <f t="shared" si="5"/>
        <v>13390</v>
      </c>
      <c r="N81" s="1">
        <f t="shared" si="6"/>
        <v>8766</v>
      </c>
      <c r="O81" s="4">
        <f t="shared" si="7"/>
        <v>0.35375302663438257</v>
      </c>
    </row>
    <row r="82" spans="1:15">
      <c r="A82" s="1" t="s">
        <v>179</v>
      </c>
      <c r="B82" s="1" t="s">
        <v>1567</v>
      </c>
      <c r="C82" s="1" t="s">
        <v>180</v>
      </c>
      <c r="D82" s="1" t="s">
        <v>180</v>
      </c>
      <c r="E82" s="1">
        <v>119</v>
      </c>
      <c r="F82" s="2">
        <v>0.15129999999999999</v>
      </c>
      <c r="G82" s="3">
        <f t="shared" si="4"/>
        <v>1368.8888888888889</v>
      </c>
      <c r="H82" s="1">
        <v>18</v>
      </c>
      <c r="I82" s="1">
        <v>24640</v>
      </c>
      <c r="J82" s="1">
        <v>14</v>
      </c>
      <c r="K82" s="1">
        <v>2165</v>
      </c>
      <c r="L82" s="1">
        <v>704</v>
      </c>
      <c r="M82" s="1">
        <f t="shared" si="5"/>
        <v>12672</v>
      </c>
      <c r="N82" s="1">
        <f t="shared" si="6"/>
        <v>9803</v>
      </c>
      <c r="O82" s="4">
        <f t="shared" si="7"/>
        <v>0.39784902597402599</v>
      </c>
    </row>
    <row r="83" spans="1:15">
      <c r="A83" s="1" t="s">
        <v>372</v>
      </c>
      <c r="B83" s="1" t="s">
        <v>1568</v>
      </c>
      <c r="C83" s="1" t="s">
        <v>373</v>
      </c>
      <c r="D83" s="1" t="s">
        <v>359</v>
      </c>
      <c r="E83" s="1">
        <v>57</v>
      </c>
      <c r="F83" s="2">
        <v>7.0199999999999999E-2</v>
      </c>
      <c r="G83" s="3">
        <f t="shared" si="4"/>
        <v>5991.25</v>
      </c>
      <c r="H83" s="1">
        <v>4</v>
      </c>
      <c r="I83" s="1">
        <v>23965</v>
      </c>
      <c r="J83" s="1">
        <v>4</v>
      </c>
      <c r="K83" s="1">
        <v>3460</v>
      </c>
      <c r="L83" s="1">
        <v>4430</v>
      </c>
      <c r="M83" s="1">
        <f t="shared" si="5"/>
        <v>17720</v>
      </c>
      <c r="N83" s="1">
        <f t="shared" si="6"/>
        <v>2785</v>
      </c>
      <c r="O83" s="4">
        <f t="shared" si="7"/>
        <v>0.11621114124765283</v>
      </c>
    </row>
    <row r="84" spans="1:15">
      <c r="A84" s="1" t="s">
        <v>385</v>
      </c>
      <c r="B84" s="1" t="s">
        <v>1569</v>
      </c>
      <c r="C84" s="1" t="s">
        <v>386</v>
      </c>
      <c r="D84" s="1" t="s">
        <v>386</v>
      </c>
      <c r="E84" s="1">
        <v>125</v>
      </c>
      <c r="F84" s="2">
        <v>7.2000000000000008E-2</v>
      </c>
      <c r="G84" s="3">
        <f t="shared" si="4"/>
        <v>2628.8888888888887</v>
      </c>
      <c r="H84" s="1">
        <v>9</v>
      </c>
      <c r="I84" s="1">
        <v>23660</v>
      </c>
      <c r="J84" s="1">
        <v>7</v>
      </c>
      <c r="K84" s="1">
        <v>4112</v>
      </c>
      <c r="L84" s="1">
        <v>1584</v>
      </c>
      <c r="M84" s="1">
        <f t="shared" si="5"/>
        <v>14256</v>
      </c>
      <c r="N84" s="1">
        <f t="shared" si="6"/>
        <v>5292</v>
      </c>
      <c r="O84" s="4">
        <f t="shared" si="7"/>
        <v>0.22366863905325443</v>
      </c>
    </row>
    <row r="85" spans="1:15">
      <c r="A85" s="1" t="s">
        <v>584</v>
      </c>
      <c r="B85" s="1" t="s">
        <v>1570</v>
      </c>
      <c r="C85" s="1" t="s">
        <v>585</v>
      </c>
      <c r="D85" s="1" t="s">
        <v>585</v>
      </c>
      <c r="E85" s="1">
        <v>203</v>
      </c>
      <c r="F85" s="2">
        <v>6.4000000000000001E-2</v>
      </c>
      <c r="G85" s="3">
        <f t="shared" si="4"/>
        <v>1750</v>
      </c>
      <c r="H85" s="1">
        <v>13</v>
      </c>
      <c r="I85" s="1">
        <v>22750</v>
      </c>
      <c r="J85" s="1">
        <v>10</v>
      </c>
      <c r="K85" s="1">
        <v>3861</v>
      </c>
      <c r="L85" s="1">
        <v>1010</v>
      </c>
      <c r="M85" s="1">
        <f t="shared" si="5"/>
        <v>13130</v>
      </c>
      <c r="N85" s="1">
        <f t="shared" si="6"/>
        <v>5759</v>
      </c>
      <c r="O85" s="4">
        <f t="shared" si="7"/>
        <v>0.25314285714285717</v>
      </c>
    </row>
    <row r="86" spans="1:15">
      <c r="A86" s="1" t="s">
        <v>229</v>
      </c>
      <c r="B86" s="1" t="s">
        <v>1571</v>
      </c>
      <c r="C86" s="1" t="s">
        <v>230</v>
      </c>
      <c r="D86" s="1" t="s">
        <v>230</v>
      </c>
      <c r="E86" s="1">
        <v>30</v>
      </c>
      <c r="F86" s="2">
        <v>0.5</v>
      </c>
      <c r="G86" s="3">
        <f t="shared" si="4"/>
        <v>1500</v>
      </c>
      <c r="H86" s="1">
        <v>15</v>
      </c>
      <c r="I86" s="1">
        <v>22500</v>
      </c>
      <c r="J86" s="1">
        <v>9</v>
      </c>
      <c r="K86" s="1">
        <v>2081</v>
      </c>
      <c r="L86" s="1">
        <v>798</v>
      </c>
      <c r="M86" s="1">
        <f t="shared" si="5"/>
        <v>11970</v>
      </c>
      <c r="N86" s="1">
        <f t="shared" si="6"/>
        <v>8449</v>
      </c>
      <c r="O86" s="4">
        <f t="shared" si="7"/>
        <v>0.37551111111111113</v>
      </c>
    </row>
    <row r="87" spans="1:15">
      <c r="A87" s="6" t="s">
        <v>1572</v>
      </c>
      <c r="B87" s="1" t="s">
        <v>1573</v>
      </c>
      <c r="C87" s="1" t="s">
        <v>1574</v>
      </c>
      <c r="D87" s="1" t="s">
        <v>1574</v>
      </c>
      <c r="E87" s="1">
        <v>117</v>
      </c>
      <c r="F87" s="2">
        <v>3.4200000000000001E-2</v>
      </c>
      <c r="G87" s="3">
        <f t="shared" si="4"/>
        <v>5579.5</v>
      </c>
      <c r="H87" s="1">
        <v>4</v>
      </c>
      <c r="I87" s="1">
        <v>22318</v>
      </c>
      <c r="J87" s="1">
        <v>4</v>
      </c>
      <c r="K87" s="1">
        <v>2553</v>
      </c>
      <c r="L87" s="1">
        <v>4248</v>
      </c>
      <c r="M87" s="1">
        <f t="shared" si="5"/>
        <v>16992</v>
      </c>
      <c r="N87" s="1">
        <f t="shared" si="6"/>
        <v>2773</v>
      </c>
      <c r="O87" s="4">
        <f t="shared" si="7"/>
        <v>0.12424948472085312</v>
      </c>
    </row>
    <row r="88" spans="1:15">
      <c r="A88" s="6" t="s">
        <v>220</v>
      </c>
      <c r="B88" s="1" t="s">
        <v>1575</v>
      </c>
      <c r="C88" s="1" t="s">
        <v>221</v>
      </c>
      <c r="D88" s="1" t="s">
        <v>221</v>
      </c>
      <c r="E88" s="1">
        <v>94</v>
      </c>
      <c r="F88" s="2">
        <v>8.5099999999999995E-2</v>
      </c>
      <c r="G88" s="3">
        <f t="shared" si="4"/>
        <v>2780</v>
      </c>
      <c r="H88" s="1">
        <v>8</v>
      </c>
      <c r="I88" s="1">
        <v>22240</v>
      </c>
      <c r="J88" s="1">
        <v>8</v>
      </c>
      <c r="K88" s="1">
        <v>3768</v>
      </c>
      <c r="L88" s="1">
        <v>1474</v>
      </c>
      <c r="M88" s="1">
        <f t="shared" si="5"/>
        <v>11792</v>
      </c>
      <c r="N88" s="1">
        <f t="shared" si="6"/>
        <v>6680</v>
      </c>
      <c r="O88" s="4">
        <f t="shared" si="7"/>
        <v>0.30035971223021585</v>
      </c>
    </row>
    <row r="89" spans="1:15">
      <c r="A89" s="1" t="s">
        <v>162</v>
      </c>
      <c r="B89" s="1" t="s">
        <v>1576</v>
      </c>
      <c r="C89" s="1" t="s">
        <v>163</v>
      </c>
      <c r="D89" s="1" t="s">
        <v>163</v>
      </c>
      <c r="E89" s="1">
        <v>208</v>
      </c>
      <c r="F89" s="2">
        <v>4.3299999999999998E-2</v>
      </c>
      <c r="G89" s="3">
        <f t="shared" si="4"/>
        <v>2462.7777777777778</v>
      </c>
      <c r="H89" s="1">
        <v>9</v>
      </c>
      <c r="I89" s="1">
        <v>22165</v>
      </c>
      <c r="J89" s="1">
        <v>9</v>
      </c>
      <c r="K89" s="1">
        <v>2539</v>
      </c>
      <c r="L89" s="1">
        <v>1805</v>
      </c>
      <c r="M89" s="1">
        <f t="shared" si="5"/>
        <v>16245</v>
      </c>
      <c r="N89" s="1">
        <f t="shared" si="6"/>
        <v>3381</v>
      </c>
      <c r="O89" s="4">
        <f t="shared" si="7"/>
        <v>0.15253778479584931</v>
      </c>
    </row>
    <row r="90" spans="1:15">
      <c r="A90" s="1" t="s">
        <v>127</v>
      </c>
      <c r="B90" s="1" t="s">
        <v>1577</v>
      </c>
      <c r="C90" s="1" t="s">
        <v>128</v>
      </c>
      <c r="D90" s="1" t="s">
        <v>128</v>
      </c>
      <c r="E90" s="1">
        <v>85</v>
      </c>
      <c r="F90" s="2">
        <v>0.12939999999999999</v>
      </c>
      <c r="G90" s="3">
        <f t="shared" si="4"/>
        <v>1980</v>
      </c>
      <c r="H90" s="1">
        <v>11</v>
      </c>
      <c r="I90" s="1">
        <v>21780</v>
      </c>
      <c r="J90" s="1">
        <v>11</v>
      </c>
      <c r="K90" s="1">
        <v>3411</v>
      </c>
      <c r="L90" s="1">
        <v>1040</v>
      </c>
      <c r="M90" s="1">
        <f t="shared" si="5"/>
        <v>11440</v>
      </c>
      <c r="N90" s="1">
        <f t="shared" si="6"/>
        <v>6929</v>
      </c>
      <c r="O90" s="4">
        <f t="shared" si="7"/>
        <v>0.31813590449954088</v>
      </c>
    </row>
    <row r="91" spans="1:15">
      <c r="A91" s="1" t="s">
        <v>395</v>
      </c>
      <c r="B91" s="1" t="s">
        <v>1578</v>
      </c>
      <c r="C91" s="1" t="s">
        <v>396</v>
      </c>
      <c r="D91" s="1" t="s">
        <v>281</v>
      </c>
      <c r="E91" s="1">
        <v>24</v>
      </c>
      <c r="F91" s="2">
        <v>0.45829999999999999</v>
      </c>
      <c r="G91" s="3">
        <f t="shared" si="4"/>
        <v>1980</v>
      </c>
      <c r="H91" s="1">
        <v>11</v>
      </c>
      <c r="I91" s="1">
        <v>21780</v>
      </c>
      <c r="J91" s="1">
        <v>2</v>
      </c>
      <c r="K91" s="1">
        <v>3691</v>
      </c>
      <c r="L91" s="1">
        <v>963</v>
      </c>
      <c r="M91" s="1">
        <f t="shared" si="5"/>
        <v>10593</v>
      </c>
      <c r="N91" s="1">
        <f t="shared" si="6"/>
        <v>7496</v>
      </c>
      <c r="O91" s="4">
        <f t="shared" si="7"/>
        <v>0.34416896235078054</v>
      </c>
    </row>
    <row r="92" spans="1:15">
      <c r="A92" s="1" t="s">
        <v>160</v>
      </c>
      <c r="B92" s="1" t="s">
        <v>1579</v>
      </c>
      <c r="C92" s="1" t="s">
        <v>161</v>
      </c>
      <c r="D92" s="1" t="s">
        <v>139</v>
      </c>
      <c r="E92" s="1">
        <v>400</v>
      </c>
      <c r="F92" s="2">
        <v>0.01</v>
      </c>
      <c r="G92" s="3">
        <f t="shared" si="4"/>
        <v>5180</v>
      </c>
      <c r="H92" s="1">
        <v>4</v>
      </c>
      <c r="I92" s="1">
        <v>20720</v>
      </c>
      <c r="J92" s="1">
        <v>3</v>
      </c>
      <c r="K92" s="1">
        <v>2440</v>
      </c>
      <c r="L92" s="1">
        <v>695</v>
      </c>
      <c r="M92" s="1">
        <f t="shared" si="5"/>
        <v>2780</v>
      </c>
      <c r="N92" s="1">
        <f t="shared" si="6"/>
        <v>15500</v>
      </c>
      <c r="O92" s="4">
        <f t="shared" si="7"/>
        <v>0.74806949806949807</v>
      </c>
    </row>
    <row r="93" spans="1:15">
      <c r="A93" s="1" t="s">
        <v>987</v>
      </c>
      <c r="B93" s="1" t="s">
        <v>1580</v>
      </c>
      <c r="C93" s="1" t="s">
        <v>988</v>
      </c>
      <c r="D93" s="1" t="s">
        <v>989</v>
      </c>
      <c r="E93" s="1">
        <v>59</v>
      </c>
      <c r="F93" s="2">
        <v>1.6899999999999998E-2</v>
      </c>
      <c r="G93" s="3">
        <f t="shared" si="4"/>
        <v>19800</v>
      </c>
      <c r="H93" s="1">
        <v>1</v>
      </c>
      <c r="I93" s="1">
        <v>19800</v>
      </c>
      <c r="J93" s="1">
        <v>1</v>
      </c>
      <c r="K93" s="1">
        <v>1889</v>
      </c>
      <c r="L93" s="1">
        <v>5478</v>
      </c>
      <c r="M93" s="1">
        <f t="shared" si="5"/>
        <v>5478</v>
      </c>
      <c r="N93" s="1">
        <f t="shared" si="6"/>
        <v>12433</v>
      </c>
      <c r="O93" s="4">
        <f t="shared" si="7"/>
        <v>0.62792929292929289</v>
      </c>
    </row>
    <row r="94" spans="1:15">
      <c r="A94" s="1" t="s">
        <v>222</v>
      </c>
      <c r="B94" s="1" t="s">
        <v>1581</v>
      </c>
      <c r="C94" s="1" t="s">
        <v>223</v>
      </c>
      <c r="D94" s="1" t="s">
        <v>223</v>
      </c>
      <c r="E94" s="1">
        <v>145</v>
      </c>
      <c r="F94" s="2">
        <v>4.8300000000000003E-2</v>
      </c>
      <c r="G94" s="3">
        <f t="shared" si="4"/>
        <v>2780</v>
      </c>
      <c r="H94" s="1">
        <v>7</v>
      </c>
      <c r="I94" s="1">
        <v>19460</v>
      </c>
      <c r="J94" s="1">
        <v>6</v>
      </c>
      <c r="K94" s="1">
        <v>4239</v>
      </c>
      <c r="L94" s="1">
        <v>1800</v>
      </c>
      <c r="M94" s="1">
        <f t="shared" si="5"/>
        <v>12600</v>
      </c>
      <c r="N94" s="1">
        <f t="shared" si="6"/>
        <v>2621</v>
      </c>
      <c r="O94" s="4">
        <f t="shared" si="7"/>
        <v>0.13468653648509762</v>
      </c>
    </row>
    <row r="95" spans="1:15">
      <c r="A95" s="1" t="s">
        <v>260</v>
      </c>
      <c r="B95" s="1" t="s">
        <v>1582</v>
      </c>
      <c r="C95" s="1" t="s">
        <v>261</v>
      </c>
      <c r="D95" s="1" t="s">
        <v>261</v>
      </c>
      <c r="E95" s="1">
        <v>22</v>
      </c>
      <c r="F95" s="2">
        <v>0.59089999999999998</v>
      </c>
      <c r="G95" s="3">
        <f t="shared" si="4"/>
        <v>1480</v>
      </c>
      <c r="H95" s="1">
        <v>13</v>
      </c>
      <c r="I95" s="1">
        <v>19240</v>
      </c>
      <c r="J95" s="1">
        <v>9</v>
      </c>
      <c r="K95" s="1">
        <v>1771</v>
      </c>
      <c r="L95" s="1">
        <v>706</v>
      </c>
      <c r="M95" s="1">
        <f t="shared" si="5"/>
        <v>9178</v>
      </c>
      <c r="N95" s="1">
        <f t="shared" si="6"/>
        <v>8291</v>
      </c>
      <c r="O95" s="4">
        <f t="shared" si="7"/>
        <v>0.4309251559251559</v>
      </c>
    </row>
    <row r="96" spans="1:15">
      <c r="A96" s="1" t="s">
        <v>345</v>
      </c>
      <c r="B96" s="1" t="s">
        <v>1583</v>
      </c>
      <c r="C96" s="1" t="s">
        <v>346</v>
      </c>
      <c r="D96" s="1" t="s">
        <v>347</v>
      </c>
      <c r="E96" s="1">
        <v>288</v>
      </c>
      <c r="F96" s="2">
        <v>4.5100000000000001E-2</v>
      </c>
      <c r="G96" s="3">
        <f t="shared" si="4"/>
        <v>1460.3076923076924</v>
      </c>
      <c r="H96" s="1">
        <v>13</v>
      </c>
      <c r="I96" s="1">
        <v>18984</v>
      </c>
      <c r="J96" s="1">
        <v>13</v>
      </c>
      <c r="K96" s="1">
        <v>1753</v>
      </c>
      <c r="L96" s="1">
        <v>550</v>
      </c>
      <c r="M96" s="1">
        <f t="shared" si="5"/>
        <v>7150</v>
      </c>
      <c r="N96" s="1">
        <f t="shared" si="6"/>
        <v>10081</v>
      </c>
      <c r="O96" s="4">
        <f t="shared" si="7"/>
        <v>0.53102612726506537</v>
      </c>
    </row>
    <row r="97" spans="1:15">
      <c r="A97" s="6" t="s">
        <v>449</v>
      </c>
      <c r="B97" s="1" t="s">
        <v>1584</v>
      </c>
      <c r="C97" s="1" t="s">
        <v>450</v>
      </c>
      <c r="D97" s="1" t="s">
        <v>450</v>
      </c>
      <c r="E97" s="1">
        <v>31</v>
      </c>
      <c r="F97" s="2">
        <v>0.6129</v>
      </c>
      <c r="G97" s="3">
        <f t="shared" si="4"/>
        <v>999</v>
      </c>
      <c r="H97" s="1">
        <v>19</v>
      </c>
      <c r="I97" s="1">
        <v>18981</v>
      </c>
      <c r="J97" s="1">
        <v>10</v>
      </c>
      <c r="K97" s="1">
        <v>1570</v>
      </c>
      <c r="L97" s="1">
        <v>253</v>
      </c>
      <c r="M97" s="1">
        <f t="shared" si="5"/>
        <v>4807</v>
      </c>
      <c r="N97" s="1">
        <f t="shared" si="6"/>
        <v>12604</v>
      </c>
      <c r="O97" s="4">
        <f t="shared" si="7"/>
        <v>0.66403245350613771</v>
      </c>
    </row>
    <row r="98" spans="1:15">
      <c r="A98" s="6" t="s">
        <v>1585</v>
      </c>
      <c r="B98" s="1" t="s">
        <v>1586</v>
      </c>
      <c r="C98" s="1" t="s">
        <v>1587</v>
      </c>
      <c r="D98" s="1" t="s">
        <v>1410</v>
      </c>
      <c r="E98" s="1">
        <v>4951</v>
      </c>
      <c r="F98" s="2">
        <v>3.8E-3</v>
      </c>
      <c r="G98" s="3">
        <f t="shared" si="4"/>
        <v>994.73684210526312</v>
      </c>
      <c r="H98" s="1">
        <v>19</v>
      </c>
      <c r="I98" s="1">
        <v>18900</v>
      </c>
      <c r="J98" s="1">
        <v>18</v>
      </c>
      <c r="K98" s="1">
        <v>3196</v>
      </c>
      <c r="L98" s="1">
        <v>274</v>
      </c>
      <c r="M98" s="1">
        <f t="shared" si="5"/>
        <v>5206</v>
      </c>
      <c r="N98" s="1">
        <f t="shared" si="6"/>
        <v>10498</v>
      </c>
      <c r="O98" s="4">
        <f t="shared" si="7"/>
        <v>0.55544973544973542</v>
      </c>
    </row>
    <row r="99" spans="1:15">
      <c r="A99" s="1" t="s">
        <v>169</v>
      </c>
      <c r="B99" s="1" t="s">
        <v>1588</v>
      </c>
      <c r="C99" s="1" t="s">
        <v>170</v>
      </c>
      <c r="D99" s="1" t="s">
        <v>170</v>
      </c>
      <c r="E99" s="1">
        <v>197</v>
      </c>
      <c r="F99" s="2">
        <v>3.5499999999999997E-2</v>
      </c>
      <c r="G99" s="3">
        <f t="shared" si="4"/>
        <v>2608.5714285714284</v>
      </c>
      <c r="H99" s="1">
        <v>7</v>
      </c>
      <c r="I99" s="1">
        <v>18260</v>
      </c>
      <c r="J99" s="1">
        <v>7</v>
      </c>
      <c r="K99" s="1">
        <v>3093</v>
      </c>
      <c r="L99" s="1">
        <v>1300</v>
      </c>
      <c r="M99" s="1">
        <f t="shared" si="5"/>
        <v>9100</v>
      </c>
      <c r="N99" s="1">
        <f t="shared" si="6"/>
        <v>6067</v>
      </c>
      <c r="O99" s="4">
        <f t="shared" si="7"/>
        <v>0.33225629791894851</v>
      </c>
    </row>
    <row r="100" spans="1:15">
      <c r="A100" s="1" t="s">
        <v>224</v>
      </c>
      <c r="B100" s="1" t="s">
        <v>1589</v>
      </c>
      <c r="C100" s="1" t="s">
        <v>225</v>
      </c>
      <c r="D100" s="1" t="s">
        <v>225</v>
      </c>
      <c r="E100" s="1">
        <v>138</v>
      </c>
      <c r="F100" s="2">
        <v>5.8000000000000003E-2</v>
      </c>
      <c r="G100" s="3">
        <f t="shared" si="4"/>
        <v>2280</v>
      </c>
      <c r="H100" s="1">
        <v>8</v>
      </c>
      <c r="I100" s="1">
        <v>18240</v>
      </c>
      <c r="J100" s="1">
        <v>6</v>
      </c>
      <c r="K100" s="1">
        <v>3860</v>
      </c>
      <c r="L100" s="1">
        <v>858</v>
      </c>
      <c r="M100" s="1">
        <f t="shared" si="5"/>
        <v>6864</v>
      </c>
      <c r="N100" s="1">
        <f t="shared" si="6"/>
        <v>7516</v>
      </c>
      <c r="O100" s="4">
        <f t="shared" si="7"/>
        <v>0.41206140350877191</v>
      </c>
    </row>
    <row r="101" spans="1:15">
      <c r="A101" s="1" t="s">
        <v>88</v>
      </c>
      <c r="B101" s="1" t="s">
        <v>1590</v>
      </c>
      <c r="C101" s="1" t="s">
        <v>89</v>
      </c>
      <c r="D101" s="1" t="s">
        <v>89</v>
      </c>
      <c r="E101" s="1">
        <v>43</v>
      </c>
      <c r="F101" s="2">
        <v>0.3488</v>
      </c>
      <c r="G101" s="3">
        <f t="shared" si="4"/>
        <v>1213.3333333333333</v>
      </c>
      <c r="H101" s="1">
        <v>15</v>
      </c>
      <c r="I101" s="1">
        <v>18200</v>
      </c>
      <c r="J101" s="1">
        <v>13</v>
      </c>
      <c r="K101" s="1">
        <v>1576</v>
      </c>
      <c r="L101" s="1">
        <v>624</v>
      </c>
      <c r="M101" s="1">
        <f t="shared" si="5"/>
        <v>9360</v>
      </c>
      <c r="N101" s="1">
        <f t="shared" si="6"/>
        <v>7264</v>
      </c>
      <c r="O101" s="4">
        <f t="shared" si="7"/>
        <v>0.39912087912087912</v>
      </c>
    </row>
    <row r="102" spans="1:15">
      <c r="A102" s="1" t="s">
        <v>1009</v>
      </c>
      <c r="B102" s="1" t="s">
        <v>1591</v>
      </c>
      <c r="C102" s="1" t="s">
        <v>1010</v>
      </c>
      <c r="D102" s="1" t="s">
        <v>1011</v>
      </c>
      <c r="E102" s="1">
        <v>7756</v>
      </c>
      <c r="F102" s="2">
        <v>1E-4</v>
      </c>
      <c r="G102" s="3">
        <f t="shared" si="4"/>
        <v>18000</v>
      </c>
      <c r="H102" s="1">
        <v>1</v>
      </c>
      <c r="I102" s="1">
        <v>18000</v>
      </c>
      <c r="J102" s="1">
        <v>1</v>
      </c>
      <c r="K102" s="1">
        <v>2059</v>
      </c>
      <c r="L102" s="1">
        <v>13980</v>
      </c>
      <c r="M102" s="1">
        <f t="shared" si="5"/>
        <v>13980</v>
      </c>
      <c r="N102" s="1">
        <f t="shared" si="6"/>
        <v>1961</v>
      </c>
      <c r="O102" s="4">
        <f t="shared" si="7"/>
        <v>0.10894444444444444</v>
      </c>
    </row>
    <row r="103" spans="1:15">
      <c r="A103" s="1" t="s">
        <v>181</v>
      </c>
      <c r="B103" s="1" t="s">
        <v>1592</v>
      </c>
      <c r="C103" s="1" t="s">
        <v>182</v>
      </c>
      <c r="D103" s="1" t="s">
        <v>183</v>
      </c>
      <c r="E103" s="1">
        <v>22</v>
      </c>
      <c r="F103" s="2">
        <v>0.2273</v>
      </c>
      <c r="G103" s="3">
        <f t="shared" si="4"/>
        <v>3580</v>
      </c>
      <c r="H103" s="1">
        <v>5</v>
      </c>
      <c r="I103" s="1">
        <v>17900</v>
      </c>
      <c r="J103" s="1">
        <v>5</v>
      </c>
      <c r="K103" s="1">
        <v>3688</v>
      </c>
      <c r="L103" s="1">
        <v>1254</v>
      </c>
      <c r="M103" s="1">
        <f t="shared" si="5"/>
        <v>6270</v>
      </c>
      <c r="N103" s="1">
        <f t="shared" si="6"/>
        <v>7942</v>
      </c>
      <c r="O103" s="4">
        <f t="shared" si="7"/>
        <v>0.44368715083798882</v>
      </c>
    </row>
    <row r="104" spans="1:15">
      <c r="A104" s="1" t="s">
        <v>255</v>
      </c>
      <c r="B104" s="1" t="s">
        <v>1593</v>
      </c>
      <c r="C104" s="1" t="s">
        <v>256</v>
      </c>
      <c r="D104" s="1" t="s">
        <v>208</v>
      </c>
      <c r="E104" s="1">
        <v>484</v>
      </c>
      <c r="F104" s="2">
        <v>2.07E-2</v>
      </c>
      <c r="G104" s="3">
        <f t="shared" si="4"/>
        <v>1782</v>
      </c>
      <c r="H104" s="1">
        <v>10</v>
      </c>
      <c r="I104" s="1">
        <v>17820</v>
      </c>
      <c r="J104" s="1">
        <v>8</v>
      </c>
      <c r="K104" s="1">
        <v>3012</v>
      </c>
      <c r="L104" s="1">
        <v>924</v>
      </c>
      <c r="M104" s="1">
        <f t="shared" si="5"/>
        <v>9240</v>
      </c>
      <c r="N104" s="1">
        <f t="shared" si="6"/>
        <v>5568</v>
      </c>
      <c r="O104" s="4">
        <f t="shared" si="7"/>
        <v>0.31245791245791243</v>
      </c>
    </row>
    <row r="105" spans="1:15">
      <c r="A105" s="1" t="s">
        <v>190</v>
      </c>
      <c r="B105" s="1" t="s">
        <v>1594</v>
      </c>
      <c r="C105" s="1" t="s">
        <v>191</v>
      </c>
      <c r="D105" s="1" t="s">
        <v>191</v>
      </c>
      <c r="E105" s="1">
        <v>43</v>
      </c>
      <c r="F105" s="2">
        <v>0.20930000000000001</v>
      </c>
      <c r="G105" s="3">
        <f t="shared" si="4"/>
        <v>1980</v>
      </c>
      <c r="H105" s="1">
        <v>9</v>
      </c>
      <c r="I105" s="1">
        <v>17820</v>
      </c>
      <c r="J105" s="1">
        <v>6</v>
      </c>
      <c r="K105" s="1">
        <v>3021</v>
      </c>
      <c r="L105" s="1">
        <v>1182</v>
      </c>
      <c r="M105" s="1">
        <f t="shared" si="5"/>
        <v>10638</v>
      </c>
      <c r="N105" s="1">
        <f t="shared" si="6"/>
        <v>4161</v>
      </c>
      <c r="O105" s="4">
        <f t="shared" si="7"/>
        <v>0.23350168350168349</v>
      </c>
    </row>
    <row r="106" spans="1:15">
      <c r="A106" s="1" t="s">
        <v>595</v>
      </c>
      <c r="B106" s="1" t="s">
        <v>1595</v>
      </c>
      <c r="C106" s="1" t="s">
        <v>596</v>
      </c>
      <c r="D106" s="1" t="s">
        <v>588</v>
      </c>
      <c r="E106" s="1">
        <v>161</v>
      </c>
      <c r="F106" s="2">
        <v>6.83E-2</v>
      </c>
      <c r="G106" s="3">
        <f t="shared" si="4"/>
        <v>1614.5454545454545</v>
      </c>
      <c r="H106" s="1">
        <v>11</v>
      </c>
      <c r="I106" s="1">
        <v>17760</v>
      </c>
      <c r="J106" s="1">
        <v>11</v>
      </c>
      <c r="K106" s="1">
        <v>3290</v>
      </c>
      <c r="L106" s="1">
        <v>504</v>
      </c>
      <c r="M106" s="1">
        <f t="shared" si="5"/>
        <v>5544</v>
      </c>
      <c r="N106" s="1">
        <f t="shared" si="6"/>
        <v>8926</v>
      </c>
      <c r="O106" s="4">
        <f t="shared" si="7"/>
        <v>0.50259009009009004</v>
      </c>
    </row>
    <row r="107" spans="1:15">
      <c r="A107" s="1" t="s">
        <v>204</v>
      </c>
      <c r="B107" s="1" t="s">
        <v>1596</v>
      </c>
      <c r="C107" s="1" t="s">
        <v>205</v>
      </c>
      <c r="D107" s="1" t="s">
        <v>205</v>
      </c>
      <c r="E107" s="1">
        <v>107</v>
      </c>
      <c r="F107" s="2">
        <v>6.54E-2</v>
      </c>
      <c r="G107" s="3">
        <f t="shared" si="4"/>
        <v>2522.8571428571427</v>
      </c>
      <c r="H107" s="1">
        <v>7</v>
      </c>
      <c r="I107" s="1">
        <v>17660</v>
      </c>
      <c r="J107" s="1">
        <v>7</v>
      </c>
      <c r="K107" s="1">
        <v>2021</v>
      </c>
      <c r="L107" s="1">
        <v>1044</v>
      </c>
      <c r="M107" s="1">
        <f t="shared" si="5"/>
        <v>7308</v>
      </c>
      <c r="N107" s="1">
        <f t="shared" si="6"/>
        <v>8331</v>
      </c>
      <c r="O107" s="4">
        <f t="shared" si="7"/>
        <v>0.47174405436013589</v>
      </c>
    </row>
    <row r="108" spans="1:15">
      <c r="A108" s="1" t="s">
        <v>1597</v>
      </c>
      <c r="B108" s="1" t="s">
        <v>1598</v>
      </c>
      <c r="C108" s="1" t="s">
        <v>1599</v>
      </c>
      <c r="D108" s="1" t="s">
        <v>1600</v>
      </c>
      <c r="E108" s="1">
        <v>0</v>
      </c>
      <c r="F108" s="2">
        <v>0</v>
      </c>
      <c r="G108" s="3">
        <f t="shared" si="4"/>
        <v>17622</v>
      </c>
      <c r="H108" s="1">
        <v>1</v>
      </c>
      <c r="I108" s="1">
        <v>17622</v>
      </c>
      <c r="J108" s="1">
        <v>1</v>
      </c>
      <c r="K108" s="1">
        <v>2016</v>
      </c>
      <c r="L108" s="1">
        <v>0</v>
      </c>
      <c r="M108" s="1">
        <f t="shared" si="5"/>
        <v>0</v>
      </c>
      <c r="N108" s="1">
        <f t="shared" si="6"/>
        <v>15606</v>
      </c>
      <c r="O108" s="4">
        <f t="shared" si="7"/>
        <v>0.88559754851889683</v>
      </c>
    </row>
    <row r="109" spans="1:15">
      <c r="A109" s="6" t="s">
        <v>1601</v>
      </c>
      <c r="B109" s="1" t="s">
        <v>1602</v>
      </c>
      <c r="C109" s="1" t="s">
        <v>1603</v>
      </c>
      <c r="D109" s="1" t="s">
        <v>1410</v>
      </c>
      <c r="E109" s="1">
        <v>2770</v>
      </c>
      <c r="F109" s="2">
        <v>5.7999999999999996E-3</v>
      </c>
      <c r="G109" s="3">
        <f t="shared" si="4"/>
        <v>1100</v>
      </c>
      <c r="H109" s="1">
        <v>16</v>
      </c>
      <c r="I109" s="1">
        <v>17600</v>
      </c>
      <c r="J109" s="1">
        <v>16</v>
      </c>
      <c r="K109" s="1">
        <v>2976</v>
      </c>
      <c r="L109" s="1">
        <v>274</v>
      </c>
      <c r="M109" s="1">
        <f t="shared" si="5"/>
        <v>4384</v>
      </c>
      <c r="N109" s="1">
        <f t="shared" si="6"/>
        <v>10240</v>
      </c>
      <c r="O109" s="4">
        <f t="shared" si="7"/>
        <v>0.58181818181818179</v>
      </c>
    </row>
    <row r="110" spans="1:15">
      <c r="A110" s="1" t="s">
        <v>158</v>
      </c>
      <c r="B110" s="1" t="s">
        <v>1604</v>
      </c>
      <c r="C110" s="1" t="s">
        <v>159</v>
      </c>
      <c r="D110" s="1" t="s">
        <v>159</v>
      </c>
      <c r="E110" s="1">
        <v>19</v>
      </c>
      <c r="F110" s="2">
        <v>0.21049999999999999</v>
      </c>
      <c r="G110" s="3">
        <f t="shared" si="4"/>
        <v>4280</v>
      </c>
      <c r="H110" s="1">
        <v>4</v>
      </c>
      <c r="I110" s="1">
        <v>17120</v>
      </c>
      <c r="J110" s="1">
        <v>4</v>
      </c>
      <c r="K110" s="1">
        <v>2900</v>
      </c>
      <c r="L110" s="1">
        <v>2813</v>
      </c>
      <c r="M110" s="1">
        <f t="shared" si="5"/>
        <v>11252</v>
      </c>
      <c r="N110" s="1">
        <f t="shared" si="6"/>
        <v>2968</v>
      </c>
      <c r="O110" s="4">
        <f t="shared" si="7"/>
        <v>0.17336448598130841</v>
      </c>
    </row>
    <row r="111" spans="1:15">
      <c r="A111" s="1" t="s">
        <v>286</v>
      </c>
      <c r="B111" s="1" t="s">
        <v>1605</v>
      </c>
      <c r="C111" s="1" t="s">
        <v>287</v>
      </c>
      <c r="D111" s="1" t="s">
        <v>287</v>
      </c>
      <c r="E111" s="1">
        <v>49</v>
      </c>
      <c r="F111" s="2">
        <v>0.10199999999999999</v>
      </c>
      <c r="G111" s="3">
        <f t="shared" si="4"/>
        <v>3380</v>
      </c>
      <c r="H111" s="1">
        <v>5</v>
      </c>
      <c r="I111" s="1">
        <v>16900</v>
      </c>
      <c r="J111" s="1">
        <v>5</v>
      </c>
      <c r="K111" s="1">
        <v>3018</v>
      </c>
      <c r="L111" s="1">
        <v>2312</v>
      </c>
      <c r="M111" s="1">
        <f t="shared" si="5"/>
        <v>11560</v>
      </c>
      <c r="N111" s="1">
        <f t="shared" si="6"/>
        <v>2322</v>
      </c>
      <c r="O111" s="4">
        <f t="shared" si="7"/>
        <v>0.137396449704142</v>
      </c>
    </row>
    <row r="112" spans="1:15">
      <c r="A112" s="1" t="s">
        <v>1606</v>
      </c>
      <c r="B112" s="1" t="s">
        <v>1607</v>
      </c>
      <c r="C112" s="1" t="s">
        <v>1608</v>
      </c>
      <c r="D112" s="1" t="s">
        <v>1608</v>
      </c>
      <c r="E112" s="1">
        <v>292</v>
      </c>
      <c r="F112" s="2">
        <v>2.0500000000000001E-2</v>
      </c>
      <c r="G112" s="3">
        <f t="shared" si="4"/>
        <v>2765</v>
      </c>
      <c r="H112" s="1">
        <v>6</v>
      </c>
      <c r="I112" s="1">
        <v>16590</v>
      </c>
      <c r="J112" s="1">
        <v>6</v>
      </c>
      <c r="K112" s="1">
        <v>2472</v>
      </c>
      <c r="L112" s="1">
        <v>1350</v>
      </c>
      <c r="M112" s="1">
        <f t="shared" si="5"/>
        <v>8100</v>
      </c>
      <c r="N112" s="1">
        <f t="shared" si="6"/>
        <v>6018</v>
      </c>
      <c r="O112" s="4">
        <f t="shared" si="7"/>
        <v>0.362748643761302</v>
      </c>
    </row>
    <row r="113" spans="1:15">
      <c r="A113" s="1" t="s">
        <v>235</v>
      </c>
      <c r="B113" s="1" t="s">
        <v>1609</v>
      </c>
      <c r="C113" s="1" t="s">
        <v>236</v>
      </c>
      <c r="D113" s="1" t="s">
        <v>237</v>
      </c>
      <c r="E113" s="1">
        <v>39</v>
      </c>
      <c r="F113" s="2">
        <v>0.28210000000000002</v>
      </c>
      <c r="G113" s="3">
        <f t="shared" si="4"/>
        <v>1480</v>
      </c>
      <c r="H113" s="1">
        <v>11</v>
      </c>
      <c r="I113" s="1">
        <v>16280</v>
      </c>
      <c r="J113" s="1">
        <v>11</v>
      </c>
      <c r="K113" s="1">
        <v>2032</v>
      </c>
      <c r="L113" s="1">
        <v>778</v>
      </c>
      <c r="M113" s="1">
        <f t="shared" si="5"/>
        <v>8558</v>
      </c>
      <c r="N113" s="1">
        <f t="shared" si="6"/>
        <v>5690</v>
      </c>
      <c r="O113" s="4">
        <f t="shared" si="7"/>
        <v>0.34950859950859953</v>
      </c>
    </row>
    <row r="114" spans="1:15">
      <c r="A114" s="1" t="s">
        <v>1610</v>
      </c>
      <c r="B114" s="1" t="s">
        <v>1611</v>
      </c>
      <c r="C114" s="1" t="s">
        <v>1612</v>
      </c>
      <c r="D114" s="1" t="s">
        <v>1613</v>
      </c>
      <c r="E114" s="1">
        <v>246</v>
      </c>
      <c r="F114" s="2">
        <v>6.0999999999999999E-2</v>
      </c>
      <c r="G114" s="3">
        <f t="shared" si="4"/>
        <v>1080</v>
      </c>
      <c r="H114" s="1">
        <v>15</v>
      </c>
      <c r="I114" s="1">
        <v>16200</v>
      </c>
      <c r="J114" s="1">
        <v>13</v>
      </c>
      <c r="K114" s="1">
        <v>1500</v>
      </c>
      <c r="L114" s="1">
        <v>576</v>
      </c>
      <c r="M114" s="1">
        <f t="shared" si="5"/>
        <v>8640</v>
      </c>
      <c r="N114" s="1">
        <f t="shared" si="6"/>
        <v>6060</v>
      </c>
      <c r="O114" s="4">
        <f t="shared" si="7"/>
        <v>0.37407407407407406</v>
      </c>
    </row>
    <row r="115" spans="1:15">
      <c r="A115" s="1" t="s">
        <v>1614</v>
      </c>
      <c r="B115" s="1" t="s">
        <v>1615</v>
      </c>
      <c r="C115" s="1" t="s">
        <v>1616</v>
      </c>
      <c r="D115" s="1" t="s">
        <v>1410</v>
      </c>
      <c r="E115" s="1">
        <v>2660</v>
      </c>
      <c r="F115" s="2">
        <v>7.9000000000000008E-3</v>
      </c>
      <c r="G115" s="3">
        <f t="shared" si="4"/>
        <v>750</v>
      </c>
      <c r="H115" s="1">
        <v>21</v>
      </c>
      <c r="I115" s="1">
        <v>15750</v>
      </c>
      <c r="J115" s="1">
        <v>17</v>
      </c>
      <c r="K115" s="1">
        <v>881</v>
      </c>
      <c r="L115" s="1">
        <v>274</v>
      </c>
      <c r="M115" s="1">
        <f t="shared" si="5"/>
        <v>5754</v>
      </c>
      <c r="N115" s="1">
        <f t="shared" si="6"/>
        <v>9115</v>
      </c>
      <c r="O115" s="4">
        <f t="shared" si="7"/>
        <v>0.57873015873015876</v>
      </c>
    </row>
    <row r="116" spans="1:15">
      <c r="A116" s="1" t="s">
        <v>218</v>
      </c>
      <c r="B116" s="1" t="s">
        <v>1617</v>
      </c>
      <c r="C116" s="1" t="s">
        <v>219</v>
      </c>
      <c r="D116" s="1" t="s">
        <v>219</v>
      </c>
      <c r="E116" s="1">
        <v>20</v>
      </c>
      <c r="F116" s="2">
        <v>0.3</v>
      </c>
      <c r="G116" s="3">
        <f t="shared" si="4"/>
        <v>2613.3333333333335</v>
      </c>
      <c r="H116" s="1">
        <v>6</v>
      </c>
      <c r="I116" s="1">
        <v>15680</v>
      </c>
      <c r="J116" s="1">
        <v>5</v>
      </c>
      <c r="K116" s="1">
        <v>1793</v>
      </c>
      <c r="L116" s="1">
        <v>1892</v>
      </c>
      <c r="M116" s="1">
        <f t="shared" si="5"/>
        <v>11352</v>
      </c>
      <c r="N116" s="1">
        <f t="shared" si="6"/>
        <v>2535</v>
      </c>
      <c r="O116" s="4">
        <f t="shared" si="7"/>
        <v>0.16167091836734693</v>
      </c>
    </row>
    <row r="117" spans="1:15">
      <c r="A117" s="1" t="s">
        <v>348</v>
      </c>
      <c r="B117" s="1" t="s">
        <v>1618</v>
      </c>
      <c r="C117" s="1" t="s">
        <v>349</v>
      </c>
      <c r="D117" s="1" t="s">
        <v>349</v>
      </c>
      <c r="E117" s="1">
        <v>144</v>
      </c>
      <c r="F117" s="2">
        <v>9.0299999999999991E-2</v>
      </c>
      <c r="G117" s="3">
        <f t="shared" si="4"/>
        <v>1180</v>
      </c>
      <c r="H117" s="1">
        <v>13</v>
      </c>
      <c r="I117" s="1">
        <v>15340</v>
      </c>
      <c r="J117" s="1">
        <v>13</v>
      </c>
      <c r="K117" s="1">
        <v>1417</v>
      </c>
      <c r="L117" s="1">
        <v>537</v>
      </c>
      <c r="M117" s="1">
        <f t="shared" si="5"/>
        <v>6981</v>
      </c>
      <c r="N117" s="1">
        <f t="shared" si="6"/>
        <v>6942</v>
      </c>
      <c r="O117" s="4">
        <f t="shared" si="7"/>
        <v>0.45254237288135596</v>
      </c>
    </row>
    <row r="118" spans="1:15">
      <c r="A118" s="1" t="s">
        <v>177</v>
      </c>
      <c r="B118" s="1" t="s">
        <v>1619</v>
      </c>
      <c r="C118" s="1" t="s">
        <v>178</v>
      </c>
      <c r="D118" s="1" t="s">
        <v>178</v>
      </c>
      <c r="E118" s="1">
        <v>30</v>
      </c>
      <c r="F118" s="2">
        <v>0.23330000000000001</v>
      </c>
      <c r="G118" s="3">
        <f t="shared" si="4"/>
        <v>2180</v>
      </c>
      <c r="H118" s="1">
        <v>7</v>
      </c>
      <c r="I118" s="1">
        <v>15260</v>
      </c>
      <c r="J118" s="1">
        <v>6</v>
      </c>
      <c r="K118" s="1">
        <v>2589</v>
      </c>
      <c r="L118" s="1">
        <v>1027</v>
      </c>
      <c r="M118" s="1">
        <f t="shared" si="5"/>
        <v>7189</v>
      </c>
      <c r="N118" s="1">
        <f t="shared" si="6"/>
        <v>5482</v>
      </c>
      <c r="O118" s="4">
        <f t="shared" si="7"/>
        <v>0.35923984272608128</v>
      </c>
    </row>
    <row r="119" spans="1:15">
      <c r="A119" s="1" t="s">
        <v>414</v>
      </c>
      <c r="B119" s="1" t="s">
        <v>1620</v>
      </c>
      <c r="C119" s="1" t="s">
        <v>415</v>
      </c>
      <c r="D119" s="1" t="s">
        <v>415</v>
      </c>
      <c r="E119" s="1">
        <v>48</v>
      </c>
      <c r="F119" s="2">
        <v>0.1042</v>
      </c>
      <c r="G119" s="3">
        <f t="shared" si="4"/>
        <v>2940</v>
      </c>
      <c r="H119" s="1">
        <v>5</v>
      </c>
      <c r="I119" s="1">
        <v>14700</v>
      </c>
      <c r="J119" s="1">
        <v>5</v>
      </c>
      <c r="K119" s="1">
        <v>1682</v>
      </c>
      <c r="L119" s="1">
        <v>1275</v>
      </c>
      <c r="M119" s="1">
        <f t="shared" si="5"/>
        <v>6375</v>
      </c>
      <c r="N119" s="1">
        <f t="shared" si="6"/>
        <v>6643</v>
      </c>
      <c r="O119" s="4">
        <f t="shared" si="7"/>
        <v>0.45190476190476192</v>
      </c>
    </row>
    <row r="120" spans="1:15">
      <c r="A120" s="6" t="s">
        <v>1621</v>
      </c>
      <c r="B120" s="1" t="s">
        <v>1622</v>
      </c>
      <c r="C120" s="1" t="s">
        <v>1623</v>
      </c>
      <c r="D120" s="1" t="s">
        <v>626</v>
      </c>
      <c r="E120" s="1">
        <v>714</v>
      </c>
      <c r="F120" s="2">
        <v>3.3599999999999998E-2</v>
      </c>
      <c r="G120" s="3">
        <f t="shared" si="4"/>
        <v>597.5</v>
      </c>
      <c r="H120" s="1">
        <v>24</v>
      </c>
      <c r="I120" s="1">
        <v>14340</v>
      </c>
      <c r="J120" s="1">
        <v>19</v>
      </c>
      <c r="K120" s="1">
        <v>792</v>
      </c>
      <c r="L120" s="1">
        <v>383</v>
      </c>
      <c r="M120" s="1">
        <f t="shared" si="5"/>
        <v>9192</v>
      </c>
      <c r="N120" s="1">
        <f t="shared" si="6"/>
        <v>4356</v>
      </c>
      <c r="O120" s="4">
        <f t="shared" si="7"/>
        <v>0.30376569037656903</v>
      </c>
    </row>
    <row r="121" spans="1:15">
      <c r="A121" s="1" t="s">
        <v>756</v>
      </c>
      <c r="B121" s="1" t="s">
        <v>1624</v>
      </c>
      <c r="C121" s="1" t="s">
        <v>757</v>
      </c>
      <c r="D121" s="1" t="s">
        <v>758</v>
      </c>
      <c r="E121" s="1">
        <v>574</v>
      </c>
      <c r="F121" s="2">
        <v>2.0899999999999998E-2</v>
      </c>
      <c r="G121" s="3">
        <f t="shared" si="4"/>
        <v>1190</v>
      </c>
      <c r="H121" s="1">
        <v>12</v>
      </c>
      <c r="I121" s="1">
        <v>14280</v>
      </c>
      <c r="J121" s="1">
        <v>11</v>
      </c>
      <c r="K121" s="1">
        <v>1320</v>
      </c>
      <c r="L121" s="1">
        <v>471</v>
      </c>
      <c r="M121" s="1">
        <f t="shared" si="5"/>
        <v>5652</v>
      </c>
      <c r="N121" s="1">
        <f t="shared" si="6"/>
        <v>7308</v>
      </c>
      <c r="O121" s="4">
        <f t="shared" si="7"/>
        <v>0.5117647058823529</v>
      </c>
    </row>
    <row r="122" spans="1:15">
      <c r="A122" s="1" t="s">
        <v>437</v>
      </c>
      <c r="B122" s="1" t="s">
        <v>1625</v>
      </c>
      <c r="C122" s="1" t="s">
        <v>438</v>
      </c>
      <c r="D122" s="1" t="s">
        <v>438</v>
      </c>
      <c r="E122" s="1">
        <v>43</v>
      </c>
      <c r="F122" s="2">
        <v>0.2326</v>
      </c>
      <c r="G122" s="3">
        <f t="shared" si="4"/>
        <v>1416.2</v>
      </c>
      <c r="H122" s="1">
        <v>10</v>
      </c>
      <c r="I122" s="1">
        <v>14162</v>
      </c>
      <c r="J122" s="1">
        <v>8</v>
      </c>
      <c r="K122" s="1">
        <v>1030</v>
      </c>
      <c r="L122" s="1">
        <v>830</v>
      </c>
      <c r="M122" s="1">
        <f t="shared" si="5"/>
        <v>8300</v>
      </c>
      <c r="N122" s="1">
        <f t="shared" si="6"/>
        <v>4832</v>
      </c>
      <c r="O122" s="4">
        <f t="shared" si="7"/>
        <v>0.34119474650473097</v>
      </c>
    </row>
    <row r="123" spans="1:15">
      <c r="A123" s="1" t="s">
        <v>847</v>
      </c>
      <c r="B123" s="1" t="s">
        <v>1626</v>
      </c>
      <c r="C123" s="1" t="s">
        <v>848</v>
      </c>
      <c r="D123" s="1" t="s">
        <v>848</v>
      </c>
      <c r="E123" s="1">
        <v>180</v>
      </c>
      <c r="F123" s="2">
        <v>2.7799999999999998E-2</v>
      </c>
      <c r="G123" s="3">
        <f t="shared" si="4"/>
        <v>2788</v>
      </c>
      <c r="H123" s="1">
        <v>5</v>
      </c>
      <c r="I123" s="1">
        <v>13940</v>
      </c>
      <c r="J123" s="1">
        <v>4</v>
      </c>
      <c r="K123" s="1">
        <v>2361</v>
      </c>
      <c r="L123" s="1">
        <v>1826</v>
      </c>
      <c r="M123" s="1">
        <f t="shared" si="5"/>
        <v>9130</v>
      </c>
      <c r="N123" s="1">
        <f t="shared" si="6"/>
        <v>2449</v>
      </c>
      <c r="O123" s="4">
        <f t="shared" si="7"/>
        <v>0.17568149210903874</v>
      </c>
    </row>
    <row r="124" spans="1:15">
      <c r="A124" s="1" t="s">
        <v>206</v>
      </c>
      <c r="B124" s="1" t="s">
        <v>1627</v>
      </c>
      <c r="C124" s="1" t="s">
        <v>207</v>
      </c>
      <c r="D124" s="1" t="s">
        <v>208</v>
      </c>
      <c r="E124" s="1">
        <v>396</v>
      </c>
      <c r="F124" s="2">
        <v>3.5400000000000001E-2</v>
      </c>
      <c r="G124" s="3">
        <f t="shared" si="4"/>
        <v>970</v>
      </c>
      <c r="H124" s="1">
        <v>14</v>
      </c>
      <c r="I124" s="1">
        <v>13580</v>
      </c>
      <c r="J124" s="1">
        <v>13</v>
      </c>
      <c r="K124" s="1">
        <v>1275</v>
      </c>
      <c r="L124" s="1">
        <v>462</v>
      </c>
      <c r="M124" s="1">
        <f t="shared" si="5"/>
        <v>6468</v>
      </c>
      <c r="N124" s="1">
        <f t="shared" si="6"/>
        <v>5837</v>
      </c>
      <c r="O124" s="4">
        <f t="shared" si="7"/>
        <v>0.42982326951399119</v>
      </c>
    </row>
    <row r="125" spans="1:15">
      <c r="A125" s="1" t="s">
        <v>751</v>
      </c>
      <c r="B125" s="1" t="s">
        <v>1628</v>
      </c>
      <c r="C125" s="1" t="s">
        <v>752</v>
      </c>
      <c r="D125" s="1" t="s">
        <v>752</v>
      </c>
      <c r="E125" s="1">
        <v>78</v>
      </c>
      <c r="F125" s="2">
        <v>3.85E-2</v>
      </c>
      <c r="G125" s="3">
        <f t="shared" si="4"/>
        <v>4500</v>
      </c>
      <c r="H125" s="1">
        <v>3</v>
      </c>
      <c r="I125" s="1">
        <v>13500</v>
      </c>
      <c r="J125" s="1">
        <v>2</v>
      </c>
      <c r="K125" s="1">
        <v>2287</v>
      </c>
      <c r="L125" s="1">
        <v>2816</v>
      </c>
      <c r="M125" s="1">
        <f t="shared" si="5"/>
        <v>8448</v>
      </c>
      <c r="N125" s="1">
        <f t="shared" si="6"/>
        <v>2765</v>
      </c>
      <c r="O125" s="4">
        <f t="shared" si="7"/>
        <v>0.20481481481481481</v>
      </c>
    </row>
    <row r="126" spans="1:15">
      <c r="A126" s="1" t="s">
        <v>270</v>
      </c>
      <c r="B126" s="1" t="s">
        <v>1629</v>
      </c>
      <c r="C126" s="1" t="s">
        <v>271</v>
      </c>
      <c r="D126" s="1" t="s">
        <v>272</v>
      </c>
      <c r="E126" s="1">
        <v>63</v>
      </c>
      <c r="F126" s="2">
        <v>0.1429</v>
      </c>
      <c r="G126" s="3">
        <f t="shared" si="4"/>
        <v>1480</v>
      </c>
      <c r="H126" s="1">
        <v>9</v>
      </c>
      <c r="I126" s="1">
        <v>13320</v>
      </c>
      <c r="J126" s="1">
        <v>9</v>
      </c>
      <c r="K126" s="1">
        <v>1390</v>
      </c>
      <c r="L126" s="1">
        <v>920</v>
      </c>
      <c r="M126" s="1">
        <f t="shared" si="5"/>
        <v>8280</v>
      </c>
      <c r="N126" s="1">
        <f t="shared" si="6"/>
        <v>3650</v>
      </c>
      <c r="O126" s="4">
        <f t="shared" si="7"/>
        <v>0.27402402402402404</v>
      </c>
    </row>
    <row r="127" spans="1:15">
      <c r="A127" s="1" t="s">
        <v>445</v>
      </c>
      <c r="B127" s="1" t="s">
        <v>1630</v>
      </c>
      <c r="C127" s="1" t="s">
        <v>446</v>
      </c>
      <c r="D127" s="1" t="s">
        <v>446</v>
      </c>
      <c r="E127" s="1">
        <v>78</v>
      </c>
      <c r="F127" s="2">
        <v>0.15379999999999999</v>
      </c>
      <c r="G127" s="3">
        <f t="shared" si="4"/>
        <v>1100</v>
      </c>
      <c r="H127" s="1">
        <v>12</v>
      </c>
      <c r="I127" s="1">
        <v>13200</v>
      </c>
      <c r="J127" s="1">
        <v>6</v>
      </c>
      <c r="K127" s="1">
        <v>1214</v>
      </c>
      <c r="L127" s="1">
        <v>657</v>
      </c>
      <c r="M127" s="1">
        <f t="shared" si="5"/>
        <v>7884</v>
      </c>
      <c r="N127" s="1">
        <f t="shared" si="6"/>
        <v>4102</v>
      </c>
      <c r="O127" s="4">
        <f t="shared" si="7"/>
        <v>0.31075757575757573</v>
      </c>
    </row>
    <row r="128" spans="1:15">
      <c r="A128" s="1" t="s">
        <v>1197</v>
      </c>
      <c r="B128" s="1" t="s">
        <v>1631</v>
      </c>
      <c r="C128" s="1" t="s">
        <v>1198</v>
      </c>
      <c r="D128" s="1" t="s">
        <v>1198</v>
      </c>
      <c r="E128" s="1">
        <v>33</v>
      </c>
      <c r="F128" s="2">
        <v>0.18179999999999999</v>
      </c>
      <c r="G128" s="3">
        <f t="shared" si="4"/>
        <v>2198</v>
      </c>
      <c r="H128" s="1">
        <v>6</v>
      </c>
      <c r="I128" s="1">
        <v>13188</v>
      </c>
      <c r="J128" s="1">
        <v>6</v>
      </c>
      <c r="K128" s="1">
        <v>2232</v>
      </c>
      <c r="L128" s="1">
        <v>1278</v>
      </c>
      <c r="M128" s="1">
        <f t="shared" si="5"/>
        <v>7668</v>
      </c>
      <c r="N128" s="1">
        <f t="shared" si="6"/>
        <v>3288</v>
      </c>
      <c r="O128" s="4">
        <f t="shared" si="7"/>
        <v>0.24931756141947226</v>
      </c>
    </row>
    <row r="129" spans="1:15">
      <c r="A129" s="1" t="s">
        <v>129</v>
      </c>
      <c r="B129" s="1" t="s">
        <v>1632</v>
      </c>
      <c r="C129" s="1" t="s">
        <v>130</v>
      </c>
      <c r="D129" s="1" t="s">
        <v>130</v>
      </c>
      <c r="E129" s="1">
        <v>85</v>
      </c>
      <c r="F129" s="2">
        <v>8.2400000000000001E-2</v>
      </c>
      <c r="G129" s="3">
        <f t="shared" si="4"/>
        <v>1850</v>
      </c>
      <c r="H129" s="1">
        <v>7</v>
      </c>
      <c r="I129" s="1">
        <v>12950</v>
      </c>
      <c r="J129" s="1">
        <v>4</v>
      </c>
      <c r="K129" s="1">
        <v>2195</v>
      </c>
      <c r="L129" s="1">
        <v>1056</v>
      </c>
      <c r="M129" s="1">
        <f t="shared" si="5"/>
        <v>7392</v>
      </c>
      <c r="N129" s="1">
        <f t="shared" si="6"/>
        <v>3363</v>
      </c>
      <c r="O129" s="4">
        <f t="shared" si="7"/>
        <v>0.25969111969111969</v>
      </c>
    </row>
    <row r="130" spans="1:15">
      <c r="A130" s="1" t="s">
        <v>483</v>
      </c>
      <c r="B130" s="1" t="s">
        <v>1633</v>
      </c>
      <c r="C130" s="1" t="s">
        <v>484</v>
      </c>
      <c r="D130" s="1" t="s">
        <v>1634</v>
      </c>
      <c r="E130" s="1">
        <v>8428</v>
      </c>
      <c r="F130" s="2">
        <v>1.1999999999999999E-3</v>
      </c>
      <c r="G130" s="3">
        <f t="shared" si="4"/>
        <v>1264</v>
      </c>
      <c r="H130" s="1">
        <v>10</v>
      </c>
      <c r="I130" s="1">
        <v>12640</v>
      </c>
      <c r="J130" s="1">
        <v>8</v>
      </c>
      <c r="K130" s="1">
        <v>1168</v>
      </c>
      <c r="L130" s="1">
        <v>1067</v>
      </c>
      <c r="M130" s="1">
        <f t="shared" si="5"/>
        <v>10670</v>
      </c>
      <c r="N130" s="1">
        <f t="shared" si="6"/>
        <v>802</v>
      </c>
      <c r="O130" s="4">
        <f t="shared" si="7"/>
        <v>6.34493670886076E-2</v>
      </c>
    </row>
    <row r="131" spans="1:15">
      <c r="A131" s="1" t="s">
        <v>290</v>
      </c>
      <c r="B131" s="1" t="s">
        <v>1635</v>
      </c>
      <c r="C131" s="1" t="s">
        <v>291</v>
      </c>
      <c r="D131" s="1" t="s">
        <v>292</v>
      </c>
      <c r="E131" s="1">
        <v>372</v>
      </c>
      <c r="F131" s="2">
        <v>2.7000000000000001E-3</v>
      </c>
      <c r="G131" s="3">
        <f t="shared" si="4"/>
        <v>12400</v>
      </c>
      <c r="H131" s="1">
        <v>1</v>
      </c>
      <c r="I131" s="1">
        <v>12400</v>
      </c>
      <c r="J131" s="1">
        <v>1</v>
      </c>
      <c r="K131" s="1">
        <v>1419</v>
      </c>
      <c r="L131" s="1">
        <v>9100</v>
      </c>
      <c r="M131" s="1">
        <f t="shared" si="5"/>
        <v>9100</v>
      </c>
      <c r="N131" s="1">
        <f t="shared" si="6"/>
        <v>1881</v>
      </c>
      <c r="O131" s="4">
        <f t="shared" si="7"/>
        <v>0.15169354838709678</v>
      </c>
    </row>
    <row r="132" spans="1:15">
      <c r="A132" s="1" t="s">
        <v>276</v>
      </c>
      <c r="B132" s="1" t="s">
        <v>1636</v>
      </c>
      <c r="C132" s="1" t="s">
        <v>277</v>
      </c>
      <c r="D132" s="1" t="s">
        <v>278</v>
      </c>
      <c r="E132" s="1">
        <v>675</v>
      </c>
      <c r="F132" s="2">
        <v>1.04E-2</v>
      </c>
      <c r="G132" s="3">
        <f t="shared" si="4"/>
        <v>1770</v>
      </c>
      <c r="H132" s="1">
        <v>7</v>
      </c>
      <c r="I132" s="1">
        <v>12390</v>
      </c>
      <c r="J132" s="1">
        <v>7</v>
      </c>
      <c r="K132" s="1">
        <v>2100</v>
      </c>
      <c r="L132" s="1">
        <v>1148</v>
      </c>
      <c r="M132" s="1">
        <f t="shared" si="5"/>
        <v>8036</v>
      </c>
      <c r="N132" s="1">
        <f t="shared" si="6"/>
        <v>2254</v>
      </c>
      <c r="O132" s="4">
        <f t="shared" si="7"/>
        <v>0.18192090395480226</v>
      </c>
    </row>
    <row r="133" spans="1:15">
      <c r="A133" s="1" t="s">
        <v>247</v>
      </c>
      <c r="B133" s="1" t="s">
        <v>1637</v>
      </c>
      <c r="C133" s="1" t="s">
        <v>248</v>
      </c>
      <c r="D133" s="1" t="s">
        <v>249</v>
      </c>
      <c r="E133" s="1">
        <v>2184</v>
      </c>
      <c r="F133" s="2">
        <v>3.7000000000000002E-3</v>
      </c>
      <c r="G133" s="3">
        <f t="shared" si="4"/>
        <v>1548.25</v>
      </c>
      <c r="H133" s="1">
        <v>8</v>
      </c>
      <c r="I133" s="1">
        <v>12386</v>
      </c>
      <c r="J133" s="1">
        <v>8</v>
      </c>
      <c r="K133" s="1">
        <v>2304</v>
      </c>
      <c r="L133" s="1">
        <v>757</v>
      </c>
      <c r="M133" s="1">
        <f t="shared" si="5"/>
        <v>6056</v>
      </c>
      <c r="N133" s="1">
        <f t="shared" si="6"/>
        <v>4026</v>
      </c>
      <c r="O133" s="4">
        <f t="shared" si="7"/>
        <v>0.32504440497335702</v>
      </c>
    </row>
    <row r="134" spans="1:15">
      <c r="A134" s="1" t="s">
        <v>534</v>
      </c>
      <c r="B134" s="1" t="s">
        <v>1638</v>
      </c>
      <c r="C134" s="1" t="s">
        <v>535</v>
      </c>
      <c r="D134" s="1" t="s">
        <v>278</v>
      </c>
      <c r="E134" s="1">
        <v>601</v>
      </c>
      <c r="F134" s="2">
        <v>8.3000000000000001E-3</v>
      </c>
      <c r="G134" s="3">
        <f t="shared" si="4"/>
        <v>2400</v>
      </c>
      <c r="H134" s="1">
        <v>5</v>
      </c>
      <c r="I134" s="1">
        <v>12000</v>
      </c>
      <c r="J134" s="1">
        <v>5</v>
      </c>
      <c r="K134" s="1">
        <v>2035</v>
      </c>
      <c r="L134" s="1">
        <v>1148</v>
      </c>
      <c r="M134" s="1">
        <f t="shared" si="5"/>
        <v>5740</v>
      </c>
      <c r="N134" s="1">
        <f t="shared" si="6"/>
        <v>4225</v>
      </c>
      <c r="O134" s="4">
        <f t="shared" si="7"/>
        <v>0.35208333333333336</v>
      </c>
    </row>
    <row r="135" spans="1:15">
      <c r="A135" s="1" t="s">
        <v>313</v>
      </c>
      <c r="B135" s="1" t="s">
        <v>1639</v>
      </c>
      <c r="C135" s="1" t="s">
        <v>314</v>
      </c>
      <c r="D135" s="1" t="s">
        <v>259</v>
      </c>
      <c r="E135" s="1">
        <v>22</v>
      </c>
      <c r="F135" s="2">
        <v>0.36359999999999998</v>
      </c>
      <c r="G135" s="3">
        <f t="shared" si="4"/>
        <v>1498</v>
      </c>
      <c r="H135" s="1">
        <v>8</v>
      </c>
      <c r="I135" s="1">
        <v>11984</v>
      </c>
      <c r="J135" s="1">
        <v>8</v>
      </c>
      <c r="K135" s="1">
        <v>1444</v>
      </c>
      <c r="L135" s="1">
        <v>825</v>
      </c>
      <c r="M135" s="1">
        <f t="shared" si="5"/>
        <v>6600</v>
      </c>
      <c r="N135" s="1">
        <f t="shared" si="6"/>
        <v>3940</v>
      </c>
      <c r="O135" s="4">
        <f t="shared" si="7"/>
        <v>0.3287716955941255</v>
      </c>
    </row>
    <row r="136" spans="1:15">
      <c r="A136" s="1" t="s">
        <v>195</v>
      </c>
      <c r="B136" s="1" t="s">
        <v>1640</v>
      </c>
      <c r="C136" s="1" t="s">
        <v>196</v>
      </c>
      <c r="D136" s="1" t="s">
        <v>139</v>
      </c>
      <c r="E136" s="1">
        <v>15</v>
      </c>
      <c r="F136" s="2">
        <v>0.2</v>
      </c>
      <c r="G136" s="3">
        <f t="shared" ref="G136:G199" si="8">IF(H136=0,"",I136/H136)</f>
        <v>3980</v>
      </c>
      <c r="H136" s="1">
        <v>3</v>
      </c>
      <c r="I136" s="1">
        <v>11940</v>
      </c>
      <c r="J136" s="1">
        <v>3</v>
      </c>
      <c r="K136" s="1">
        <v>1399</v>
      </c>
      <c r="L136" s="1">
        <v>695</v>
      </c>
      <c r="M136" s="1">
        <f t="shared" ref="M136:M199" si="9">SUM(H136*L136)</f>
        <v>2085</v>
      </c>
      <c r="N136" s="1">
        <f t="shared" ref="N136:N199" si="10">SUM(I136-K136-M136)</f>
        <v>8456</v>
      </c>
      <c r="O136" s="4">
        <f t="shared" ref="O136:O199" si="11">IF(I136=0,"",N136/I136)</f>
        <v>0.70820770519262977</v>
      </c>
    </row>
    <row r="137" spans="1:15">
      <c r="A137" s="1" t="s">
        <v>93</v>
      </c>
      <c r="B137" s="1" t="s">
        <v>1641</v>
      </c>
      <c r="C137" s="1" t="s">
        <v>94</v>
      </c>
      <c r="D137" s="1" t="s">
        <v>94</v>
      </c>
      <c r="E137" s="1">
        <v>97</v>
      </c>
      <c r="F137" s="2">
        <v>4.1200000000000001E-2</v>
      </c>
      <c r="G137" s="3">
        <f t="shared" si="8"/>
        <v>2980</v>
      </c>
      <c r="H137" s="1">
        <v>4</v>
      </c>
      <c r="I137" s="1">
        <v>11920</v>
      </c>
      <c r="J137" s="1">
        <v>4</v>
      </c>
      <c r="K137" s="1">
        <v>1364</v>
      </c>
      <c r="L137" s="1">
        <v>1406</v>
      </c>
      <c r="M137" s="1">
        <f t="shared" si="9"/>
        <v>5624</v>
      </c>
      <c r="N137" s="1">
        <f t="shared" si="10"/>
        <v>4932</v>
      </c>
      <c r="O137" s="4">
        <f t="shared" si="11"/>
        <v>0.41375838926174496</v>
      </c>
    </row>
    <row r="138" spans="1:15">
      <c r="A138" s="1" t="s">
        <v>142</v>
      </c>
      <c r="B138" s="1" t="s">
        <v>1642</v>
      </c>
      <c r="C138" s="1" t="s">
        <v>143</v>
      </c>
      <c r="D138" s="1" t="s">
        <v>143</v>
      </c>
      <c r="E138" s="1">
        <v>73</v>
      </c>
      <c r="F138" s="2">
        <v>8.2200000000000009E-2</v>
      </c>
      <c r="G138" s="3">
        <f t="shared" si="8"/>
        <v>1980</v>
      </c>
      <c r="H138" s="1">
        <v>6</v>
      </c>
      <c r="I138" s="1">
        <v>11880</v>
      </c>
      <c r="J138" s="1">
        <v>6</v>
      </c>
      <c r="K138" s="1">
        <v>2016</v>
      </c>
      <c r="L138" s="1">
        <v>1122</v>
      </c>
      <c r="M138" s="1">
        <f t="shared" si="9"/>
        <v>6732</v>
      </c>
      <c r="N138" s="1">
        <f t="shared" si="10"/>
        <v>3132</v>
      </c>
      <c r="O138" s="4">
        <f t="shared" si="11"/>
        <v>0.26363636363636361</v>
      </c>
    </row>
    <row r="139" spans="1:15">
      <c r="A139" s="1" t="s">
        <v>390</v>
      </c>
      <c r="B139" s="1" t="s">
        <v>1643</v>
      </c>
      <c r="C139" s="1" t="s">
        <v>391</v>
      </c>
      <c r="D139" s="1" t="s">
        <v>391</v>
      </c>
      <c r="E139" s="1">
        <v>24</v>
      </c>
      <c r="F139" s="2">
        <v>0.375</v>
      </c>
      <c r="G139" s="3">
        <f t="shared" si="8"/>
        <v>1313.3333333333333</v>
      </c>
      <c r="H139" s="1">
        <v>9</v>
      </c>
      <c r="I139" s="1">
        <v>11820</v>
      </c>
      <c r="J139" s="1">
        <v>8</v>
      </c>
      <c r="K139" s="1">
        <v>1255</v>
      </c>
      <c r="L139" s="1">
        <v>413</v>
      </c>
      <c r="M139" s="1">
        <f t="shared" si="9"/>
        <v>3717</v>
      </c>
      <c r="N139" s="1">
        <f t="shared" si="10"/>
        <v>6848</v>
      </c>
      <c r="O139" s="4">
        <f t="shared" si="11"/>
        <v>0.57935702199661587</v>
      </c>
    </row>
    <row r="140" spans="1:15">
      <c r="A140" s="1" t="s">
        <v>192</v>
      </c>
      <c r="B140" s="1" t="s">
        <v>1644</v>
      </c>
      <c r="C140" s="1" t="s">
        <v>193</v>
      </c>
      <c r="D140" s="1" t="s">
        <v>194</v>
      </c>
      <c r="E140" s="1">
        <v>559</v>
      </c>
      <c r="F140" s="2">
        <v>1.8E-3</v>
      </c>
      <c r="G140" s="3">
        <f t="shared" si="8"/>
        <v>11490</v>
      </c>
      <c r="H140" s="1">
        <v>1</v>
      </c>
      <c r="I140" s="1">
        <v>11490</v>
      </c>
      <c r="J140" s="1">
        <v>1</v>
      </c>
      <c r="K140" s="1">
        <v>1304</v>
      </c>
      <c r="L140" s="1">
        <v>7217</v>
      </c>
      <c r="M140" s="1">
        <f t="shared" si="9"/>
        <v>7217</v>
      </c>
      <c r="N140" s="1">
        <f t="shared" si="10"/>
        <v>2969</v>
      </c>
      <c r="O140" s="4">
        <f t="shared" si="11"/>
        <v>0.25839860748476934</v>
      </c>
    </row>
    <row r="141" spans="1:15">
      <c r="A141" s="1" t="s">
        <v>1390</v>
      </c>
      <c r="B141" s="1" t="s">
        <v>1645</v>
      </c>
      <c r="C141" s="1" t="s">
        <v>1391</v>
      </c>
      <c r="D141" s="1" t="s">
        <v>1387</v>
      </c>
      <c r="E141" s="1">
        <v>1459</v>
      </c>
      <c r="F141" s="2">
        <v>8.8999999999999999E-3</v>
      </c>
      <c r="G141" s="3">
        <f t="shared" si="8"/>
        <v>870.15384615384619</v>
      </c>
      <c r="H141" s="1">
        <v>13</v>
      </c>
      <c r="I141" s="1">
        <v>11312</v>
      </c>
      <c r="J141" s="1">
        <v>11</v>
      </c>
      <c r="K141" s="1">
        <v>1917</v>
      </c>
      <c r="L141" s="1">
        <v>319</v>
      </c>
      <c r="M141" s="1">
        <f t="shared" si="9"/>
        <v>4147</v>
      </c>
      <c r="N141" s="1">
        <f t="shared" si="10"/>
        <v>5248</v>
      </c>
      <c r="O141" s="4">
        <f t="shared" si="11"/>
        <v>0.46393210749646391</v>
      </c>
    </row>
    <row r="142" spans="1:15">
      <c r="A142" s="1" t="s">
        <v>1282</v>
      </c>
      <c r="B142" s="1" t="s">
        <v>1646</v>
      </c>
      <c r="C142" s="1" t="s">
        <v>1283</v>
      </c>
      <c r="D142" s="1" t="s">
        <v>1283</v>
      </c>
      <c r="E142" s="1">
        <v>264</v>
      </c>
      <c r="F142" s="2">
        <v>5.2999999999999999E-2</v>
      </c>
      <c r="G142" s="3">
        <f t="shared" si="8"/>
        <v>800</v>
      </c>
      <c r="H142" s="1">
        <v>14</v>
      </c>
      <c r="I142" s="1">
        <v>11200</v>
      </c>
      <c r="J142" s="1">
        <v>9</v>
      </c>
      <c r="K142" s="1">
        <v>1034</v>
      </c>
      <c r="L142" s="1">
        <v>394</v>
      </c>
      <c r="M142" s="1">
        <f t="shared" si="9"/>
        <v>5516</v>
      </c>
      <c r="N142" s="1">
        <f t="shared" si="10"/>
        <v>4650</v>
      </c>
      <c r="O142" s="4">
        <f t="shared" si="11"/>
        <v>0.41517857142857145</v>
      </c>
    </row>
    <row r="143" spans="1:15">
      <c r="A143" s="1" t="s">
        <v>397</v>
      </c>
      <c r="B143" s="1" t="s">
        <v>1647</v>
      </c>
      <c r="C143" s="1" t="s">
        <v>398</v>
      </c>
      <c r="D143" s="1" t="s">
        <v>399</v>
      </c>
      <c r="E143" s="1">
        <v>150</v>
      </c>
      <c r="F143" s="2">
        <v>5.33E-2</v>
      </c>
      <c r="G143" s="3">
        <f t="shared" si="8"/>
        <v>1400</v>
      </c>
      <c r="H143" s="1">
        <v>8</v>
      </c>
      <c r="I143" s="1">
        <v>11200</v>
      </c>
      <c r="J143" s="1">
        <v>6</v>
      </c>
      <c r="K143" s="1">
        <v>1902</v>
      </c>
      <c r="L143" s="1">
        <v>500</v>
      </c>
      <c r="M143" s="1">
        <f t="shared" si="9"/>
        <v>4000</v>
      </c>
      <c r="N143" s="1">
        <f t="shared" si="10"/>
        <v>5298</v>
      </c>
      <c r="O143" s="4">
        <f t="shared" si="11"/>
        <v>0.47303571428571428</v>
      </c>
    </row>
    <row r="144" spans="1:15">
      <c r="A144" s="1" t="s">
        <v>257</v>
      </c>
      <c r="B144" s="1" t="s">
        <v>1648</v>
      </c>
      <c r="C144" s="1" t="s">
        <v>258</v>
      </c>
      <c r="D144" s="1" t="s">
        <v>259</v>
      </c>
      <c r="E144" s="1">
        <v>63</v>
      </c>
      <c r="F144" s="2">
        <v>0.15870000000000001</v>
      </c>
      <c r="G144" s="3">
        <f t="shared" si="8"/>
        <v>1099</v>
      </c>
      <c r="H144" s="1">
        <v>10</v>
      </c>
      <c r="I144" s="1">
        <v>10990</v>
      </c>
      <c r="J144" s="1">
        <v>9</v>
      </c>
      <c r="K144" s="1">
        <v>1039</v>
      </c>
      <c r="L144" s="1">
        <v>550</v>
      </c>
      <c r="M144" s="1">
        <f t="shared" si="9"/>
        <v>5500</v>
      </c>
      <c r="N144" s="1">
        <f t="shared" si="10"/>
        <v>4451</v>
      </c>
      <c r="O144" s="4">
        <f t="shared" si="11"/>
        <v>0.40500454959053683</v>
      </c>
    </row>
    <row r="145" spans="1:15">
      <c r="A145" s="1" t="s">
        <v>112</v>
      </c>
      <c r="B145" s="1" t="s">
        <v>1649</v>
      </c>
      <c r="C145" s="1" t="s">
        <v>113</v>
      </c>
      <c r="D145" s="1" t="s">
        <v>113</v>
      </c>
      <c r="E145" s="1">
        <v>22</v>
      </c>
      <c r="F145" s="2">
        <v>9.0899999999999995E-2</v>
      </c>
      <c r="G145" s="3">
        <f t="shared" si="8"/>
        <v>5480</v>
      </c>
      <c r="H145" s="1">
        <v>2</v>
      </c>
      <c r="I145" s="1">
        <v>10960</v>
      </c>
      <c r="J145" s="1">
        <v>2</v>
      </c>
      <c r="K145" s="1">
        <v>1856</v>
      </c>
      <c r="L145" s="1">
        <v>3546</v>
      </c>
      <c r="M145" s="1">
        <f t="shared" si="9"/>
        <v>7092</v>
      </c>
      <c r="N145" s="1">
        <f t="shared" si="10"/>
        <v>2012</v>
      </c>
      <c r="O145" s="4">
        <f t="shared" si="11"/>
        <v>0.18357664233576643</v>
      </c>
    </row>
    <row r="146" spans="1:15">
      <c r="A146" s="1" t="s">
        <v>79</v>
      </c>
      <c r="B146" s="1" t="s">
        <v>1650</v>
      </c>
      <c r="C146" s="1" t="s">
        <v>80</v>
      </c>
      <c r="D146" s="1" t="s">
        <v>80</v>
      </c>
      <c r="E146" s="1">
        <v>59</v>
      </c>
      <c r="F146" s="2">
        <v>3.39E-2</v>
      </c>
      <c r="G146" s="3">
        <f t="shared" si="8"/>
        <v>5480</v>
      </c>
      <c r="H146" s="1">
        <v>2</v>
      </c>
      <c r="I146" s="1">
        <v>10960</v>
      </c>
      <c r="J146" s="1">
        <v>2</v>
      </c>
      <c r="K146" s="1">
        <v>1254</v>
      </c>
      <c r="L146" s="1">
        <v>2946</v>
      </c>
      <c r="M146" s="1">
        <f t="shared" si="9"/>
        <v>5892</v>
      </c>
      <c r="N146" s="1">
        <f t="shared" si="10"/>
        <v>3814</v>
      </c>
      <c r="O146" s="4">
        <f t="shared" si="11"/>
        <v>0.347992700729927</v>
      </c>
    </row>
    <row r="147" spans="1:15">
      <c r="A147" s="1" t="s">
        <v>967</v>
      </c>
      <c r="B147" s="1" t="s">
        <v>1651</v>
      </c>
      <c r="C147" s="1" t="s">
        <v>968</v>
      </c>
      <c r="D147" s="1" t="s">
        <v>912</v>
      </c>
      <c r="E147" s="1">
        <v>57262</v>
      </c>
      <c r="F147" s="2">
        <v>0</v>
      </c>
      <c r="G147" s="3">
        <f t="shared" si="8"/>
        <v>10958</v>
      </c>
      <c r="H147" s="1">
        <v>1</v>
      </c>
      <c r="I147" s="1">
        <v>10958</v>
      </c>
      <c r="J147" s="1">
        <v>1</v>
      </c>
      <c r="K147" s="1">
        <v>1254</v>
      </c>
      <c r="L147" s="1">
        <v>8480</v>
      </c>
      <c r="M147" s="1">
        <f t="shared" si="9"/>
        <v>8480</v>
      </c>
      <c r="N147" s="1">
        <f t="shared" si="10"/>
        <v>1224</v>
      </c>
      <c r="O147" s="4">
        <f t="shared" si="11"/>
        <v>0.11169921518525279</v>
      </c>
    </row>
    <row r="148" spans="1:15">
      <c r="A148" s="1" t="s">
        <v>1652</v>
      </c>
      <c r="B148" s="1" t="s">
        <v>1653</v>
      </c>
      <c r="C148" s="1" t="s">
        <v>1654</v>
      </c>
      <c r="D148" s="1" t="s">
        <v>620</v>
      </c>
      <c r="E148" s="1">
        <v>9</v>
      </c>
      <c r="F148" s="2">
        <v>1.3332999999999999</v>
      </c>
      <c r="G148" s="3">
        <f t="shared" si="8"/>
        <v>882</v>
      </c>
      <c r="H148" s="1">
        <v>12</v>
      </c>
      <c r="I148" s="1">
        <v>10584</v>
      </c>
      <c r="J148" s="1">
        <v>2</v>
      </c>
      <c r="K148" s="1">
        <v>976</v>
      </c>
      <c r="L148" s="1">
        <v>187</v>
      </c>
      <c r="M148" s="1">
        <f t="shared" si="9"/>
        <v>2244</v>
      </c>
      <c r="N148" s="1">
        <f t="shared" si="10"/>
        <v>7364</v>
      </c>
      <c r="O148" s="4">
        <f t="shared" si="11"/>
        <v>0.69576719576719581</v>
      </c>
    </row>
    <row r="149" spans="1:15">
      <c r="A149" s="1" t="s">
        <v>112</v>
      </c>
      <c r="B149" s="1" t="s">
        <v>1655</v>
      </c>
      <c r="C149" s="1" t="s">
        <v>113</v>
      </c>
      <c r="D149" s="1" t="s">
        <v>113</v>
      </c>
      <c r="E149" s="1">
        <v>22</v>
      </c>
      <c r="F149" s="2">
        <v>9.0899999999999995E-2</v>
      </c>
      <c r="G149" s="3">
        <f t="shared" si="8"/>
        <v>5280</v>
      </c>
      <c r="H149" s="1">
        <v>2</v>
      </c>
      <c r="I149" s="1">
        <v>10560</v>
      </c>
      <c r="J149" s="1">
        <v>2</v>
      </c>
      <c r="K149" s="1">
        <v>2732</v>
      </c>
      <c r="L149" s="1">
        <v>3546</v>
      </c>
      <c r="M149" s="1">
        <f t="shared" si="9"/>
        <v>7092</v>
      </c>
      <c r="N149" s="1">
        <f t="shared" si="10"/>
        <v>736</v>
      </c>
      <c r="O149" s="4">
        <f t="shared" si="11"/>
        <v>6.9696969696969702E-2</v>
      </c>
    </row>
    <row r="150" spans="1:15">
      <c r="A150" s="1" t="s">
        <v>1205</v>
      </c>
      <c r="B150" s="1" t="s">
        <v>1656</v>
      </c>
      <c r="C150" s="1" t="s">
        <v>1206</v>
      </c>
      <c r="D150" s="1" t="s">
        <v>83</v>
      </c>
      <c r="E150" s="1">
        <v>15</v>
      </c>
      <c r="F150" s="2">
        <v>0.1333</v>
      </c>
      <c r="G150" s="3">
        <f t="shared" si="8"/>
        <v>5280</v>
      </c>
      <c r="H150" s="1">
        <v>2</v>
      </c>
      <c r="I150" s="1">
        <v>10560</v>
      </c>
      <c r="J150" s="1">
        <v>2</v>
      </c>
      <c r="K150" s="1">
        <v>983</v>
      </c>
      <c r="L150" s="1">
        <v>1130</v>
      </c>
      <c r="M150" s="1">
        <f t="shared" si="9"/>
        <v>2260</v>
      </c>
      <c r="N150" s="1">
        <f t="shared" si="10"/>
        <v>7317</v>
      </c>
      <c r="O150" s="4">
        <f t="shared" si="11"/>
        <v>0.69289772727272725</v>
      </c>
    </row>
    <row r="151" spans="1:15">
      <c r="A151" s="1" t="s">
        <v>322</v>
      </c>
      <c r="B151" s="1" t="s">
        <v>1657</v>
      </c>
      <c r="C151" s="1" t="s">
        <v>323</v>
      </c>
      <c r="D151" s="1" t="s">
        <v>324</v>
      </c>
      <c r="E151" s="1">
        <v>4329</v>
      </c>
      <c r="F151" s="2">
        <v>1.6000000000000001E-3</v>
      </c>
      <c r="G151" s="3">
        <f t="shared" si="8"/>
        <v>1506</v>
      </c>
      <c r="H151" s="1">
        <v>7</v>
      </c>
      <c r="I151" s="1">
        <v>10542</v>
      </c>
      <c r="J151" s="1">
        <v>7</v>
      </c>
      <c r="K151" s="1">
        <v>1109</v>
      </c>
      <c r="L151" s="1">
        <v>838</v>
      </c>
      <c r="M151" s="1">
        <f t="shared" si="9"/>
        <v>5866</v>
      </c>
      <c r="N151" s="1">
        <f t="shared" si="10"/>
        <v>3567</v>
      </c>
      <c r="O151" s="4">
        <f t="shared" si="11"/>
        <v>0.3383608423449061</v>
      </c>
    </row>
    <row r="152" spans="1:15">
      <c r="A152" s="1" t="s">
        <v>184</v>
      </c>
      <c r="B152" s="1" t="s">
        <v>1658</v>
      </c>
      <c r="C152" s="1" t="s">
        <v>185</v>
      </c>
      <c r="D152" s="1" t="s">
        <v>185</v>
      </c>
      <c r="E152" s="1">
        <v>46</v>
      </c>
      <c r="F152" s="2">
        <v>0.1522</v>
      </c>
      <c r="G152" s="3">
        <f t="shared" si="8"/>
        <v>1498</v>
      </c>
      <c r="H152" s="1">
        <v>7</v>
      </c>
      <c r="I152" s="1">
        <v>10486</v>
      </c>
      <c r="J152" s="1">
        <v>6</v>
      </c>
      <c r="K152" s="1">
        <v>972.3</v>
      </c>
      <c r="L152" s="1">
        <v>715</v>
      </c>
      <c r="M152" s="1">
        <f t="shared" si="9"/>
        <v>5005</v>
      </c>
      <c r="N152" s="1">
        <f t="shared" si="10"/>
        <v>4508.7000000000007</v>
      </c>
      <c r="O152" s="4">
        <f t="shared" si="11"/>
        <v>0.42997329773030712</v>
      </c>
    </row>
    <row r="153" spans="1:15">
      <c r="A153" s="1" t="s">
        <v>284</v>
      </c>
      <c r="B153" s="1" t="s">
        <v>1659</v>
      </c>
      <c r="C153" s="1" t="s">
        <v>285</v>
      </c>
      <c r="D153" s="1" t="s">
        <v>285</v>
      </c>
      <c r="E153" s="1">
        <v>37</v>
      </c>
      <c r="F153" s="2">
        <v>0.18920000000000001</v>
      </c>
      <c r="G153" s="3">
        <f t="shared" si="8"/>
        <v>1480</v>
      </c>
      <c r="H153" s="1">
        <v>7</v>
      </c>
      <c r="I153" s="1">
        <v>10360</v>
      </c>
      <c r="J153" s="1">
        <v>7</v>
      </c>
      <c r="K153" s="1">
        <v>952</v>
      </c>
      <c r="L153" s="1">
        <v>453</v>
      </c>
      <c r="M153" s="1">
        <f t="shared" si="9"/>
        <v>3171</v>
      </c>
      <c r="N153" s="1">
        <f t="shared" si="10"/>
        <v>6237</v>
      </c>
      <c r="O153" s="4">
        <f t="shared" si="11"/>
        <v>0.60202702702702704</v>
      </c>
    </row>
    <row r="154" spans="1:15">
      <c r="A154" s="1" t="s">
        <v>629</v>
      </c>
      <c r="B154" s="1" t="s">
        <v>1660</v>
      </c>
      <c r="C154" s="1" t="s">
        <v>630</v>
      </c>
      <c r="D154" s="1" t="s">
        <v>630</v>
      </c>
      <c r="E154" s="1">
        <v>798</v>
      </c>
      <c r="F154" s="2">
        <v>1.1299999999999999E-2</v>
      </c>
      <c r="G154" s="3">
        <f t="shared" si="8"/>
        <v>1150</v>
      </c>
      <c r="H154" s="1">
        <v>9</v>
      </c>
      <c r="I154" s="1">
        <v>10350</v>
      </c>
      <c r="J154" s="1">
        <v>5</v>
      </c>
      <c r="K154" s="1">
        <v>961</v>
      </c>
      <c r="L154" s="1">
        <v>179</v>
      </c>
      <c r="M154" s="1">
        <f t="shared" si="9"/>
        <v>1611</v>
      </c>
      <c r="N154" s="1">
        <f t="shared" si="10"/>
        <v>7778</v>
      </c>
      <c r="O154" s="4">
        <f t="shared" si="11"/>
        <v>0.75149758454106286</v>
      </c>
    </row>
    <row r="155" spans="1:15">
      <c r="A155" s="1" t="s">
        <v>524</v>
      </c>
      <c r="B155" s="1" t="s">
        <v>1661</v>
      </c>
      <c r="C155" s="1" t="s">
        <v>525</v>
      </c>
      <c r="D155" s="1" t="s">
        <v>525</v>
      </c>
      <c r="E155" s="1">
        <v>21</v>
      </c>
      <c r="F155" s="2">
        <v>0.38100000000000001</v>
      </c>
      <c r="G155" s="3">
        <f t="shared" si="8"/>
        <v>1289</v>
      </c>
      <c r="H155" s="1">
        <v>8</v>
      </c>
      <c r="I155" s="1">
        <v>10312</v>
      </c>
      <c r="J155" s="1">
        <v>6</v>
      </c>
      <c r="K155" s="1">
        <v>1071</v>
      </c>
      <c r="L155" s="1">
        <v>613</v>
      </c>
      <c r="M155" s="1">
        <f t="shared" si="9"/>
        <v>4904</v>
      </c>
      <c r="N155" s="1">
        <f t="shared" si="10"/>
        <v>4337</v>
      </c>
      <c r="O155" s="4">
        <f t="shared" si="11"/>
        <v>0.42057796741660203</v>
      </c>
    </row>
    <row r="156" spans="1:15">
      <c r="A156" s="1" t="s">
        <v>156</v>
      </c>
      <c r="B156" s="1" t="s">
        <v>1662</v>
      </c>
      <c r="C156" s="1" t="s">
        <v>157</v>
      </c>
      <c r="D156" s="1" t="s">
        <v>157</v>
      </c>
      <c r="E156" s="1">
        <v>26</v>
      </c>
      <c r="F156" s="2">
        <v>0.1923</v>
      </c>
      <c r="G156" s="3">
        <f t="shared" si="8"/>
        <v>2040</v>
      </c>
      <c r="H156" s="1">
        <v>5</v>
      </c>
      <c r="I156" s="1">
        <v>10200</v>
      </c>
      <c r="J156" s="1">
        <v>5</v>
      </c>
      <c r="K156" s="1">
        <v>1168</v>
      </c>
      <c r="L156" s="1">
        <v>1419</v>
      </c>
      <c r="M156" s="1">
        <f t="shared" si="9"/>
        <v>7095</v>
      </c>
      <c r="N156" s="1">
        <f t="shared" si="10"/>
        <v>1937</v>
      </c>
      <c r="O156" s="4">
        <f t="shared" si="11"/>
        <v>0.18990196078431373</v>
      </c>
    </row>
    <row r="157" spans="1:15">
      <c r="A157" s="1" t="s">
        <v>1258</v>
      </c>
      <c r="B157" s="1" t="s">
        <v>1663</v>
      </c>
      <c r="C157" s="1" t="s">
        <v>1259</v>
      </c>
      <c r="D157" s="1" t="s">
        <v>1259</v>
      </c>
      <c r="E157" s="1">
        <v>277</v>
      </c>
      <c r="F157" s="2">
        <v>1.44E-2</v>
      </c>
      <c r="G157" s="3">
        <f t="shared" si="8"/>
        <v>2475</v>
      </c>
      <c r="H157" s="1">
        <v>4</v>
      </c>
      <c r="I157" s="1">
        <v>9900</v>
      </c>
      <c r="J157" s="1">
        <v>4</v>
      </c>
      <c r="K157" s="1">
        <v>1676</v>
      </c>
      <c r="L157" s="1">
        <v>803</v>
      </c>
      <c r="M157" s="1">
        <f t="shared" si="9"/>
        <v>3212</v>
      </c>
      <c r="N157" s="1">
        <f t="shared" si="10"/>
        <v>5012</v>
      </c>
      <c r="O157" s="4">
        <f t="shared" si="11"/>
        <v>0.5062626262626263</v>
      </c>
    </row>
    <row r="158" spans="1:15">
      <c r="A158" s="1" t="s">
        <v>273</v>
      </c>
      <c r="B158" s="1" t="s">
        <v>1664</v>
      </c>
      <c r="C158" s="1" t="s">
        <v>274</v>
      </c>
      <c r="D158" s="1" t="s">
        <v>275</v>
      </c>
      <c r="E158" s="1">
        <v>218</v>
      </c>
      <c r="F158" s="2">
        <v>2.75E-2</v>
      </c>
      <c r="G158" s="3">
        <f t="shared" si="8"/>
        <v>1600</v>
      </c>
      <c r="H158" s="1">
        <v>6</v>
      </c>
      <c r="I158" s="1">
        <v>9600</v>
      </c>
      <c r="J158" s="1">
        <v>3</v>
      </c>
      <c r="K158" s="1">
        <v>913</v>
      </c>
      <c r="L158" s="1">
        <v>986</v>
      </c>
      <c r="M158" s="1">
        <f t="shared" si="9"/>
        <v>5916</v>
      </c>
      <c r="N158" s="1">
        <f t="shared" si="10"/>
        <v>2771</v>
      </c>
      <c r="O158" s="4">
        <f t="shared" si="11"/>
        <v>0.28864583333333332</v>
      </c>
    </row>
    <row r="159" spans="1:15">
      <c r="A159" s="1" t="s">
        <v>279</v>
      </c>
      <c r="B159" s="1" t="s">
        <v>1665</v>
      </c>
      <c r="C159" s="1" t="s">
        <v>280</v>
      </c>
      <c r="D159" s="1" t="s">
        <v>281</v>
      </c>
      <c r="E159" s="1">
        <v>15</v>
      </c>
      <c r="F159" s="2">
        <v>0.5333</v>
      </c>
      <c r="G159" s="3">
        <f t="shared" si="8"/>
        <v>1180</v>
      </c>
      <c r="H159" s="1">
        <v>8</v>
      </c>
      <c r="I159" s="1">
        <v>9440</v>
      </c>
      <c r="J159" s="1">
        <v>7</v>
      </c>
      <c r="K159" s="1">
        <v>872</v>
      </c>
      <c r="L159" s="1">
        <v>642</v>
      </c>
      <c r="M159" s="1">
        <f t="shared" si="9"/>
        <v>5136</v>
      </c>
      <c r="N159" s="1">
        <f t="shared" si="10"/>
        <v>3432</v>
      </c>
      <c r="O159" s="4">
        <f t="shared" si="11"/>
        <v>0.36355932203389829</v>
      </c>
    </row>
    <row r="160" spans="1:15">
      <c r="A160" s="1" t="s">
        <v>215</v>
      </c>
      <c r="B160" s="1" t="s">
        <v>1666</v>
      </c>
      <c r="C160" s="1" t="s">
        <v>216</v>
      </c>
      <c r="D160" s="1" t="s">
        <v>217</v>
      </c>
      <c r="E160" s="1">
        <v>87</v>
      </c>
      <c r="F160" s="2">
        <v>5.7500000000000002E-2</v>
      </c>
      <c r="G160" s="3">
        <f t="shared" si="8"/>
        <v>1880</v>
      </c>
      <c r="H160" s="1">
        <v>5</v>
      </c>
      <c r="I160" s="1">
        <v>9400</v>
      </c>
      <c r="J160" s="1">
        <v>5</v>
      </c>
      <c r="K160" s="1">
        <v>1646</v>
      </c>
      <c r="L160" s="1">
        <v>522</v>
      </c>
      <c r="M160" s="1">
        <f t="shared" si="9"/>
        <v>2610</v>
      </c>
      <c r="N160" s="1">
        <f t="shared" si="10"/>
        <v>5144</v>
      </c>
      <c r="O160" s="4">
        <f t="shared" si="11"/>
        <v>0.54723404255319152</v>
      </c>
    </row>
    <row r="161" spans="1:15">
      <c r="A161" s="1" t="s">
        <v>1667</v>
      </c>
      <c r="B161" s="1" t="s">
        <v>1668</v>
      </c>
      <c r="C161" s="1" t="s">
        <v>1669</v>
      </c>
      <c r="D161" s="1" t="s">
        <v>1670</v>
      </c>
      <c r="E161" s="1">
        <v>10299</v>
      </c>
      <c r="F161" s="2">
        <v>1E-4</v>
      </c>
      <c r="G161" s="3">
        <f t="shared" si="8"/>
        <v>9291</v>
      </c>
      <c r="H161" s="1">
        <v>1</v>
      </c>
      <c r="I161" s="1">
        <v>9291</v>
      </c>
      <c r="J161" s="1">
        <v>1</v>
      </c>
      <c r="K161" s="1">
        <v>858</v>
      </c>
      <c r="L161" s="1">
        <v>7540</v>
      </c>
      <c r="M161" s="1">
        <f t="shared" si="9"/>
        <v>7540</v>
      </c>
      <c r="N161" s="1">
        <f t="shared" si="10"/>
        <v>893</v>
      </c>
      <c r="O161" s="4">
        <f t="shared" si="11"/>
        <v>9.6114519427402859E-2</v>
      </c>
    </row>
    <row r="162" spans="1:15">
      <c r="A162" s="6" t="s">
        <v>1671</v>
      </c>
      <c r="B162" s="1" t="s">
        <v>1672</v>
      </c>
      <c r="C162" s="1" t="s">
        <v>1673</v>
      </c>
      <c r="D162" s="1" t="s">
        <v>1673</v>
      </c>
      <c r="E162" s="1">
        <v>19</v>
      </c>
      <c r="F162" s="2">
        <v>0.31580000000000003</v>
      </c>
      <c r="G162" s="3">
        <f t="shared" si="8"/>
        <v>1500</v>
      </c>
      <c r="H162" s="1">
        <v>6</v>
      </c>
      <c r="I162" s="1">
        <v>9000</v>
      </c>
      <c r="J162" s="1">
        <v>5</v>
      </c>
      <c r="K162" s="1">
        <v>833</v>
      </c>
      <c r="L162" s="1">
        <v>1104</v>
      </c>
      <c r="M162" s="1">
        <f t="shared" si="9"/>
        <v>6624</v>
      </c>
      <c r="N162" s="1">
        <f t="shared" si="10"/>
        <v>1543</v>
      </c>
      <c r="O162" s="4">
        <f t="shared" si="11"/>
        <v>0.17144444444444445</v>
      </c>
    </row>
    <row r="163" spans="1:15">
      <c r="A163" s="1" t="s">
        <v>999</v>
      </c>
      <c r="B163" s="1" t="s">
        <v>1674</v>
      </c>
      <c r="C163" s="1" t="s">
        <v>1000</v>
      </c>
      <c r="D163" s="1" t="s">
        <v>298</v>
      </c>
      <c r="E163" s="1">
        <v>36</v>
      </c>
      <c r="F163" s="2">
        <v>5.5599999999999997E-2</v>
      </c>
      <c r="G163" s="3">
        <f t="shared" si="8"/>
        <v>4480</v>
      </c>
      <c r="H163" s="1">
        <v>2</v>
      </c>
      <c r="I163" s="1">
        <v>8960</v>
      </c>
      <c r="J163" s="1">
        <v>2</v>
      </c>
      <c r="K163" s="1">
        <v>1518</v>
      </c>
      <c r="L163" s="1">
        <v>1848</v>
      </c>
      <c r="M163" s="1">
        <f t="shared" si="9"/>
        <v>3696</v>
      </c>
      <c r="N163" s="1">
        <f t="shared" si="10"/>
        <v>3746</v>
      </c>
      <c r="O163" s="4">
        <f t="shared" si="11"/>
        <v>0.41808035714285713</v>
      </c>
    </row>
    <row r="164" spans="1:15">
      <c r="A164" s="1" t="s">
        <v>116</v>
      </c>
      <c r="B164" s="1" t="s">
        <v>1675</v>
      </c>
      <c r="C164" s="1" t="s">
        <v>117</v>
      </c>
      <c r="D164" s="1" t="s">
        <v>117</v>
      </c>
      <c r="E164" s="1">
        <v>36</v>
      </c>
      <c r="F164" s="2">
        <v>0.16669999999999999</v>
      </c>
      <c r="G164" s="3">
        <f t="shared" si="8"/>
        <v>1480</v>
      </c>
      <c r="H164" s="1">
        <v>6</v>
      </c>
      <c r="I164" s="1">
        <v>8880</v>
      </c>
      <c r="J164" s="1">
        <v>6</v>
      </c>
      <c r="K164" s="1">
        <v>816</v>
      </c>
      <c r="L164" s="1">
        <v>869</v>
      </c>
      <c r="M164" s="1">
        <f t="shared" si="9"/>
        <v>5214</v>
      </c>
      <c r="N164" s="1">
        <f t="shared" si="10"/>
        <v>2850</v>
      </c>
      <c r="O164" s="4">
        <f t="shared" si="11"/>
        <v>0.32094594594594594</v>
      </c>
    </row>
    <row r="165" spans="1:15">
      <c r="A165" s="1" t="s">
        <v>443</v>
      </c>
      <c r="B165" s="1" t="s">
        <v>1676</v>
      </c>
      <c r="C165" s="1" t="s">
        <v>444</v>
      </c>
      <c r="D165" s="1" t="s">
        <v>444</v>
      </c>
      <c r="E165" s="1">
        <v>20</v>
      </c>
      <c r="F165" s="2">
        <v>0.3</v>
      </c>
      <c r="G165" s="3">
        <f t="shared" si="8"/>
        <v>1480</v>
      </c>
      <c r="H165" s="1">
        <v>6</v>
      </c>
      <c r="I165" s="1">
        <v>8880</v>
      </c>
      <c r="J165" s="1">
        <v>4</v>
      </c>
      <c r="K165" s="1">
        <v>818</v>
      </c>
      <c r="L165" s="1">
        <v>785</v>
      </c>
      <c r="M165" s="1">
        <f t="shared" si="9"/>
        <v>4710</v>
      </c>
      <c r="N165" s="1">
        <f t="shared" si="10"/>
        <v>3352</v>
      </c>
      <c r="O165" s="4">
        <f t="shared" si="11"/>
        <v>0.37747747747747745</v>
      </c>
    </row>
    <row r="166" spans="1:15">
      <c r="A166" s="1" t="s">
        <v>266</v>
      </c>
      <c r="B166" s="1" t="s">
        <v>1677</v>
      </c>
      <c r="C166" s="1" t="s">
        <v>267</v>
      </c>
      <c r="D166" s="1" t="s">
        <v>267</v>
      </c>
      <c r="E166" s="1">
        <v>22</v>
      </c>
      <c r="F166" s="2">
        <v>0.2273</v>
      </c>
      <c r="G166" s="3">
        <f t="shared" si="8"/>
        <v>1738</v>
      </c>
      <c r="H166" s="1">
        <v>5</v>
      </c>
      <c r="I166" s="1">
        <v>8690</v>
      </c>
      <c r="J166" s="1">
        <v>3</v>
      </c>
      <c r="K166" s="1">
        <v>3465</v>
      </c>
      <c r="L166" s="1">
        <v>831</v>
      </c>
      <c r="M166" s="1">
        <f t="shared" si="9"/>
        <v>4155</v>
      </c>
      <c r="N166" s="1">
        <f t="shared" si="10"/>
        <v>1070</v>
      </c>
      <c r="O166" s="4">
        <f t="shared" si="11"/>
        <v>0.12313003452243959</v>
      </c>
    </row>
    <row r="167" spans="1:15">
      <c r="A167" s="1" t="s">
        <v>1214</v>
      </c>
      <c r="B167" s="1" t="s">
        <v>1678</v>
      </c>
      <c r="C167" s="1" t="s">
        <v>1215</v>
      </c>
      <c r="D167" s="1" t="s">
        <v>1215</v>
      </c>
      <c r="E167" s="1">
        <v>111</v>
      </c>
      <c r="F167" s="2">
        <v>1.7999999999999999E-2</v>
      </c>
      <c r="G167" s="3">
        <f t="shared" si="8"/>
        <v>4280</v>
      </c>
      <c r="H167" s="1">
        <v>2</v>
      </c>
      <c r="I167" s="1">
        <v>8560</v>
      </c>
      <c r="J167" s="1">
        <v>2</v>
      </c>
      <c r="K167" s="1">
        <v>980</v>
      </c>
      <c r="L167" s="1">
        <v>1998</v>
      </c>
      <c r="M167" s="1">
        <f t="shared" si="9"/>
        <v>3996</v>
      </c>
      <c r="N167" s="1">
        <f t="shared" si="10"/>
        <v>3584</v>
      </c>
      <c r="O167" s="4">
        <f t="shared" si="11"/>
        <v>0.41869158878504675</v>
      </c>
    </row>
    <row r="168" spans="1:15">
      <c r="A168" s="1" t="s">
        <v>1002</v>
      </c>
      <c r="B168" s="1" t="s">
        <v>1679</v>
      </c>
      <c r="C168" s="1" t="s">
        <v>1003</v>
      </c>
      <c r="D168" s="1" t="s">
        <v>1004</v>
      </c>
      <c r="E168" s="1">
        <v>286</v>
      </c>
      <c r="F168" s="2">
        <v>2.4500000000000001E-2</v>
      </c>
      <c r="G168" s="3">
        <f t="shared" si="8"/>
        <v>1180</v>
      </c>
      <c r="H168" s="1">
        <v>7</v>
      </c>
      <c r="I168" s="1">
        <v>8260</v>
      </c>
      <c r="J168" s="1">
        <v>4</v>
      </c>
      <c r="K168" s="1">
        <v>763</v>
      </c>
      <c r="L168" s="1">
        <v>473</v>
      </c>
      <c r="M168" s="1">
        <f t="shared" si="9"/>
        <v>3311</v>
      </c>
      <c r="N168" s="1">
        <f t="shared" si="10"/>
        <v>4186</v>
      </c>
      <c r="O168" s="4">
        <f t="shared" si="11"/>
        <v>0.50677966101694916</v>
      </c>
    </row>
    <row r="169" spans="1:15">
      <c r="A169" s="1" t="s">
        <v>1680</v>
      </c>
      <c r="B169" s="1" t="s">
        <v>1681</v>
      </c>
      <c r="C169" s="1" t="s">
        <v>1682</v>
      </c>
      <c r="D169" s="1" t="s">
        <v>1682</v>
      </c>
      <c r="E169" s="1">
        <v>382</v>
      </c>
      <c r="F169" s="2">
        <v>7.9000000000000008E-3</v>
      </c>
      <c r="G169" s="3">
        <f t="shared" si="8"/>
        <v>2700</v>
      </c>
      <c r="H169" s="1">
        <v>3</v>
      </c>
      <c r="I169" s="1">
        <v>8100</v>
      </c>
      <c r="J169" s="1">
        <v>3</v>
      </c>
      <c r="K169" s="1">
        <v>927</v>
      </c>
      <c r="L169" s="1">
        <v>1980</v>
      </c>
      <c r="M169" s="1">
        <f t="shared" si="9"/>
        <v>5940</v>
      </c>
      <c r="N169" s="1">
        <f t="shared" si="10"/>
        <v>1233</v>
      </c>
      <c r="O169" s="4">
        <f t="shared" si="11"/>
        <v>0.15222222222222223</v>
      </c>
    </row>
    <row r="170" spans="1:15">
      <c r="A170" s="1" t="s">
        <v>409</v>
      </c>
      <c r="B170" s="1" t="s">
        <v>1683</v>
      </c>
      <c r="C170" s="1" t="s">
        <v>410</v>
      </c>
      <c r="D170" s="1" t="s">
        <v>411</v>
      </c>
      <c r="E170" s="1">
        <v>172</v>
      </c>
      <c r="F170" s="2">
        <v>3.49E-2</v>
      </c>
      <c r="G170" s="3">
        <f t="shared" si="8"/>
        <v>1349</v>
      </c>
      <c r="H170" s="1">
        <v>6</v>
      </c>
      <c r="I170" s="1">
        <v>8094</v>
      </c>
      <c r="J170" s="1">
        <v>5</v>
      </c>
      <c r="K170" s="1">
        <v>1374</v>
      </c>
      <c r="L170" s="1">
        <v>528</v>
      </c>
      <c r="M170" s="1">
        <f t="shared" si="9"/>
        <v>3168</v>
      </c>
      <c r="N170" s="1">
        <f t="shared" si="10"/>
        <v>3552</v>
      </c>
      <c r="O170" s="4">
        <f t="shared" si="11"/>
        <v>0.43884358784284655</v>
      </c>
    </row>
    <row r="171" spans="1:15">
      <c r="A171" s="1" t="s">
        <v>529</v>
      </c>
      <c r="B171" s="1" t="s">
        <v>1684</v>
      </c>
      <c r="C171" s="1" t="s">
        <v>530</v>
      </c>
      <c r="D171" s="1" t="s">
        <v>531</v>
      </c>
      <c r="E171" s="1">
        <v>1170</v>
      </c>
      <c r="F171" s="2">
        <v>1.2800000000000001E-2</v>
      </c>
      <c r="G171" s="3">
        <f t="shared" si="8"/>
        <v>536.5333333333333</v>
      </c>
      <c r="H171" s="1">
        <v>15</v>
      </c>
      <c r="I171" s="1">
        <v>8048</v>
      </c>
      <c r="J171" s="1">
        <v>15</v>
      </c>
      <c r="K171" s="1">
        <v>495</v>
      </c>
      <c r="L171" s="1">
        <v>186</v>
      </c>
      <c r="M171" s="1">
        <f t="shared" si="9"/>
        <v>2790</v>
      </c>
      <c r="N171" s="1">
        <f t="shared" si="10"/>
        <v>4763</v>
      </c>
      <c r="O171" s="4">
        <f t="shared" si="11"/>
        <v>0.59182405566600393</v>
      </c>
    </row>
    <row r="172" spans="1:15">
      <c r="A172" s="1" t="s">
        <v>453</v>
      </c>
      <c r="B172" s="1" t="s">
        <v>1685</v>
      </c>
      <c r="C172" s="1" t="s">
        <v>454</v>
      </c>
      <c r="D172" s="1" t="s">
        <v>455</v>
      </c>
      <c r="E172" s="1">
        <v>110</v>
      </c>
      <c r="F172" s="2">
        <v>3.6400000000000002E-2</v>
      </c>
      <c r="G172" s="3">
        <f t="shared" si="8"/>
        <v>1980</v>
      </c>
      <c r="H172" s="1">
        <v>4</v>
      </c>
      <c r="I172" s="1">
        <v>7920</v>
      </c>
      <c r="J172" s="1">
        <v>4</v>
      </c>
      <c r="K172" s="1">
        <v>1344</v>
      </c>
      <c r="L172" s="1">
        <v>495</v>
      </c>
      <c r="M172" s="1">
        <f t="shared" si="9"/>
        <v>1980</v>
      </c>
      <c r="N172" s="1">
        <f t="shared" si="10"/>
        <v>4596</v>
      </c>
      <c r="O172" s="4">
        <f t="shared" si="11"/>
        <v>0.58030303030303032</v>
      </c>
    </row>
    <row r="173" spans="1:15">
      <c r="A173" s="1" t="s">
        <v>383</v>
      </c>
      <c r="B173" s="1" t="s">
        <v>1686</v>
      </c>
      <c r="C173" s="1" t="s">
        <v>384</v>
      </c>
      <c r="D173" s="1" t="s">
        <v>384</v>
      </c>
      <c r="E173" s="1">
        <v>49</v>
      </c>
      <c r="F173" s="2">
        <v>8.1600000000000006E-2</v>
      </c>
      <c r="G173" s="3">
        <f t="shared" si="8"/>
        <v>1980</v>
      </c>
      <c r="H173" s="1">
        <v>4</v>
      </c>
      <c r="I173" s="1">
        <v>7920</v>
      </c>
      <c r="J173" s="1">
        <v>4</v>
      </c>
      <c r="K173" s="1">
        <v>1344</v>
      </c>
      <c r="L173" s="1">
        <v>1278</v>
      </c>
      <c r="M173" s="1">
        <f t="shared" si="9"/>
        <v>5112</v>
      </c>
      <c r="N173" s="1">
        <f t="shared" si="10"/>
        <v>1464</v>
      </c>
      <c r="O173" s="4">
        <f t="shared" si="11"/>
        <v>0.18484848484848485</v>
      </c>
    </row>
    <row r="174" spans="1:15">
      <c r="A174" s="1" t="s">
        <v>465</v>
      </c>
      <c r="B174" s="1" t="s">
        <v>1687</v>
      </c>
      <c r="C174" s="1" t="s">
        <v>466</v>
      </c>
      <c r="D174" s="1" t="s">
        <v>466</v>
      </c>
      <c r="E174" s="1">
        <v>36</v>
      </c>
      <c r="F174" s="2">
        <v>0.19439999999999999</v>
      </c>
      <c r="G174" s="3">
        <f t="shared" si="8"/>
        <v>1108.5714285714287</v>
      </c>
      <c r="H174" s="1">
        <v>7</v>
      </c>
      <c r="I174" s="1">
        <v>7760</v>
      </c>
      <c r="J174" s="1">
        <v>6</v>
      </c>
      <c r="K174" s="1">
        <v>718</v>
      </c>
      <c r="L174" s="1">
        <v>624</v>
      </c>
      <c r="M174" s="1">
        <f t="shared" si="9"/>
        <v>4368</v>
      </c>
      <c r="N174" s="1">
        <f t="shared" si="10"/>
        <v>2674</v>
      </c>
      <c r="O174" s="4">
        <f t="shared" si="11"/>
        <v>0.34458762886597938</v>
      </c>
    </row>
    <row r="175" spans="1:15">
      <c r="A175" s="1" t="s">
        <v>116</v>
      </c>
      <c r="B175" s="1" t="s">
        <v>1688</v>
      </c>
      <c r="C175" s="1" t="s">
        <v>117</v>
      </c>
      <c r="D175" s="1" t="s">
        <v>117</v>
      </c>
      <c r="E175" s="1">
        <v>36</v>
      </c>
      <c r="F175" s="2">
        <v>0.16669999999999999</v>
      </c>
      <c r="G175" s="3">
        <f t="shared" si="8"/>
        <v>1280</v>
      </c>
      <c r="H175" s="1">
        <v>6</v>
      </c>
      <c r="I175" s="1">
        <v>7680</v>
      </c>
      <c r="J175" s="1">
        <v>6</v>
      </c>
      <c r="K175" s="1">
        <v>3434</v>
      </c>
      <c r="L175" s="1">
        <v>869</v>
      </c>
      <c r="M175" s="1">
        <f t="shared" si="9"/>
        <v>5214</v>
      </c>
      <c r="N175" s="1">
        <f t="shared" si="10"/>
        <v>-968</v>
      </c>
      <c r="O175" s="4">
        <f t="shared" si="11"/>
        <v>-0.12604166666666666</v>
      </c>
    </row>
    <row r="176" spans="1:15">
      <c r="A176" s="1" t="s">
        <v>469</v>
      </c>
      <c r="B176" s="1" t="s">
        <v>1689</v>
      </c>
      <c r="C176" s="1" t="s">
        <v>470</v>
      </c>
      <c r="D176" s="1" t="s">
        <v>470</v>
      </c>
      <c r="E176" s="1">
        <v>58</v>
      </c>
      <c r="F176" s="2">
        <v>0.10340000000000001</v>
      </c>
      <c r="G176" s="3">
        <f t="shared" si="8"/>
        <v>1280</v>
      </c>
      <c r="H176" s="1">
        <v>6</v>
      </c>
      <c r="I176" s="1">
        <v>7680</v>
      </c>
      <c r="J176" s="1">
        <v>6</v>
      </c>
      <c r="K176" s="1">
        <v>714</v>
      </c>
      <c r="L176" s="1">
        <v>460</v>
      </c>
      <c r="M176" s="1">
        <f t="shared" si="9"/>
        <v>2760</v>
      </c>
      <c r="N176" s="1">
        <f t="shared" si="10"/>
        <v>4206</v>
      </c>
      <c r="O176" s="4">
        <f t="shared" si="11"/>
        <v>0.54765624999999996</v>
      </c>
    </row>
    <row r="177" spans="1:15">
      <c r="A177" s="1" t="s">
        <v>1408</v>
      </c>
      <c r="B177" s="1" t="s">
        <v>1690</v>
      </c>
      <c r="C177" s="1" t="s">
        <v>1409</v>
      </c>
      <c r="D177" s="1" t="s">
        <v>1410</v>
      </c>
      <c r="E177" s="1">
        <v>12727</v>
      </c>
      <c r="F177" s="2">
        <v>7.000000000000001E-4</v>
      </c>
      <c r="G177" s="3">
        <f t="shared" si="8"/>
        <v>805.55555555555554</v>
      </c>
      <c r="H177" s="1">
        <v>9</v>
      </c>
      <c r="I177" s="1">
        <v>7250</v>
      </c>
      <c r="J177" s="1">
        <v>8</v>
      </c>
      <c r="K177" s="1">
        <v>888</v>
      </c>
      <c r="L177" s="1">
        <v>250</v>
      </c>
      <c r="M177" s="1">
        <f t="shared" si="9"/>
        <v>2250</v>
      </c>
      <c r="N177" s="1">
        <f t="shared" si="10"/>
        <v>4112</v>
      </c>
      <c r="O177" s="4">
        <f t="shared" si="11"/>
        <v>0.56717241379310346</v>
      </c>
    </row>
    <row r="178" spans="1:15">
      <c r="A178" s="1" t="s">
        <v>378</v>
      </c>
      <c r="B178" s="1" t="s">
        <v>1691</v>
      </c>
      <c r="C178" s="1" t="s">
        <v>379</v>
      </c>
      <c r="D178" s="1" t="s">
        <v>380</v>
      </c>
      <c r="E178" s="1">
        <v>109</v>
      </c>
      <c r="F178" s="2">
        <v>5.5E-2</v>
      </c>
      <c r="G178" s="3">
        <f t="shared" si="8"/>
        <v>1200</v>
      </c>
      <c r="H178" s="1">
        <v>6</v>
      </c>
      <c r="I178" s="1">
        <v>7200</v>
      </c>
      <c r="J178" s="1">
        <v>3</v>
      </c>
      <c r="K178" s="1">
        <v>666</v>
      </c>
      <c r="L178" s="1">
        <v>660</v>
      </c>
      <c r="M178" s="1">
        <f t="shared" si="9"/>
        <v>3960</v>
      </c>
      <c r="N178" s="1">
        <f t="shared" si="10"/>
        <v>2574</v>
      </c>
      <c r="O178" s="4">
        <f t="shared" si="11"/>
        <v>0.35749999999999998</v>
      </c>
    </row>
    <row r="179" spans="1:15">
      <c r="A179" s="1" t="s">
        <v>28</v>
      </c>
      <c r="B179" s="1" t="s">
        <v>1488</v>
      </c>
      <c r="C179" s="1" t="s">
        <v>29</v>
      </c>
      <c r="D179" s="1" t="s">
        <v>1692</v>
      </c>
      <c r="E179" s="1">
        <v>40</v>
      </c>
      <c r="F179" s="2">
        <v>0.05</v>
      </c>
      <c r="G179" s="3">
        <f t="shared" si="8"/>
        <v>3580</v>
      </c>
      <c r="H179" s="1">
        <v>2</v>
      </c>
      <c r="I179" s="1">
        <v>7160</v>
      </c>
      <c r="J179" s="1">
        <v>2</v>
      </c>
      <c r="K179" s="1">
        <v>852.38</v>
      </c>
      <c r="L179" s="1">
        <v>1916</v>
      </c>
      <c r="M179" s="1">
        <f t="shared" si="9"/>
        <v>3832</v>
      </c>
      <c r="N179" s="1">
        <f t="shared" si="10"/>
        <v>2475.62</v>
      </c>
      <c r="O179" s="4">
        <f t="shared" si="11"/>
        <v>0.34575698324022347</v>
      </c>
    </row>
    <row r="180" spans="1:15">
      <c r="A180" s="1" t="s">
        <v>1385</v>
      </c>
      <c r="B180" s="1" t="s">
        <v>1693</v>
      </c>
      <c r="C180" s="1" t="s">
        <v>1386</v>
      </c>
      <c r="D180" s="1" t="s">
        <v>1387</v>
      </c>
      <c r="E180" s="1">
        <v>1549</v>
      </c>
      <c r="F180" s="2">
        <v>5.1999999999999998E-3</v>
      </c>
      <c r="G180" s="3">
        <f t="shared" si="8"/>
        <v>890</v>
      </c>
      <c r="H180" s="1">
        <v>8</v>
      </c>
      <c r="I180" s="1">
        <v>7120</v>
      </c>
      <c r="J180" s="1">
        <v>8</v>
      </c>
      <c r="K180" s="1">
        <v>1206</v>
      </c>
      <c r="L180" s="1">
        <v>319</v>
      </c>
      <c r="M180" s="1">
        <f t="shared" si="9"/>
        <v>2552</v>
      </c>
      <c r="N180" s="1">
        <f t="shared" si="10"/>
        <v>3362</v>
      </c>
      <c r="O180" s="4">
        <f t="shared" si="11"/>
        <v>0.47219101123595508</v>
      </c>
    </row>
    <row r="181" spans="1:15">
      <c r="A181" s="1" t="s">
        <v>433</v>
      </c>
      <c r="B181" s="1" t="s">
        <v>434</v>
      </c>
      <c r="C181" s="1" t="s">
        <v>434</v>
      </c>
      <c r="D181" s="1" t="s">
        <v>434</v>
      </c>
      <c r="E181" s="1">
        <v>153</v>
      </c>
      <c r="F181" s="2">
        <v>2.6100000000000002E-2</v>
      </c>
      <c r="G181" s="3">
        <f t="shared" si="8"/>
        <v>1772.5</v>
      </c>
      <c r="H181" s="1">
        <v>4</v>
      </c>
      <c r="I181" s="1">
        <v>7090</v>
      </c>
      <c r="J181" s="1">
        <v>4</v>
      </c>
      <c r="K181" s="1">
        <v>1203</v>
      </c>
      <c r="L181" s="1">
        <v>629</v>
      </c>
      <c r="M181" s="1">
        <f t="shared" si="9"/>
        <v>2516</v>
      </c>
      <c r="N181" s="1">
        <f t="shared" si="10"/>
        <v>3371</v>
      </c>
      <c r="O181" s="4">
        <f t="shared" si="11"/>
        <v>0.4754583921015515</v>
      </c>
    </row>
    <row r="182" spans="1:15">
      <c r="A182" s="1" t="s">
        <v>489</v>
      </c>
      <c r="B182" s="1" t="s">
        <v>1694</v>
      </c>
      <c r="C182" s="1" t="s">
        <v>490</v>
      </c>
      <c r="D182" s="1" t="s">
        <v>62</v>
      </c>
      <c r="E182" s="1">
        <v>27</v>
      </c>
      <c r="F182" s="2">
        <v>0.14810000000000001</v>
      </c>
      <c r="G182" s="3">
        <f t="shared" si="8"/>
        <v>1755</v>
      </c>
      <c r="H182" s="1">
        <v>4</v>
      </c>
      <c r="I182" s="1">
        <v>7020</v>
      </c>
      <c r="J182" s="1">
        <v>4</v>
      </c>
      <c r="K182" s="1">
        <v>2868</v>
      </c>
      <c r="L182" s="1">
        <v>705</v>
      </c>
      <c r="M182" s="1">
        <f t="shared" si="9"/>
        <v>2820</v>
      </c>
      <c r="N182" s="1">
        <f t="shared" si="10"/>
        <v>1332</v>
      </c>
      <c r="O182" s="4">
        <f t="shared" si="11"/>
        <v>0.18974358974358974</v>
      </c>
    </row>
    <row r="183" spans="1:15">
      <c r="A183" s="1" t="s">
        <v>241</v>
      </c>
      <c r="B183" s="1" t="s">
        <v>1695</v>
      </c>
      <c r="C183" s="1" t="s">
        <v>242</v>
      </c>
      <c r="D183" s="1" t="s">
        <v>243</v>
      </c>
      <c r="E183" s="1">
        <v>10</v>
      </c>
      <c r="F183" s="2">
        <v>0.3</v>
      </c>
      <c r="G183" s="3">
        <f t="shared" si="8"/>
        <v>2246.6666666666665</v>
      </c>
      <c r="H183" s="1">
        <v>3</v>
      </c>
      <c r="I183" s="1">
        <v>6740</v>
      </c>
      <c r="J183" s="1">
        <v>3</v>
      </c>
      <c r="K183" s="1">
        <v>1144</v>
      </c>
      <c r="L183" s="1">
        <v>1226</v>
      </c>
      <c r="M183" s="1">
        <f t="shared" si="9"/>
        <v>3678</v>
      </c>
      <c r="N183" s="1">
        <f t="shared" si="10"/>
        <v>1918</v>
      </c>
      <c r="O183" s="4">
        <f t="shared" si="11"/>
        <v>0.28456973293768545</v>
      </c>
    </row>
    <row r="184" spans="1:15">
      <c r="A184" s="1" t="s">
        <v>467</v>
      </c>
      <c r="B184" s="1" t="s">
        <v>1696</v>
      </c>
      <c r="C184" s="1" t="s">
        <v>468</v>
      </c>
      <c r="D184" s="1" t="s">
        <v>468</v>
      </c>
      <c r="E184" s="1">
        <v>24</v>
      </c>
      <c r="F184" s="2">
        <v>0.20830000000000001</v>
      </c>
      <c r="G184" s="3">
        <f t="shared" si="8"/>
        <v>1280</v>
      </c>
      <c r="H184" s="1">
        <v>5</v>
      </c>
      <c r="I184" s="1">
        <v>6400</v>
      </c>
      <c r="J184" s="1">
        <v>5</v>
      </c>
      <c r="K184" s="1">
        <v>595</v>
      </c>
      <c r="L184" s="1">
        <v>778</v>
      </c>
      <c r="M184" s="1">
        <f t="shared" si="9"/>
        <v>3890</v>
      </c>
      <c r="N184" s="1">
        <f t="shared" si="10"/>
        <v>1915</v>
      </c>
      <c r="O184" s="4">
        <f t="shared" si="11"/>
        <v>0.29921874999999998</v>
      </c>
    </row>
    <row r="185" spans="1:15">
      <c r="A185" s="1" t="s">
        <v>360</v>
      </c>
      <c r="B185" s="1" t="s">
        <v>1697</v>
      </c>
      <c r="C185" s="1" t="s">
        <v>361</v>
      </c>
      <c r="D185" s="1" t="s">
        <v>139</v>
      </c>
      <c r="E185" s="1">
        <v>18</v>
      </c>
      <c r="F185" s="2">
        <v>0.1111</v>
      </c>
      <c r="G185" s="3">
        <f t="shared" si="8"/>
        <v>3180</v>
      </c>
      <c r="H185" s="1">
        <v>2</v>
      </c>
      <c r="I185" s="1">
        <v>6360</v>
      </c>
      <c r="J185" s="1">
        <v>2</v>
      </c>
      <c r="K185" s="1">
        <v>728</v>
      </c>
      <c r="L185" s="1">
        <v>695</v>
      </c>
      <c r="M185" s="1">
        <f t="shared" si="9"/>
        <v>1390</v>
      </c>
      <c r="N185" s="1">
        <f t="shared" si="10"/>
        <v>4242</v>
      </c>
      <c r="O185" s="4">
        <f t="shared" si="11"/>
        <v>0.66698113207547172</v>
      </c>
    </row>
    <row r="186" spans="1:15">
      <c r="A186" s="1" t="s">
        <v>364</v>
      </c>
      <c r="B186" s="1" t="s">
        <v>1698</v>
      </c>
      <c r="C186" s="1" t="s">
        <v>365</v>
      </c>
      <c r="D186" s="1" t="s">
        <v>366</v>
      </c>
      <c r="E186" s="1">
        <v>824</v>
      </c>
      <c r="F186" s="2">
        <v>4.8999999999999998E-3</v>
      </c>
      <c r="G186" s="3">
        <f t="shared" si="8"/>
        <v>1580</v>
      </c>
      <c r="H186" s="1">
        <v>4</v>
      </c>
      <c r="I186" s="1">
        <v>6320</v>
      </c>
      <c r="J186" s="1">
        <v>4</v>
      </c>
      <c r="K186" s="1">
        <v>1120</v>
      </c>
      <c r="L186" s="1">
        <v>290</v>
      </c>
      <c r="M186" s="1">
        <f t="shared" si="9"/>
        <v>1160</v>
      </c>
      <c r="N186" s="1">
        <f t="shared" si="10"/>
        <v>4040</v>
      </c>
      <c r="O186" s="4">
        <f t="shared" si="11"/>
        <v>0.63924050632911389</v>
      </c>
    </row>
    <row r="187" spans="1:15">
      <c r="A187" s="1" t="s">
        <v>369</v>
      </c>
      <c r="B187" s="1" t="s">
        <v>1699</v>
      </c>
      <c r="C187" s="1" t="s">
        <v>370</v>
      </c>
      <c r="D187" s="1" t="s">
        <v>371</v>
      </c>
      <c r="E187" s="1">
        <v>9</v>
      </c>
      <c r="F187" s="2">
        <v>0.1111</v>
      </c>
      <c r="G187" s="3">
        <f t="shared" si="8"/>
        <v>6138</v>
      </c>
      <c r="H187" s="1">
        <v>1</v>
      </c>
      <c r="I187" s="1">
        <v>6138</v>
      </c>
      <c r="J187" s="1">
        <v>1</v>
      </c>
      <c r="K187" s="1">
        <v>702</v>
      </c>
      <c r="L187" s="1">
        <v>4416</v>
      </c>
      <c r="M187" s="1">
        <f t="shared" si="9"/>
        <v>4416</v>
      </c>
      <c r="N187" s="1">
        <f t="shared" si="10"/>
        <v>1020</v>
      </c>
      <c r="O187" s="4">
        <f t="shared" si="11"/>
        <v>0.16617790811339198</v>
      </c>
    </row>
    <row r="188" spans="1:15">
      <c r="A188" s="1" t="s">
        <v>293</v>
      </c>
      <c r="B188" s="1" t="s">
        <v>1700</v>
      </c>
      <c r="C188" s="1" t="s">
        <v>294</v>
      </c>
      <c r="D188" s="1" t="s">
        <v>295</v>
      </c>
      <c r="E188" s="1">
        <v>2589</v>
      </c>
      <c r="F188" s="2">
        <v>1.1999999999999999E-3</v>
      </c>
      <c r="G188" s="3">
        <f t="shared" si="8"/>
        <v>2010</v>
      </c>
      <c r="H188" s="1">
        <v>3</v>
      </c>
      <c r="I188" s="1">
        <v>6030</v>
      </c>
      <c r="J188" s="1">
        <v>3</v>
      </c>
      <c r="K188" s="1">
        <v>690</v>
      </c>
      <c r="L188" s="1">
        <v>1169</v>
      </c>
      <c r="M188" s="1">
        <f t="shared" si="9"/>
        <v>3507</v>
      </c>
      <c r="N188" s="1">
        <f t="shared" si="10"/>
        <v>1833</v>
      </c>
      <c r="O188" s="4">
        <f t="shared" si="11"/>
        <v>0.30398009950248756</v>
      </c>
    </row>
    <row r="189" spans="1:15">
      <c r="A189" s="1" t="s">
        <v>1278</v>
      </c>
      <c r="B189" s="1" t="s">
        <v>1701</v>
      </c>
      <c r="C189" s="1" t="s">
        <v>1279</v>
      </c>
      <c r="D189" s="1" t="s">
        <v>1279</v>
      </c>
      <c r="E189" s="1">
        <v>224</v>
      </c>
      <c r="F189" s="2">
        <v>4.5000000000000014E-3</v>
      </c>
      <c r="G189" s="3">
        <f t="shared" si="8"/>
        <v>5980</v>
      </c>
      <c r="H189" s="1">
        <v>1</v>
      </c>
      <c r="I189" s="1">
        <v>5980</v>
      </c>
      <c r="J189" s="1">
        <v>1</v>
      </c>
      <c r="K189" s="1">
        <v>684</v>
      </c>
      <c r="L189" s="1">
        <v>3500</v>
      </c>
      <c r="M189" s="1">
        <f t="shared" si="9"/>
        <v>3500</v>
      </c>
      <c r="N189" s="1">
        <f t="shared" si="10"/>
        <v>1796</v>
      </c>
      <c r="O189" s="4">
        <f t="shared" si="11"/>
        <v>0.30033444816053512</v>
      </c>
    </row>
    <row r="190" spans="1:15">
      <c r="A190" s="1" t="s">
        <v>674</v>
      </c>
      <c r="B190" s="1" t="s">
        <v>1702</v>
      </c>
      <c r="C190" s="1" t="s">
        <v>675</v>
      </c>
      <c r="D190" s="1" t="s">
        <v>675</v>
      </c>
      <c r="E190" s="1">
        <v>36</v>
      </c>
      <c r="F190" s="2">
        <v>0.27779999999999999</v>
      </c>
      <c r="G190" s="3">
        <f t="shared" si="8"/>
        <v>596</v>
      </c>
      <c r="H190" s="1">
        <v>10</v>
      </c>
      <c r="I190" s="1">
        <v>5960</v>
      </c>
      <c r="J190" s="1">
        <v>6</v>
      </c>
      <c r="K190" s="1">
        <v>330</v>
      </c>
      <c r="L190" s="1">
        <v>238</v>
      </c>
      <c r="M190" s="1">
        <f t="shared" si="9"/>
        <v>2380</v>
      </c>
      <c r="N190" s="1">
        <f t="shared" si="10"/>
        <v>3250</v>
      </c>
      <c r="O190" s="4">
        <f t="shared" si="11"/>
        <v>0.54530201342281881</v>
      </c>
    </row>
    <row r="191" spans="1:15">
      <c r="A191" s="1" t="s">
        <v>317</v>
      </c>
      <c r="B191" s="1" t="s">
        <v>1703</v>
      </c>
      <c r="C191" s="1" t="s">
        <v>318</v>
      </c>
      <c r="D191" s="1" t="s">
        <v>298</v>
      </c>
      <c r="E191" s="1">
        <v>93</v>
      </c>
      <c r="F191" s="2">
        <v>2.1499999999999998E-2</v>
      </c>
      <c r="G191" s="3">
        <f t="shared" si="8"/>
        <v>2980</v>
      </c>
      <c r="H191" s="1">
        <v>2</v>
      </c>
      <c r="I191" s="1">
        <v>5960</v>
      </c>
      <c r="J191" s="1">
        <v>2</v>
      </c>
      <c r="K191" s="1">
        <v>1010</v>
      </c>
      <c r="L191" s="1">
        <v>1056</v>
      </c>
      <c r="M191" s="1">
        <f t="shared" si="9"/>
        <v>2112</v>
      </c>
      <c r="N191" s="1">
        <f t="shared" si="10"/>
        <v>2838</v>
      </c>
      <c r="O191" s="4">
        <f t="shared" si="11"/>
        <v>0.47617449664429529</v>
      </c>
    </row>
    <row r="192" spans="1:15">
      <c r="A192" s="1" t="s">
        <v>506</v>
      </c>
      <c r="B192" s="1" t="s">
        <v>1704</v>
      </c>
      <c r="C192" s="1" t="s">
        <v>507</v>
      </c>
      <c r="D192" s="1" t="s">
        <v>507</v>
      </c>
      <c r="E192" s="1">
        <v>21</v>
      </c>
      <c r="F192" s="2">
        <v>9.5199999999999993E-2</v>
      </c>
      <c r="G192" s="3">
        <f t="shared" si="8"/>
        <v>2980</v>
      </c>
      <c r="H192" s="1">
        <v>2</v>
      </c>
      <c r="I192" s="1">
        <v>5960</v>
      </c>
      <c r="J192" s="1">
        <v>2</v>
      </c>
      <c r="K192" s="1">
        <v>1010</v>
      </c>
      <c r="L192" s="1">
        <v>1672</v>
      </c>
      <c r="M192" s="1">
        <f t="shared" si="9"/>
        <v>3344</v>
      </c>
      <c r="N192" s="1">
        <f t="shared" si="10"/>
        <v>1606</v>
      </c>
      <c r="O192" s="4">
        <f t="shared" si="11"/>
        <v>0.26946308724832213</v>
      </c>
    </row>
    <row r="193" spans="1:15">
      <c r="A193" s="1" t="s">
        <v>842</v>
      </c>
      <c r="B193" s="1" t="s">
        <v>1705</v>
      </c>
      <c r="C193" s="1" t="s">
        <v>843</v>
      </c>
      <c r="D193" s="1" t="s">
        <v>844</v>
      </c>
      <c r="E193" s="1">
        <v>425</v>
      </c>
      <c r="F193" s="2">
        <v>1.6500000000000001E-2</v>
      </c>
      <c r="G193" s="3">
        <f t="shared" si="8"/>
        <v>850</v>
      </c>
      <c r="H193" s="1">
        <v>7</v>
      </c>
      <c r="I193" s="1">
        <v>5950</v>
      </c>
      <c r="J193" s="1">
        <v>6</v>
      </c>
      <c r="K193" s="1">
        <v>546</v>
      </c>
      <c r="L193" s="1">
        <v>598</v>
      </c>
      <c r="M193" s="1">
        <f t="shared" si="9"/>
        <v>4186</v>
      </c>
      <c r="N193" s="1">
        <f t="shared" si="10"/>
        <v>1218</v>
      </c>
      <c r="O193" s="4">
        <f t="shared" si="11"/>
        <v>0.20470588235294118</v>
      </c>
    </row>
    <row r="194" spans="1:15">
      <c r="A194" s="1" t="s">
        <v>329</v>
      </c>
      <c r="B194" s="1" t="s">
        <v>1706</v>
      </c>
      <c r="C194" s="1" t="s">
        <v>330</v>
      </c>
      <c r="D194" s="1" t="s">
        <v>331</v>
      </c>
      <c r="E194" s="1">
        <v>17</v>
      </c>
      <c r="F194" s="2">
        <v>0.17649999999999999</v>
      </c>
      <c r="G194" s="3">
        <f t="shared" si="8"/>
        <v>1980</v>
      </c>
      <c r="H194" s="1">
        <v>3</v>
      </c>
      <c r="I194" s="1">
        <v>5940</v>
      </c>
      <c r="J194" s="1">
        <v>3</v>
      </c>
      <c r="K194" s="1">
        <v>1008</v>
      </c>
      <c r="L194" s="1">
        <v>968</v>
      </c>
      <c r="M194" s="1">
        <f t="shared" si="9"/>
        <v>2904</v>
      </c>
      <c r="N194" s="1">
        <f t="shared" si="10"/>
        <v>2028</v>
      </c>
      <c r="O194" s="4">
        <f t="shared" si="11"/>
        <v>0.34141414141414139</v>
      </c>
    </row>
    <row r="195" spans="1:15">
      <c r="A195" s="1" t="s">
        <v>605</v>
      </c>
      <c r="B195" s="1" t="s">
        <v>1707</v>
      </c>
      <c r="C195" s="1" t="s">
        <v>606</v>
      </c>
      <c r="D195" s="1" t="s">
        <v>606</v>
      </c>
      <c r="E195" s="1">
        <v>18</v>
      </c>
      <c r="F195" s="2">
        <v>0.22220000000000001</v>
      </c>
      <c r="G195" s="3">
        <f t="shared" si="8"/>
        <v>1480</v>
      </c>
      <c r="H195" s="1">
        <v>4</v>
      </c>
      <c r="I195" s="1">
        <v>5920</v>
      </c>
      <c r="J195" s="1">
        <v>3</v>
      </c>
      <c r="K195" s="1">
        <v>716</v>
      </c>
      <c r="L195" s="1">
        <v>438</v>
      </c>
      <c r="M195" s="1">
        <f t="shared" si="9"/>
        <v>1752</v>
      </c>
      <c r="N195" s="1">
        <f t="shared" si="10"/>
        <v>3452</v>
      </c>
      <c r="O195" s="4">
        <f t="shared" si="11"/>
        <v>0.58310810810810809</v>
      </c>
    </row>
    <row r="196" spans="1:15">
      <c r="A196" s="1" t="s">
        <v>460</v>
      </c>
      <c r="B196" s="1" t="s">
        <v>1708</v>
      </c>
      <c r="C196" s="1" t="s">
        <v>461</v>
      </c>
      <c r="D196" s="1" t="s">
        <v>462</v>
      </c>
      <c r="E196" s="1">
        <v>111</v>
      </c>
      <c r="F196" s="2">
        <v>2.7E-2</v>
      </c>
      <c r="G196" s="3">
        <f t="shared" si="8"/>
        <v>1950</v>
      </c>
      <c r="H196" s="1">
        <v>3</v>
      </c>
      <c r="I196" s="1">
        <v>5850</v>
      </c>
      <c r="J196" s="1">
        <v>3</v>
      </c>
      <c r="K196" s="1">
        <v>669</v>
      </c>
      <c r="L196" s="1">
        <v>1580</v>
      </c>
      <c r="M196" s="1">
        <f t="shared" si="9"/>
        <v>4740</v>
      </c>
      <c r="N196" s="1">
        <f t="shared" si="10"/>
        <v>441</v>
      </c>
      <c r="O196" s="4">
        <f t="shared" si="11"/>
        <v>7.5384615384615383E-2</v>
      </c>
    </row>
    <row r="197" spans="1:15">
      <c r="A197" s="1" t="s">
        <v>1709</v>
      </c>
      <c r="B197" s="1" t="s">
        <v>1710</v>
      </c>
      <c r="C197" s="1" t="s">
        <v>1711</v>
      </c>
      <c r="D197" s="1" t="s">
        <v>1712</v>
      </c>
      <c r="E197" s="1">
        <v>851</v>
      </c>
      <c r="F197" s="2">
        <v>7.1000000000000004E-3</v>
      </c>
      <c r="G197" s="3">
        <f t="shared" si="8"/>
        <v>970</v>
      </c>
      <c r="H197" s="1">
        <v>6</v>
      </c>
      <c r="I197" s="1">
        <v>5820</v>
      </c>
      <c r="J197" s="1">
        <v>4</v>
      </c>
      <c r="K197" s="1">
        <v>534</v>
      </c>
      <c r="L197" s="1">
        <v>306</v>
      </c>
      <c r="M197" s="1">
        <f t="shared" si="9"/>
        <v>1836</v>
      </c>
      <c r="N197" s="1">
        <f t="shared" si="10"/>
        <v>3450</v>
      </c>
      <c r="O197" s="4">
        <f t="shared" si="11"/>
        <v>0.59278350515463918</v>
      </c>
    </row>
    <row r="198" spans="1:15">
      <c r="A198" s="1" t="s">
        <v>778</v>
      </c>
      <c r="B198" s="1" t="s">
        <v>1713</v>
      </c>
      <c r="C198" s="1" t="s">
        <v>779</v>
      </c>
      <c r="D198" s="1" t="s">
        <v>780</v>
      </c>
      <c r="E198" s="1">
        <v>457</v>
      </c>
      <c r="F198" s="2">
        <v>1.09E-2</v>
      </c>
      <c r="G198" s="3">
        <f t="shared" si="8"/>
        <v>1156</v>
      </c>
      <c r="H198" s="1">
        <v>5</v>
      </c>
      <c r="I198" s="1">
        <v>5780</v>
      </c>
      <c r="J198" s="1">
        <v>3</v>
      </c>
      <c r="K198" s="1">
        <v>536</v>
      </c>
      <c r="L198" s="1">
        <v>437</v>
      </c>
      <c r="M198" s="1">
        <f t="shared" si="9"/>
        <v>2185</v>
      </c>
      <c r="N198" s="1">
        <f t="shared" si="10"/>
        <v>3059</v>
      </c>
      <c r="O198" s="4">
        <f t="shared" si="11"/>
        <v>0.52923875432525946</v>
      </c>
    </row>
    <row r="199" spans="1:15">
      <c r="A199" s="1" t="s">
        <v>403</v>
      </c>
      <c r="B199" s="1" t="s">
        <v>1714</v>
      </c>
      <c r="C199" s="1" t="s">
        <v>404</v>
      </c>
      <c r="D199" s="1" t="s">
        <v>404</v>
      </c>
      <c r="E199" s="1">
        <v>47</v>
      </c>
      <c r="F199" s="2">
        <v>4.2599999999999999E-2</v>
      </c>
      <c r="G199" s="3">
        <f t="shared" si="8"/>
        <v>2780</v>
      </c>
      <c r="H199" s="1">
        <v>2</v>
      </c>
      <c r="I199" s="1">
        <v>5560</v>
      </c>
      <c r="J199" s="1">
        <v>2</v>
      </c>
      <c r="K199" s="1">
        <v>636</v>
      </c>
      <c r="L199" s="1">
        <v>1120</v>
      </c>
      <c r="M199" s="1">
        <f t="shared" si="9"/>
        <v>2240</v>
      </c>
      <c r="N199" s="1">
        <f t="shared" si="10"/>
        <v>2684</v>
      </c>
      <c r="O199" s="4">
        <f t="shared" si="11"/>
        <v>0.4827338129496403</v>
      </c>
    </row>
    <row r="200" spans="1:15">
      <c r="A200" s="1" t="s">
        <v>1715</v>
      </c>
      <c r="B200" s="1" t="s">
        <v>1716</v>
      </c>
      <c r="C200" s="1" t="s">
        <v>1717</v>
      </c>
      <c r="D200" s="1" t="s">
        <v>1718</v>
      </c>
      <c r="E200" s="1">
        <v>4667</v>
      </c>
      <c r="F200" s="2">
        <v>4.0000000000000002E-4</v>
      </c>
      <c r="G200" s="3">
        <f t="shared" ref="G200:G263" si="12">IF(H200=0,"",I200/H200)</f>
        <v>2772</v>
      </c>
      <c r="H200" s="1">
        <v>2</v>
      </c>
      <c r="I200" s="1">
        <v>5544</v>
      </c>
      <c r="J200" s="1">
        <v>2</v>
      </c>
      <c r="K200" s="1">
        <v>668</v>
      </c>
      <c r="L200" s="1">
        <v>1540</v>
      </c>
      <c r="M200" s="1">
        <f t="shared" ref="M200:M263" si="13">SUM(H200*L200)</f>
        <v>3080</v>
      </c>
      <c r="N200" s="1">
        <f t="shared" ref="N200:N263" si="14">SUM(I200-K200-M200)</f>
        <v>1796</v>
      </c>
      <c r="O200" s="4">
        <f t="shared" ref="O200:O263" si="15">IF(I200=0,"",N200/I200)</f>
        <v>0.32395382395382394</v>
      </c>
    </row>
    <row r="201" spans="1:15">
      <c r="A201" s="1" t="s">
        <v>574</v>
      </c>
      <c r="B201" s="1" t="s">
        <v>1719</v>
      </c>
      <c r="C201" s="1" t="s">
        <v>575</v>
      </c>
      <c r="D201" s="1" t="s">
        <v>575</v>
      </c>
      <c r="E201" s="1">
        <v>40</v>
      </c>
      <c r="F201" s="2">
        <v>7.4999999999999997E-2</v>
      </c>
      <c r="G201" s="3">
        <f t="shared" si="12"/>
        <v>1847</v>
      </c>
      <c r="H201" s="1">
        <v>3</v>
      </c>
      <c r="I201" s="1">
        <v>5541</v>
      </c>
      <c r="J201" s="1">
        <v>3</v>
      </c>
      <c r="K201" s="1">
        <v>634</v>
      </c>
      <c r="L201" s="1">
        <v>768</v>
      </c>
      <c r="M201" s="1">
        <f t="shared" si="13"/>
        <v>2304</v>
      </c>
      <c r="N201" s="1">
        <f t="shared" si="14"/>
        <v>2603</v>
      </c>
      <c r="O201" s="4">
        <f t="shared" si="15"/>
        <v>0.46977079949467604</v>
      </c>
    </row>
    <row r="202" spans="1:15">
      <c r="A202" s="1" t="s">
        <v>407</v>
      </c>
      <c r="B202" s="1" t="s">
        <v>1720</v>
      </c>
      <c r="C202" s="1" t="s">
        <v>408</v>
      </c>
      <c r="D202" s="1" t="s">
        <v>183</v>
      </c>
      <c r="E202" s="1">
        <v>14</v>
      </c>
      <c r="F202" s="2">
        <v>7.1399999999999991E-2</v>
      </c>
      <c r="G202" s="3">
        <f t="shared" si="12"/>
        <v>5480</v>
      </c>
      <c r="H202" s="1">
        <v>1</v>
      </c>
      <c r="I202" s="1">
        <v>5480</v>
      </c>
      <c r="J202" s="1">
        <v>1</v>
      </c>
      <c r="K202" s="1">
        <v>928</v>
      </c>
      <c r="L202" s="1">
        <v>1254</v>
      </c>
      <c r="M202" s="1">
        <f t="shared" si="13"/>
        <v>1254</v>
      </c>
      <c r="N202" s="1">
        <f t="shared" si="14"/>
        <v>3298</v>
      </c>
      <c r="O202" s="4">
        <f t="shared" si="15"/>
        <v>0.60182481751824812</v>
      </c>
    </row>
    <row r="203" spans="1:15">
      <c r="A203" s="1" t="s">
        <v>1377</v>
      </c>
      <c r="B203" s="1" t="s">
        <v>1721</v>
      </c>
      <c r="C203" s="1" t="s">
        <v>1378</v>
      </c>
      <c r="D203" s="1" t="s">
        <v>531</v>
      </c>
      <c r="E203" s="1">
        <v>1005</v>
      </c>
      <c r="F203" s="2">
        <v>0.01</v>
      </c>
      <c r="G203" s="3">
        <f t="shared" si="12"/>
        <v>546.6</v>
      </c>
      <c r="H203" s="1">
        <v>10</v>
      </c>
      <c r="I203" s="1">
        <v>5466</v>
      </c>
      <c r="J203" s="1">
        <v>9</v>
      </c>
      <c r="K203" s="1">
        <v>330</v>
      </c>
      <c r="L203" s="1">
        <v>186</v>
      </c>
      <c r="M203" s="1">
        <f t="shared" si="13"/>
        <v>1860</v>
      </c>
      <c r="N203" s="1">
        <f t="shared" si="14"/>
        <v>3276</v>
      </c>
      <c r="O203" s="4">
        <f t="shared" si="15"/>
        <v>0.59934138309549945</v>
      </c>
    </row>
    <row r="204" spans="1:15">
      <c r="A204" s="1" t="s">
        <v>430</v>
      </c>
      <c r="B204" s="1" t="s">
        <v>1722</v>
      </c>
      <c r="C204" s="1" t="s">
        <v>431</v>
      </c>
      <c r="D204" s="1" t="s">
        <v>432</v>
      </c>
      <c r="E204" s="1">
        <v>181</v>
      </c>
      <c r="F204" s="2">
        <v>5.5000000000000014E-3</v>
      </c>
      <c r="G204" s="3">
        <f t="shared" si="12"/>
        <v>5450</v>
      </c>
      <c r="H204" s="1">
        <v>1</v>
      </c>
      <c r="I204" s="1">
        <v>5450</v>
      </c>
      <c r="J204" s="1">
        <v>1</v>
      </c>
      <c r="K204" s="1">
        <v>923</v>
      </c>
      <c r="L204" s="1">
        <v>2739</v>
      </c>
      <c r="M204" s="1">
        <f t="shared" si="13"/>
        <v>2739</v>
      </c>
      <c r="N204" s="1">
        <f t="shared" si="14"/>
        <v>1788</v>
      </c>
      <c r="O204" s="4">
        <f t="shared" si="15"/>
        <v>0.32807339449541284</v>
      </c>
    </row>
    <row r="205" spans="1:15">
      <c r="A205" s="1" t="s">
        <v>447</v>
      </c>
      <c r="B205" s="1" t="s">
        <v>1723</v>
      </c>
      <c r="C205" s="1" t="s">
        <v>448</v>
      </c>
      <c r="D205" s="1" t="s">
        <v>237</v>
      </c>
      <c r="E205" s="1">
        <v>27</v>
      </c>
      <c r="F205" s="2">
        <v>0.1852</v>
      </c>
      <c r="G205" s="3">
        <f t="shared" si="12"/>
        <v>1080</v>
      </c>
      <c r="H205" s="1">
        <v>5</v>
      </c>
      <c r="I205" s="1">
        <v>5400</v>
      </c>
      <c r="J205" s="1">
        <v>4</v>
      </c>
      <c r="K205" s="1">
        <v>500</v>
      </c>
      <c r="L205" s="1">
        <v>519</v>
      </c>
      <c r="M205" s="1">
        <f t="shared" si="13"/>
        <v>2595</v>
      </c>
      <c r="N205" s="1">
        <f t="shared" si="14"/>
        <v>2305</v>
      </c>
      <c r="O205" s="4">
        <f t="shared" si="15"/>
        <v>0.42685185185185187</v>
      </c>
    </row>
    <row r="206" spans="1:15">
      <c r="A206" s="6" t="s">
        <v>1724</v>
      </c>
      <c r="B206" s="1" t="s">
        <v>1725</v>
      </c>
      <c r="C206" s="1" t="s">
        <v>1726</v>
      </c>
      <c r="D206" s="1" t="s">
        <v>1727</v>
      </c>
      <c r="E206" s="1">
        <v>137</v>
      </c>
      <c r="F206" s="2">
        <v>2.1899999999999999E-2</v>
      </c>
      <c r="G206" s="3">
        <f t="shared" si="12"/>
        <v>1760</v>
      </c>
      <c r="H206" s="1">
        <v>3</v>
      </c>
      <c r="I206" s="1">
        <v>5280</v>
      </c>
      <c r="J206" s="1">
        <v>3</v>
      </c>
      <c r="K206" s="1">
        <v>604</v>
      </c>
      <c r="L206" s="1">
        <v>1062</v>
      </c>
      <c r="M206" s="1">
        <f t="shared" si="13"/>
        <v>3186</v>
      </c>
      <c r="N206" s="1">
        <f t="shared" si="14"/>
        <v>1490</v>
      </c>
      <c r="O206" s="4">
        <f t="shared" si="15"/>
        <v>0.28219696969696972</v>
      </c>
    </row>
    <row r="207" spans="1:15">
      <c r="A207" s="1" t="s">
        <v>613</v>
      </c>
      <c r="B207" s="1" t="s">
        <v>1728</v>
      </c>
      <c r="C207" s="1" t="s">
        <v>614</v>
      </c>
      <c r="D207" s="1" t="s">
        <v>614</v>
      </c>
      <c r="E207" s="1">
        <v>111</v>
      </c>
      <c r="F207" s="2">
        <v>3.5999999999999997E-2</v>
      </c>
      <c r="G207" s="3">
        <f t="shared" si="12"/>
        <v>1319</v>
      </c>
      <c r="H207" s="1">
        <v>4</v>
      </c>
      <c r="I207" s="1">
        <v>5276</v>
      </c>
      <c r="J207" s="1">
        <v>2</v>
      </c>
      <c r="K207" s="1">
        <v>488</v>
      </c>
      <c r="L207" s="1">
        <v>513</v>
      </c>
      <c r="M207" s="1">
        <f t="shared" si="13"/>
        <v>2052</v>
      </c>
      <c r="N207" s="1">
        <f t="shared" si="14"/>
        <v>2736</v>
      </c>
      <c r="O207" s="4">
        <f t="shared" si="15"/>
        <v>0.5185746777862017</v>
      </c>
    </row>
    <row r="208" spans="1:15">
      <c r="A208" s="1" t="s">
        <v>510</v>
      </c>
      <c r="B208" s="1" t="s">
        <v>1729</v>
      </c>
      <c r="C208" s="1" t="s">
        <v>511</v>
      </c>
      <c r="D208" s="1" t="s">
        <v>511</v>
      </c>
      <c r="E208" s="1">
        <v>753</v>
      </c>
      <c r="F208" s="2">
        <v>1.2E-2</v>
      </c>
      <c r="G208" s="3">
        <f t="shared" si="12"/>
        <v>565.33333333333337</v>
      </c>
      <c r="H208" s="1">
        <v>9</v>
      </c>
      <c r="I208" s="1">
        <v>5088</v>
      </c>
      <c r="J208" s="1">
        <v>8</v>
      </c>
      <c r="K208" s="1">
        <v>297</v>
      </c>
      <c r="L208" s="1">
        <v>232</v>
      </c>
      <c r="M208" s="1">
        <f t="shared" si="13"/>
        <v>2088</v>
      </c>
      <c r="N208" s="1">
        <f t="shared" si="14"/>
        <v>2703</v>
      </c>
      <c r="O208" s="4">
        <f t="shared" si="15"/>
        <v>0.53125</v>
      </c>
    </row>
    <row r="209" spans="1:15">
      <c r="A209" s="1" t="s">
        <v>747</v>
      </c>
      <c r="B209" s="1" t="s">
        <v>1730</v>
      </c>
      <c r="C209" s="1" t="s">
        <v>748</v>
      </c>
      <c r="D209" s="1" t="s">
        <v>748</v>
      </c>
      <c r="E209" s="1">
        <v>142</v>
      </c>
      <c r="F209" s="2">
        <v>6.9999999999999993E-3</v>
      </c>
      <c r="G209" s="3">
        <f t="shared" si="12"/>
        <v>5049</v>
      </c>
      <c r="H209" s="1">
        <v>1</v>
      </c>
      <c r="I209" s="1">
        <v>5049</v>
      </c>
      <c r="J209" s="1">
        <v>1</v>
      </c>
      <c r="K209" s="1">
        <v>578</v>
      </c>
      <c r="L209" s="1">
        <v>2739</v>
      </c>
      <c r="M209" s="1">
        <f t="shared" si="13"/>
        <v>2739</v>
      </c>
      <c r="N209" s="1">
        <f t="shared" si="14"/>
        <v>1732</v>
      </c>
      <c r="O209" s="4">
        <f t="shared" si="15"/>
        <v>0.34303822539116657</v>
      </c>
    </row>
    <row r="210" spans="1:15">
      <c r="A210" s="1" t="s">
        <v>1731</v>
      </c>
      <c r="B210" s="1" t="s">
        <v>1732</v>
      </c>
      <c r="C210" s="1" t="s">
        <v>1733</v>
      </c>
      <c r="D210" s="1" t="s">
        <v>1734</v>
      </c>
      <c r="E210" s="1">
        <v>103</v>
      </c>
      <c r="F210" s="2">
        <v>1.9400000000000001E-2</v>
      </c>
      <c r="G210" s="3">
        <f t="shared" si="12"/>
        <v>2500</v>
      </c>
      <c r="H210" s="1">
        <v>2</v>
      </c>
      <c r="I210" s="1">
        <v>5000</v>
      </c>
      <c r="J210" s="1">
        <v>1</v>
      </c>
      <c r="K210" s="1">
        <v>572</v>
      </c>
      <c r="L210" s="1">
        <v>0</v>
      </c>
      <c r="M210" s="1">
        <f t="shared" si="13"/>
        <v>0</v>
      </c>
      <c r="N210" s="1">
        <f t="shared" si="14"/>
        <v>4428</v>
      </c>
      <c r="O210" s="4">
        <f t="shared" si="15"/>
        <v>0.88560000000000005</v>
      </c>
    </row>
    <row r="211" spans="1:15">
      <c r="A211" s="1" t="s">
        <v>47</v>
      </c>
      <c r="B211" s="1" t="s">
        <v>1735</v>
      </c>
      <c r="C211" s="1" t="s">
        <v>48</v>
      </c>
      <c r="D211" s="1" t="s">
        <v>48</v>
      </c>
      <c r="E211" s="1">
        <v>22</v>
      </c>
      <c r="F211" s="2">
        <v>9.0899999999999995E-2</v>
      </c>
      <c r="G211" s="3">
        <f t="shared" si="12"/>
        <v>2480</v>
      </c>
      <c r="H211" s="1">
        <v>2</v>
      </c>
      <c r="I211" s="1">
        <v>4960</v>
      </c>
      <c r="J211" s="1">
        <v>2</v>
      </c>
      <c r="K211" s="1">
        <v>284</v>
      </c>
      <c r="L211" s="1">
        <v>1531</v>
      </c>
      <c r="M211" s="1">
        <f t="shared" si="13"/>
        <v>3062</v>
      </c>
      <c r="N211" s="1">
        <f t="shared" si="14"/>
        <v>1614</v>
      </c>
      <c r="O211" s="4">
        <f t="shared" si="15"/>
        <v>0.32540322580645159</v>
      </c>
    </row>
    <row r="212" spans="1:15">
      <c r="A212" s="1" t="s">
        <v>209</v>
      </c>
      <c r="B212" s="1" t="s">
        <v>1736</v>
      </c>
      <c r="C212" s="1" t="s">
        <v>210</v>
      </c>
      <c r="D212" s="1" t="s">
        <v>211</v>
      </c>
      <c r="E212" s="1">
        <v>498</v>
      </c>
      <c r="F212" s="2">
        <v>8.0000000000000002E-3</v>
      </c>
      <c r="G212" s="3">
        <f t="shared" si="12"/>
        <v>1230</v>
      </c>
      <c r="H212" s="1">
        <v>4</v>
      </c>
      <c r="I212" s="1">
        <v>4920</v>
      </c>
      <c r="J212" s="1">
        <v>4</v>
      </c>
      <c r="K212" s="1">
        <v>624</v>
      </c>
      <c r="L212" s="1">
        <v>493</v>
      </c>
      <c r="M212" s="1">
        <f t="shared" si="13"/>
        <v>1972</v>
      </c>
      <c r="N212" s="1">
        <f t="shared" si="14"/>
        <v>2324</v>
      </c>
      <c r="O212" s="4">
        <f t="shared" si="15"/>
        <v>0.47235772357723577</v>
      </c>
    </row>
    <row r="213" spans="1:15">
      <c r="A213" s="6" t="s">
        <v>1601</v>
      </c>
      <c r="B213" s="1" t="s">
        <v>1737</v>
      </c>
      <c r="C213" s="1" t="s">
        <v>1603</v>
      </c>
      <c r="D213" s="1" t="s">
        <v>1410</v>
      </c>
      <c r="E213" s="1">
        <v>2770</v>
      </c>
      <c r="F213" s="2">
        <v>1.8E-3</v>
      </c>
      <c r="G213" s="3">
        <f t="shared" si="12"/>
        <v>980</v>
      </c>
      <c r="H213" s="1">
        <v>5</v>
      </c>
      <c r="I213" s="1">
        <v>4900</v>
      </c>
      <c r="J213" s="1">
        <v>5</v>
      </c>
      <c r="K213" s="1">
        <v>830</v>
      </c>
      <c r="L213" s="1">
        <v>274</v>
      </c>
      <c r="M213" s="1">
        <f t="shared" si="13"/>
        <v>1370</v>
      </c>
      <c r="N213" s="1">
        <f t="shared" si="14"/>
        <v>2700</v>
      </c>
      <c r="O213" s="4">
        <f t="shared" si="15"/>
        <v>0.55102040816326525</v>
      </c>
    </row>
    <row r="214" spans="1:15">
      <c r="A214" s="1" t="s">
        <v>756</v>
      </c>
      <c r="B214" s="1" t="s">
        <v>1738</v>
      </c>
      <c r="C214" s="1" t="s">
        <v>757</v>
      </c>
      <c r="D214" s="1" t="s">
        <v>758</v>
      </c>
      <c r="E214" s="1">
        <v>574</v>
      </c>
      <c r="F214" s="2">
        <v>6.9999999999999993E-3</v>
      </c>
      <c r="G214" s="3">
        <f t="shared" si="12"/>
        <v>1200</v>
      </c>
      <c r="H214" s="1">
        <v>4</v>
      </c>
      <c r="I214" s="1">
        <v>4800</v>
      </c>
      <c r="J214" s="1">
        <v>4</v>
      </c>
      <c r="K214" s="1">
        <v>1628</v>
      </c>
      <c r="L214" s="1">
        <v>471</v>
      </c>
      <c r="M214" s="1">
        <f t="shared" si="13"/>
        <v>1884</v>
      </c>
      <c r="N214" s="1">
        <f t="shared" si="14"/>
        <v>1288</v>
      </c>
      <c r="O214" s="4">
        <f t="shared" si="15"/>
        <v>0.26833333333333331</v>
      </c>
    </row>
    <row r="215" spans="1:15">
      <c r="A215" s="1" t="s">
        <v>487</v>
      </c>
      <c r="B215" s="1" t="s">
        <v>1739</v>
      </c>
      <c r="C215" s="1" t="s">
        <v>488</v>
      </c>
      <c r="D215" s="1" t="s">
        <v>40</v>
      </c>
      <c r="E215" s="1">
        <v>1921</v>
      </c>
      <c r="F215" s="2">
        <v>2.0999999999999999E-3</v>
      </c>
      <c r="G215" s="3">
        <f t="shared" si="12"/>
        <v>1200</v>
      </c>
      <c r="H215" s="1">
        <v>4</v>
      </c>
      <c r="I215" s="1">
        <v>4800</v>
      </c>
      <c r="J215" s="1">
        <v>4</v>
      </c>
      <c r="K215" s="1">
        <v>816</v>
      </c>
      <c r="L215" s="1">
        <v>504</v>
      </c>
      <c r="M215" s="1">
        <f t="shared" si="13"/>
        <v>2016</v>
      </c>
      <c r="N215" s="1">
        <f t="shared" si="14"/>
        <v>1968</v>
      </c>
      <c r="O215" s="4">
        <f t="shared" si="15"/>
        <v>0.41</v>
      </c>
    </row>
    <row r="216" spans="1:15">
      <c r="A216" s="1" t="s">
        <v>1360</v>
      </c>
      <c r="B216" s="1" t="s">
        <v>1740</v>
      </c>
      <c r="C216" s="1" t="s">
        <v>1361</v>
      </c>
      <c r="D216" s="1" t="s">
        <v>1361</v>
      </c>
      <c r="E216" s="1">
        <v>24</v>
      </c>
      <c r="F216" s="2">
        <v>8.3299999999999999E-2</v>
      </c>
      <c r="G216" s="3">
        <f t="shared" si="12"/>
        <v>2380</v>
      </c>
      <c r="H216" s="1">
        <v>2</v>
      </c>
      <c r="I216" s="1">
        <v>4760</v>
      </c>
      <c r="J216" s="1">
        <v>2</v>
      </c>
      <c r="K216" s="1">
        <v>808</v>
      </c>
      <c r="L216" s="1">
        <v>1320</v>
      </c>
      <c r="M216" s="1">
        <f t="shared" si="13"/>
        <v>2640</v>
      </c>
      <c r="N216" s="1">
        <f t="shared" si="14"/>
        <v>1312</v>
      </c>
      <c r="O216" s="4">
        <f t="shared" si="15"/>
        <v>0.27563025210084036</v>
      </c>
    </row>
    <row r="217" spans="1:15">
      <c r="A217" s="1" t="s">
        <v>1741</v>
      </c>
      <c r="B217" s="1" t="s">
        <v>1742</v>
      </c>
      <c r="C217" s="1" t="s">
        <v>1742</v>
      </c>
      <c r="D217" s="1" t="s">
        <v>1742</v>
      </c>
      <c r="E217" s="1">
        <v>51</v>
      </c>
      <c r="F217" s="2">
        <v>1.9599999999999999E-2</v>
      </c>
      <c r="G217" s="3">
        <f t="shared" si="12"/>
        <v>4554</v>
      </c>
      <c r="H217" s="1">
        <v>1</v>
      </c>
      <c r="I217" s="1">
        <v>4554</v>
      </c>
      <c r="J217" s="1">
        <v>1</v>
      </c>
      <c r="K217" s="1">
        <v>771</v>
      </c>
      <c r="L217" s="1">
        <v>3940</v>
      </c>
      <c r="M217" s="1">
        <f t="shared" si="13"/>
        <v>3940</v>
      </c>
      <c r="N217" s="1">
        <f t="shared" si="14"/>
        <v>-157</v>
      </c>
      <c r="O217" s="4">
        <f t="shared" si="15"/>
        <v>-3.4475186649099696E-2</v>
      </c>
    </row>
    <row r="218" spans="1:15">
      <c r="A218" s="1" t="s">
        <v>1743</v>
      </c>
      <c r="B218" s="1" t="s">
        <v>1744</v>
      </c>
      <c r="C218" s="1" t="s">
        <v>1745</v>
      </c>
      <c r="D218" s="1" t="s">
        <v>1746</v>
      </c>
      <c r="E218" s="1">
        <v>2210</v>
      </c>
      <c r="F218" s="2">
        <v>1.4E-3</v>
      </c>
      <c r="G218" s="3">
        <f t="shared" si="12"/>
        <v>1516</v>
      </c>
      <c r="H218" s="1">
        <v>3</v>
      </c>
      <c r="I218" s="1">
        <v>4548</v>
      </c>
      <c r="J218" s="1">
        <v>3</v>
      </c>
      <c r="K218" s="1">
        <v>455</v>
      </c>
      <c r="L218" s="1">
        <v>878</v>
      </c>
      <c r="M218" s="1">
        <f t="shared" si="13"/>
        <v>2634</v>
      </c>
      <c r="N218" s="1">
        <f t="shared" si="14"/>
        <v>1459</v>
      </c>
      <c r="O218" s="4">
        <f t="shared" si="15"/>
        <v>0.32080035180299032</v>
      </c>
    </row>
    <row r="219" spans="1:15">
      <c r="A219" s="1" t="s">
        <v>184</v>
      </c>
      <c r="B219" s="1" t="s">
        <v>1658</v>
      </c>
      <c r="C219" s="1" t="s">
        <v>185</v>
      </c>
      <c r="D219" s="1" t="s">
        <v>1747</v>
      </c>
      <c r="E219" s="1">
        <v>34</v>
      </c>
      <c r="F219" s="2">
        <v>8.8200000000000001E-2</v>
      </c>
      <c r="G219" s="3">
        <f t="shared" si="12"/>
        <v>1498</v>
      </c>
      <c r="H219" s="1">
        <v>3</v>
      </c>
      <c r="I219" s="1">
        <v>4494</v>
      </c>
      <c r="J219" s="1">
        <v>3</v>
      </c>
      <c r="K219" s="1">
        <v>416.7</v>
      </c>
      <c r="L219" s="1">
        <v>715</v>
      </c>
      <c r="M219" s="1">
        <f t="shared" si="13"/>
        <v>2145</v>
      </c>
      <c r="N219" s="1">
        <f t="shared" si="14"/>
        <v>1932.3000000000002</v>
      </c>
      <c r="O219" s="4">
        <f t="shared" si="15"/>
        <v>0.42997329773030712</v>
      </c>
    </row>
    <row r="220" spans="1:15">
      <c r="A220" s="1" t="s">
        <v>1748</v>
      </c>
      <c r="B220" s="1" t="s">
        <v>1749</v>
      </c>
      <c r="C220" s="1" t="s">
        <v>1750</v>
      </c>
      <c r="D220" s="1" t="s">
        <v>1750</v>
      </c>
      <c r="E220" s="1">
        <v>26</v>
      </c>
      <c r="F220" s="2">
        <v>0.34620000000000001</v>
      </c>
      <c r="G220" s="3">
        <f t="shared" si="12"/>
        <v>498</v>
      </c>
      <c r="H220" s="1">
        <v>9</v>
      </c>
      <c r="I220" s="1">
        <v>4482</v>
      </c>
      <c r="J220" s="1">
        <v>9</v>
      </c>
      <c r="K220" s="1">
        <v>297</v>
      </c>
      <c r="L220" s="1">
        <v>242</v>
      </c>
      <c r="M220" s="1">
        <f t="shared" si="13"/>
        <v>2178</v>
      </c>
      <c r="N220" s="1">
        <f t="shared" si="14"/>
        <v>2007</v>
      </c>
      <c r="O220" s="4">
        <f t="shared" si="15"/>
        <v>0.44779116465863456</v>
      </c>
    </row>
    <row r="221" spans="1:15">
      <c r="A221" s="1" t="s">
        <v>1751</v>
      </c>
      <c r="B221" s="1" t="s">
        <v>1752</v>
      </c>
      <c r="C221" s="1" t="s">
        <v>1753</v>
      </c>
      <c r="D221" s="1" t="s">
        <v>1753</v>
      </c>
      <c r="E221" s="1">
        <v>212</v>
      </c>
      <c r="F221" s="2">
        <v>1.4200000000000001E-2</v>
      </c>
      <c r="G221" s="3">
        <f t="shared" si="12"/>
        <v>1480</v>
      </c>
      <c r="H221" s="1">
        <v>3</v>
      </c>
      <c r="I221" s="1">
        <v>4440</v>
      </c>
      <c r="J221" s="1">
        <v>3</v>
      </c>
      <c r="K221" s="1">
        <v>408</v>
      </c>
      <c r="L221" s="1">
        <v>659</v>
      </c>
      <c r="M221" s="1">
        <f t="shared" si="13"/>
        <v>1977</v>
      </c>
      <c r="N221" s="1">
        <f t="shared" si="14"/>
        <v>2055</v>
      </c>
      <c r="O221" s="4">
        <f t="shared" si="15"/>
        <v>0.46283783783783783</v>
      </c>
    </row>
    <row r="222" spans="1:15">
      <c r="A222" s="1" t="s">
        <v>463</v>
      </c>
      <c r="B222" s="1" t="s">
        <v>1754</v>
      </c>
      <c r="C222" s="1" t="s">
        <v>464</v>
      </c>
      <c r="D222" s="1" t="s">
        <v>464</v>
      </c>
      <c r="E222" s="1">
        <v>34</v>
      </c>
      <c r="F222" s="2">
        <v>0.23530000000000001</v>
      </c>
      <c r="G222" s="3">
        <f t="shared" si="12"/>
        <v>550</v>
      </c>
      <c r="H222" s="1">
        <v>8</v>
      </c>
      <c r="I222" s="1">
        <v>4400</v>
      </c>
      <c r="J222" s="1">
        <v>8</v>
      </c>
      <c r="K222" s="1">
        <v>264</v>
      </c>
      <c r="L222" s="1">
        <v>242</v>
      </c>
      <c r="M222" s="1">
        <f t="shared" si="13"/>
        <v>1936</v>
      </c>
      <c r="N222" s="1">
        <f t="shared" si="14"/>
        <v>2200</v>
      </c>
      <c r="O222" s="4">
        <f t="shared" si="15"/>
        <v>0.5</v>
      </c>
    </row>
    <row r="223" spans="1:15">
      <c r="A223" s="1" t="s">
        <v>730</v>
      </c>
      <c r="B223" s="1" t="s">
        <v>1755</v>
      </c>
      <c r="C223" s="1" t="s">
        <v>731</v>
      </c>
      <c r="D223" s="1" t="s">
        <v>732</v>
      </c>
      <c r="E223" s="1">
        <v>28150</v>
      </c>
      <c r="F223" s="2">
        <v>0</v>
      </c>
      <c r="G223" s="3">
        <f t="shared" si="12"/>
        <v>4400</v>
      </c>
      <c r="H223" s="1">
        <v>1</v>
      </c>
      <c r="I223" s="1">
        <v>4400</v>
      </c>
      <c r="J223" s="1">
        <v>1</v>
      </c>
      <c r="K223" s="1">
        <v>504</v>
      </c>
      <c r="L223" s="1">
        <v>2790</v>
      </c>
      <c r="M223" s="1">
        <f t="shared" si="13"/>
        <v>2790</v>
      </c>
      <c r="N223" s="1">
        <f t="shared" si="14"/>
        <v>1106</v>
      </c>
      <c r="O223" s="4">
        <f t="shared" si="15"/>
        <v>0.25136363636363634</v>
      </c>
    </row>
    <row r="224" spans="1:15">
      <c r="A224" s="1" t="s">
        <v>1756</v>
      </c>
      <c r="B224" s="1" t="s">
        <v>1757</v>
      </c>
      <c r="C224" s="1" t="s">
        <v>1758</v>
      </c>
      <c r="D224" s="1" t="s">
        <v>1759</v>
      </c>
      <c r="E224" s="1">
        <v>12</v>
      </c>
      <c r="F224" s="2">
        <v>0.16669999999999999</v>
      </c>
      <c r="G224" s="3">
        <f t="shared" si="12"/>
        <v>2200</v>
      </c>
      <c r="H224" s="1">
        <v>2</v>
      </c>
      <c r="I224" s="1">
        <v>4400</v>
      </c>
      <c r="J224" s="1">
        <v>1</v>
      </c>
      <c r="K224" s="1">
        <v>746</v>
      </c>
      <c r="L224" s="1">
        <v>1485</v>
      </c>
      <c r="M224" s="1">
        <f t="shared" si="13"/>
        <v>2970</v>
      </c>
      <c r="N224" s="1">
        <f t="shared" si="14"/>
        <v>684</v>
      </c>
      <c r="O224" s="4">
        <f t="shared" si="15"/>
        <v>0.15545454545454546</v>
      </c>
    </row>
    <row r="225" spans="1:15">
      <c r="A225" s="1" t="s">
        <v>1760</v>
      </c>
      <c r="B225" s="1" t="s">
        <v>1761</v>
      </c>
      <c r="C225" s="1" t="s">
        <v>1762</v>
      </c>
      <c r="D225" s="1" t="s">
        <v>1264</v>
      </c>
      <c r="E225" s="1">
        <v>1157</v>
      </c>
      <c r="F225" s="2">
        <v>1.6999999999999999E-3</v>
      </c>
      <c r="G225" s="3">
        <f t="shared" si="12"/>
        <v>2080</v>
      </c>
      <c r="H225" s="1">
        <v>2</v>
      </c>
      <c r="I225" s="1">
        <v>4160</v>
      </c>
      <c r="J225" s="1">
        <v>2</v>
      </c>
      <c r="K225" s="1">
        <v>476</v>
      </c>
      <c r="L225" s="1">
        <v>1144</v>
      </c>
      <c r="M225" s="1">
        <f t="shared" si="13"/>
        <v>2288</v>
      </c>
      <c r="N225" s="1">
        <f t="shared" si="14"/>
        <v>1396</v>
      </c>
      <c r="O225" s="4">
        <f t="shared" si="15"/>
        <v>0.33557692307692305</v>
      </c>
    </row>
    <row r="226" spans="1:15">
      <c r="A226" s="1" t="s">
        <v>425</v>
      </c>
      <c r="B226" s="1" t="s">
        <v>1763</v>
      </c>
      <c r="C226" s="1" t="s">
        <v>426</v>
      </c>
      <c r="D226" s="1" t="s">
        <v>426</v>
      </c>
      <c r="E226" s="1">
        <v>38</v>
      </c>
      <c r="F226" s="2">
        <v>5.2600000000000001E-2</v>
      </c>
      <c r="G226" s="3">
        <f t="shared" si="12"/>
        <v>2080</v>
      </c>
      <c r="H226" s="1">
        <v>2</v>
      </c>
      <c r="I226" s="1">
        <v>4160</v>
      </c>
      <c r="J226" s="1">
        <v>2</v>
      </c>
      <c r="K226" s="1">
        <v>704</v>
      </c>
      <c r="L226" s="1">
        <v>1280</v>
      </c>
      <c r="M226" s="1">
        <f t="shared" si="13"/>
        <v>2560</v>
      </c>
      <c r="N226" s="1">
        <f t="shared" si="14"/>
        <v>896</v>
      </c>
      <c r="O226" s="4">
        <f t="shared" si="15"/>
        <v>0.2153846153846154</v>
      </c>
    </row>
    <row r="227" spans="1:15">
      <c r="A227" s="1" t="s">
        <v>405</v>
      </c>
      <c r="B227" s="1" t="s">
        <v>1764</v>
      </c>
      <c r="C227" s="1" t="s">
        <v>406</v>
      </c>
      <c r="D227" s="1" t="s">
        <v>406</v>
      </c>
      <c r="E227" s="1">
        <v>110</v>
      </c>
      <c r="F227" s="2">
        <v>2.7300000000000001E-2</v>
      </c>
      <c r="G227" s="3">
        <f t="shared" si="12"/>
        <v>1380</v>
      </c>
      <c r="H227" s="1">
        <v>3</v>
      </c>
      <c r="I227" s="1">
        <v>4140</v>
      </c>
      <c r="J227" s="1">
        <v>3</v>
      </c>
      <c r="K227" s="1">
        <v>384</v>
      </c>
      <c r="L227" s="1">
        <v>297</v>
      </c>
      <c r="M227" s="1">
        <f t="shared" si="13"/>
        <v>891</v>
      </c>
      <c r="N227" s="1">
        <f t="shared" si="14"/>
        <v>2865</v>
      </c>
      <c r="O227" s="4">
        <f t="shared" si="15"/>
        <v>0.69202898550724634</v>
      </c>
    </row>
    <row r="228" spans="1:15">
      <c r="A228" s="1" t="s">
        <v>376</v>
      </c>
      <c r="B228" s="1" t="s">
        <v>1765</v>
      </c>
      <c r="C228" s="1" t="s">
        <v>377</v>
      </c>
      <c r="D228" s="1" t="s">
        <v>377</v>
      </c>
      <c r="E228" s="1">
        <v>200</v>
      </c>
      <c r="F228" s="2">
        <v>0.02</v>
      </c>
      <c r="G228" s="3">
        <f t="shared" si="12"/>
        <v>1025</v>
      </c>
      <c r="H228" s="1">
        <v>4</v>
      </c>
      <c r="I228" s="1">
        <v>4100</v>
      </c>
      <c r="J228" s="1">
        <v>3</v>
      </c>
      <c r="K228" s="1">
        <v>378</v>
      </c>
      <c r="L228" s="1">
        <v>346.5</v>
      </c>
      <c r="M228" s="1">
        <f t="shared" si="13"/>
        <v>1386</v>
      </c>
      <c r="N228" s="1">
        <f t="shared" si="14"/>
        <v>2336</v>
      </c>
      <c r="O228" s="4">
        <f t="shared" si="15"/>
        <v>0.56975609756097556</v>
      </c>
    </row>
    <row r="229" spans="1:15">
      <c r="A229" s="1" t="s">
        <v>374</v>
      </c>
      <c r="B229" s="1" t="s">
        <v>1766</v>
      </c>
      <c r="C229" s="1" t="s">
        <v>375</v>
      </c>
      <c r="D229" s="1" t="s">
        <v>375</v>
      </c>
      <c r="E229" s="1">
        <v>2284</v>
      </c>
      <c r="F229" s="2">
        <v>8.9999999999999998E-4</v>
      </c>
      <c r="G229" s="3">
        <f t="shared" si="12"/>
        <v>2023</v>
      </c>
      <c r="H229" s="1">
        <v>2</v>
      </c>
      <c r="I229" s="1">
        <v>4046</v>
      </c>
      <c r="J229" s="1">
        <v>2</v>
      </c>
      <c r="K229" s="1">
        <v>462</v>
      </c>
      <c r="L229" s="1">
        <v>1284</v>
      </c>
      <c r="M229" s="1">
        <f t="shared" si="13"/>
        <v>2568</v>
      </c>
      <c r="N229" s="1">
        <f t="shared" si="14"/>
        <v>1016</v>
      </c>
      <c r="O229" s="4">
        <f t="shared" si="15"/>
        <v>0.25111220958971825</v>
      </c>
    </row>
    <row r="230" spans="1:15">
      <c r="A230" s="1" t="s">
        <v>306</v>
      </c>
      <c r="B230" s="1" t="s">
        <v>1767</v>
      </c>
      <c r="C230" s="1" t="s">
        <v>307</v>
      </c>
      <c r="D230" s="1" t="s">
        <v>307</v>
      </c>
      <c r="E230" s="1">
        <v>71</v>
      </c>
      <c r="F230" s="2">
        <v>5.6300000000000003E-2</v>
      </c>
      <c r="G230" s="3">
        <f t="shared" si="12"/>
        <v>999</v>
      </c>
      <c r="H230" s="1">
        <v>4</v>
      </c>
      <c r="I230" s="1">
        <v>3996</v>
      </c>
      <c r="J230" s="1">
        <v>2</v>
      </c>
      <c r="K230" s="1">
        <v>369</v>
      </c>
      <c r="L230" s="1">
        <v>707</v>
      </c>
      <c r="M230" s="1">
        <f t="shared" si="13"/>
        <v>2828</v>
      </c>
      <c r="N230" s="1">
        <f t="shared" si="14"/>
        <v>799</v>
      </c>
      <c r="O230" s="4">
        <f t="shared" si="15"/>
        <v>0.19994994994994994</v>
      </c>
    </row>
    <row r="231" spans="1:15">
      <c r="A231" s="1" t="s">
        <v>536</v>
      </c>
      <c r="B231" s="1" t="s">
        <v>1768</v>
      </c>
      <c r="C231" s="1" t="s">
        <v>537</v>
      </c>
      <c r="D231" s="1" t="s">
        <v>537</v>
      </c>
      <c r="E231" s="1">
        <v>26</v>
      </c>
      <c r="F231" s="2">
        <v>0.1154</v>
      </c>
      <c r="G231" s="3">
        <f t="shared" si="12"/>
        <v>1280</v>
      </c>
      <c r="H231" s="1">
        <v>3</v>
      </c>
      <c r="I231" s="1">
        <v>3840</v>
      </c>
      <c r="J231" s="1">
        <v>3</v>
      </c>
      <c r="K231" s="1">
        <v>357</v>
      </c>
      <c r="L231" s="1">
        <v>800</v>
      </c>
      <c r="M231" s="1">
        <f t="shared" si="13"/>
        <v>2400</v>
      </c>
      <c r="N231" s="1">
        <f t="shared" si="14"/>
        <v>1083</v>
      </c>
      <c r="O231" s="4">
        <f t="shared" si="15"/>
        <v>0.28203125000000001</v>
      </c>
    </row>
    <row r="232" spans="1:15">
      <c r="A232" s="1" t="s">
        <v>854</v>
      </c>
      <c r="B232" s="1" t="s">
        <v>1769</v>
      </c>
      <c r="C232" s="1" t="s">
        <v>855</v>
      </c>
      <c r="D232" s="1" t="s">
        <v>856</v>
      </c>
      <c r="E232" s="1">
        <v>157</v>
      </c>
      <c r="F232" s="2">
        <v>1.9099999999999999E-2</v>
      </c>
      <c r="G232" s="3">
        <f t="shared" si="12"/>
        <v>1270</v>
      </c>
      <c r="H232" s="1">
        <v>3</v>
      </c>
      <c r="I232" s="1">
        <v>3810</v>
      </c>
      <c r="J232" s="1">
        <v>3</v>
      </c>
      <c r="K232" s="1">
        <v>1614</v>
      </c>
      <c r="L232" s="1">
        <v>827</v>
      </c>
      <c r="M232" s="1">
        <f t="shared" si="13"/>
        <v>2481</v>
      </c>
      <c r="N232" s="1">
        <f t="shared" si="14"/>
        <v>-285</v>
      </c>
      <c r="O232" s="4">
        <f t="shared" si="15"/>
        <v>-7.4803149606299218E-2</v>
      </c>
    </row>
    <row r="233" spans="1:15">
      <c r="A233" s="6" t="s">
        <v>1770</v>
      </c>
      <c r="B233" s="1" t="s">
        <v>1771</v>
      </c>
      <c r="C233" s="1" t="s">
        <v>1772</v>
      </c>
      <c r="D233" s="1" t="s">
        <v>254</v>
      </c>
      <c r="E233" s="1">
        <v>5239</v>
      </c>
      <c r="F233" s="2">
        <v>8.0000000000000004E-4</v>
      </c>
      <c r="G233" s="3">
        <f t="shared" si="12"/>
        <v>950</v>
      </c>
      <c r="H233" s="1">
        <v>4</v>
      </c>
      <c r="I233" s="1">
        <v>3800</v>
      </c>
      <c r="J233" s="1">
        <v>4</v>
      </c>
      <c r="K233" s="1">
        <v>644</v>
      </c>
      <c r="L233" s="1">
        <v>255</v>
      </c>
      <c r="M233" s="1">
        <f t="shared" si="13"/>
        <v>1020</v>
      </c>
      <c r="N233" s="1">
        <f t="shared" si="14"/>
        <v>2136</v>
      </c>
      <c r="O233" s="4">
        <f t="shared" si="15"/>
        <v>0.56210526315789477</v>
      </c>
    </row>
    <row r="234" spans="1:15">
      <c r="A234" s="1" t="s">
        <v>199</v>
      </c>
      <c r="B234" s="1" t="s">
        <v>1773</v>
      </c>
      <c r="C234" s="1" t="s">
        <v>200</v>
      </c>
      <c r="D234" s="1" t="s">
        <v>201</v>
      </c>
      <c r="E234" s="1">
        <v>2130</v>
      </c>
      <c r="F234" s="2">
        <v>1.4E-3</v>
      </c>
      <c r="G234" s="3">
        <f t="shared" si="12"/>
        <v>1250</v>
      </c>
      <c r="H234" s="1">
        <v>3</v>
      </c>
      <c r="I234" s="1">
        <v>3750</v>
      </c>
      <c r="J234" s="1">
        <v>3</v>
      </c>
      <c r="K234" s="1">
        <v>348</v>
      </c>
      <c r="L234" s="1">
        <v>1884</v>
      </c>
      <c r="M234" s="1">
        <f t="shared" si="13"/>
        <v>5652</v>
      </c>
      <c r="N234" s="1">
        <f t="shared" si="14"/>
        <v>-2250</v>
      </c>
      <c r="O234" s="4">
        <f t="shared" si="15"/>
        <v>-0.6</v>
      </c>
    </row>
    <row r="235" spans="1:15">
      <c r="A235" s="1" t="s">
        <v>652</v>
      </c>
      <c r="B235" s="1" t="s">
        <v>1774</v>
      </c>
      <c r="C235" s="1" t="s">
        <v>653</v>
      </c>
      <c r="D235" s="1" t="s">
        <v>649</v>
      </c>
      <c r="E235" s="1">
        <v>1145</v>
      </c>
      <c r="F235" s="2">
        <v>6.1000000000000004E-3</v>
      </c>
      <c r="G235" s="3">
        <f t="shared" si="12"/>
        <v>520</v>
      </c>
      <c r="H235" s="1">
        <v>7</v>
      </c>
      <c r="I235" s="1">
        <v>3640</v>
      </c>
      <c r="J235" s="1">
        <v>7</v>
      </c>
      <c r="K235" s="1">
        <v>231</v>
      </c>
      <c r="L235" s="1">
        <v>186</v>
      </c>
      <c r="M235" s="1">
        <f t="shared" si="13"/>
        <v>1302</v>
      </c>
      <c r="N235" s="1">
        <f t="shared" si="14"/>
        <v>2107</v>
      </c>
      <c r="O235" s="4">
        <f t="shared" si="15"/>
        <v>0.5788461538461539</v>
      </c>
    </row>
    <row r="236" spans="1:15">
      <c r="A236" s="1" t="s">
        <v>1328</v>
      </c>
      <c r="B236" s="1" t="s">
        <v>1775</v>
      </c>
      <c r="C236" s="1" t="s">
        <v>1329</v>
      </c>
      <c r="D236" s="1" t="s">
        <v>1329</v>
      </c>
      <c r="E236" s="1">
        <v>467</v>
      </c>
      <c r="F236" s="2">
        <v>8.6E-3</v>
      </c>
      <c r="G236" s="3">
        <f t="shared" si="12"/>
        <v>902.25</v>
      </c>
      <c r="H236" s="1">
        <v>4</v>
      </c>
      <c r="I236" s="1">
        <v>3609</v>
      </c>
      <c r="J236" s="1">
        <v>4</v>
      </c>
      <c r="K236" s="1">
        <v>613</v>
      </c>
      <c r="L236" s="1">
        <v>360</v>
      </c>
      <c r="M236" s="1">
        <f t="shared" si="13"/>
        <v>1440</v>
      </c>
      <c r="N236" s="1">
        <f t="shared" si="14"/>
        <v>1556</v>
      </c>
      <c r="O236" s="4">
        <f t="shared" si="15"/>
        <v>0.43114436131892492</v>
      </c>
    </row>
    <row r="237" spans="1:15">
      <c r="A237" s="1" t="s">
        <v>937</v>
      </c>
      <c r="B237" s="1" t="s">
        <v>1776</v>
      </c>
      <c r="C237" s="1" t="s">
        <v>938</v>
      </c>
      <c r="D237" s="1" t="s">
        <v>939</v>
      </c>
      <c r="E237" s="1">
        <v>48</v>
      </c>
      <c r="F237" s="2">
        <v>2.0799999999999999E-2</v>
      </c>
      <c r="G237" s="3">
        <f t="shared" si="12"/>
        <v>3580</v>
      </c>
      <c r="H237" s="1">
        <v>1</v>
      </c>
      <c r="I237" s="1">
        <v>3580</v>
      </c>
      <c r="J237" s="1">
        <v>1</v>
      </c>
      <c r="K237" s="1">
        <v>409</v>
      </c>
      <c r="L237" s="1">
        <v>2772</v>
      </c>
      <c r="M237" s="1">
        <f t="shared" si="13"/>
        <v>2772</v>
      </c>
      <c r="N237" s="1">
        <f t="shared" si="14"/>
        <v>399</v>
      </c>
      <c r="O237" s="4">
        <f t="shared" si="15"/>
        <v>0.11145251396648044</v>
      </c>
    </row>
    <row r="238" spans="1:15">
      <c r="A238" s="1" t="s">
        <v>840</v>
      </c>
      <c r="B238" s="1" t="s">
        <v>1777</v>
      </c>
      <c r="C238" s="1" t="s">
        <v>841</v>
      </c>
      <c r="D238" s="1" t="s">
        <v>841</v>
      </c>
      <c r="E238" s="1">
        <v>30</v>
      </c>
      <c r="F238" s="2">
        <v>3.3300000000000003E-2</v>
      </c>
      <c r="G238" s="3">
        <f t="shared" si="12"/>
        <v>3480</v>
      </c>
      <c r="H238" s="1">
        <v>1</v>
      </c>
      <c r="I238" s="1">
        <v>3480</v>
      </c>
      <c r="J238" s="1">
        <v>1</v>
      </c>
      <c r="K238" s="1">
        <v>398</v>
      </c>
      <c r="L238" s="1">
        <v>1663</v>
      </c>
      <c r="M238" s="1">
        <f t="shared" si="13"/>
        <v>1663</v>
      </c>
      <c r="N238" s="1">
        <f t="shared" si="14"/>
        <v>1419</v>
      </c>
      <c r="O238" s="4">
        <f t="shared" si="15"/>
        <v>0.40775862068965518</v>
      </c>
    </row>
    <row r="239" spans="1:15">
      <c r="A239" s="1" t="s">
        <v>355</v>
      </c>
      <c r="B239" s="1" t="s">
        <v>1778</v>
      </c>
      <c r="C239" s="1" t="s">
        <v>356</v>
      </c>
      <c r="D239" s="1" t="s">
        <v>356</v>
      </c>
      <c r="E239" s="1">
        <v>27</v>
      </c>
      <c r="F239" s="2">
        <v>7.4099999999999999E-2</v>
      </c>
      <c r="G239" s="3">
        <f t="shared" si="12"/>
        <v>1739</v>
      </c>
      <c r="H239" s="1">
        <v>2</v>
      </c>
      <c r="I239" s="1">
        <v>3478</v>
      </c>
      <c r="J239" s="1">
        <v>2</v>
      </c>
      <c r="K239" s="1">
        <v>588</v>
      </c>
      <c r="L239" s="1">
        <v>783</v>
      </c>
      <c r="M239" s="1">
        <f t="shared" si="13"/>
        <v>1566</v>
      </c>
      <c r="N239" s="1">
        <f t="shared" si="14"/>
        <v>1324</v>
      </c>
      <c r="O239" s="4">
        <f t="shared" si="15"/>
        <v>0.38067855089131686</v>
      </c>
    </row>
    <row r="240" spans="1:15">
      <c r="A240" s="1" t="s">
        <v>812</v>
      </c>
      <c r="B240" s="1" t="s">
        <v>1779</v>
      </c>
      <c r="C240" s="1" t="s">
        <v>813</v>
      </c>
      <c r="D240" s="1" t="s">
        <v>811</v>
      </c>
      <c r="E240" s="1">
        <v>252</v>
      </c>
      <c r="F240" s="2">
        <v>4.0000000000000001E-3</v>
      </c>
      <c r="G240" s="3">
        <f t="shared" si="12"/>
        <v>3398</v>
      </c>
      <c r="H240" s="1">
        <v>1</v>
      </c>
      <c r="I240" s="1">
        <v>3398</v>
      </c>
      <c r="J240" s="1">
        <v>1</v>
      </c>
      <c r="K240" s="1">
        <v>575</v>
      </c>
      <c r="L240" s="1">
        <v>1316</v>
      </c>
      <c r="M240" s="1">
        <f t="shared" si="13"/>
        <v>1316</v>
      </c>
      <c r="N240" s="1">
        <f t="shared" si="14"/>
        <v>1507</v>
      </c>
      <c r="O240" s="4">
        <f t="shared" si="15"/>
        <v>0.44349617422012949</v>
      </c>
    </row>
    <row r="241" spans="1:15">
      <c r="A241" s="1" t="s">
        <v>439</v>
      </c>
      <c r="B241" s="1" t="s">
        <v>1780</v>
      </c>
      <c r="C241" s="1" t="s">
        <v>440</v>
      </c>
      <c r="D241" s="1" t="s">
        <v>440</v>
      </c>
      <c r="E241" s="1">
        <v>113</v>
      </c>
      <c r="F241" s="2">
        <v>2.6499999999999999E-2</v>
      </c>
      <c r="G241" s="3">
        <f t="shared" si="12"/>
        <v>1130</v>
      </c>
      <c r="H241" s="1">
        <v>3</v>
      </c>
      <c r="I241" s="1">
        <v>3390</v>
      </c>
      <c r="J241" s="1">
        <v>3</v>
      </c>
      <c r="K241" s="1">
        <v>343</v>
      </c>
      <c r="L241" s="1">
        <v>0</v>
      </c>
      <c r="M241" s="1">
        <f t="shared" si="13"/>
        <v>0</v>
      </c>
      <c r="N241" s="1">
        <f t="shared" si="14"/>
        <v>3047</v>
      </c>
      <c r="O241" s="4">
        <f t="shared" si="15"/>
        <v>0.8988200589970502</v>
      </c>
    </row>
    <row r="242" spans="1:15">
      <c r="A242" s="1" t="s">
        <v>311</v>
      </c>
      <c r="B242" s="1" t="s">
        <v>1781</v>
      </c>
      <c r="C242" s="1" t="s">
        <v>312</v>
      </c>
      <c r="D242" s="1" t="s">
        <v>278</v>
      </c>
      <c r="E242" s="1">
        <v>715</v>
      </c>
      <c r="F242" s="2">
        <v>2.8E-3</v>
      </c>
      <c r="G242" s="3">
        <f t="shared" si="12"/>
        <v>1667</v>
      </c>
      <c r="H242" s="1">
        <v>2</v>
      </c>
      <c r="I242" s="1">
        <v>3334</v>
      </c>
      <c r="J242" s="1">
        <v>2</v>
      </c>
      <c r="K242" s="1">
        <v>565</v>
      </c>
      <c r="L242" s="1">
        <v>1148</v>
      </c>
      <c r="M242" s="1">
        <f t="shared" si="13"/>
        <v>2296</v>
      </c>
      <c r="N242" s="1">
        <f t="shared" si="14"/>
        <v>473</v>
      </c>
      <c r="O242" s="4">
        <f t="shared" si="15"/>
        <v>0.14187162567486503</v>
      </c>
    </row>
    <row r="243" spans="1:15">
      <c r="A243" s="1" t="s">
        <v>1782</v>
      </c>
      <c r="B243" s="1" t="s">
        <v>1783</v>
      </c>
      <c r="C243" s="1" t="s">
        <v>1784</v>
      </c>
      <c r="D243" s="1" t="s">
        <v>1785</v>
      </c>
      <c r="E243" s="1">
        <v>446</v>
      </c>
      <c r="F243" s="2">
        <v>6.7000000000000002E-3</v>
      </c>
      <c r="G243" s="3">
        <f t="shared" si="12"/>
        <v>1100</v>
      </c>
      <c r="H243" s="1">
        <v>3</v>
      </c>
      <c r="I243" s="1">
        <v>3300</v>
      </c>
      <c r="J243" s="1">
        <v>1</v>
      </c>
      <c r="K243" s="1">
        <v>304</v>
      </c>
      <c r="L243" s="1">
        <v>584</v>
      </c>
      <c r="M243" s="1">
        <f t="shared" si="13"/>
        <v>1752</v>
      </c>
      <c r="N243" s="1">
        <f t="shared" si="14"/>
        <v>1244</v>
      </c>
      <c r="O243" s="4">
        <f t="shared" si="15"/>
        <v>0.37696969696969695</v>
      </c>
    </row>
    <row r="244" spans="1:15">
      <c r="A244" s="1" t="s">
        <v>1303</v>
      </c>
      <c r="B244" s="1" t="s">
        <v>1786</v>
      </c>
      <c r="C244" s="1" t="s">
        <v>1304</v>
      </c>
      <c r="D244" s="1" t="s">
        <v>1304</v>
      </c>
      <c r="E244" s="1">
        <v>592</v>
      </c>
      <c r="F244" s="2">
        <v>1.6999999999999999E-3</v>
      </c>
      <c r="G244" s="3">
        <f t="shared" si="12"/>
        <v>3300</v>
      </c>
      <c r="H244" s="1">
        <v>1</v>
      </c>
      <c r="I244" s="1">
        <v>3300</v>
      </c>
      <c r="J244" s="1">
        <v>1</v>
      </c>
      <c r="K244" s="1">
        <v>377</v>
      </c>
      <c r="L244" s="1">
        <v>2522</v>
      </c>
      <c r="M244" s="1">
        <f t="shared" si="13"/>
        <v>2522</v>
      </c>
      <c r="N244" s="1">
        <f t="shared" si="14"/>
        <v>401</v>
      </c>
      <c r="O244" s="4">
        <f t="shared" si="15"/>
        <v>0.12151515151515152</v>
      </c>
    </row>
    <row r="245" spans="1:15">
      <c r="A245" s="1" t="s">
        <v>666</v>
      </c>
      <c r="B245" s="1" t="s">
        <v>1787</v>
      </c>
      <c r="C245" s="1" t="s">
        <v>667</v>
      </c>
      <c r="D245" s="1" t="s">
        <v>668</v>
      </c>
      <c r="E245" s="1">
        <v>144</v>
      </c>
      <c r="F245" s="2">
        <v>2.0799999999999999E-2</v>
      </c>
      <c r="G245" s="3">
        <f t="shared" si="12"/>
        <v>1098</v>
      </c>
      <c r="H245" s="1">
        <v>3</v>
      </c>
      <c r="I245" s="1">
        <v>3294</v>
      </c>
      <c r="J245" s="1">
        <v>2</v>
      </c>
      <c r="K245" s="1">
        <v>303</v>
      </c>
      <c r="L245" s="1">
        <v>469</v>
      </c>
      <c r="M245" s="1">
        <f t="shared" si="13"/>
        <v>1407</v>
      </c>
      <c r="N245" s="1">
        <f t="shared" si="14"/>
        <v>1584</v>
      </c>
      <c r="O245" s="4">
        <f t="shared" si="15"/>
        <v>0.48087431693989069</v>
      </c>
    </row>
    <row r="246" spans="1:15">
      <c r="A246" s="1" t="s">
        <v>423</v>
      </c>
      <c r="B246" s="1" t="s">
        <v>1788</v>
      </c>
      <c r="C246" s="1" t="s">
        <v>424</v>
      </c>
      <c r="D246" s="1" t="s">
        <v>424</v>
      </c>
      <c r="E246" s="1">
        <v>38</v>
      </c>
      <c r="F246" s="2">
        <v>0.1053</v>
      </c>
      <c r="G246" s="3">
        <f t="shared" si="12"/>
        <v>820</v>
      </c>
      <c r="H246" s="1">
        <v>4</v>
      </c>
      <c r="I246" s="1">
        <v>3280</v>
      </c>
      <c r="J246" s="1">
        <v>4</v>
      </c>
      <c r="K246" s="1">
        <v>1736</v>
      </c>
      <c r="L246" s="1">
        <v>273</v>
      </c>
      <c r="M246" s="1">
        <f t="shared" si="13"/>
        <v>1092</v>
      </c>
      <c r="N246" s="1">
        <f t="shared" si="14"/>
        <v>452</v>
      </c>
      <c r="O246" s="4">
        <f t="shared" si="15"/>
        <v>0.1378048780487805</v>
      </c>
    </row>
    <row r="247" spans="1:15">
      <c r="A247" s="1" t="s">
        <v>1195</v>
      </c>
      <c r="B247" s="1" t="s">
        <v>1789</v>
      </c>
      <c r="C247" s="1" t="s">
        <v>1196</v>
      </c>
      <c r="D247" s="1" t="s">
        <v>74</v>
      </c>
      <c r="E247" s="1">
        <v>17</v>
      </c>
      <c r="F247" s="2">
        <v>5.8799999999999998E-2</v>
      </c>
      <c r="G247" s="3">
        <f t="shared" si="12"/>
        <v>3280</v>
      </c>
      <c r="H247" s="1">
        <v>1</v>
      </c>
      <c r="I247" s="1">
        <v>3280</v>
      </c>
      <c r="J247" s="1">
        <v>1</v>
      </c>
      <c r="K247" s="1">
        <v>556</v>
      </c>
      <c r="L247" s="1">
        <v>2020</v>
      </c>
      <c r="M247" s="1">
        <f t="shared" si="13"/>
        <v>2020</v>
      </c>
      <c r="N247" s="1">
        <f t="shared" si="14"/>
        <v>704</v>
      </c>
      <c r="O247" s="4">
        <f t="shared" si="15"/>
        <v>0.21463414634146341</v>
      </c>
    </row>
    <row r="248" spans="1:15">
      <c r="A248" s="1" t="s">
        <v>1222</v>
      </c>
      <c r="B248" s="1" t="s">
        <v>1790</v>
      </c>
      <c r="C248" s="1" t="s">
        <v>1223</v>
      </c>
      <c r="D248" s="1" t="s">
        <v>1223</v>
      </c>
      <c r="E248" s="1">
        <v>24</v>
      </c>
      <c r="F248" s="2">
        <v>0.125</v>
      </c>
      <c r="G248" s="3">
        <f t="shared" si="12"/>
        <v>1080</v>
      </c>
      <c r="H248" s="1">
        <v>3</v>
      </c>
      <c r="I248" s="1">
        <v>3240</v>
      </c>
      <c r="J248" s="1">
        <v>3</v>
      </c>
      <c r="K248" s="1">
        <v>300</v>
      </c>
      <c r="L248" s="1">
        <v>519</v>
      </c>
      <c r="M248" s="1">
        <f t="shared" si="13"/>
        <v>1557</v>
      </c>
      <c r="N248" s="1">
        <f t="shared" si="14"/>
        <v>1383</v>
      </c>
      <c r="O248" s="4">
        <f t="shared" si="15"/>
        <v>0.42685185185185187</v>
      </c>
    </row>
    <row r="249" spans="1:15">
      <c r="A249" s="1" t="s">
        <v>1368</v>
      </c>
      <c r="B249" s="1" t="s">
        <v>1791</v>
      </c>
      <c r="C249" s="1" t="s">
        <v>1369</v>
      </c>
      <c r="D249" s="1" t="s">
        <v>1369</v>
      </c>
      <c r="E249" s="1">
        <v>39</v>
      </c>
      <c r="F249" s="2">
        <v>2.5600000000000001E-2</v>
      </c>
      <c r="G249" s="3">
        <f t="shared" si="12"/>
        <v>3200</v>
      </c>
      <c r="H249" s="1">
        <v>1</v>
      </c>
      <c r="I249" s="1">
        <v>3200</v>
      </c>
      <c r="J249" s="1">
        <v>1</v>
      </c>
      <c r="K249" s="1">
        <v>366</v>
      </c>
      <c r="L249" s="1">
        <v>2253</v>
      </c>
      <c r="M249" s="1">
        <f t="shared" si="13"/>
        <v>2253</v>
      </c>
      <c r="N249" s="1">
        <f t="shared" si="14"/>
        <v>581</v>
      </c>
      <c r="O249" s="4">
        <f t="shared" si="15"/>
        <v>0.18156249999999999</v>
      </c>
    </row>
    <row r="250" spans="1:15">
      <c r="A250" s="1" t="s">
        <v>497</v>
      </c>
      <c r="B250" s="1" t="s">
        <v>1792</v>
      </c>
      <c r="C250" s="1" t="s">
        <v>498</v>
      </c>
      <c r="D250" s="1" t="s">
        <v>498</v>
      </c>
      <c r="E250" s="1">
        <v>1854</v>
      </c>
      <c r="F250" s="2">
        <v>5.0000000000000001E-4</v>
      </c>
      <c r="G250" s="3">
        <f t="shared" si="12"/>
        <v>3180</v>
      </c>
      <c r="H250" s="1">
        <v>1</v>
      </c>
      <c r="I250" s="1">
        <v>3180</v>
      </c>
      <c r="J250" s="1">
        <v>1</v>
      </c>
      <c r="K250" s="1">
        <v>539</v>
      </c>
      <c r="L250" s="1">
        <v>2344</v>
      </c>
      <c r="M250" s="1">
        <f t="shared" si="13"/>
        <v>2344</v>
      </c>
      <c r="N250" s="1">
        <f t="shared" si="14"/>
        <v>297</v>
      </c>
      <c r="O250" s="4">
        <f t="shared" si="15"/>
        <v>9.3396226415094333E-2</v>
      </c>
    </row>
    <row r="251" spans="1:15">
      <c r="A251" s="6" t="s">
        <v>1793</v>
      </c>
      <c r="B251" s="1" t="s">
        <v>1794</v>
      </c>
      <c r="C251" s="1" t="s">
        <v>1795</v>
      </c>
      <c r="D251" s="1" t="s">
        <v>1796</v>
      </c>
      <c r="E251" s="1">
        <v>446</v>
      </c>
      <c r="F251" s="2">
        <v>2.2000000000000001E-3</v>
      </c>
      <c r="G251" s="3">
        <f t="shared" si="12"/>
        <v>3068</v>
      </c>
      <c r="H251" s="1">
        <v>1</v>
      </c>
      <c r="I251" s="1">
        <v>3068</v>
      </c>
      <c r="J251" s="1">
        <v>1</v>
      </c>
      <c r="K251" s="1">
        <v>351</v>
      </c>
      <c r="L251" s="1">
        <v>1911</v>
      </c>
      <c r="M251" s="1">
        <f t="shared" si="13"/>
        <v>1911</v>
      </c>
      <c r="N251" s="1">
        <f t="shared" si="14"/>
        <v>806</v>
      </c>
      <c r="O251" s="4">
        <f t="shared" si="15"/>
        <v>0.26271186440677968</v>
      </c>
    </row>
    <row r="252" spans="1:15">
      <c r="A252" s="1" t="s">
        <v>504</v>
      </c>
      <c r="B252" s="1" t="s">
        <v>1797</v>
      </c>
      <c r="C252" s="1" t="s">
        <v>505</v>
      </c>
      <c r="D252" s="1" t="s">
        <v>366</v>
      </c>
      <c r="E252" s="1">
        <v>433</v>
      </c>
      <c r="F252" s="2">
        <v>4.5999999999999999E-3</v>
      </c>
      <c r="G252" s="3">
        <f t="shared" si="12"/>
        <v>1524.5</v>
      </c>
      <c r="H252" s="1">
        <v>2</v>
      </c>
      <c r="I252" s="1">
        <v>3049</v>
      </c>
      <c r="J252" s="1">
        <v>2</v>
      </c>
      <c r="K252" s="1">
        <v>516</v>
      </c>
      <c r="L252" s="1">
        <v>290</v>
      </c>
      <c r="M252" s="1">
        <f t="shared" si="13"/>
        <v>580</v>
      </c>
      <c r="N252" s="1">
        <f t="shared" si="14"/>
        <v>1953</v>
      </c>
      <c r="O252" s="4">
        <f t="shared" si="15"/>
        <v>0.6405378812725484</v>
      </c>
    </row>
    <row r="253" spans="1:15">
      <c r="A253" s="1" t="s">
        <v>1411</v>
      </c>
      <c r="B253" s="1" t="s">
        <v>1798</v>
      </c>
      <c r="C253" s="1" t="s">
        <v>1412</v>
      </c>
      <c r="D253" s="1" t="s">
        <v>626</v>
      </c>
      <c r="E253" s="1">
        <v>345</v>
      </c>
      <c r="F253" s="2">
        <v>1.4500000000000001E-2</v>
      </c>
      <c r="G253" s="3">
        <f t="shared" si="12"/>
        <v>600</v>
      </c>
      <c r="H253" s="1">
        <v>5</v>
      </c>
      <c r="I253" s="1">
        <v>3000</v>
      </c>
      <c r="J253" s="1">
        <v>4</v>
      </c>
      <c r="K253" s="1">
        <v>165</v>
      </c>
      <c r="L253" s="1">
        <v>348</v>
      </c>
      <c r="M253" s="1">
        <f t="shared" si="13"/>
        <v>1740</v>
      </c>
      <c r="N253" s="1">
        <f t="shared" si="14"/>
        <v>1095</v>
      </c>
      <c r="O253" s="4">
        <f t="shared" si="15"/>
        <v>0.36499999999999999</v>
      </c>
    </row>
    <row r="254" spans="1:15">
      <c r="A254" s="1" t="s">
        <v>1799</v>
      </c>
      <c r="B254" s="1" t="s">
        <v>1800</v>
      </c>
      <c r="C254" s="1" t="s">
        <v>1801</v>
      </c>
      <c r="D254" s="1" t="s">
        <v>1801</v>
      </c>
      <c r="E254" s="1">
        <v>9</v>
      </c>
      <c r="F254" s="2">
        <v>0.66670000000000007</v>
      </c>
      <c r="G254" s="3">
        <f t="shared" si="12"/>
        <v>498</v>
      </c>
      <c r="H254" s="1">
        <v>6</v>
      </c>
      <c r="I254" s="1">
        <v>2988</v>
      </c>
      <c r="J254" s="1">
        <v>5</v>
      </c>
      <c r="K254" s="1">
        <v>198</v>
      </c>
      <c r="L254" s="1">
        <v>242</v>
      </c>
      <c r="M254" s="1">
        <f t="shared" si="13"/>
        <v>1452</v>
      </c>
      <c r="N254" s="1">
        <f t="shared" si="14"/>
        <v>1338</v>
      </c>
      <c r="O254" s="4">
        <f t="shared" si="15"/>
        <v>0.44779116465863456</v>
      </c>
    </row>
    <row r="255" spans="1:15">
      <c r="A255" s="1" t="s">
        <v>1802</v>
      </c>
      <c r="B255" s="1" t="s">
        <v>1803</v>
      </c>
      <c r="C255" s="1" t="s">
        <v>1804</v>
      </c>
      <c r="D255" s="1" t="s">
        <v>1804</v>
      </c>
      <c r="E255" s="1">
        <v>389</v>
      </c>
      <c r="F255" s="2">
        <v>2.5999999999999999E-3</v>
      </c>
      <c r="G255" s="3">
        <f t="shared" si="12"/>
        <v>2980</v>
      </c>
      <c r="H255" s="1">
        <v>1</v>
      </c>
      <c r="I255" s="1">
        <v>2980</v>
      </c>
      <c r="J255" s="1">
        <v>1</v>
      </c>
      <c r="K255" s="1">
        <v>505</v>
      </c>
      <c r="L255" s="1">
        <v>2134</v>
      </c>
      <c r="M255" s="1">
        <f t="shared" si="13"/>
        <v>2134</v>
      </c>
      <c r="N255" s="1">
        <f t="shared" si="14"/>
        <v>341</v>
      </c>
      <c r="O255" s="4">
        <f t="shared" si="15"/>
        <v>0.11442953020134228</v>
      </c>
    </row>
    <row r="256" spans="1:15">
      <c r="A256" s="1" t="s">
        <v>1805</v>
      </c>
      <c r="B256" s="1" t="s">
        <v>1806</v>
      </c>
      <c r="C256" s="1" t="s">
        <v>1807</v>
      </c>
      <c r="D256" s="1" t="s">
        <v>1143</v>
      </c>
      <c r="E256" s="1">
        <v>84</v>
      </c>
      <c r="F256" s="2">
        <v>1.1900000000000001E-2</v>
      </c>
      <c r="G256" s="3">
        <f t="shared" si="12"/>
        <v>2980</v>
      </c>
      <c r="H256" s="1">
        <v>1</v>
      </c>
      <c r="I256" s="1">
        <v>2980</v>
      </c>
      <c r="J256" s="1">
        <v>1</v>
      </c>
      <c r="K256" s="1">
        <v>505</v>
      </c>
      <c r="L256" s="1">
        <v>1155</v>
      </c>
      <c r="M256" s="1">
        <f t="shared" si="13"/>
        <v>1155</v>
      </c>
      <c r="N256" s="1">
        <f t="shared" si="14"/>
        <v>1320</v>
      </c>
      <c r="O256" s="4">
        <f t="shared" si="15"/>
        <v>0.44295302013422821</v>
      </c>
    </row>
    <row r="257" spans="1:15">
      <c r="A257" s="1" t="s">
        <v>97</v>
      </c>
      <c r="B257" s="1" t="s">
        <v>1808</v>
      </c>
      <c r="C257" s="1" t="s">
        <v>98</v>
      </c>
      <c r="D257" s="1" t="s">
        <v>1692</v>
      </c>
      <c r="E257" s="1">
        <v>9</v>
      </c>
      <c r="F257" s="2">
        <v>0.1111</v>
      </c>
      <c r="G257" s="3">
        <f t="shared" si="12"/>
        <v>2980</v>
      </c>
      <c r="H257" s="1">
        <v>1</v>
      </c>
      <c r="I257" s="1">
        <v>2980</v>
      </c>
      <c r="J257" s="1">
        <v>1</v>
      </c>
      <c r="K257" s="1">
        <v>341</v>
      </c>
      <c r="L257" s="1">
        <v>1437</v>
      </c>
      <c r="M257" s="1">
        <f t="shared" si="13"/>
        <v>1437</v>
      </c>
      <c r="N257" s="1">
        <f t="shared" si="14"/>
        <v>1202</v>
      </c>
      <c r="O257" s="4">
        <f t="shared" si="15"/>
        <v>0.40335570469798659</v>
      </c>
    </row>
    <row r="258" spans="1:15">
      <c r="A258" s="1" t="s">
        <v>97</v>
      </c>
      <c r="B258" s="1" t="s">
        <v>1808</v>
      </c>
      <c r="C258" s="1" t="s">
        <v>98</v>
      </c>
      <c r="D258" s="1" t="s">
        <v>98</v>
      </c>
      <c r="E258" s="1">
        <v>50</v>
      </c>
      <c r="F258" s="2">
        <v>0.02</v>
      </c>
      <c r="G258" s="3">
        <f t="shared" si="12"/>
        <v>2980</v>
      </c>
      <c r="H258" s="1">
        <v>1</v>
      </c>
      <c r="I258" s="1">
        <v>2980</v>
      </c>
      <c r="J258" s="1">
        <v>1</v>
      </c>
      <c r="K258" s="1">
        <v>341</v>
      </c>
      <c r="L258" s="1">
        <v>1437</v>
      </c>
      <c r="M258" s="1">
        <f t="shared" si="13"/>
        <v>1437</v>
      </c>
      <c r="N258" s="1">
        <f t="shared" si="14"/>
        <v>1202</v>
      </c>
      <c r="O258" s="4">
        <f t="shared" si="15"/>
        <v>0.40335570469798659</v>
      </c>
    </row>
    <row r="259" spans="1:15">
      <c r="A259" s="1" t="s">
        <v>901</v>
      </c>
      <c r="B259" s="1" t="s">
        <v>1809</v>
      </c>
      <c r="C259" s="1" t="s">
        <v>902</v>
      </c>
      <c r="D259" s="1" t="s">
        <v>902</v>
      </c>
      <c r="E259" s="1">
        <v>44</v>
      </c>
      <c r="F259" s="2">
        <v>4.5499999999999999E-2</v>
      </c>
      <c r="G259" s="3">
        <f t="shared" si="12"/>
        <v>1480</v>
      </c>
      <c r="H259" s="1">
        <v>2</v>
      </c>
      <c r="I259" s="1">
        <v>2960</v>
      </c>
      <c r="J259" s="1">
        <v>2</v>
      </c>
      <c r="K259" s="1">
        <v>272</v>
      </c>
      <c r="L259" s="1">
        <v>422</v>
      </c>
      <c r="M259" s="1">
        <f t="shared" si="13"/>
        <v>844</v>
      </c>
      <c r="N259" s="1">
        <f t="shared" si="14"/>
        <v>1844</v>
      </c>
      <c r="O259" s="4">
        <f t="shared" si="15"/>
        <v>0.62297297297297294</v>
      </c>
    </row>
    <row r="260" spans="1:15">
      <c r="A260" s="1" t="s">
        <v>823</v>
      </c>
      <c r="B260" s="1" t="s">
        <v>1810</v>
      </c>
      <c r="C260" s="1" t="s">
        <v>824</v>
      </c>
      <c r="D260" s="1" t="s">
        <v>824</v>
      </c>
      <c r="E260" s="1">
        <v>11</v>
      </c>
      <c r="F260" s="2">
        <v>0.18179999999999999</v>
      </c>
      <c r="G260" s="3">
        <f t="shared" si="12"/>
        <v>1480</v>
      </c>
      <c r="H260" s="1">
        <v>2</v>
      </c>
      <c r="I260" s="1">
        <v>2960</v>
      </c>
      <c r="J260" s="1">
        <v>1</v>
      </c>
      <c r="K260" s="1">
        <v>273</v>
      </c>
      <c r="L260" s="1">
        <v>800</v>
      </c>
      <c r="M260" s="1">
        <f t="shared" si="13"/>
        <v>1600</v>
      </c>
      <c r="N260" s="1">
        <f t="shared" si="14"/>
        <v>1087</v>
      </c>
      <c r="O260" s="4">
        <f t="shared" si="15"/>
        <v>0.36722972972972973</v>
      </c>
    </row>
    <row r="261" spans="1:15">
      <c r="A261" s="1" t="s">
        <v>1811</v>
      </c>
      <c r="B261" s="1" t="s">
        <v>1812</v>
      </c>
      <c r="C261" s="1" t="s">
        <v>1813</v>
      </c>
      <c r="D261" s="1" t="s">
        <v>1813</v>
      </c>
      <c r="E261" s="1">
        <v>36</v>
      </c>
      <c r="F261" s="2">
        <v>8.3299999999999999E-2</v>
      </c>
      <c r="G261" s="3">
        <f t="shared" si="12"/>
        <v>980</v>
      </c>
      <c r="H261" s="1">
        <v>3</v>
      </c>
      <c r="I261" s="1">
        <v>2940</v>
      </c>
      <c r="J261" s="1">
        <v>3</v>
      </c>
      <c r="K261" s="1">
        <v>270</v>
      </c>
      <c r="L261" s="1">
        <v>596</v>
      </c>
      <c r="M261" s="1">
        <f t="shared" si="13"/>
        <v>1788</v>
      </c>
      <c r="N261" s="1">
        <f t="shared" si="14"/>
        <v>882</v>
      </c>
      <c r="O261" s="4">
        <f t="shared" si="15"/>
        <v>0.3</v>
      </c>
    </row>
    <row r="262" spans="1:15">
      <c r="A262" s="1" t="s">
        <v>1326</v>
      </c>
      <c r="B262" s="1" t="s">
        <v>1814</v>
      </c>
      <c r="C262" s="1" t="s">
        <v>1327</v>
      </c>
      <c r="D262" s="1" t="s">
        <v>588</v>
      </c>
      <c r="E262" s="1">
        <v>95</v>
      </c>
      <c r="F262" s="2">
        <v>3.1600000000000003E-2</v>
      </c>
      <c r="G262" s="3">
        <f t="shared" si="12"/>
        <v>980</v>
      </c>
      <c r="H262" s="1">
        <v>3</v>
      </c>
      <c r="I262" s="1">
        <v>2940</v>
      </c>
      <c r="J262" s="1">
        <v>3</v>
      </c>
      <c r="K262" s="1">
        <v>498</v>
      </c>
      <c r="L262" s="1">
        <v>504</v>
      </c>
      <c r="M262" s="1">
        <f t="shared" si="13"/>
        <v>1512</v>
      </c>
      <c r="N262" s="1">
        <f t="shared" si="14"/>
        <v>930</v>
      </c>
      <c r="O262" s="4">
        <f t="shared" si="15"/>
        <v>0.31632653061224492</v>
      </c>
    </row>
    <row r="263" spans="1:15">
      <c r="A263" s="1" t="s">
        <v>1338</v>
      </c>
      <c r="B263" s="1" t="s">
        <v>1815</v>
      </c>
      <c r="C263" s="1" t="s">
        <v>1339</v>
      </c>
      <c r="D263" s="1" t="s">
        <v>588</v>
      </c>
      <c r="E263" s="1">
        <v>121</v>
      </c>
      <c r="F263" s="2">
        <v>2.4799999999999999E-2</v>
      </c>
      <c r="G263" s="3">
        <f t="shared" si="12"/>
        <v>980</v>
      </c>
      <c r="H263" s="1">
        <v>3</v>
      </c>
      <c r="I263" s="1">
        <v>2940</v>
      </c>
      <c r="J263" s="1">
        <v>2</v>
      </c>
      <c r="K263" s="1">
        <v>562</v>
      </c>
      <c r="L263" s="1">
        <v>504</v>
      </c>
      <c r="M263" s="1">
        <f t="shared" si="13"/>
        <v>1512</v>
      </c>
      <c r="N263" s="1">
        <f t="shared" si="14"/>
        <v>866</v>
      </c>
      <c r="O263" s="4">
        <f t="shared" si="15"/>
        <v>0.29455782312925172</v>
      </c>
    </row>
    <row r="264" spans="1:15">
      <c r="A264" s="1" t="s">
        <v>471</v>
      </c>
      <c r="B264" s="1" t="s">
        <v>1816</v>
      </c>
      <c r="C264" s="1" t="s">
        <v>472</v>
      </c>
      <c r="D264" s="1" t="s">
        <v>472</v>
      </c>
      <c r="E264" s="1">
        <v>1253</v>
      </c>
      <c r="F264" s="2">
        <v>2.3999999999999998E-3</v>
      </c>
      <c r="G264" s="3">
        <f t="shared" ref="G264:G327" si="16">IF(H264=0,"",I264/H264)</f>
        <v>930</v>
      </c>
      <c r="H264" s="1">
        <v>3</v>
      </c>
      <c r="I264" s="1">
        <v>2790</v>
      </c>
      <c r="J264" s="1">
        <v>3</v>
      </c>
      <c r="K264" s="1">
        <v>258</v>
      </c>
      <c r="L264" s="1">
        <v>438</v>
      </c>
      <c r="M264" s="1">
        <f t="shared" ref="M264:M327" si="17">SUM(H264*L264)</f>
        <v>1314</v>
      </c>
      <c r="N264" s="1">
        <f t="shared" ref="N264:N327" si="18">SUM(I264-K264-M264)</f>
        <v>1218</v>
      </c>
      <c r="O264" s="4">
        <f t="shared" ref="O264:O327" si="19">IF(I264=0,"",N264/I264)</f>
        <v>0.43655913978494626</v>
      </c>
    </row>
    <row r="265" spans="1:15">
      <c r="A265" s="1" t="s">
        <v>244</v>
      </c>
      <c r="B265" s="1" t="s">
        <v>1817</v>
      </c>
      <c r="C265" s="1" t="s">
        <v>245</v>
      </c>
      <c r="D265" s="1" t="s">
        <v>246</v>
      </c>
      <c r="E265" s="1">
        <v>569</v>
      </c>
      <c r="F265" s="2">
        <v>1.8E-3</v>
      </c>
      <c r="G265" s="3">
        <f t="shared" si="16"/>
        <v>2780</v>
      </c>
      <c r="H265" s="1">
        <v>1</v>
      </c>
      <c r="I265" s="1">
        <v>2780</v>
      </c>
      <c r="J265" s="1">
        <v>1</v>
      </c>
      <c r="K265" s="1">
        <v>380</v>
      </c>
      <c r="L265" s="1">
        <v>748</v>
      </c>
      <c r="M265" s="1">
        <f t="shared" si="17"/>
        <v>748</v>
      </c>
      <c r="N265" s="1">
        <f t="shared" si="18"/>
        <v>1652</v>
      </c>
      <c r="O265" s="4">
        <f t="shared" si="19"/>
        <v>0.5942446043165468</v>
      </c>
    </row>
    <row r="266" spans="1:15">
      <c r="A266" s="1" t="s">
        <v>1431</v>
      </c>
      <c r="B266" s="1" t="s">
        <v>1818</v>
      </c>
      <c r="C266" s="1" t="s">
        <v>1432</v>
      </c>
      <c r="D266" s="1" t="s">
        <v>1432</v>
      </c>
      <c r="E266" s="1">
        <v>10</v>
      </c>
      <c r="F266" s="2">
        <v>0.1</v>
      </c>
      <c r="G266" s="3">
        <f t="shared" si="16"/>
        <v>2780</v>
      </c>
      <c r="H266" s="1">
        <v>1</v>
      </c>
      <c r="I266" s="1">
        <v>2780</v>
      </c>
      <c r="J266" s="1">
        <v>1</v>
      </c>
      <c r="K266" s="1">
        <v>318</v>
      </c>
      <c r="L266" s="1">
        <v>1900</v>
      </c>
      <c r="M266" s="1">
        <f t="shared" si="17"/>
        <v>1900</v>
      </c>
      <c r="N266" s="1">
        <f t="shared" si="18"/>
        <v>562</v>
      </c>
      <c r="O266" s="4">
        <f t="shared" si="19"/>
        <v>0.20215827338129497</v>
      </c>
    </row>
    <row r="267" spans="1:15">
      <c r="A267" s="1" t="s">
        <v>516</v>
      </c>
      <c r="B267" s="1" t="s">
        <v>1819</v>
      </c>
      <c r="C267" s="1" t="s">
        <v>517</v>
      </c>
      <c r="D267" s="1" t="s">
        <v>517</v>
      </c>
      <c r="E267" s="1">
        <v>11</v>
      </c>
      <c r="F267" s="2">
        <v>9.0899999999999995E-2</v>
      </c>
      <c r="G267" s="3">
        <f t="shared" si="16"/>
        <v>2780</v>
      </c>
      <c r="H267" s="1">
        <v>1</v>
      </c>
      <c r="I267" s="1">
        <v>2780</v>
      </c>
      <c r="J267" s="1">
        <v>1</v>
      </c>
      <c r="K267" s="1">
        <v>318</v>
      </c>
      <c r="L267" s="1">
        <v>1882</v>
      </c>
      <c r="M267" s="1">
        <f t="shared" si="17"/>
        <v>1882</v>
      </c>
      <c r="N267" s="1">
        <f t="shared" si="18"/>
        <v>580</v>
      </c>
      <c r="O267" s="4">
        <f t="shared" si="19"/>
        <v>0.20863309352517986</v>
      </c>
    </row>
    <row r="268" spans="1:15">
      <c r="A268" s="1" t="s">
        <v>559</v>
      </c>
      <c r="B268" s="1" t="s">
        <v>1820</v>
      </c>
      <c r="C268" s="1" t="s">
        <v>560</v>
      </c>
      <c r="D268" s="1" t="s">
        <v>561</v>
      </c>
      <c r="E268" s="1">
        <v>756</v>
      </c>
      <c r="F268" s="2">
        <v>6.6E-3</v>
      </c>
      <c r="G268" s="3">
        <f t="shared" si="16"/>
        <v>546</v>
      </c>
      <c r="H268" s="1">
        <v>5</v>
      </c>
      <c r="I268" s="1">
        <v>2730</v>
      </c>
      <c r="J268" s="1">
        <v>5</v>
      </c>
      <c r="K268" s="1">
        <v>165</v>
      </c>
      <c r="L268" s="1">
        <v>232</v>
      </c>
      <c r="M268" s="1">
        <f t="shared" si="17"/>
        <v>1160</v>
      </c>
      <c r="N268" s="1">
        <f t="shared" si="18"/>
        <v>1405</v>
      </c>
      <c r="O268" s="4">
        <f t="shared" si="19"/>
        <v>0.5146520146520146</v>
      </c>
    </row>
    <row r="269" spans="1:15">
      <c r="A269" s="1" t="s">
        <v>520</v>
      </c>
      <c r="B269" s="1" t="s">
        <v>1821</v>
      </c>
      <c r="C269" s="1" t="s">
        <v>521</v>
      </c>
      <c r="D269" s="1" t="s">
        <v>217</v>
      </c>
      <c r="E269" s="1">
        <v>8</v>
      </c>
      <c r="F269" s="2">
        <v>0.125</v>
      </c>
      <c r="G269" s="3">
        <f t="shared" si="16"/>
        <v>2680</v>
      </c>
      <c r="H269" s="1">
        <v>1</v>
      </c>
      <c r="I269" s="1">
        <v>2680</v>
      </c>
      <c r="J269" s="1">
        <v>1</v>
      </c>
      <c r="K269" s="1">
        <v>505</v>
      </c>
      <c r="L269" s="1">
        <v>522</v>
      </c>
      <c r="M269" s="1">
        <f t="shared" si="17"/>
        <v>522</v>
      </c>
      <c r="N269" s="1">
        <f t="shared" si="18"/>
        <v>1653</v>
      </c>
      <c r="O269" s="4">
        <f t="shared" si="19"/>
        <v>0.61679104477611946</v>
      </c>
    </row>
    <row r="270" spans="1:15">
      <c r="A270" s="1" t="s">
        <v>896</v>
      </c>
      <c r="B270" s="1" t="s">
        <v>1822</v>
      </c>
      <c r="C270" s="1" t="s">
        <v>897</v>
      </c>
      <c r="D270" s="1" t="s">
        <v>897</v>
      </c>
      <c r="E270" s="1">
        <v>209</v>
      </c>
      <c r="F270" s="2">
        <v>9.5999999999999992E-3</v>
      </c>
      <c r="G270" s="3">
        <f t="shared" si="16"/>
        <v>1280</v>
      </c>
      <c r="H270" s="1">
        <v>2</v>
      </c>
      <c r="I270" s="1">
        <v>2560</v>
      </c>
      <c r="J270" s="1">
        <v>2</v>
      </c>
      <c r="K270" s="1">
        <v>238</v>
      </c>
      <c r="L270" s="1">
        <v>704</v>
      </c>
      <c r="M270" s="1">
        <f t="shared" si="17"/>
        <v>1408</v>
      </c>
      <c r="N270" s="1">
        <f t="shared" si="18"/>
        <v>914</v>
      </c>
      <c r="O270" s="4">
        <f t="shared" si="19"/>
        <v>0.35703125000000002</v>
      </c>
    </row>
    <row r="271" spans="1:15">
      <c r="A271" s="1" t="s">
        <v>1823</v>
      </c>
      <c r="B271" s="1" t="s">
        <v>1824</v>
      </c>
      <c r="C271" s="1" t="s">
        <v>621</v>
      </c>
      <c r="D271" s="1" t="s">
        <v>621</v>
      </c>
      <c r="E271" s="1">
        <v>27</v>
      </c>
      <c r="F271" s="2">
        <v>7.4099999999999999E-2</v>
      </c>
      <c r="G271" s="3">
        <f t="shared" si="16"/>
        <v>1280</v>
      </c>
      <c r="H271" s="1">
        <v>2</v>
      </c>
      <c r="I271" s="1">
        <v>2560</v>
      </c>
      <c r="J271" s="1">
        <v>2</v>
      </c>
      <c r="K271" s="1">
        <v>238</v>
      </c>
      <c r="L271" s="1">
        <v>780</v>
      </c>
      <c r="M271" s="1">
        <f t="shared" si="17"/>
        <v>1560</v>
      </c>
      <c r="N271" s="1">
        <f t="shared" si="18"/>
        <v>762</v>
      </c>
      <c r="O271" s="4">
        <f t="shared" si="19"/>
        <v>0.29765625000000001</v>
      </c>
    </row>
    <row r="272" spans="1:15">
      <c r="A272" s="1" t="s">
        <v>416</v>
      </c>
      <c r="B272" s="1" t="s">
        <v>1825</v>
      </c>
      <c r="C272" s="1" t="s">
        <v>417</v>
      </c>
      <c r="D272" s="1" t="s">
        <v>417</v>
      </c>
      <c r="E272" s="1">
        <v>43</v>
      </c>
      <c r="F272" s="2">
        <v>4.6500000000000007E-2</v>
      </c>
      <c r="G272" s="3">
        <f t="shared" si="16"/>
        <v>1280</v>
      </c>
      <c r="H272" s="1">
        <v>2</v>
      </c>
      <c r="I272" s="1">
        <v>2560</v>
      </c>
      <c r="J272" s="1">
        <v>2</v>
      </c>
      <c r="K272" s="1">
        <v>238</v>
      </c>
      <c r="L272" s="1">
        <v>780</v>
      </c>
      <c r="M272" s="1">
        <f t="shared" si="17"/>
        <v>1560</v>
      </c>
      <c r="N272" s="1">
        <f t="shared" si="18"/>
        <v>762</v>
      </c>
      <c r="O272" s="4">
        <f t="shared" si="19"/>
        <v>0.29765625000000001</v>
      </c>
    </row>
    <row r="273" spans="1:15">
      <c r="A273" s="6" t="s">
        <v>1826</v>
      </c>
      <c r="B273" s="1" t="s">
        <v>1827</v>
      </c>
      <c r="C273" s="1" t="s">
        <v>1828</v>
      </c>
      <c r="D273" s="1" t="s">
        <v>1828</v>
      </c>
      <c r="E273" s="1">
        <v>50</v>
      </c>
      <c r="F273" s="2">
        <v>0.08</v>
      </c>
      <c r="G273" s="3">
        <f t="shared" si="16"/>
        <v>629</v>
      </c>
      <c r="H273" s="1">
        <v>4</v>
      </c>
      <c r="I273" s="1">
        <v>2516</v>
      </c>
      <c r="J273" s="1">
        <v>4</v>
      </c>
      <c r="K273" s="1">
        <v>1144</v>
      </c>
      <c r="L273" s="1">
        <v>328</v>
      </c>
      <c r="M273" s="1">
        <f t="shared" si="17"/>
        <v>1312</v>
      </c>
      <c r="N273" s="1">
        <f t="shared" si="18"/>
        <v>60</v>
      </c>
      <c r="O273" s="4">
        <f t="shared" si="19"/>
        <v>2.3847376788553261E-2</v>
      </c>
    </row>
    <row r="274" spans="1:15">
      <c r="A274" s="1" t="s">
        <v>282</v>
      </c>
      <c r="B274" s="1" t="s">
        <v>1829</v>
      </c>
      <c r="C274" s="1" t="s">
        <v>283</v>
      </c>
      <c r="D274" s="1" t="s">
        <v>283</v>
      </c>
      <c r="E274" s="1">
        <v>38</v>
      </c>
      <c r="F274" s="2">
        <v>2.63E-2</v>
      </c>
      <c r="G274" s="3">
        <f t="shared" si="16"/>
        <v>2480</v>
      </c>
      <c r="H274" s="1">
        <v>1</v>
      </c>
      <c r="I274" s="1">
        <v>2480</v>
      </c>
      <c r="J274" s="1">
        <v>1</v>
      </c>
      <c r="K274" s="1">
        <v>284</v>
      </c>
      <c r="L274" s="1">
        <v>1126</v>
      </c>
      <c r="M274" s="1">
        <f t="shared" si="17"/>
        <v>1126</v>
      </c>
      <c r="N274" s="1">
        <f t="shared" si="18"/>
        <v>1070</v>
      </c>
      <c r="O274" s="4">
        <f t="shared" si="19"/>
        <v>0.43145161290322581</v>
      </c>
    </row>
    <row r="275" spans="1:15">
      <c r="A275" s="1" t="s">
        <v>781</v>
      </c>
      <c r="B275" s="1" t="s">
        <v>1830</v>
      </c>
      <c r="C275" s="1" t="s">
        <v>782</v>
      </c>
      <c r="D275" s="1" t="s">
        <v>783</v>
      </c>
      <c r="E275" s="1">
        <v>344</v>
      </c>
      <c r="F275" s="2">
        <v>2.8999999999999998E-3</v>
      </c>
      <c r="G275" s="3">
        <f t="shared" si="16"/>
        <v>2450</v>
      </c>
      <c r="H275" s="1">
        <v>1</v>
      </c>
      <c r="I275" s="1">
        <v>2450</v>
      </c>
      <c r="J275" s="1">
        <v>1</v>
      </c>
      <c r="K275" s="1">
        <v>281</v>
      </c>
      <c r="L275" s="1">
        <v>1513</v>
      </c>
      <c r="M275" s="1">
        <f t="shared" si="17"/>
        <v>1513</v>
      </c>
      <c r="N275" s="1">
        <f t="shared" si="18"/>
        <v>656</v>
      </c>
      <c r="O275" s="4">
        <f t="shared" si="19"/>
        <v>0.26775510204081632</v>
      </c>
    </row>
    <row r="276" spans="1:15">
      <c r="A276" s="1" t="s">
        <v>341</v>
      </c>
      <c r="B276" s="1" t="s">
        <v>1831</v>
      </c>
      <c r="C276" s="1" t="s">
        <v>342</v>
      </c>
      <c r="D276" s="1" t="s">
        <v>342</v>
      </c>
      <c r="E276" s="1">
        <v>75</v>
      </c>
      <c r="F276" s="2">
        <v>2.6700000000000002E-2</v>
      </c>
      <c r="G276" s="3">
        <f t="shared" si="16"/>
        <v>1200</v>
      </c>
      <c r="H276" s="1">
        <v>2</v>
      </c>
      <c r="I276" s="1">
        <v>2400</v>
      </c>
      <c r="J276" s="1">
        <v>2</v>
      </c>
      <c r="K276" s="1">
        <v>222</v>
      </c>
      <c r="L276" s="1">
        <v>704</v>
      </c>
      <c r="M276" s="1">
        <f t="shared" si="17"/>
        <v>1408</v>
      </c>
      <c r="N276" s="1">
        <f t="shared" si="18"/>
        <v>770</v>
      </c>
      <c r="O276" s="4">
        <f t="shared" si="19"/>
        <v>0.32083333333333336</v>
      </c>
    </row>
    <row r="277" spans="1:15">
      <c r="A277" s="1" t="s">
        <v>622</v>
      </c>
      <c r="B277" s="1" t="s">
        <v>1832</v>
      </c>
      <c r="C277" s="1" t="s">
        <v>623</v>
      </c>
      <c r="D277" s="1" t="s">
        <v>623</v>
      </c>
      <c r="E277" s="1">
        <v>95</v>
      </c>
      <c r="F277" s="2">
        <v>2.1100000000000001E-2</v>
      </c>
      <c r="G277" s="3">
        <f t="shared" si="16"/>
        <v>1200</v>
      </c>
      <c r="H277" s="1">
        <v>2</v>
      </c>
      <c r="I277" s="1">
        <v>2400</v>
      </c>
      <c r="J277" s="1">
        <v>2</v>
      </c>
      <c r="K277" s="1">
        <v>222</v>
      </c>
      <c r="L277" s="1">
        <v>589</v>
      </c>
      <c r="M277" s="1">
        <f t="shared" si="17"/>
        <v>1178</v>
      </c>
      <c r="N277" s="1">
        <f t="shared" si="18"/>
        <v>1000</v>
      </c>
      <c r="O277" s="4">
        <f t="shared" si="19"/>
        <v>0.41666666666666669</v>
      </c>
    </row>
    <row r="278" spans="1:15">
      <c r="A278" s="1" t="s">
        <v>1256</v>
      </c>
      <c r="B278" s="1" t="s">
        <v>1833</v>
      </c>
      <c r="C278" s="1" t="s">
        <v>1257</v>
      </c>
      <c r="D278" s="1" t="s">
        <v>1257</v>
      </c>
      <c r="E278" s="1">
        <v>534</v>
      </c>
      <c r="F278" s="2">
        <v>1.9E-3</v>
      </c>
      <c r="G278" s="3">
        <f t="shared" si="16"/>
        <v>2380</v>
      </c>
      <c r="H278" s="1">
        <v>1</v>
      </c>
      <c r="I278" s="1">
        <v>2380</v>
      </c>
      <c r="J278" s="1">
        <v>1</v>
      </c>
      <c r="K278" s="1">
        <v>404</v>
      </c>
      <c r="L278" s="1">
        <v>803</v>
      </c>
      <c r="M278" s="1">
        <f t="shared" si="17"/>
        <v>803</v>
      </c>
      <c r="N278" s="1">
        <f t="shared" si="18"/>
        <v>1173</v>
      </c>
      <c r="O278" s="4">
        <f t="shared" si="19"/>
        <v>0.49285714285714288</v>
      </c>
    </row>
    <row r="279" spans="1:15">
      <c r="A279" s="1" t="s">
        <v>308</v>
      </c>
      <c r="B279" s="1" t="s">
        <v>1834</v>
      </c>
      <c r="C279" s="1" t="s">
        <v>309</v>
      </c>
      <c r="D279" s="1" t="s">
        <v>310</v>
      </c>
      <c r="E279" s="1">
        <v>5520</v>
      </c>
      <c r="F279" s="2">
        <v>5.0000000000000001E-4</v>
      </c>
      <c r="G279" s="3">
        <f t="shared" si="16"/>
        <v>788</v>
      </c>
      <c r="H279" s="1">
        <v>3</v>
      </c>
      <c r="I279" s="1">
        <v>2364</v>
      </c>
      <c r="J279" s="1">
        <v>1</v>
      </c>
      <c r="K279" s="1">
        <v>218</v>
      </c>
      <c r="L279" s="1">
        <v>788</v>
      </c>
      <c r="M279" s="1">
        <f t="shared" si="17"/>
        <v>2364</v>
      </c>
      <c r="N279" s="1">
        <f t="shared" si="18"/>
        <v>-218</v>
      </c>
      <c r="O279" s="4">
        <f t="shared" si="19"/>
        <v>-9.2216582064297795E-2</v>
      </c>
    </row>
    <row r="280" spans="1:15">
      <c r="A280" s="1" t="s">
        <v>268</v>
      </c>
      <c r="B280" s="1" t="s">
        <v>1835</v>
      </c>
      <c r="C280" s="1" t="s">
        <v>269</v>
      </c>
      <c r="D280" s="1" t="s">
        <v>269</v>
      </c>
      <c r="E280" s="1">
        <v>19</v>
      </c>
      <c r="F280" s="2">
        <v>0.1053</v>
      </c>
      <c r="G280" s="3">
        <f t="shared" si="16"/>
        <v>1180</v>
      </c>
      <c r="H280" s="1">
        <v>2</v>
      </c>
      <c r="I280" s="1">
        <v>2360</v>
      </c>
      <c r="J280" s="1">
        <v>2</v>
      </c>
      <c r="K280" s="1">
        <v>287</v>
      </c>
      <c r="L280" s="1">
        <v>330</v>
      </c>
      <c r="M280" s="1">
        <f t="shared" si="17"/>
        <v>660</v>
      </c>
      <c r="N280" s="1">
        <f t="shared" si="18"/>
        <v>1413</v>
      </c>
      <c r="O280" s="4">
        <f t="shared" si="19"/>
        <v>0.59872881355932206</v>
      </c>
    </row>
    <row r="281" spans="1:15">
      <c r="A281" s="1" t="s">
        <v>1836</v>
      </c>
      <c r="B281" s="1" t="s">
        <v>1837</v>
      </c>
      <c r="C281" s="1" t="s">
        <v>1838</v>
      </c>
      <c r="D281" s="1" t="s">
        <v>1838</v>
      </c>
      <c r="E281" s="1">
        <v>270</v>
      </c>
      <c r="F281" s="2">
        <v>7.4000000000000003E-3</v>
      </c>
      <c r="G281" s="3">
        <f t="shared" si="16"/>
        <v>1152</v>
      </c>
      <c r="H281" s="1">
        <v>2</v>
      </c>
      <c r="I281" s="1">
        <v>2304</v>
      </c>
      <c r="J281" s="1">
        <v>2</v>
      </c>
      <c r="K281" s="1">
        <v>214</v>
      </c>
      <c r="L281" s="1">
        <v>612</v>
      </c>
      <c r="M281" s="1">
        <f t="shared" si="17"/>
        <v>1224</v>
      </c>
      <c r="N281" s="1">
        <f t="shared" si="18"/>
        <v>866</v>
      </c>
      <c r="O281" s="4">
        <f t="shared" si="19"/>
        <v>0.37586805555555558</v>
      </c>
    </row>
    <row r="282" spans="1:15">
      <c r="A282" s="1"/>
      <c r="B282" s="1" t="s">
        <v>1839</v>
      </c>
      <c r="C282" s="1" t="s">
        <v>1840</v>
      </c>
      <c r="D282" s="1" t="s">
        <v>1840</v>
      </c>
      <c r="E282" s="1">
        <v>7</v>
      </c>
      <c r="F282" s="2">
        <v>0.1429</v>
      </c>
      <c r="G282" s="3">
        <f t="shared" si="16"/>
        <v>2280</v>
      </c>
      <c r="H282" s="1">
        <v>1</v>
      </c>
      <c r="I282" s="1">
        <v>2280</v>
      </c>
      <c r="J282" s="1">
        <v>1</v>
      </c>
      <c r="K282" s="1">
        <v>386</v>
      </c>
      <c r="L282" s="1">
        <v>0</v>
      </c>
      <c r="M282" s="1">
        <f t="shared" si="17"/>
        <v>0</v>
      </c>
      <c r="N282" s="1">
        <f t="shared" si="18"/>
        <v>1894</v>
      </c>
      <c r="O282" s="4">
        <f t="shared" si="19"/>
        <v>0.83070175438596494</v>
      </c>
    </row>
    <row r="283" spans="1:15">
      <c r="A283" s="1" t="s">
        <v>1136</v>
      </c>
      <c r="B283" s="1" t="s">
        <v>1841</v>
      </c>
      <c r="C283" s="1" t="s">
        <v>1137</v>
      </c>
      <c r="D283" s="1" t="s">
        <v>455</v>
      </c>
      <c r="E283" s="1">
        <v>126</v>
      </c>
      <c r="F283" s="2">
        <v>1.5900000000000001E-2</v>
      </c>
      <c r="G283" s="3">
        <f t="shared" si="16"/>
        <v>1040</v>
      </c>
      <c r="H283" s="1">
        <v>2</v>
      </c>
      <c r="I283" s="1">
        <v>2080</v>
      </c>
      <c r="J283" s="1">
        <v>2</v>
      </c>
      <c r="K283" s="1">
        <v>192</v>
      </c>
      <c r="L283" s="1">
        <v>495</v>
      </c>
      <c r="M283" s="1">
        <f t="shared" si="17"/>
        <v>990</v>
      </c>
      <c r="N283" s="1">
        <f t="shared" si="18"/>
        <v>898</v>
      </c>
      <c r="O283" s="4">
        <f t="shared" si="19"/>
        <v>0.43173076923076925</v>
      </c>
    </row>
    <row r="284" spans="1:15">
      <c r="A284" s="1" t="s">
        <v>1842</v>
      </c>
      <c r="B284" s="1" t="s">
        <v>1843</v>
      </c>
      <c r="C284" s="1" t="s">
        <v>328</v>
      </c>
      <c r="D284" s="1" t="s">
        <v>328</v>
      </c>
      <c r="E284" s="1">
        <v>37</v>
      </c>
      <c r="F284" s="2">
        <v>2.7E-2</v>
      </c>
      <c r="G284" s="3">
        <f t="shared" si="16"/>
        <v>2080</v>
      </c>
      <c r="H284" s="1">
        <v>1</v>
      </c>
      <c r="I284" s="1">
        <v>2080</v>
      </c>
      <c r="J284" s="1">
        <v>1</v>
      </c>
      <c r="K284" s="1">
        <v>352</v>
      </c>
      <c r="L284" s="1">
        <v>1018</v>
      </c>
      <c r="M284" s="1">
        <f t="shared" si="17"/>
        <v>1018</v>
      </c>
      <c r="N284" s="1">
        <f t="shared" si="18"/>
        <v>710</v>
      </c>
      <c r="O284" s="4">
        <f t="shared" si="19"/>
        <v>0.34134615384615385</v>
      </c>
    </row>
    <row r="285" spans="1:15">
      <c r="A285" s="1" t="s">
        <v>1392</v>
      </c>
      <c r="B285" s="1" t="s">
        <v>1844</v>
      </c>
      <c r="C285" s="1" t="s">
        <v>1393</v>
      </c>
      <c r="D285" s="1" t="s">
        <v>531</v>
      </c>
      <c r="E285" s="1">
        <v>690</v>
      </c>
      <c r="F285" s="2">
        <v>5.7999999999999996E-3</v>
      </c>
      <c r="G285" s="3">
        <f t="shared" si="16"/>
        <v>500</v>
      </c>
      <c r="H285" s="1">
        <v>4</v>
      </c>
      <c r="I285" s="1">
        <v>2000</v>
      </c>
      <c r="J285" s="1">
        <v>4</v>
      </c>
      <c r="K285" s="1">
        <v>132</v>
      </c>
      <c r="L285" s="1">
        <v>186</v>
      </c>
      <c r="M285" s="1">
        <f t="shared" si="17"/>
        <v>744</v>
      </c>
      <c r="N285" s="1">
        <f t="shared" si="18"/>
        <v>1124</v>
      </c>
      <c r="O285" s="4">
        <f t="shared" si="19"/>
        <v>0.56200000000000006</v>
      </c>
    </row>
    <row r="286" spans="1:15">
      <c r="A286" s="1" t="s">
        <v>637</v>
      </c>
      <c r="B286" s="1" t="s">
        <v>1845</v>
      </c>
      <c r="C286" s="1" t="s">
        <v>638</v>
      </c>
      <c r="D286" s="1" t="s">
        <v>639</v>
      </c>
      <c r="E286" s="1">
        <v>12</v>
      </c>
      <c r="F286" s="2">
        <v>0.16669999999999999</v>
      </c>
      <c r="G286" s="3">
        <f t="shared" si="16"/>
        <v>999</v>
      </c>
      <c r="H286" s="1">
        <v>2</v>
      </c>
      <c r="I286" s="1">
        <v>1998</v>
      </c>
      <c r="J286" s="1">
        <v>2</v>
      </c>
      <c r="K286" s="1">
        <v>184</v>
      </c>
      <c r="L286" s="1">
        <v>418</v>
      </c>
      <c r="M286" s="1">
        <f t="shared" si="17"/>
        <v>836</v>
      </c>
      <c r="N286" s="1">
        <f t="shared" si="18"/>
        <v>978</v>
      </c>
      <c r="O286" s="4">
        <f t="shared" si="19"/>
        <v>0.4894894894894895</v>
      </c>
    </row>
    <row r="287" spans="1:15">
      <c r="A287" s="1" t="s">
        <v>508</v>
      </c>
      <c r="B287" s="1" t="s">
        <v>1846</v>
      </c>
      <c r="C287" s="1" t="s">
        <v>509</v>
      </c>
      <c r="D287" s="1" t="s">
        <v>429</v>
      </c>
      <c r="E287" s="1">
        <v>963</v>
      </c>
      <c r="F287" s="2">
        <v>2.0999999999999999E-3</v>
      </c>
      <c r="G287" s="3">
        <f t="shared" si="16"/>
        <v>990</v>
      </c>
      <c r="H287" s="1">
        <v>2</v>
      </c>
      <c r="I287" s="1">
        <v>1980</v>
      </c>
      <c r="J287" s="1">
        <v>1</v>
      </c>
      <c r="K287" s="1">
        <v>334</v>
      </c>
      <c r="L287" s="1">
        <v>504</v>
      </c>
      <c r="M287" s="1">
        <f t="shared" si="17"/>
        <v>1008</v>
      </c>
      <c r="N287" s="1">
        <f t="shared" si="18"/>
        <v>638</v>
      </c>
      <c r="O287" s="4">
        <f t="shared" si="19"/>
        <v>0.32222222222222224</v>
      </c>
    </row>
    <row r="288" spans="1:15">
      <c r="A288" s="1" t="s">
        <v>1443</v>
      </c>
      <c r="B288" s="1" t="s">
        <v>1847</v>
      </c>
      <c r="C288" s="1" t="s">
        <v>1444</v>
      </c>
      <c r="D288" s="1" t="s">
        <v>1444</v>
      </c>
      <c r="E288" s="1">
        <v>10</v>
      </c>
      <c r="F288" s="2">
        <v>0.1</v>
      </c>
      <c r="G288" s="3">
        <f t="shared" si="16"/>
        <v>1980</v>
      </c>
      <c r="H288" s="1">
        <v>1</v>
      </c>
      <c r="I288" s="1">
        <v>1980</v>
      </c>
      <c r="J288" s="1">
        <v>1</v>
      </c>
      <c r="K288" s="1">
        <v>227</v>
      </c>
      <c r="L288" s="1">
        <v>1452</v>
      </c>
      <c r="M288" s="1">
        <f t="shared" si="17"/>
        <v>1452</v>
      </c>
      <c r="N288" s="1">
        <f t="shared" si="18"/>
        <v>301</v>
      </c>
      <c r="O288" s="4">
        <f t="shared" si="19"/>
        <v>0.15202020202020203</v>
      </c>
    </row>
    <row r="289" spans="1:15">
      <c r="A289" s="1" t="s">
        <v>568</v>
      </c>
      <c r="B289" s="1" t="s">
        <v>1848</v>
      </c>
      <c r="C289" s="1" t="s">
        <v>569</v>
      </c>
      <c r="D289" s="1" t="s">
        <v>569</v>
      </c>
      <c r="E289" s="1">
        <v>256</v>
      </c>
      <c r="F289" s="2">
        <v>3.8999999999999998E-3</v>
      </c>
      <c r="G289" s="3">
        <f t="shared" si="16"/>
        <v>1950</v>
      </c>
      <c r="H289" s="1">
        <v>1</v>
      </c>
      <c r="I289" s="1">
        <v>1950</v>
      </c>
      <c r="J289" s="1">
        <v>1</v>
      </c>
      <c r="K289" s="1">
        <v>257</v>
      </c>
      <c r="L289" s="1">
        <v>1167</v>
      </c>
      <c r="M289" s="1">
        <f t="shared" si="17"/>
        <v>1167</v>
      </c>
      <c r="N289" s="1">
        <f t="shared" si="18"/>
        <v>526</v>
      </c>
      <c r="O289" s="4">
        <f t="shared" si="19"/>
        <v>0.26974358974358975</v>
      </c>
    </row>
    <row r="290" spans="1:15">
      <c r="A290" s="1" t="s">
        <v>1332</v>
      </c>
      <c r="B290" s="1" t="s">
        <v>1849</v>
      </c>
      <c r="C290" s="1" t="s">
        <v>1333</v>
      </c>
      <c r="D290" s="1" t="s">
        <v>588</v>
      </c>
      <c r="E290" s="1">
        <v>141</v>
      </c>
      <c r="F290" s="2">
        <v>1.4200000000000001E-2</v>
      </c>
      <c r="G290" s="3">
        <f t="shared" si="16"/>
        <v>960</v>
      </c>
      <c r="H290" s="1">
        <v>2</v>
      </c>
      <c r="I290" s="1">
        <v>1920</v>
      </c>
      <c r="J290" s="1">
        <v>2</v>
      </c>
      <c r="K290" s="1">
        <v>326</v>
      </c>
      <c r="L290" s="1">
        <v>504</v>
      </c>
      <c r="M290" s="1">
        <f t="shared" si="17"/>
        <v>1008</v>
      </c>
      <c r="N290" s="1">
        <f t="shared" si="18"/>
        <v>586</v>
      </c>
      <c r="O290" s="4">
        <f t="shared" si="19"/>
        <v>0.30520833333333336</v>
      </c>
    </row>
    <row r="291" spans="1:15">
      <c r="A291" s="1" t="s">
        <v>1850</v>
      </c>
      <c r="B291" s="1" t="s">
        <v>1851</v>
      </c>
      <c r="C291" s="1" t="s">
        <v>1852</v>
      </c>
      <c r="D291" s="1" t="s">
        <v>1853</v>
      </c>
      <c r="E291" s="1">
        <v>1</v>
      </c>
      <c r="F291" s="2">
        <v>1</v>
      </c>
      <c r="G291" s="3">
        <f t="shared" si="16"/>
        <v>1890</v>
      </c>
      <c r="H291" s="1">
        <v>1</v>
      </c>
      <c r="I291" s="1">
        <v>1890</v>
      </c>
      <c r="J291" s="1">
        <v>1</v>
      </c>
      <c r="K291" s="1">
        <v>320</v>
      </c>
      <c r="L291" s="1">
        <v>1500</v>
      </c>
      <c r="M291" s="1">
        <f t="shared" si="17"/>
        <v>1500</v>
      </c>
      <c r="N291" s="1">
        <f t="shared" si="18"/>
        <v>70</v>
      </c>
      <c r="O291" s="4">
        <f t="shared" si="19"/>
        <v>3.7037037037037035E-2</v>
      </c>
    </row>
    <row r="292" spans="1:15">
      <c r="A292" s="1" t="s">
        <v>489</v>
      </c>
      <c r="B292" s="1" t="s">
        <v>1854</v>
      </c>
      <c r="C292" s="1" t="s">
        <v>490</v>
      </c>
      <c r="D292" s="1" t="s">
        <v>62</v>
      </c>
      <c r="E292" s="1">
        <v>27</v>
      </c>
      <c r="F292" s="2">
        <v>3.7000000000000012E-2</v>
      </c>
      <c r="G292" s="3">
        <f t="shared" si="16"/>
        <v>1880</v>
      </c>
      <c r="H292" s="1">
        <v>1</v>
      </c>
      <c r="I292" s="1">
        <v>1880</v>
      </c>
      <c r="J292" s="1">
        <v>1</v>
      </c>
      <c r="K292" s="1">
        <v>319</v>
      </c>
      <c r="L292" s="1">
        <v>705</v>
      </c>
      <c r="M292" s="1">
        <f t="shared" si="17"/>
        <v>705</v>
      </c>
      <c r="N292" s="1">
        <f t="shared" si="18"/>
        <v>856</v>
      </c>
      <c r="O292" s="4">
        <f t="shared" si="19"/>
        <v>0.4553191489361702</v>
      </c>
    </row>
    <row r="293" spans="1:15">
      <c r="A293" s="6" t="s">
        <v>1855</v>
      </c>
      <c r="B293" s="1" t="s">
        <v>1856</v>
      </c>
      <c r="C293" s="1" t="s">
        <v>1857</v>
      </c>
      <c r="D293" s="1" t="s">
        <v>1858</v>
      </c>
      <c r="E293" s="1">
        <v>732</v>
      </c>
      <c r="F293" s="2">
        <v>1.4E-3</v>
      </c>
      <c r="G293" s="3">
        <f t="shared" si="16"/>
        <v>1853</v>
      </c>
      <c r="H293" s="1">
        <v>1</v>
      </c>
      <c r="I293" s="1">
        <v>1853</v>
      </c>
      <c r="J293" s="1">
        <v>1</v>
      </c>
      <c r="K293" s="1">
        <v>212</v>
      </c>
      <c r="L293" s="1">
        <v>0</v>
      </c>
      <c r="M293" s="1">
        <f t="shared" si="17"/>
        <v>0</v>
      </c>
      <c r="N293" s="1">
        <f t="shared" si="18"/>
        <v>1641</v>
      </c>
      <c r="O293" s="4">
        <f t="shared" si="19"/>
        <v>0.88559093362115493</v>
      </c>
    </row>
    <row r="294" spans="1:15">
      <c r="A294" s="1" t="s">
        <v>1413</v>
      </c>
      <c r="B294" s="1" t="s">
        <v>1859</v>
      </c>
      <c r="C294" s="1" t="s">
        <v>1414</v>
      </c>
      <c r="D294" s="1" t="s">
        <v>626</v>
      </c>
      <c r="E294" s="1">
        <v>326</v>
      </c>
      <c r="F294" s="2">
        <v>9.1999999999999998E-3</v>
      </c>
      <c r="G294" s="3">
        <f t="shared" si="16"/>
        <v>600</v>
      </c>
      <c r="H294" s="1">
        <v>3</v>
      </c>
      <c r="I294" s="1">
        <v>1800</v>
      </c>
      <c r="J294" s="1">
        <v>3</v>
      </c>
      <c r="K294" s="1">
        <v>99</v>
      </c>
      <c r="L294" s="1">
        <v>348</v>
      </c>
      <c r="M294" s="1">
        <f t="shared" si="17"/>
        <v>1044</v>
      </c>
      <c r="N294" s="1">
        <f t="shared" si="18"/>
        <v>657</v>
      </c>
      <c r="O294" s="4">
        <f t="shared" si="19"/>
        <v>0.36499999999999999</v>
      </c>
    </row>
    <row r="295" spans="1:15">
      <c r="A295" s="1" t="s">
        <v>627</v>
      </c>
      <c r="B295" s="1" t="s">
        <v>1860</v>
      </c>
      <c r="C295" s="1" t="s">
        <v>628</v>
      </c>
      <c r="D295" s="1" t="s">
        <v>626</v>
      </c>
      <c r="E295" s="1">
        <v>665</v>
      </c>
      <c r="F295" s="2">
        <v>4.5000000000000014E-3</v>
      </c>
      <c r="G295" s="3">
        <f t="shared" si="16"/>
        <v>600</v>
      </c>
      <c r="H295" s="1">
        <v>3</v>
      </c>
      <c r="I295" s="1">
        <v>1800</v>
      </c>
      <c r="J295" s="1">
        <v>2</v>
      </c>
      <c r="K295" s="1">
        <v>99</v>
      </c>
      <c r="L295" s="1">
        <v>348</v>
      </c>
      <c r="M295" s="1">
        <f t="shared" si="17"/>
        <v>1044</v>
      </c>
      <c r="N295" s="1">
        <f t="shared" si="18"/>
        <v>657</v>
      </c>
      <c r="O295" s="4">
        <f t="shared" si="19"/>
        <v>0.36499999999999999</v>
      </c>
    </row>
    <row r="296" spans="1:15">
      <c r="A296" s="1" t="s">
        <v>700</v>
      </c>
      <c r="B296" s="1" t="s">
        <v>1861</v>
      </c>
      <c r="C296" s="1" t="s">
        <v>701</v>
      </c>
      <c r="D296" s="1" t="s">
        <v>617</v>
      </c>
      <c r="E296" s="1">
        <v>5820</v>
      </c>
      <c r="F296" s="2">
        <v>2.0000000000000001E-4</v>
      </c>
      <c r="G296" s="3">
        <f t="shared" si="16"/>
        <v>1800</v>
      </c>
      <c r="H296" s="1">
        <v>1</v>
      </c>
      <c r="I296" s="1">
        <v>1800</v>
      </c>
      <c r="J296" s="1">
        <v>1</v>
      </c>
      <c r="K296" s="1">
        <v>206</v>
      </c>
      <c r="L296" s="1">
        <v>1623</v>
      </c>
      <c r="M296" s="1">
        <f t="shared" si="17"/>
        <v>1623</v>
      </c>
      <c r="N296" s="1">
        <f t="shared" si="18"/>
        <v>-29</v>
      </c>
      <c r="O296" s="4">
        <f t="shared" si="19"/>
        <v>-1.6111111111111111E-2</v>
      </c>
    </row>
    <row r="297" spans="1:15">
      <c r="A297" s="6" t="s">
        <v>1862</v>
      </c>
      <c r="B297" s="1" t="s">
        <v>1863</v>
      </c>
      <c r="C297" s="1" t="s">
        <v>1864</v>
      </c>
      <c r="D297" s="1" t="s">
        <v>1865</v>
      </c>
      <c r="E297" s="1">
        <v>4</v>
      </c>
      <c r="F297" s="2">
        <v>0.25</v>
      </c>
      <c r="G297" s="3">
        <f t="shared" si="16"/>
        <v>1799</v>
      </c>
      <c r="H297" s="1">
        <v>1</v>
      </c>
      <c r="I297" s="1">
        <v>1799</v>
      </c>
      <c r="J297" s="1">
        <v>1</v>
      </c>
      <c r="K297" s="1">
        <v>305</v>
      </c>
      <c r="L297" s="1">
        <v>811</v>
      </c>
      <c r="M297" s="1">
        <f t="shared" si="17"/>
        <v>811</v>
      </c>
      <c r="N297" s="1">
        <f t="shared" si="18"/>
        <v>683</v>
      </c>
      <c r="O297" s="4">
        <f t="shared" si="19"/>
        <v>0.37965536409116174</v>
      </c>
    </row>
    <row r="298" spans="1:15">
      <c r="A298" s="1" t="s">
        <v>1866</v>
      </c>
      <c r="B298" s="1" t="s">
        <v>1867</v>
      </c>
      <c r="C298" s="1" t="s">
        <v>1194</v>
      </c>
      <c r="D298" s="1" t="s">
        <v>1194</v>
      </c>
      <c r="E298" s="1">
        <v>5</v>
      </c>
      <c r="F298" s="2">
        <v>0.2</v>
      </c>
      <c r="G298" s="3">
        <f t="shared" si="16"/>
        <v>1780</v>
      </c>
      <c r="H298" s="1">
        <v>1</v>
      </c>
      <c r="I298" s="1">
        <v>1780</v>
      </c>
      <c r="J298" s="1">
        <v>1</v>
      </c>
      <c r="K298" s="1">
        <v>301</v>
      </c>
      <c r="L298" s="1">
        <v>1072</v>
      </c>
      <c r="M298" s="1">
        <f t="shared" si="17"/>
        <v>1072</v>
      </c>
      <c r="N298" s="1">
        <f t="shared" si="18"/>
        <v>407</v>
      </c>
      <c r="O298" s="4">
        <f t="shared" si="19"/>
        <v>0.22865168539325842</v>
      </c>
    </row>
    <row r="299" spans="1:15">
      <c r="A299" s="1" t="s">
        <v>759</v>
      </c>
      <c r="B299" s="1" t="s">
        <v>1868</v>
      </c>
      <c r="C299" s="1" t="s">
        <v>760</v>
      </c>
      <c r="D299" s="1" t="s">
        <v>761</v>
      </c>
      <c r="E299" s="1">
        <v>2954</v>
      </c>
      <c r="F299" s="2">
        <v>2.9999999999999997E-4</v>
      </c>
      <c r="G299" s="3">
        <f t="shared" si="16"/>
        <v>1750</v>
      </c>
      <c r="H299" s="1">
        <v>1</v>
      </c>
      <c r="I299" s="1">
        <v>1750</v>
      </c>
      <c r="J299" s="1">
        <v>1</v>
      </c>
      <c r="K299" s="1">
        <v>200</v>
      </c>
      <c r="L299" s="1">
        <v>994</v>
      </c>
      <c r="M299" s="1">
        <f t="shared" si="17"/>
        <v>994</v>
      </c>
      <c r="N299" s="1">
        <f t="shared" si="18"/>
        <v>556</v>
      </c>
      <c r="O299" s="4">
        <f t="shared" si="19"/>
        <v>0.31771428571428573</v>
      </c>
    </row>
    <row r="300" spans="1:15">
      <c r="A300" s="1" t="s">
        <v>226</v>
      </c>
      <c r="B300" s="1" t="s">
        <v>1869</v>
      </c>
      <c r="C300" s="1" t="s">
        <v>227</v>
      </c>
      <c r="D300" s="1" t="s">
        <v>228</v>
      </c>
      <c r="E300" s="1">
        <v>496</v>
      </c>
      <c r="F300" s="2">
        <v>2E-3</v>
      </c>
      <c r="G300" s="3">
        <f t="shared" si="16"/>
        <v>1600</v>
      </c>
      <c r="H300" s="1">
        <v>1</v>
      </c>
      <c r="I300" s="1">
        <v>1600</v>
      </c>
      <c r="J300" s="1">
        <v>1</v>
      </c>
      <c r="K300" s="1">
        <v>183</v>
      </c>
      <c r="L300" s="1">
        <v>1130</v>
      </c>
      <c r="M300" s="1">
        <f t="shared" si="17"/>
        <v>1130</v>
      </c>
      <c r="N300" s="1">
        <f t="shared" si="18"/>
        <v>287</v>
      </c>
      <c r="O300" s="4">
        <f t="shared" si="19"/>
        <v>0.17937500000000001</v>
      </c>
    </row>
    <row r="301" spans="1:15">
      <c r="A301" s="1" t="s">
        <v>892</v>
      </c>
      <c r="B301" s="1" t="s">
        <v>1870</v>
      </c>
      <c r="C301" s="1" t="s">
        <v>893</v>
      </c>
      <c r="D301" s="1" t="s">
        <v>893</v>
      </c>
      <c r="E301" s="1">
        <v>3967</v>
      </c>
      <c r="F301" s="2">
        <v>2.9999999999999997E-4</v>
      </c>
      <c r="G301" s="3">
        <f t="shared" si="16"/>
        <v>1550</v>
      </c>
      <c r="H301" s="1">
        <v>1</v>
      </c>
      <c r="I301" s="1">
        <v>1550</v>
      </c>
      <c r="J301" s="1">
        <v>1</v>
      </c>
      <c r="K301" s="1">
        <v>177</v>
      </c>
      <c r="L301" s="1">
        <v>754</v>
      </c>
      <c r="M301" s="1">
        <f t="shared" si="17"/>
        <v>754</v>
      </c>
      <c r="N301" s="1">
        <f t="shared" si="18"/>
        <v>619</v>
      </c>
      <c r="O301" s="4">
        <f t="shared" si="19"/>
        <v>0.39935483870967742</v>
      </c>
    </row>
    <row r="302" spans="1:15">
      <c r="A302" s="1" t="s">
        <v>499</v>
      </c>
      <c r="B302" s="1" t="s">
        <v>1871</v>
      </c>
      <c r="C302" s="1" t="s">
        <v>500</v>
      </c>
      <c r="D302" s="1" t="s">
        <v>500</v>
      </c>
      <c r="E302" s="1">
        <v>53</v>
      </c>
      <c r="F302" s="2">
        <v>1.89E-2</v>
      </c>
      <c r="G302" s="3">
        <f t="shared" si="16"/>
        <v>1540</v>
      </c>
      <c r="H302" s="1">
        <v>1</v>
      </c>
      <c r="I302" s="1">
        <v>1540</v>
      </c>
      <c r="J302" s="1">
        <v>1</v>
      </c>
      <c r="K302" s="1">
        <v>176</v>
      </c>
      <c r="L302" s="1">
        <v>400</v>
      </c>
      <c r="M302" s="1">
        <f t="shared" si="17"/>
        <v>400</v>
      </c>
      <c r="N302" s="1">
        <f t="shared" si="18"/>
        <v>964</v>
      </c>
      <c r="O302" s="4">
        <f t="shared" si="19"/>
        <v>0.62597402597402596</v>
      </c>
    </row>
    <row r="303" spans="1:15">
      <c r="A303" s="6" t="s">
        <v>1872</v>
      </c>
      <c r="B303" s="1" t="s">
        <v>1873</v>
      </c>
      <c r="C303" s="1" t="s">
        <v>1874</v>
      </c>
      <c r="D303" s="1" t="s">
        <v>1874</v>
      </c>
      <c r="E303" s="1">
        <v>18</v>
      </c>
      <c r="F303" s="2">
        <v>0.1111</v>
      </c>
      <c r="G303" s="3">
        <f t="shared" si="16"/>
        <v>750</v>
      </c>
      <c r="H303" s="1">
        <v>2</v>
      </c>
      <c r="I303" s="1">
        <v>1500</v>
      </c>
      <c r="J303" s="1">
        <v>2</v>
      </c>
      <c r="K303" s="1">
        <v>84</v>
      </c>
      <c r="L303" s="1">
        <v>604</v>
      </c>
      <c r="M303" s="1">
        <f t="shared" si="17"/>
        <v>1208</v>
      </c>
      <c r="N303" s="1">
        <f t="shared" si="18"/>
        <v>208</v>
      </c>
      <c r="O303" s="4">
        <f t="shared" si="19"/>
        <v>0.13866666666666666</v>
      </c>
    </row>
    <row r="304" spans="1:15">
      <c r="A304" s="1" t="s">
        <v>809</v>
      </c>
      <c r="B304" s="1" t="s">
        <v>1875</v>
      </c>
      <c r="C304" s="1" t="s">
        <v>810</v>
      </c>
      <c r="D304" s="1" t="s">
        <v>811</v>
      </c>
      <c r="E304" s="1">
        <v>599</v>
      </c>
      <c r="F304" s="2">
        <v>1.6999999999999999E-3</v>
      </c>
      <c r="G304" s="3">
        <f t="shared" si="16"/>
        <v>1500</v>
      </c>
      <c r="H304" s="1">
        <v>1</v>
      </c>
      <c r="I304" s="1">
        <v>1500</v>
      </c>
      <c r="J304" s="1">
        <v>1</v>
      </c>
      <c r="K304" s="1">
        <v>254</v>
      </c>
      <c r="L304" s="1">
        <v>658</v>
      </c>
      <c r="M304" s="1">
        <f t="shared" si="17"/>
        <v>658</v>
      </c>
      <c r="N304" s="1">
        <f t="shared" si="18"/>
        <v>588</v>
      </c>
      <c r="O304" s="4">
        <f t="shared" si="19"/>
        <v>0.39200000000000002</v>
      </c>
    </row>
    <row r="305" spans="1:15">
      <c r="A305" s="1" t="s">
        <v>1876</v>
      </c>
      <c r="B305" s="1" t="s">
        <v>1877</v>
      </c>
      <c r="C305" s="1" t="s">
        <v>1878</v>
      </c>
      <c r="D305" s="1" t="s">
        <v>1878</v>
      </c>
      <c r="E305" s="1">
        <v>99</v>
      </c>
      <c r="F305" s="2">
        <v>1.01E-2</v>
      </c>
      <c r="G305" s="3">
        <f t="shared" si="16"/>
        <v>1500</v>
      </c>
      <c r="H305" s="1">
        <v>1</v>
      </c>
      <c r="I305" s="1">
        <v>1500</v>
      </c>
      <c r="J305" s="1">
        <v>1</v>
      </c>
      <c r="K305" s="1">
        <v>139</v>
      </c>
      <c r="L305" s="1">
        <v>658</v>
      </c>
      <c r="M305" s="1">
        <f t="shared" si="17"/>
        <v>658</v>
      </c>
      <c r="N305" s="1">
        <f t="shared" si="18"/>
        <v>703</v>
      </c>
      <c r="O305" s="4">
        <f t="shared" si="19"/>
        <v>0.46866666666666668</v>
      </c>
    </row>
    <row r="306" spans="1:15">
      <c r="A306" s="1" t="s">
        <v>1029</v>
      </c>
      <c r="B306" s="1" t="s">
        <v>1030</v>
      </c>
      <c r="C306" s="1" t="s">
        <v>1030</v>
      </c>
      <c r="D306" s="1" t="s">
        <v>1030</v>
      </c>
      <c r="E306" s="1">
        <v>141</v>
      </c>
      <c r="F306" s="2">
        <v>7.1000000000000004E-3</v>
      </c>
      <c r="G306" s="3">
        <f t="shared" si="16"/>
        <v>1500</v>
      </c>
      <c r="H306" s="1">
        <v>1</v>
      </c>
      <c r="I306" s="1">
        <v>1500</v>
      </c>
      <c r="J306" s="1">
        <v>1</v>
      </c>
      <c r="K306" s="1">
        <v>254</v>
      </c>
      <c r="L306" s="1">
        <v>629</v>
      </c>
      <c r="M306" s="1">
        <f t="shared" si="17"/>
        <v>629</v>
      </c>
      <c r="N306" s="1">
        <f t="shared" si="18"/>
        <v>617</v>
      </c>
      <c r="O306" s="4">
        <f t="shared" si="19"/>
        <v>0.41133333333333333</v>
      </c>
    </row>
    <row r="307" spans="1:15">
      <c r="A307" s="6" t="s">
        <v>1879</v>
      </c>
      <c r="B307" s="1" t="s">
        <v>1880</v>
      </c>
      <c r="C307" s="1" t="s">
        <v>1881</v>
      </c>
      <c r="D307" s="1" t="s">
        <v>1882</v>
      </c>
      <c r="E307" s="1">
        <v>43</v>
      </c>
      <c r="F307" s="2">
        <v>2.3300000000000001E-2</v>
      </c>
      <c r="G307" s="3">
        <f t="shared" si="16"/>
        <v>1500</v>
      </c>
      <c r="H307" s="1">
        <v>1</v>
      </c>
      <c r="I307" s="1">
        <v>1500</v>
      </c>
      <c r="J307" s="1">
        <v>1</v>
      </c>
      <c r="K307" s="1">
        <v>139</v>
      </c>
      <c r="L307" s="1">
        <v>549</v>
      </c>
      <c r="M307" s="1">
        <f t="shared" si="17"/>
        <v>549</v>
      </c>
      <c r="N307" s="1">
        <f t="shared" si="18"/>
        <v>812</v>
      </c>
      <c r="O307" s="4">
        <f t="shared" si="19"/>
        <v>0.54133333333333333</v>
      </c>
    </row>
    <row r="308" spans="1:15">
      <c r="A308" s="6" t="s">
        <v>1883</v>
      </c>
      <c r="B308" s="1" t="s">
        <v>1884</v>
      </c>
      <c r="C308" s="1" t="s">
        <v>1885</v>
      </c>
      <c r="D308" s="1" t="s">
        <v>1885</v>
      </c>
      <c r="E308" s="1">
        <v>3</v>
      </c>
      <c r="F308" s="2">
        <v>0.33329999999999999</v>
      </c>
      <c r="G308" s="3">
        <f t="shared" si="16"/>
        <v>1500</v>
      </c>
      <c r="H308" s="1">
        <v>1</v>
      </c>
      <c r="I308" s="1">
        <v>1500</v>
      </c>
      <c r="J308" s="1">
        <v>1</v>
      </c>
      <c r="K308" s="1">
        <v>139</v>
      </c>
      <c r="L308" s="1">
        <v>1482</v>
      </c>
      <c r="M308" s="1">
        <f t="shared" si="17"/>
        <v>1482</v>
      </c>
      <c r="N308" s="1">
        <f t="shared" si="18"/>
        <v>-121</v>
      </c>
      <c r="O308" s="4">
        <f t="shared" si="19"/>
        <v>-8.0666666666666664E-2</v>
      </c>
    </row>
    <row r="309" spans="1:15">
      <c r="A309" s="6" t="s">
        <v>1886</v>
      </c>
      <c r="B309" s="1" t="s">
        <v>1887</v>
      </c>
      <c r="C309" s="1" t="s">
        <v>1888</v>
      </c>
      <c r="D309" s="1" t="s">
        <v>1888</v>
      </c>
      <c r="E309" s="1">
        <v>10</v>
      </c>
      <c r="F309" s="2">
        <v>0.1</v>
      </c>
      <c r="G309" s="3">
        <f t="shared" si="16"/>
        <v>1500</v>
      </c>
      <c r="H309" s="1">
        <v>1</v>
      </c>
      <c r="I309" s="1">
        <v>1500</v>
      </c>
      <c r="J309" s="1">
        <v>1</v>
      </c>
      <c r="K309" s="1">
        <v>305</v>
      </c>
      <c r="L309" s="1">
        <v>1482</v>
      </c>
      <c r="M309" s="1">
        <f t="shared" si="17"/>
        <v>1482</v>
      </c>
      <c r="N309" s="1">
        <f t="shared" si="18"/>
        <v>-287</v>
      </c>
      <c r="O309" s="4">
        <f t="shared" si="19"/>
        <v>-0.19133333333333333</v>
      </c>
    </row>
    <row r="310" spans="1:15">
      <c r="A310" s="1" t="s">
        <v>1889</v>
      </c>
      <c r="B310" s="1" t="s">
        <v>1890</v>
      </c>
      <c r="C310" s="1" t="s">
        <v>1891</v>
      </c>
      <c r="D310" s="1" t="s">
        <v>1891</v>
      </c>
      <c r="E310" s="1">
        <v>8</v>
      </c>
      <c r="F310" s="2">
        <v>0.125</v>
      </c>
      <c r="G310" s="3">
        <f t="shared" si="16"/>
        <v>1499</v>
      </c>
      <c r="H310" s="1">
        <v>1</v>
      </c>
      <c r="I310" s="1">
        <v>1499</v>
      </c>
      <c r="J310" s="1">
        <v>1</v>
      </c>
      <c r="K310" s="1">
        <v>139</v>
      </c>
      <c r="L310" s="1">
        <v>320</v>
      </c>
      <c r="M310" s="1">
        <f t="shared" si="17"/>
        <v>320</v>
      </c>
      <c r="N310" s="1">
        <f t="shared" si="18"/>
        <v>1040</v>
      </c>
      <c r="O310" s="4">
        <f t="shared" si="19"/>
        <v>0.69379586390927284</v>
      </c>
    </row>
    <row r="311" spans="1:15">
      <c r="A311" s="6" t="s">
        <v>1892</v>
      </c>
      <c r="B311" s="1" t="s">
        <v>1893</v>
      </c>
      <c r="C311" s="1" t="s">
        <v>1894</v>
      </c>
      <c r="D311" s="1" t="s">
        <v>1894</v>
      </c>
      <c r="E311" s="1">
        <v>95</v>
      </c>
      <c r="F311" s="2">
        <v>1.0500000000000001E-2</v>
      </c>
      <c r="G311" s="3">
        <f t="shared" si="16"/>
        <v>1498</v>
      </c>
      <c r="H311" s="1">
        <v>1</v>
      </c>
      <c r="I311" s="1">
        <v>1498</v>
      </c>
      <c r="J311" s="1">
        <v>1</v>
      </c>
      <c r="K311" s="1">
        <v>139</v>
      </c>
      <c r="L311" s="1">
        <v>830</v>
      </c>
      <c r="M311" s="1">
        <f t="shared" si="17"/>
        <v>830</v>
      </c>
      <c r="N311" s="1">
        <f t="shared" si="18"/>
        <v>529</v>
      </c>
      <c r="O311" s="4">
        <f t="shared" si="19"/>
        <v>0.35313751668891857</v>
      </c>
    </row>
    <row r="312" spans="1:15">
      <c r="A312" s="1" t="s">
        <v>1895</v>
      </c>
      <c r="B312" s="1" t="s">
        <v>1896</v>
      </c>
      <c r="C312" s="1" t="s">
        <v>1897</v>
      </c>
      <c r="D312" s="1" t="s">
        <v>1897</v>
      </c>
      <c r="E312" s="1">
        <v>45</v>
      </c>
      <c r="F312" s="2">
        <v>2.2200000000000001E-2</v>
      </c>
      <c r="G312" s="3">
        <f t="shared" si="16"/>
        <v>1498</v>
      </c>
      <c r="H312" s="1">
        <v>1</v>
      </c>
      <c r="I312" s="1">
        <v>1498</v>
      </c>
      <c r="J312" s="1">
        <v>1</v>
      </c>
      <c r="K312" s="1">
        <v>139</v>
      </c>
      <c r="L312" s="1">
        <v>830</v>
      </c>
      <c r="M312" s="1">
        <f t="shared" si="17"/>
        <v>830</v>
      </c>
      <c r="N312" s="1">
        <f t="shared" si="18"/>
        <v>529</v>
      </c>
      <c r="O312" s="4">
        <f t="shared" si="19"/>
        <v>0.35313751668891857</v>
      </c>
    </row>
    <row r="313" spans="1:15">
      <c r="A313" s="1" t="s">
        <v>1898</v>
      </c>
      <c r="B313" s="1" t="s">
        <v>1899</v>
      </c>
      <c r="C313" s="1" t="s">
        <v>1900</v>
      </c>
      <c r="D313" s="1" t="s">
        <v>1900</v>
      </c>
      <c r="E313" s="1">
        <v>11</v>
      </c>
      <c r="F313" s="2">
        <v>9.0899999999999995E-2</v>
      </c>
      <c r="G313" s="3">
        <f t="shared" si="16"/>
        <v>1485</v>
      </c>
      <c r="H313" s="1">
        <v>1</v>
      </c>
      <c r="I313" s="1">
        <v>1485</v>
      </c>
      <c r="J313" s="1">
        <v>1</v>
      </c>
      <c r="K313" s="1">
        <v>138</v>
      </c>
      <c r="L313" s="1">
        <v>963</v>
      </c>
      <c r="M313" s="1">
        <f t="shared" si="17"/>
        <v>963</v>
      </c>
      <c r="N313" s="1">
        <f t="shared" si="18"/>
        <v>384</v>
      </c>
      <c r="O313" s="4">
        <f t="shared" si="19"/>
        <v>0.25858585858585859</v>
      </c>
    </row>
    <row r="314" spans="1:15">
      <c r="A314" s="1" t="s">
        <v>599</v>
      </c>
      <c r="B314" s="1" t="s">
        <v>1901</v>
      </c>
      <c r="C314" s="1" t="s">
        <v>600</v>
      </c>
      <c r="D314" s="1" t="s">
        <v>600</v>
      </c>
      <c r="E314" s="1">
        <v>67</v>
      </c>
      <c r="F314" s="2">
        <v>1.49E-2</v>
      </c>
      <c r="G314" s="3">
        <f t="shared" si="16"/>
        <v>1480</v>
      </c>
      <c r="H314" s="1">
        <v>1</v>
      </c>
      <c r="I314" s="1">
        <v>1480</v>
      </c>
      <c r="J314" s="1">
        <v>1</v>
      </c>
      <c r="K314" s="1">
        <v>136</v>
      </c>
      <c r="L314" s="1">
        <v>605</v>
      </c>
      <c r="M314" s="1">
        <f t="shared" si="17"/>
        <v>605</v>
      </c>
      <c r="N314" s="1">
        <f t="shared" si="18"/>
        <v>739</v>
      </c>
      <c r="O314" s="4">
        <f t="shared" si="19"/>
        <v>0.49932432432432433</v>
      </c>
    </row>
    <row r="315" spans="1:15">
      <c r="A315" s="1" t="s">
        <v>603</v>
      </c>
      <c r="B315" s="1" t="s">
        <v>1902</v>
      </c>
      <c r="C315" s="1" t="s">
        <v>604</v>
      </c>
      <c r="D315" s="1" t="s">
        <v>604</v>
      </c>
      <c r="E315" s="1">
        <v>50</v>
      </c>
      <c r="F315" s="2">
        <v>0.02</v>
      </c>
      <c r="G315" s="3">
        <f t="shared" si="16"/>
        <v>1480</v>
      </c>
      <c r="H315" s="1">
        <v>1</v>
      </c>
      <c r="I315" s="1">
        <v>1480</v>
      </c>
      <c r="J315" s="1">
        <v>1</v>
      </c>
      <c r="K315" s="1">
        <v>136</v>
      </c>
      <c r="L315" s="1">
        <v>658</v>
      </c>
      <c r="M315" s="1">
        <f t="shared" si="17"/>
        <v>658</v>
      </c>
      <c r="N315" s="1">
        <f t="shared" si="18"/>
        <v>686</v>
      </c>
      <c r="O315" s="4">
        <f t="shared" si="19"/>
        <v>0.4635135135135135</v>
      </c>
    </row>
    <row r="316" spans="1:15">
      <c r="A316" s="1" t="s">
        <v>816</v>
      </c>
      <c r="B316" s="1" t="s">
        <v>1903</v>
      </c>
      <c r="C316" s="1" t="s">
        <v>817</v>
      </c>
      <c r="D316" s="1" t="s">
        <v>818</v>
      </c>
      <c r="E316" s="1">
        <v>247</v>
      </c>
      <c r="F316" s="2">
        <v>4.0000000000000001E-3</v>
      </c>
      <c r="G316" s="3">
        <f t="shared" si="16"/>
        <v>1450</v>
      </c>
      <c r="H316" s="1">
        <v>1</v>
      </c>
      <c r="I316" s="1">
        <v>1450</v>
      </c>
      <c r="J316" s="1">
        <v>1</v>
      </c>
      <c r="K316" s="1">
        <v>134</v>
      </c>
      <c r="L316" s="1">
        <v>878</v>
      </c>
      <c r="M316" s="1">
        <f t="shared" si="17"/>
        <v>878</v>
      </c>
      <c r="N316" s="1">
        <f t="shared" si="18"/>
        <v>438</v>
      </c>
      <c r="O316" s="4">
        <f t="shared" si="19"/>
        <v>0.30206896551724138</v>
      </c>
    </row>
    <row r="317" spans="1:15">
      <c r="A317" s="1" t="s">
        <v>741</v>
      </c>
      <c r="B317" s="1" t="s">
        <v>1904</v>
      </c>
      <c r="C317" s="1" t="s">
        <v>742</v>
      </c>
      <c r="D317" s="1" t="s">
        <v>742</v>
      </c>
      <c r="E317" s="1">
        <v>289</v>
      </c>
      <c r="F317" s="2">
        <v>3.5000000000000001E-3</v>
      </c>
      <c r="G317" s="3">
        <f t="shared" si="16"/>
        <v>1300</v>
      </c>
      <c r="H317" s="1">
        <v>1</v>
      </c>
      <c r="I317" s="1">
        <v>1300</v>
      </c>
      <c r="J317" s="1">
        <v>1</v>
      </c>
      <c r="K317" s="1">
        <v>120</v>
      </c>
      <c r="L317" s="1">
        <v>918</v>
      </c>
      <c r="M317" s="1">
        <f t="shared" si="17"/>
        <v>918</v>
      </c>
      <c r="N317" s="1">
        <f t="shared" si="18"/>
        <v>262</v>
      </c>
      <c r="O317" s="4">
        <f t="shared" si="19"/>
        <v>0.20153846153846153</v>
      </c>
    </row>
    <row r="318" spans="1:15">
      <c r="A318" s="1" t="s">
        <v>526</v>
      </c>
      <c r="B318" s="1" t="s">
        <v>1905</v>
      </c>
      <c r="C318" s="1" t="s">
        <v>527</v>
      </c>
      <c r="D318" s="1" t="s">
        <v>528</v>
      </c>
      <c r="E318" s="1">
        <v>89</v>
      </c>
      <c r="F318" s="2">
        <v>1.12E-2</v>
      </c>
      <c r="G318" s="3">
        <f t="shared" si="16"/>
        <v>1280</v>
      </c>
      <c r="H318" s="1">
        <v>1</v>
      </c>
      <c r="I318" s="1">
        <v>1280</v>
      </c>
      <c r="J318" s="1">
        <v>1</v>
      </c>
      <c r="K318" s="1">
        <v>119</v>
      </c>
      <c r="L318" s="1">
        <v>833</v>
      </c>
      <c r="M318" s="1">
        <f t="shared" si="17"/>
        <v>833</v>
      </c>
      <c r="N318" s="1">
        <f t="shared" si="18"/>
        <v>328</v>
      </c>
      <c r="O318" s="4">
        <f t="shared" si="19"/>
        <v>0.25624999999999998</v>
      </c>
    </row>
    <row r="319" spans="1:15">
      <c r="A319" s="1" t="s">
        <v>1906</v>
      </c>
      <c r="B319" s="1" t="s">
        <v>1907</v>
      </c>
      <c r="C319" s="1" t="s">
        <v>1908</v>
      </c>
      <c r="D319" s="1" t="s">
        <v>1908</v>
      </c>
      <c r="E319" s="1">
        <v>5</v>
      </c>
      <c r="F319" s="2">
        <v>0.2</v>
      </c>
      <c r="G319" s="3">
        <f t="shared" si="16"/>
        <v>1280</v>
      </c>
      <c r="H319" s="1">
        <v>1</v>
      </c>
      <c r="I319" s="1">
        <v>1280</v>
      </c>
      <c r="J319" s="1">
        <v>1</v>
      </c>
      <c r="K319" s="1">
        <v>119</v>
      </c>
      <c r="L319" s="1">
        <v>698</v>
      </c>
      <c r="M319" s="1">
        <f t="shared" si="17"/>
        <v>698</v>
      </c>
      <c r="N319" s="1">
        <f t="shared" si="18"/>
        <v>463</v>
      </c>
      <c r="O319" s="4">
        <f t="shared" si="19"/>
        <v>0.36171874999999998</v>
      </c>
    </row>
    <row r="320" spans="1:15">
      <c r="A320" s="1" t="s">
        <v>658</v>
      </c>
      <c r="B320" s="1" t="s">
        <v>1909</v>
      </c>
      <c r="C320" s="1" t="s">
        <v>659</v>
      </c>
      <c r="D320" s="1" t="s">
        <v>660</v>
      </c>
      <c r="E320" s="1">
        <v>840</v>
      </c>
      <c r="F320" s="2">
        <v>1.1999999999999999E-3</v>
      </c>
      <c r="G320" s="3">
        <f t="shared" si="16"/>
        <v>1258</v>
      </c>
      <c r="H320" s="1">
        <v>1</v>
      </c>
      <c r="I320" s="1">
        <v>1258</v>
      </c>
      <c r="J320" s="1">
        <v>1</v>
      </c>
      <c r="K320" s="1">
        <v>117</v>
      </c>
      <c r="L320" s="1">
        <v>549</v>
      </c>
      <c r="M320" s="1">
        <f t="shared" si="17"/>
        <v>549</v>
      </c>
      <c r="N320" s="1">
        <f t="shared" si="18"/>
        <v>592</v>
      </c>
      <c r="O320" s="4">
        <f t="shared" si="19"/>
        <v>0.47058823529411764</v>
      </c>
    </row>
    <row r="321" spans="1:15">
      <c r="A321" s="1" t="s">
        <v>1910</v>
      </c>
      <c r="B321" s="1" t="s">
        <v>1911</v>
      </c>
      <c r="C321" s="1" t="s">
        <v>1912</v>
      </c>
      <c r="D321" s="1" t="s">
        <v>305</v>
      </c>
      <c r="E321" s="1">
        <v>44</v>
      </c>
      <c r="F321" s="2">
        <v>2.2700000000000001E-2</v>
      </c>
      <c r="G321" s="3">
        <f t="shared" si="16"/>
        <v>1200</v>
      </c>
      <c r="H321" s="1">
        <v>1</v>
      </c>
      <c r="I321" s="1">
        <v>1200</v>
      </c>
      <c r="J321" s="1">
        <v>1</v>
      </c>
      <c r="K321" s="1">
        <v>111</v>
      </c>
      <c r="L321" s="1">
        <v>384</v>
      </c>
      <c r="M321" s="1">
        <f t="shared" si="17"/>
        <v>384</v>
      </c>
      <c r="N321" s="1">
        <f t="shared" si="18"/>
        <v>705</v>
      </c>
      <c r="O321" s="4">
        <f t="shared" si="19"/>
        <v>0.58750000000000002</v>
      </c>
    </row>
    <row r="322" spans="1:15">
      <c r="A322" s="1" t="s">
        <v>756</v>
      </c>
      <c r="B322" s="1" t="s">
        <v>1913</v>
      </c>
      <c r="C322" s="1" t="s">
        <v>757</v>
      </c>
      <c r="D322" s="1" t="s">
        <v>758</v>
      </c>
      <c r="E322" s="1">
        <v>574</v>
      </c>
      <c r="F322" s="2">
        <v>1.6999999999999999E-3</v>
      </c>
      <c r="G322" s="3">
        <f t="shared" si="16"/>
        <v>1188</v>
      </c>
      <c r="H322" s="1">
        <v>1</v>
      </c>
      <c r="I322" s="1">
        <v>1188</v>
      </c>
      <c r="J322" s="1">
        <v>1</v>
      </c>
      <c r="K322" s="1">
        <v>110</v>
      </c>
      <c r="L322" s="1">
        <v>471</v>
      </c>
      <c r="M322" s="1">
        <f t="shared" si="17"/>
        <v>471</v>
      </c>
      <c r="N322" s="1">
        <f t="shared" si="18"/>
        <v>607</v>
      </c>
      <c r="O322" s="4">
        <f t="shared" si="19"/>
        <v>0.51094276094276092</v>
      </c>
    </row>
    <row r="323" spans="1:15">
      <c r="A323" s="1" t="s">
        <v>544</v>
      </c>
      <c r="B323" s="1" t="s">
        <v>1914</v>
      </c>
      <c r="C323" s="1" t="s">
        <v>545</v>
      </c>
      <c r="D323" s="1" t="s">
        <v>545</v>
      </c>
      <c r="E323" s="1">
        <v>8</v>
      </c>
      <c r="F323" s="2">
        <v>0.125</v>
      </c>
      <c r="G323" s="3">
        <f t="shared" si="16"/>
        <v>1180</v>
      </c>
      <c r="H323" s="1">
        <v>1</v>
      </c>
      <c r="I323" s="1">
        <v>1180</v>
      </c>
      <c r="J323" s="1">
        <v>1</v>
      </c>
      <c r="K323" s="1">
        <v>109</v>
      </c>
      <c r="L323" s="1">
        <v>385</v>
      </c>
      <c r="M323" s="1">
        <f t="shared" si="17"/>
        <v>385</v>
      </c>
      <c r="N323" s="1">
        <f t="shared" si="18"/>
        <v>686</v>
      </c>
      <c r="O323" s="4">
        <f t="shared" si="19"/>
        <v>0.58135593220338988</v>
      </c>
    </row>
    <row r="324" spans="1:15">
      <c r="A324" s="1" t="s">
        <v>1915</v>
      </c>
      <c r="B324" s="1" t="s">
        <v>1916</v>
      </c>
      <c r="C324" s="1" t="s">
        <v>1917</v>
      </c>
      <c r="D324" s="1" t="s">
        <v>1917</v>
      </c>
      <c r="E324" s="1">
        <v>173</v>
      </c>
      <c r="F324" s="2">
        <v>5.7999999999999996E-3</v>
      </c>
      <c r="G324" s="3">
        <f t="shared" si="16"/>
        <v>1168</v>
      </c>
      <c r="H324" s="1">
        <v>1</v>
      </c>
      <c r="I324" s="1">
        <v>1168</v>
      </c>
      <c r="J324" s="1">
        <v>1</v>
      </c>
      <c r="K324" s="1">
        <v>108</v>
      </c>
      <c r="L324" s="1">
        <v>660</v>
      </c>
      <c r="M324" s="1">
        <f t="shared" si="17"/>
        <v>660</v>
      </c>
      <c r="N324" s="1">
        <f t="shared" si="18"/>
        <v>400</v>
      </c>
      <c r="O324" s="4">
        <f t="shared" si="19"/>
        <v>0.34246575342465752</v>
      </c>
    </row>
    <row r="325" spans="1:15">
      <c r="A325" s="1" t="s">
        <v>633</v>
      </c>
      <c r="B325" s="1" t="s">
        <v>1918</v>
      </c>
      <c r="C325" s="1" t="s">
        <v>634</v>
      </c>
      <c r="D325" s="1" t="s">
        <v>634</v>
      </c>
      <c r="E325" s="1">
        <v>627</v>
      </c>
      <c r="F325" s="2">
        <v>1.6000000000000001E-3</v>
      </c>
      <c r="G325" s="3">
        <f t="shared" si="16"/>
        <v>1150</v>
      </c>
      <c r="H325" s="1">
        <v>1</v>
      </c>
      <c r="I325" s="1">
        <v>1150</v>
      </c>
      <c r="J325" s="1">
        <v>1</v>
      </c>
      <c r="K325" s="1">
        <v>107</v>
      </c>
      <c r="L325" s="1">
        <v>179</v>
      </c>
      <c r="M325" s="1">
        <f t="shared" si="17"/>
        <v>179</v>
      </c>
      <c r="N325" s="1">
        <f t="shared" si="18"/>
        <v>864</v>
      </c>
      <c r="O325" s="4">
        <f t="shared" si="19"/>
        <v>0.7513043478260869</v>
      </c>
    </row>
    <row r="326" spans="1:15">
      <c r="A326" s="1" t="s">
        <v>481</v>
      </c>
      <c r="B326" s="1" t="s">
        <v>1919</v>
      </c>
      <c r="C326" s="1" t="s">
        <v>482</v>
      </c>
      <c r="D326" s="1" t="s">
        <v>482</v>
      </c>
      <c r="E326" s="1">
        <v>26</v>
      </c>
      <c r="F326" s="2">
        <v>3.85E-2</v>
      </c>
      <c r="G326" s="3">
        <f t="shared" si="16"/>
        <v>1150</v>
      </c>
      <c r="H326" s="1">
        <v>1</v>
      </c>
      <c r="I326" s="1">
        <v>1150</v>
      </c>
      <c r="J326" s="1">
        <v>1</v>
      </c>
      <c r="K326" s="1">
        <v>107</v>
      </c>
      <c r="L326" s="1">
        <v>1148</v>
      </c>
      <c r="M326" s="1">
        <f t="shared" si="17"/>
        <v>1148</v>
      </c>
      <c r="N326" s="1">
        <f t="shared" si="18"/>
        <v>-105</v>
      </c>
      <c r="O326" s="4">
        <f t="shared" si="19"/>
        <v>-9.1304347826086957E-2</v>
      </c>
    </row>
    <row r="327" spans="1:15">
      <c r="A327" s="1" t="s">
        <v>654</v>
      </c>
      <c r="B327" s="1" t="s">
        <v>1920</v>
      </c>
      <c r="C327" s="1" t="s">
        <v>655</v>
      </c>
      <c r="D327" s="1" t="s">
        <v>649</v>
      </c>
      <c r="E327" s="1">
        <v>763</v>
      </c>
      <c r="F327" s="2">
        <v>2.5999999999999999E-3</v>
      </c>
      <c r="G327" s="3">
        <f t="shared" si="16"/>
        <v>550</v>
      </c>
      <c r="H327" s="1">
        <v>2</v>
      </c>
      <c r="I327" s="1">
        <v>1100</v>
      </c>
      <c r="J327" s="1">
        <v>2</v>
      </c>
      <c r="K327" s="1">
        <v>66</v>
      </c>
      <c r="L327" s="1">
        <v>186</v>
      </c>
      <c r="M327" s="1">
        <f t="shared" si="17"/>
        <v>372</v>
      </c>
      <c r="N327" s="1">
        <f t="shared" si="18"/>
        <v>662</v>
      </c>
      <c r="O327" s="4">
        <f t="shared" si="19"/>
        <v>0.60181818181818181</v>
      </c>
    </row>
    <row r="328" spans="1:15">
      <c r="A328" s="1" t="s">
        <v>1383</v>
      </c>
      <c r="B328" s="1" t="s">
        <v>1921</v>
      </c>
      <c r="C328" s="1" t="s">
        <v>1384</v>
      </c>
      <c r="D328" s="1" t="s">
        <v>531</v>
      </c>
      <c r="E328" s="1">
        <v>584</v>
      </c>
      <c r="F328" s="2">
        <v>3.3999999999999998E-3</v>
      </c>
      <c r="G328" s="3">
        <f t="shared" ref="G328:G391" si="20">IF(H328=0,"",I328/H328)</f>
        <v>500</v>
      </c>
      <c r="H328" s="1">
        <v>2</v>
      </c>
      <c r="I328" s="1">
        <v>1000</v>
      </c>
      <c r="J328" s="1">
        <v>2</v>
      </c>
      <c r="K328" s="1">
        <v>66</v>
      </c>
      <c r="L328" s="1">
        <v>186</v>
      </c>
      <c r="M328" s="1">
        <f t="shared" ref="M328:M391" si="21">SUM(H328*L328)</f>
        <v>372</v>
      </c>
      <c r="N328" s="1">
        <f t="shared" ref="N328:N391" si="22">SUM(I328-K328-M328)</f>
        <v>562</v>
      </c>
      <c r="O328" s="4">
        <f t="shared" ref="O328:O391" si="23">IF(I328=0,"",N328/I328)</f>
        <v>0.56200000000000006</v>
      </c>
    </row>
    <row r="329" spans="1:15">
      <c r="A329" s="1" t="s">
        <v>1922</v>
      </c>
      <c r="B329" s="1" t="s">
        <v>1923</v>
      </c>
      <c r="C329" s="1" t="s">
        <v>1924</v>
      </c>
      <c r="D329" s="1" t="s">
        <v>1924</v>
      </c>
      <c r="E329" s="1">
        <v>915</v>
      </c>
      <c r="F329" s="2">
        <v>1.1000000000000001E-3</v>
      </c>
      <c r="G329" s="3">
        <f t="shared" si="20"/>
        <v>1000</v>
      </c>
      <c r="H329" s="1">
        <v>1</v>
      </c>
      <c r="I329" s="1">
        <v>1000</v>
      </c>
      <c r="J329" s="1">
        <v>1</v>
      </c>
      <c r="K329" s="1">
        <v>169</v>
      </c>
      <c r="L329" s="1">
        <v>242</v>
      </c>
      <c r="M329" s="1">
        <f t="shared" si="21"/>
        <v>242</v>
      </c>
      <c r="N329" s="1">
        <f t="shared" si="22"/>
        <v>589</v>
      </c>
      <c r="O329" s="4">
        <f t="shared" si="23"/>
        <v>0.58899999999999997</v>
      </c>
    </row>
    <row r="330" spans="1:15">
      <c r="A330" s="1" t="s">
        <v>1334</v>
      </c>
      <c r="B330" s="1" t="s">
        <v>1925</v>
      </c>
      <c r="C330" s="1" t="s">
        <v>1335</v>
      </c>
      <c r="D330" s="1" t="s">
        <v>1335</v>
      </c>
      <c r="E330" s="1">
        <v>611</v>
      </c>
      <c r="F330" s="2">
        <v>1.6000000000000001E-3</v>
      </c>
      <c r="G330" s="3">
        <f t="shared" si="20"/>
        <v>1000</v>
      </c>
      <c r="H330" s="1">
        <v>1</v>
      </c>
      <c r="I330" s="1">
        <v>1000</v>
      </c>
      <c r="J330" s="1">
        <v>1</v>
      </c>
      <c r="K330" s="1">
        <v>169</v>
      </c>
      <c r="L330" s="1">
        <v>360</v>
      </c>
      <c r="M330" s="1">
        <f t="shared" si="21"/>
        <v>360</v>
      </c>
      <c r="N330" s="1">
        <f t="shared" si="22"/>
        <v>471</v>
      </c>
      <c r="O330" s="4">
        <f t="shared" si="23"/>
        <v>0.47099999999999997</v>
      </c>
    </row>
    <row r="331" spans="1:15">
      <c r="A331" s="1" t="s">
        <v>1926</v>
      </c>
      <c r="B331" s="1" t="s">
        <v>1927</v>
      </c>
      <c r="C331" s="1" t="s">
        <v>557</v>
      </c>
      <c r="D331" s="1" t="s">
        <v>558</v>
      </c>
      <c r="E331" s="1">
        <v>25</v>
      </c>
      <c r="F331" s="2">
        <v>0.04</v>
      </c>
      <c r="G331" s="3">
        <f t="shared" si="20"/>
        <v>999</v>
      </c>
      <c r="H331" s="1">
        <v>1</v>
      </c>
      <c r="I331" s="1">
        <v>999</v>
      </c>
      <c r="J331" s="1">
        <v>1</v>
      </c>
      <c r="K331" s="1">
        <v>92</v>
      </c>
      <c r="L331" s="1">
        <v>520</v>
      </c>
      <c r="M331" s="1">
        <f t="shared" si="21"/>
        <v>520</v>
      </c>
      <c r="N331" s="1">
        <f t="shared" si="22"/>
        <v>387</v>
      </c>
      <c r="O331" s="4">
        <f t="shared" si="23"/>
        <v>0.38738738738738737</v>
      </c>
    </row>
    <row r="332" spans="1:15">
      <c r="A332" s="6" t="s">
        <v>708</v>
      </c>
      <c r="B332" s="1" t="s">
        <v>1928</v>
      </c>
      <c r="C332" s="1" t="s">
        <v>709</v>
      </c>
      <c r="D332" s="1" t="s">
        <v>709</v>
      </c>
      <c r="E332" s="1">
        <v>40</v>
      </c>
      <c r="F332" s="2">
        <v>2.5000000000000001E-2</v>
      </c>
      <c r="G332" s="3">
        <f t="shared" si="20"/>
        <v>900</v>
      </c>
      <c r="H332" s="1">
        <v>1</v>
      </c>
      <c r="I332" s="1">
        <v>900</v>
      </c>
      <c r="J332" s="1">
        <v>1</v>
      </c>
      <c r="K332" s="1">
        <v>84</v>
      </c>
      <c r="L332" s="1">
        <v>500</v>
      </c>
      <c r="M332" s="1">
        <f t="shared" si="21"/>
        <v>500</v>
      </c>
      <c r="N332" s="1">
        <f t="shared" si="22"/>
        <v>316</v>
      </c>
      <c r="O332" s="4">
        <f t="shared" si="23"/>
        <v>0.3511111111111111</v>
      </c>
    </row>
    <row r="333" spans="1:15">
      <c r="A333" s="6" t="s">
        <v>1929</v>
      </c>
      <c r="B333" s="1" t="s">
        <v>1930</v>
      </c>
      <c r="C333" s="1" t="s">
        <v>1931</v>
      </c>
      <c r="D333" s="1" t="s">
        <v>1932</v>
      </c>
      <c r="E333" s="1">
        <v>7428</v>
      </c>
      <c r="F333" s="2">
        <v>1E-4</v>
      </c>
      <c r="G333" s="3">
        <f t="shared" si="20"/>
        <v>897</v>
      </c>
      <c r="H333" s="1">
        <v>1</v>
      </c>
      <c r="I333" s="1">
        <v>897</v>
      </c>
      <c r="J333" s="1">
        <v>1</v>
      </c>
      <c r="K333" s="1">
        <v>83</v>
      </c>
      <c r="L333" s="1">
        <v>363</v>
      </c>
      <c r="M333" s="1">
        <f t="shared" si="21"/>
        <v>363</v>
      </c>
      <c r="N333" s="1">
        <f t="shared" si="22"/>
        <v>451</v>
      </c>
      <c r="O333" s="4">
        <f t="shared" si="23"/>
        <v>0.50278706800445927</v>
      </c>
    </row>
    <row r="334" spans="1:15">
      <c r="A334" s="1" t="s">
        <v>586</v>
      </c>
      <c r="B334" s="1" t="s">
        <v>1933</v>
      </c>
      <c r="C334" s="1" t="s">
        <v>587</v>
      </c>
      <c r="D334" s="1" t="s">
        <v>588</v>
      </c>
      <c r="E334" s="1">
        <v>124</v>
      </c>
      <c r="F334" s="2">
        <v>8.1000000000000013E-3</v>
      </c>
      <c r="G334" s="3">
        <f t="shared" si="20"/>
        <v>880</v>
      </c>
      <c r="H334" s="1">
        <v>1</v>
      </c>
      <c r="I334" s="1">
        <v>880</v>
      </c>
      <c r="J334" s="1">
        <v>1</v>
      </c>
      <c r="K334" s="1">
        <v>150</v>
      </c>
      <c r="L334" s="1">
        <v>504</v>
      </c>
      <c r="M334" s="1">
        <f t="shared" si="21"/>
        <v>504</v>
      </c>
      <c r="N334" s="1">
        <f t="shared" si="22"/>
        <v>226</v>
      </c>
      <c r="O334" s="4">
        <f t="shared" si="23"/>
        <v>0.25681818181818183</v>
      </c>
    </row>
    <row r="335" spans="1:15">
      <c r="A335" s="1" t="s">
        <v>423</v>
      </c>
      <c r="B335" s="1" t="s">
        <v>1934</v>
      </c>
      <c r="C335" s="1" t="s">
        <v>424</v>
      </c>
      <c r="D335" s="1" t="s">
        <v>424</v>
      </c>
      <c r="E335" s="1">
        <v>38</v>
      </c>
      <c r="F335" s="2">
        <v>2.63E-2</v>
      </c>
      <c r="G335" s="3">
        <f t="shared" si="20"/>
        <v>850</v>
      </c>
      <c r="H335" s="1">
        <v>1</v>
      </c>
      <c r="I335" s="1">
        <v>850</v>
      </c>
      <c r="J335" s="1">
        <v>1</v>
      </c>
      <c r="K335" s="1">
        <v>78</v>
      </c>
      <c r="L335" s="1">
        <v>273</v>
      </c>
      <c r="M335" s="1">
        <f t="shared" si="21"/>
        <v>273</v>
      </c>
      <c r="N335" s="1">
        <f t="shared" si="22"/>
        <v>499</v>
      </c>
      <c r="O335" s="4">
        <f t="shared" si="23"/>
        <v>0.58705882352941174</v>
      </c>
    </row>
    <row r="336" spans="1:15">
      <c r="A336" s="1" t="s">
        <v>589</v>
      </c>
      <c r="B336" s="1" t="s">
        <v>1935</v>
      </c>
      <c r="C336" s="1" t="s">
        <v>590</v>
      </c>
      <c r="D336" s="1" t="s">
        <v>591</v>
      </c>
      <c r="E336" s="1">
        <v>316</v>
      </c>
      <c r="F336" s="2">
        <v>3.2000000000000002E-3</v>
      </c>
      <c r="G336" s="3">
        <f t="shared" si="20"/>
        <v>806</v>
      </c>
      <c r="H336" s="1">
        <v>1</v>
      </c>
      <c r="I336" s="1">
        <v>806</v>
      </c>
      <c r="J336" s="1">
        <v>1</v>
      </c>
      <c r="K336" s="1">
        <v>75</v>
      </c>
      <c r="L336" s="1">
        <v>541</v>
      </c>
      <c r="M336" s="1">
        <f t="shared" si="21"/>
        <v>541</v>
      </c>
      <c r="N336" s="1">
        <f t="shared" si="22"/>
        <v>190</v>
      </c>
      <c r="O336" s="4">
        <f t="shared" si="23"/>
        <v>0.23573200992555832</v>
      </c>
    </row>
    <row r="337" spans="1:15">
      <c r="A337" s="1" t="s">
        <v>541</v>
      </c>
      <c r="B337" s="1" t="s">
        <v>1936</v>
      </c>
      <c r="C337" s="1" t="s">
        <v>542</v>
      </c>
      <c r="D337" s="1" t="s">
        <v>543</v>
      </c>
      <c r="E337" s="1">
        <v>724</v>
      </c>
      <c r="F337" s="2">
        <v>1.4E-3</v>
      </c>
      <c r="G337" s="3">
        <f t="shared" si="20"/>
        <v>800</v>
      </c>
      <c r="H337" s="1">
        <v>1</v>
      </c>
      <c r="I337" s="1">
        <v>800</v>
      </c>
      <c r="J337" s="1">
        <v>1</v>
      </c>
      <c r="K337" s="1">
        <v>74</v>
      </c>
      <c r="L337" s="1">
        <v>309</v>
      </c>
      <c r="M337" s="1">
        <f t="shared" si="21"/>
        <v>309</v>
      </c>
      <c r="N337" s="1">
        <f t="shared" si="22"/>
        <v>417</v>
      </c>
      <c r="O337" s="4">
        <f t="shared" si="23"/>
        <v>0.52124999999999999</v>
      </c>
    </row>
    <row r="338" spans="1:15">
      <c r="A338" s="1" t="s">
        <v>1209</v>
      </c>
      <c r="B338" s="1" t="s">
        <v>1937</v>
      </c>
      <c r="C338" s="1" t="s">
        <v>1210</v>
      </c>
      <c r="D338" s="1" t="s">
        <v>1210</v>
      </c>
      <c r="E338" s="1">
        <v>6</v>
      </c>
      <c r="F338" s="2">
        <v>0.16669999999999999</v>
      </c>
      <c r="G338" s="3">
        <f t="shared" si="20"/>
        <v>798</v>
      </c>
      <c r="H338" s="1">
        <v>1</v>
      </c>
      <c r="I338" s="1">
        <v>798</v>
      </c>
      <c r="J338" s="1">
        <v>1</v>
      </c>
      <c r="K338" s="1">
        <v>74</v>
      </c>
      <c r="L338" s="1">
        <v>440</v>
      </c>
      <c r="M338" s="1">
        <f t="shared" si="21"/>
        <v>440</v>
      </c>
      <c r="N338" s="1">
        <f t="shared" si="22"/>
        <v>284</v>
      </c>
      <c r="O338" s="4">
        <f t="shared" si="23"/>
        <v>0.35588972431077692</v>
      </c>
    </row>
    <row r="339" spans="1:15">
      <c r="A339" s="1" t="s">
        <v>1938</v>
      </c>
      <c r="B339" s="1" t="s">
        <v>1939</v>
      </c>
      <c r="C339" s="1" t="s">
        <v>1940</v>
      </c>
      <c r="D339" s="1" t="s">
        <v>1940</v>
      </c>
      <c r="E339" s="1">
        <v>18</v>
      </c>
      <c r="F339" s="2">
        <v>5.5599999999999997E-2</v>
      </c>
      <c r="G339" s="3">
        <f t="shared" si="20"/>
        <v>750</v>
      </c>
      <c r="H339" s="1">
        <v>1</v>
      </c>
      <c r="I339" s="1">
        <v>750</v>
      </c>
      <c r="J339" s="1">
        <v>1</v>
      </c>
      <c r="K339" s="1">
        <v>42</v>
      </c>
      <c r="L339" s="1">
        <v>481</v>
      </c>
      <c r="M339" s="1">
        <f t="shared" si="21"/>
        <v>481</v>
      </c>
      <c r="N339" s="1">
        <f t="shared" si="22"/>
        <v>227</v>
      </c>
      <c r="O339" s="4">
        <f t="shared" si="23"/>
        <v>0.30266666666666664</v>
      </c>
    </row>
    <row r="340" spans="1:15">
      <c r="A340" s="1" t="s">
        <v>1941</v>
      </c>
      <c r="B340" s="1" t="s">
        <v>1942</v>
      </c>
      <c r="C340" s="1" t="s">
        <v>1943</v>
      </c>
      <c r="D340" s="1" t="s">
        <v>1943</v>
      </c>
      <c r="E340" s="1">
        <v>1</v>
      </c>
      <c r="F340" s="2">
        <v>1</v>
      </c>
      <c r="G340" s="3">
        <f t="shared" si="20"/>
        <v>680</v>
      </c>
      <c r="H340" s="1">
        <v>1</v>
      </c>
      <c r="I340" s="1">
        <v>680</v>
      </c>
      <c r="J340" s="1">
        <v>1</v>
      </c>
      <c r="K340" s="1">
        <v>37</v>
      </c>
      <c r="L340" s="1">
        <v>0</v>
      </c>
      <c r="M340" s="1">
        <f t="shared" si="21"/>
        <v>0</v>
      </c>
      <c r="N340" s="1">
        <f t="shared" si="22"/>
        <v>643</v>
      </c>
      <c r="O340" s="4">
        <f t="shared" si="23"/>
        <v>0.94558823529411762</v>
      </c>
    </row>
    <row r="341" spans="1:15">
      <c r="A341" s="1" t="s">
        <v>566</v>
      </c>
      <c r="B341" s="1" t="s">
        <v>1944</v>
      </c>
      <c r="C341" s="1" t="s">
        <v>567</v>
      </c>
      <c r="D341" s="1" t="s">
        <v>503</v>
      </c>
      <c r="E341" s="1">
        <v>661</v>
      </c>
      <c r="F341" s="2">
        <v>1.5E-3</v>
      </c>
      <c r="G341" s="3">
        <f t="shared" si="20"/>
        <v>650</v>
      </c>
      <c r="H341" s="1">
        <v>1</v>
      </c>
      <c r="I341" s="1">
        <v>650</v>
      </c>
      <c r="J341" s="1">
        <v>1</v>
      </c>
      <c r="K341" s="1">
        <v>36</v>
      </c>
      <c r="L341" s="1">
        <v>204</v>
      </c>
      <c r="M341" s="1">
        <f t="shared" si="21"/>
        <v>204</v>
      </c>
      <c r="N341" s="1">
        <f t="shared" si="22"/>
        <v>410</v>
      </c>
      <c r="O341" s="4">
        <f t="shared" si="23"/>
        <v>0.63076923076923075</v>
      </c>
    </row>
    <row r="342" spans="1:15">
      <c r="A342" s="1" t="s">
        <v>501</v>
      </c>
      <c r="B342" s="1" t="s">
        <v>1945</v>
      </c>
      <c r="C342" s="1" t="s">
        <v>502</v>
      </c>
      <c r="D342" s="1" t="s">
        <v>503</v>
      </c>
      <c r="E342" s="1">
        <v>635</v>
      </c>
      <c r="F342" s="2">
        <v>1.6000000000000001E-3</v>
      </c>
      <c r="G342" s="3">
        <f t="shared" si="20"/>
        <v>600</v>
      </c>
      <c r="H342" s="1">
        <v>1</v>
      </c>
      <c r="I342" s="1">
        <v>600</v>
      </c>
      <c r="J342" s="1">
        <v>1</v>
      </c>
      <c r="K342" s="1">
        <f>SUM(I342*0.15)</f>
        <v>90</v>
      </c>
      <c r="L342" s="1">
        <v>204</v>
      </c>
      <c r="M342" s="1">
        <f t="shared" si="21"/>
        <v>204</v>
      </c>
      <c r="N342" s="1">
        <f t="shared" si="22"/>
        <v>306</v>
      </c>
      <c r="O342" s="4">
        <f t="shared" si="23"/>
        <v>0.51</v>
      </c>
    </row>
    <row r="343" spans="1:15">
      <c r="A343" s="1" t="s">
        <v>645</v>
      </c>
      <c r="B343" s="1" t="s">
        <v>1946</v>
      </c>
      <c r="C343" s="1" t="s">
        <v>646</v>
      </c>
      <c r="D343" s="1" t="s">
        <v>626</v>
      </c>
      <c r="E343" s="1">
        <v>385</v>
      </c>
      <c r="F343" s="2">
        <v>2.5999999999999999E-3</v>
      </c>
      <c r="G343" s="3">
        <f t="shared" si="20"/>
        <v>600</v>
      </c>
      <c r="H343" s="1">
        <v>1</v>
      </c>
      <c r="I343" s="1">
        <v>600</v>
      </c>
      <c r="J343" s="1">
        <v>1</v>
      </c>
      <c r="K343" s="1">
        <v>33</v>
      </c>
      <c r="L343" s="1">
        <v>348</v>
      </c>
      <c r="M343" s="1">
        <f t="shared" si="21"/>
        <v>348</v>
      </c>
      <c r="N343" s="1">
        <f t="shared" si="22"/>
        <v>219</v>
      </c>
      <c r="O343" s="4">
        <f t="shared" si="23"/>
        <v>0.36499999999999999</v>
      </c>
    </row>
    <row r="344" spans="1:15">
      <c r="A344" s="1" t="s">
        <v>624</v>
      </c>
      <c r="B344" s="1" t="s">
        <v>1947</v>
      </c>
      <c r="C344" s="1" t="s">
        <v>625</v>
      </c>
      <c r="D344" s="1" t="s">
        <v>626</v>
      </c>
      <c r="E344" s="1">
        <v>384</v>
      </c>
      <c r="F344" s="2">
        <v>2.5999999999999999E-3</v>
      </c>
      <c r="G344" s="3">
        <f t="shared" si="20"/>
        <v>600</v>
      </c>
      <c r="H344" s="1">
        <v>1</v>
      </c>
      <c r="I344" s="1">
        <v>600</v>
      </c>
      <c r="J344" s="1">
        <v>1</v>
      </c>
      <c r="K344" s="1">
        <v>33</v>
      </c>
      <c r="L344" s="1">
        <v>348</v>
      </c>
      <c r="M344" s="1">
        <f t="shared" si="21"/>
        <v>348</v>
      </c>
      <c r="N344" s="1">
        <f t="shared" si="22"/>
        <v>219</v>
      </c>
      <c r="O344" s="4">
        <f t="shared" si="23"/>
        <v>0.36499999999999999</v>
      </c>
    </row>
    <row r="345" spans="1:15">
      <c r="A345" s="1" t="s">
        <v>1948</v>
      </c>
      <c r="B345" s="1" t="s">
        <v>1949</v>
      </c>
      <c r="C345" s="1" t="s">
        <v>1950</v>
      </c>
      <c r="D345" s="1" t="s">
        <v>1950</v>
      </c>
      <c r="E345" s="1">
        <v>7</v>
      </c>
      <c r="F345" s="2">
        <v>0.1429</v>
      </c>
      <c r="G345" s="3">
        <f t="shared" si="20"/>
        <v>598</v>
      </c>
      <c r="H345" s="1">
        <v>1</v>
      </c>
      <c r="I345" s="1">
        <v>598</v>
      </c>
      <c r="J345" s="1">
        <v>1</v>
      </c>
      <c r="K345" s="1">
        <v>33</v>
      </c>
      <c r="L345" s="1">
        <v>220</v>
      </c>
      <c r="M345" s="1">
        <f t="shared" si="21"/>
        <v>220</v>
      </c>
      <c r="N345" s="1">
        <f t="shared" si="22"/>
        <v>345</v>
      </c>
      <c r="O345" s="4">
        <f t="shared" si="23"/>
        <v>0.57692307692307687</v>
      </c>
    </row>
    <row r="346" spans="1:15">
      <c r="A346" s="1" t="s">
        <v>647</v>
      </c>
      <c r="B346" s="1" t="s">
        <v>1951</v>
      </c>
      <c r="C346" s="1" t="s">
        <v>648</v>
      </c>
      <c r="D346" s="1" t="s">
        <v>649</v>
      </c>
      <c r="E346" s="1">
        <v>725</v>
      </c>
      <c r="F346" s="2">
        <v>1.4E-3</v>
      </c>
      <c r="G346" s="3">
        <f t="shared" si="20"/>
        <v>507</v>
      </c>
      <c r="H346" s="1">
        <v>1</v>
      </c>
      <c r="I346" s="1">
        <v>507</v>
      </c>
      <c r="J346" s="1">
        <v>1</v>
      </c>
      <c r="K346" s="1">
        <v>33</v>
      </c>
      <c r="L346" s="1">
        <v>186</v>
      </c>
      <c r="M346" s="1">
        <f t="shared" si="21"/>
        <v>186</v>
      </c>
      <c r="N346" s="1">
        <f t="shared" si="22"/>
        <v>288</v>
      </c>
      <c r="O346" s="4">
        <f t="shared" si="23"/>
        <v>0.56804733727810652</v>
      </c>
    </row>
    <row r="347" spans="1:15">
      <c r="A347" s="1" t="s">
        <v>1404</v>
      </c>
      <c r="B347" s="1" t="s">
        <v>1952</v>
      </c>
      <c r="C347" s="1" t="s">
        <v>1405</v>
      </c>
      <c r="D347" s="1" t="s">
        <v>531</v>
      </c>
      <c r="E347" s="1">
        <v>618</v>
      </c>
      <c r="F347" s="2">
        <v>1.6000000000000001E-3</v>
      </c>
      <c r="G347" s="3">
        <f t="shared" si="20"/>
        <v>500</v>
      </c>
      <c r="H347" s="1">
        <v>1</v>
      </c>
      <c r="I347" s="1">
        <v>500</v>
      </c>
      <c r="J347" s="1">
        <v>1</v>
      </c>
      <c r="K347" s="1">
        <v>33</v>
      </c>
      <c r="L347" s="1">
        <v>186</v>
      </c>
      <c r="M347" s="1">
        <f t="shared" si="21"/>
        <v>186</v>
      </c>
      <c r="N347" s="1">
        <f t="shared" si="22"/>
        <v>281</v>
      </c>
      <c r="O347" s="4">
        <f t="shared" si="23"/>
        <v>0.56200000000000006</v>
      </c>
    </row>
    <row r="348" spans="1:15">
      <c r="A348" s="1" t="s">
        <v>1218</v>
      </c>
      <c r="B348" s="1" t="s">
        <v>1953</v>
      </c>
      <c r="C348" s="1" t="s">
        <v>1219</v>
      </c>
      <c r="D348" s="1" t="s">
        <v>1219</v>
      </c>
      <c r="E348" s="1">
        <v>13</v>
      </c>
      <c r="F348" s="2">
        <v>7.690000000000001E-2</v>
      </c>
      <c r="G348" s="3">
        <f t="shared" si="20"/>
        <v>499</v>
      </c>
      <c r="H348" s="1">
        <v>1</v>
      </c>
      <c r="I348" s="1">
        <v>499</v>
      </c>
      <c r="J348" s="1">
        <v>1</v>
      </c>
      <c r="K348" s="1">
        <v>33</v>
      </c>
      <c r="L348" s="1">
        <v>242</v>
      </c>
      <c r="M348" s="1">
        <f t="shared" si="21"/>
        <v>242</v>
      </c>
      <c r="N348" s="1">
        <f t="shared" si="22"/>
        <v>224</v>
      </c>
      <c r="O348" s="4">
        <f t="shared" si="23"/>
        <v>0.44889779559118237</v>
      </c>
    </row>
    <row r="349" spans="1:15">
      <c r="E349" s="1">
        <f>SUM(E8:E348)</f>
        <v>635413</v>
      </c>
      <c r="H349" s="1">
        <f>SUM(H8:H348)</f>
        <v>3156</v>
      </c>
      <c r="I349" s="1">
        <f>SUM(I8:I348)</f>
        <v>6552386</v>
      </c>
      <c r="J349" s="1">
        <f>SUM(J8:J348)</f>
        <v>2662</v>
      </c>
      <c r="K349" s="1">
        <f>SUM(K8:K348)</f>
        <v>875746</v>
      </c>
      <c r="M349" s="1">
        <f>SUM(M8:M348)</f>
        <v>3471209</v>
      </c>
      <c r="N349" s="1">
        <f>SUM(N8:N348)</f>
        <v>2205431</v>
      </c>
      <c r="O349" s="4">
        <f t="shared" si="23"/>
        <v>0.33658441367770459</v>
      </c>
    </row>
    <row r="351" spans="1:15">
      <c r="M351" s="5" t="s">
        <v>1468</v>
      </c>
      <c r="N351" s="1">
        <v>102879</v>
      </c>
      <c r="O351" s="2">
        <f>SUM(N351/I349)</f>
        <v>1.5700998079172992E-2</v>
      </c>
    </row>
    <row r="352" spans="1:15">
      <c r="M352" s="5" t="s">
        <v>1470</v>
      </c>
      <c r="N352" s="1">
        <v>1117</v>
      </c>
      <c r="O352" s="2">
        <f>SUM(N352/I349)</f>
        <v>1.7047225239782881E-4</v>
      </c>
    </row>
    <row r="353" spans="13:15">
      <c r="M353" s="5" t="s">
        <v>1472</v>
      </c>
      <c r="N353" s="1">
        <v>7773</v>
      </c>
      <c r="O353" s="2">
        <f>SUM(N353/I349)</f>
        <v>1.1862854233557058E-3</v>
      </c>
    </row>
    <row r="354" spans="13:15">
      <c r="M354" s="5" t="s">
        <v>1474</v>
      </c>
      <c r="N354" s="1">
        <f>SUM(N351:N353)</f>
        <v>111769</v>
      </c>
      <c r="O354" s="2">
        <f>SUM(N354/I349)</f>
        <v>1.7057755754926525E-2</v>
      </c>
    </row>
    <row r="356" spans="13:15">
      <c r="M356" s="5" t="s">
        <v>1477</v>
      </c>
      <c r="N356" s="1">
        <v>749471</v>
      </c>
      <c r="O356" s="2">
        <f>SUM(N356/I349)</f>
        <v>0.11438138717712906</v>
      </c>
    </row>
    <row r="357" spans="13:15">
      <c r="M357" s="5" t="s">
        <v>1479</v>
      </c>
      <c r="N357" s="1">
        <v>0</v>
      </c>
      <c r="O357" s="2">
        <f>SUM(N357/I349)</f>
        <v>0</v>
      </c>
    </row>
    <row r="358" spans="13:15">
      <c r="M358" s="5" t="s">
        <v>1474</v>
      </c>
      <c r="N358" s="1">
        <f>SUM(N356:N357)</f>
        <v>749471</v>
      </c>
      <c r="O358" s="2">
        <f>SUM(O356:O357)</f>
        <v>0.11438138717712906</v>
      </c>
    </row>
    <row r="360" spans="13:15">
      <c r="M360" s="5" t="s">
        <v>1481</v>
      </c>
      <c r="N360" s="1">
        <f>IF(COUNTBLANK(N351:N353)+COUNTBLANK(N356:N357)&gt;0,"未確定",N349-N354-N358)</f>
        <v>1344191</v>
      </c>
    </row>
    <row r="361" spans="13:15">
      <c r="M361" s="5" t="s">
        <v>1482</v>
      </c>
      <c r="N361" s="4">
        <f>IF(ISTEXT(N360),"未確定",IF(I349=0,"",N360/I349))</f>
        <v>0.20514527074564898</v>
      </c>
    </row>
  </sheetData>
  <phoneticPr fontId="3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82"/>
  <sheetViews>
    <sheetView tabSelected="1" topLeftCell="A652" workbookViewId="0">
      <selection activeCell="J689" sqref="J689"/>
    </sheetView>
  </sheetViews>
  <sheetFormatPr baseColWidth="10" defaultColWidth="8.83203125" defaultRowHeight="14"/>
  <cols>
    <col min="1" max="1" width="29" customWidth="1"/>
    <col min="2" max="2" width="20" customWidth="1"/>
    <col min="3" max="4" width="13" customWidth="1"/>
    <col min="17" max="17" width="44" customWidth="1"/>
    <col min="18" max="18" width="14" customWidth="1"/>
  </cols>
  <sheetData>
    <row r="1" spans="1:15">
      <c r="A1" s="7" t="s">
        <v>0</v>
      </c>
    </row>
    <row r="2" spans="1:15">
      <c r="A2" s="7" t="s">
        <v>1</v>
      </c>
    </row>
    <row r="3" spans="1:15">
      <c r="A3" s="7" t="s">
        <v>2</v>
      </c>
      <c r="B3" s="7" t="s">
        <v>3</v>
      </c>
    </row>
    <row r="4" spans="1:15">
      <c r="A4" s="7" t="s">
        <v>4</v>
      </c>
      <c r="B4" s="7" t="s">
        <v>5</v>
      </c>
    </row>
    <row r="5" spans="1:15">
      <c r="A5" s="7" t="s">
        <v>6</v>
      </c>
      <c r="B5" s="7" t="s">
        <v>7</v>
      </c>
    </row>
    <row r="7" spans="1:15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6</v>
      </c>
      <c r="L7" s="7" t="s">
        <v>18</v>
      </c>
      <c r="M7" s="7" t="s">
        <v>19</v>
      </c>
      <c r="N7" s="7" t="s">
        <v>20</v>
      </c>
      <c r="O7" s="7" t="s">
        <v>21</v>
      </c>
    </row>
    <row r="8" spans="1:15">
      <c r="A8" s="7" t="s">
        <v>22</v>
      </c>
      <c r="B8" s="7"/>
      <c r="C8" s="7" t="s">
        <v>23</v>
      </c>
      <c r="D8" s="7" t="s">
        <v>23</v>
      </c>
      <c r="E8" s="7">
        <v>786</v>
      </c>
      <c r="F8" s="8">
        <v>0.1603</v>
      </c>
      <c r="G8" s="9">
        <f t="shared" ref="G8:G71" si="0">IF(H8=0,"",I8/H8)</f>
        <v>2798</v>
      </c>
      <c r="H8" s="7">
        <v>126</v>
      </c>
      <c r="I8" s="7">
        <v>352548</v>
      </c>
      <c r="J8" s="7">
        <v>115</v>
      </c>
      <c r="K8" s="7">
        <v>60657</v>
      </c>
      <c r="L8" s="7">
        <v>1537</v>
      </c>
      <c r="M8" s="7">
        <f t="shared" ref="M8:M71" si="1">SUM(H8*L8)</f>
        <v>193662</v>
      </c>
      <c r="N8" s="7">
        <f t="shared" ref="N8:N71" si="2">SUM(I8-K8-M8)</f>
        <v>98229</v>
      </c>
      <c r="O8" s="10">
        <f t="shared" ref="O8:O71" si="3">IF(I8=0,"",N8/I8)</f>
        <v>0.27862588924061404</v>
      </c>
    </row>
    <row r="9" spans="1:15">
      <c r="A9" s="7" t="s">
        <v>24</v>
      </c>
      <c r="B9" s="7"/>
      <c r="C9" s="7" t="s">
        <v>25</v>
      </c>
      <c r="D9" s="7" t="s">
        <v>25</v>
      </c>
      <c r="E9" s="7">
        <v>9835</v>
      </c>
      <c r="F9" s="8">
        <v>8.0000000000000004E-4</v>
      </c>
      <c r="G9" s="9">
        <f t="shared" si="0"/>
        <v>25480</v>
      </c>
      <c r="H9" s="7">
        <v>8</v>
      </c>
      <c r="I9" s="7">
        <v>203840</v>
      </c>
      <c r="J9" s="7">
        <v>8</v>
      </c>
      <c r="K9" s="7">
        <v>26235</v>
      </c>
      <c r="L9" s="7">
        <v>19800</v>
      </c>
      <c r="M9" s="7">
        <f t="shared" si="1"/>
        <v>158400</v>
      </c>
      <c r="N9" s="7">
        <f t="shared" si="2"/>
        <v>19205</v>
      </c>
      <c r="O9" s="10">
        <f t="shared" si="3"/>
        <v>9.4216051805337514E-2</v>
      </c>
    </row>
    <row r="10" spans="1:15">
      <c r="A10" s="7" t="s">
        <v>26</v>
      </c>
      <c r="B10" s="7"/>
      <c r="C10" s="7" t="s">
        <v>27</v>
      </c>
      <c r="D10" s="7" t="s">
        <v>27</v>
      </c>
      <c r="E10" s="7">
        <v>954</v>
      </c>
      <c r="F10" s="8">
        <v>8.9099999999999999E-2</v>
      </c>
      <c r="G10" s="9">
        <f t="shared" si="0"/>
        <v>2390.5882352941176</v>
      </c>
      <c r="H10" s="7">
        <v>85</v>
      </c>
      <c r="I10" s="7">
        <v>203200</v>
      </c>
      <c r="J10" s="7">
        <v>77</v>
      </c>
      <c r="K10" s="7">
        <v>25629</v>
      </c>
      <c r="L10" s="7">
        <v>1065</v>
      </c>
      <c r="M10" s="7">
        <f t="shared" si="1"/>
        <v>90525</v>
      </c>
      <c r="N10" s="7">
        <f t="shared" si="2"/>
        <v>87046</v>
      </c>
      <c r="O10" s="10">
        <f t="shared" si="3"/>
        <v>0.42837598425196849</v>
      </c>
    </row>
    <row r="11" spans="1:15">
      <c r="A11" s="7" t="s">
        <v>28</v>
      </c>
      <c r="B11" s="7"/>
      <c r="C11" s="7" t="s">
        <v>29</v>
      </c>
      <c r="D11" s="7" t="s">
        <v>29</v>
      </c>
      <c r="E11" s="7">
        <v>254</v>
      </c>
      <c r="F11" s="8">
        <v>0.16930000000000001</v>
      </c>
      <c r="G11" s="9">
        <f t="shared" si="0"/>
        <v>3580</v>
      </c>
      <c r="H11" s="7">
        <v>43</v>
      </c>
      <c r="I11" s="7">
        <v>153940</v>
      </c>
      <c r="J11" s="7">
        <v>39</v>
      </c>
      <c r="K11" s="7">
        <v>17588</v>
      </c>
      <c r="L11" s="7">
        <v>1916</v>
      </c>
      <c r="M11" s="7">
        <f t="shared" si="1"/>
        <v>82388</v>
      </c>
      <c r="N11" s="7">
        <f t="shared" si="2"/>
        <v>53964</v>
      </c>
      <c r="O11" s="10">
        <f t="shared" si="3"/>
        <v>0.3505521631804599</v>
      </c>
    </row>
    <row r="12" spans="1:15">
      <c r="A12" s="7" t="s">
        <v>30</v>
      </c>
      <c r="B12" s="7"/>
      <c r="C12" s="7" t="s">
        <v>31</v>
      </c>
      <c r="D12" s="7" t="s">
        <v>31</v>
      </c>
      <c r="E12" s="7">
        <v>593</v>
      </c>
      <c r="F12" s="8">
        <v>7.0800000000000002E-2</v>
      </c>
      <c r="G12" s="9">
        <f t="shared" si="0"/>
        <v>2980</v>
      </c>
      <c r="H12" s="7">
        <v>42</v>
      </c>
      <c r="I12" s="7">
        <v>125160</v>
      </c>
      <c r="J12" s="7">
        <v>33</v>
      </c>
      <c r="K12" s="7">
        <v>14322</v>
      </c>
      <c r="L12" s="7">
        <v>1900</v>
      </c>
      <c r="M12" s="7">
        <f t="shared" si="1"/>
        <v>79800</v>
      </c>
      <c r="N12" s="7">
        <f t="shared" si="2"/>
        <v>31038</v>
      </c>
      <c r="O12" s="10">
        <f t="shared" si="3"/>
        <v>0.24798657718120806</v>
      </c>
    </row>
    <row r="13" spans="1:15">
      <c r="A13" s="7" t="s">
        <v>32</v>
      </c>
      <c r="B13" s="7"/>
      <c r="C13" s="7" t="s">
        <v>33</v>
      </c>
      <c r="D13" s="7" t="s">
        <v>33</v>
      </c>
      <c r="E13" s="7">
        <v>160</v>
      </c>
      <c r="F13" s="8">
        <v>0.125</v>
      </c>
      <c r="G13" s="9">
        <f t="shared" si="0"/>
        <v>6180</v>
      </c>
      <c r="H13" s="7">
        <v>20</v>
      </c>
      <c r="I13" s="7">
        <v>123600</v>
      </c>
      <c r="J13" s="7">
        <v>20</v>
      </c>
      <c r="K13" s="7">
        <v>21016</v>
      </c>
      <c r="L13" s="7">
        <v>3795</v>
      </c>
      <c r="M13" s="7">
        <f t="shared" si="1"/>
        <v>75900</v>
      </c>
      <c r="N13" s="7">
        <f t="shared" si="2"/>
        <v>26684</v>
      </c>
      <c r="O13" s="10">
        <f t="shared" si="3"/>
        <v>0.21588996763754045</v>
      </c>
    </row>
    <row r="14" spans="1:15">
      <c r="A14" s="7" t="s">
        <v>34</v>
      </c>
      <c r="B14" s="7"/>
      <c r="C14" s="7" t="s">
        <v>35</v>
      </c>
      <c r="D14" s="7" t="s">
        <v>35</v>
      </c>
      <c r="E14" s="7">
        <v>988</v>
      </c>
      <c r="F14" s="8">
        <v>2.53E-2</v>
      </c>
      <c r="G14" s="9">
        <f t="shared" si="0"/>
        <v>4004</v>
      </c>
      <c r="H14" s="7">
        <v>25</v>
      </c>
      <c r="I14" s="7">
        <v>100100</v>
      </c>
      <c r="J14" s="7">
        <v>24</v>
      </c>
      <c r="K14" s="7">
        <f>SUM(I14*0.15)</f>
        <v>15015</v>
      </c>
      <c r="L14" s="11">
        <v>2395</v>
      </c>
      <c r="M14" s="7">
        <f t="shared" si="1"/>
        <v>59875</v>
      </c>
      <c r="N14" s="7">
        <f t="shared" si="2"/>
        <v>25210</v>
      </c>
      <c r="O14" s="10">
        <f t="shared" si="3"/>
        <v>0.25184815184815185</v>
      </c>
    </row>
    <row r="15" spans="1:15">
      <c r="A15" s="7" t="s">
        <v>36</v>
      </c>
      <c r="B15" s="7"/>
      <c r="C15" s="7" t="s">
        <v>37</v>
      </c>
      <c r="D15" s="7" t="s">
        <v>37</v>
      </c>
      <c r="E15" s="7">
        <v>158</v>
      </c>
      <c r="F15" s="8">
        <v>0.12659999999999999</v>
      </c>
      <c r="G15" s="9">
        <f t="shared" si="0"/>
        <v>4980</v>
      </c>
      <c r="H15" s="7">
        <v>20</v>
      </c>
      <c r="I15" s="7">
        <v>99600</v>
      </c>
      <c r="J15" s="7">
        <v>13</v>
      </c>
      <c r="K15" s="7">
        <v>16926</v>
      </c>
      <c r="L15" s="7">
        <v>3312</v>
      </c>
      <c r="M15" s="7">
        <f t="shared" si="1"/>
        <v>66240</v>
      </c>
      <c r="N15" s="7">
        <f t="shared" si="2"/>
        <v>16434</v>
      </c>
      <c r="O15" s="10">
        <f t="shared" si="3"/>
        <v>0.16500000000000001</v>
      </c>
    </row>
    <row r="16" spans="1:15">
      <c r="A16" s="7" t="s">
        <v>38</v>
      </c>
      <c r="B16" s="7"/>
      <c r="C16" s="7" t="s">
        <v>39</v>
      </c>
      <c r="D16" s="7" t="s">
        <v>40</v>
      </c>
      <c r="E16" s="7">
        <v>1642</v>
      </c>
      <c r="F16" s="8">
        <v>5.3600000000000002E-2</v>
      </c>
      <c r="G16" s="9">
        <f t="shared" si="0"/>
        <v>1113.0681818181818</v>
      </c>
      <c r="H16" s="7">
        <v>88</v>
      </c>
      <c r="I16" s="7">
        <v>97950</v>
      </c>
      <c r="J16" s="7">
        <v>81</v>
      </c>
      <c r="K16" s="7">
        <v>16778</v>
      </c>
      <c r="L16" s="7">
        <v>504</v>
      </c>
      <c r="M16" s="7">
        <f t="shared" si="1"/>
        <v>44352</v>
      </c>
      <c r="N16" s="7">
        <f t="shared" si="2"/>
        <v>36820</v>
      </c>
      <c r="O16" s="10">
        <f t="shared" si="3"/>
        <v>0.37590607452782032</v>
      </c>
    </row>
    <row r="17" spans="1:16">
      <c r="A17" s="7" t="s">
        <v>41</v>
      </c>
      <c r="B17" s="7"/>
      <c r="C17" s="7" t="s">
        <v>42</v>
      </c>
      <c r="D17" s="7" t="s">
        <v>42</v>
      </c>
      <c r="E17" s="7">
        <v>582</v>
      </c>
      <c r="F17" s="8">
        <v>3.95E-2</v>
      </c>
      <c r="G17" s="9">
        <f t="shared" si="0"/>
        <v>4223.478260869565</v>
      </c>
      <c r="H17" s="7">
        <v>23</v>
      </c>
      <c r="I17" s="7">
        <v>97140</v>
      </c>
      <c r="J17" s="7">
        <v>23</v>
      </c>
      <c r="K17" s="7">
        <v>10887</v>
      </c>
      <c r="L17" s="7">
        <v>2649</v>
      </c>
      <c r="M17" s="7">
        <f t="shared" si="1"/>
        <v>60927</v>
      </c>
      <c r="N17" s="7">
        <f t="shared" si="2"/>
        <v>25326</v>
      </c>
      <c r="O17" s="10">
        <f t="shared" si="3"/>
        <v>0.26071649166151944</v>
      </c>
    </row>
    <row r="18" spans="1:16">
      <c r="A18" s="7" t="s">
        <v>43</v>
      </c>
      <c r="B18" s="7"/>
      <c r="C18" s="7" t="s">
        <v>44</v>
      </c>
      <c r="D18" s="7" t="s">
        <v>44</v>
      </c>
      <c r="E18" s="7">
        <v>146</v>
      </c>
      <c r="F18" s="8">
        <v>0.25340000000000001</v>
      </c>
      <c r="G18" s="9">
        <f t="shared" si="0"/>
        <v>2390</v>
      </c>
      <c r="H18" s="7">
        <v>37</v>
      </c>
      <c r="I18" s="7">
        <v>88430</v>
      </c>
      <c r="J18" s="7">
        <v>37</v>
      </c>
      <c r="K18" s="7">
        <v>15846</v>
      </c>
      <c r="L18" s="7">
        <v>1287</v>
      </c>
      <c r="M18" s="7">
        <f t="shared" si="1"/>
        <v>47619</v>
      </c>
      <c r="N18" s="7">
        <f t="shared" si="2"/>
        <v>24965</v>
      </c>
      <c r="O18" s="10">
        <f t="shared" si="3"/>
        <v>0.28231369444758564</v>
      </c>
    </row>
    <row r="19" spans="1:16">
      <c r="A19" s="7" t="s">
        <v>45</v>
      </c>
      <c r="B19" s="7"/>
      <c r="C19" s="7" t="s">
        <v>46</v>
      </c>
      <c r="D19" s="7" t="s">
        <v>46</v>
      </c>
      <c r="E19" s="7">
        <v>354</v>
      </c>
      <c r="F19" s="8">
        <v>2.8199999999999999E-2</v>
      </c>
      <c r="G19" s="9">
        <f t="shared" si="0"/>
        <v>8340</v>
      </c>
      <c r="H19" s="7">
        <v>10</v>
      </c>
      <c r="I19" s="7">
        <v>83400</v>
      </c>
      <c r="J19" s="7">
        <v>9</v>
      </c>
      <c r="K19" s="7">
        <f>SUM(I19*0.15)</f>
        <v>12510</v>
      </c>
      <c r="L19" s="7">
        <v>7540</v>
      </c>
      <c r="M19" s="7">
        <f t="shared" si="1"/>
        <v>75400</v>
      </c>
      <c r="N19" s="7">
        <f t="shared" si="2"/>
        <v>-4510</v>
      </c>
      <c r="O19" s="10">
        <f t="shared" si="3"/>
        <v>-5.4076738609112711E-2</v>
      </c>
    </row>
    <row r="20" spans="1:16">
      <c r="A20" s="7" t="s">
        <v>47</v>
      </c>
      <c r="B20" s="7"/>
      <c r="C20" s="7" t="s">
        <v>48</v>
      </c>
      <c r="D20" s="7" t="s">
        <v>48</v>
      </c>
      <c r="E20" s="7">
        <v>859</v>
      </c>
      <c r="F20" s="8">
        <v>3.73E-2</v>
      </c>
      <c r="G20" s="9">
        <f t="shared" si="0"/>
        <v>2523.75</v>
      </c>
      <c r="H20" s="7">
        <v>32</v>
      </c>
      <c r="I20" s="7">
        <v>80760</v>
      </c>
      <c r="J20" s="7">
        <v>31</v>
      </c>
      <c r="K20" s="7">
        <v>9561</v>
      </c>
      <c r="L20" s="7">
        <v>1531</v>
      </c>
      <c r="M20" s="7">
        <f t="shared" si="1"/>
        <v>48992</v>
      </c>
      <c r="N20" s="7">
        <f t="shared" si="2"/>
        <v>22207</v>
      </c>
      <c r="O20" s="10">
        <f t="shared" si="3"/>
        <v>0.27497523526498269</v>
      </c>
    </row>
    <row r="21" spans="1:16">
      <c r="A21" s="7" t="s">
        <v>49</v>
      </c>
      <c r="B21" s="7"/>
      <c r="C21" s="7" t="s">
        <v>50</v>
      </c>
      <c r="D21" s="7" t="s">
        <v>50</v>
      </c>
      <c r="E21" s="7">
        <v>280</v>
      </c>
      <c r="F21" s="8">
        <v>0.1071</v>
      </c>
      <c r="G21" s="9">
        <f t="shared" si="0"/>
        <v>2680</v>
      </c>
      <c r="H21" s="7">
        <v>30</v>
      </c>
      <c r="I21" s="7">
        <v>80400</v>
      </c>
      <c r="J21" s="7">
        <v>27</v>
      </c>
      <c r="K21" s="7">
        <v>9605</v>
      </c>
      <c r="L21" s="7">
        <v>1254</v>
      </c>
      <c r="M21" s="7">
        <f t="shared" si="1"/>
        <v>37620</v>
      </c>
      <c r="N21" s="7">
        <f t="shared" si="2"/>
        <v>33175</v>
      </c>
      <c r="O21" s="10">
        <f t="shared" si="3"/>
        <v>0.41262437810945274</v>
      </c>
    </row>
    <row r="22" spans="1:16">
      <c r="A22" s="7" t="s">
        <v>51</v>
      </c>
      <c r="B22" s="7"/>
      <c r="C22" s="7" t="s">
        <v>52</v>
      </c>
      <c r="D22" s="7" t="s">
        <v>52</v>
      </c>
      <c r="E22" s="7">
        <v>102</v>
      </c>
      <c r="F22" s="8">
        <v>0.22550000000000001</v>
      </c>
      <c r="G22" s="9">
        <f t="shared" si="0"/>
        <v>3393.0434782608695</v>
      </c>
      <c r="H22" s="7">
        <v>23</v>
      </c>
      <c r="I22" s="7">
        <v>78040</v>
      </c>
      <c r="J22" s="7">
        <v>19</v>
      </c>
      <c r="K22" s="7">
        <v>11086</v>
      </c>
      <c r="L22" s="7">
        <v>1980</v>
      </c>
      <c r="M22" s="7">
        <f t="shared" si="1"/>
        <v>45540</v>
      </c>
      <c r="N22" s="7">
        <f t="shared" si="2"/>
        <v>21414</v>
      </c>
      <c r="O22" s="10">
        <f t="shared" si="3"/>
        <v>0.27439774474628398</v>
      </c>
    </row>
    <row r="23" spans="1:16">
      <c r="A23" s="7" t="s">
        <v>53</v>
      </c>
      <c r="B23" s="7"/>
      <c r="C23" s="7" t="s">
        <v>54</v>
      </c>
      <c r="D23" s="7" t="s">
        <v>54</v>
      </c>
      <c r="E23" s="7">
        <v>767</v>
      </c>
      <c r="F23" s="8">
        <v>5.74E-2</v>
      </c>
      <c r="G23" s="9">
        <f t="shared" si="0"/>
        <v>1730</v>
      </c>
      <c r="H23" s="7">
        <v>44</v>
      </c>
      <c r="I23" s="7">
        <v>76120</v>
      </c>
      <c r="J23" s="7">
        <v>40</v>
      </c>
      <c r="K23" s="7">
        <f>SUM(I23*0.15)</f>
        <v>11418</v>
      </c>
      <c r="L23" s="7">
        <v>525</v>
      </c>
      <c r="M23" s="7">
        <f t="shared" si="1"/>
        <v>23100</v>
      </c>
      <c r="N23" s="7">
        <f t="shared" si="2"/>
        <v>41602</v>
      </c>
      <c r="O23" s="10">
        <f t="shared" si="3"/>
        <v>0.54653179190751444</v>
      </c>
    </row>
    <row r="24" spans="1:16">
      <c r="A24" s="7" t="s">
        <v>55</v>
      </c>
      <c r="B24" s="7"/>
      <c r="C24" s="7" t="s">
        <v>56</v>
      </c>
      <c r="D24" s="7" t="s">
        <v>57</v>
      </c>
      <c r="E24" s="7">
        <v>108</v>
      </c>
      <c r="F24" s="8">
        <v>0.46300000000000002</v>
      </c>
      <c r="G24" s="9">
        <f t="shared" si="0"/>
        <v>1498</v>
      </c>
      <c r="H24" s="7">
        <v>50</v>
      </c>
      <c r="I24" s="7">
        <v>74900</v>
      </c>
      <c r="J24" s="7">
        <v>43</v>
      </c>
      <c r="K24" s="7">
        <v>7838</v>
      </c>
      <c r="L24" s="7">
        <v>912</v>
      </c>
      <c r="M24" s="7">
        <f t="shared" si="1"/>
        <v>45600</v>
      </c>
      <c r="N24" s="7">
        <f t="shared" si="2"/>
        <v>21462</v>
      </c>
      <c r="O24" s="10">
        <f t="shared" si="3"/>
        <v>0.28654205607476635</v>
      </c>
    </row>
    <row r="25" spans="1:16">
      <c r="A25" s="7" t="s">
        <v>58</v>
      </c>
      <c r="B25" s="7"/>
      <c r="C25" s="7" t="s">
        <v>59</v>
      </c>
      <c r="D25" s="7" t="s">
        <v>59</v>
      </c>
      <c r="E25" s="7">
        <v>335</v>
      </c>
      <c r="F25" s="8">
        <v>0.10150000000000001</v>
      </c>
      <c r="G25" s="9">
        <f t="shared" si="0"/>
        <v>2195.2352941176468</v>
      </c>
      <c r="H25" s="7">
        <v>34</v>
      </c>
      <c r="I25" s="7">
        <v>74638</v>
      </c>
      <c r="J25" s="7">
        <v>34</v>
      </c>
      <c r="K25" s="7">
        <v>13086</v>
      </c>
      <c r="L25" s="7">
        <v>1152</v>
      </c>
      <c r="M25" s="7">
        <f t="shared" si="1"/>
        <v>39168</v>
      </c>
      <c r="N25" s="7">
        <f t="shared" si="2"/>
        <v>22384</v>
      </c>
      <c r="O25" s="10">
        <f t="shared" si="3"/>
        <v>0.29990085479246498</v>
      </c>
    </row>
    <row r="26" spans="1:16">
      <c r="A26" s="7" t="s">
        <v>60</v>
      </c>
      <c r="B26" s="7"/>
      <c r="C26" s="7" t="s">
        <v>61</v>
      </c>
      <c r="D26" s="7" t="s">
        <v>62</v>
      </c>
      <c r="E26" s="7">
        <v>11</v>
      </c>
      <c r="F26" s="8">
        <v>0.72730000000000006</v>
      </c>
      <c r="G26" s="9">
        <f t="shared" si="0"/>
        <v>8880</v>
      </c>
      <c r="H26" s="7">
        <v>8</v>
      </c>
      <c r="I26" s="7">
        <v>71040</v>
      </c>
      <c r="J26" s="7">
        <v>6</v>
      </c>
      <c r="K26" s="7">
        <v>12033</v>
      </c>
      <c r="L26" s="7">
        <v>6631</v>
      </c>
      <c r="M26" s="7">
        <f t="shared" si="1"/>
        <v>53048</v>
      </c>
      <c r="N26" s="7">
        <f t="shared" si="2"/>
        <v>5959</v>
      </c>
      <c r="O26" s="10">
        <f t="shared" si="3"/>
        <v>8.388231981981982E-2</v>
      </c>
    </row>
    <row r="27" spans="1:16">
      <c r="A27" s="7" t="s">
        <v>63</v>
      </c>
      <c r="B27" s="7"/>
      <c r="C27" s="7" t="s">
        <v>64</v>
      </c>
      <c r="D27" s="7" t="s">
        <v>64</v>
      </c>
      <c r="E27" s="7">
        <v>104</v>
      </c>
      <c r="F27" s="8">
        <v>0.45190000000000002</v>
      </c>
      <c r="G27" s="9">
        <f t="shared" si="0"/>
        <v>1398</v>
      </c>
      <c r="H27" s="7">
        <v>47</v>
      </c>
      <c r="I27" s="7">
        <v>65706</v>
      </c>
      <c r="J27" s="7">
        <v>28</v>
      </c>
      <c r="K27" s="7">
        <v>5797</v>
      </c>
      <c r="L27" s="7">
        <v>624</v>
      </c>
      <c r="M27" s="7">
        <f t="shared" si="1"/>
        <v>29328</v>
      </c>
      <c r="N27" s="7">
        <f t="shared" si="2"/>
        <v>30581</v>
      </c>
      <c r="O27" s="10">
        <f t="shared" si="3"/>
        <v>0.46542172708732843</v>
      </c>
    </row>
    <row r="28" spans="1:16">
      <c r="A28" s="7" t="s">
        <v>65</v>
      </c>
      <c r="B28" s="7"/>
      <c r="C28" s="7" t="s">
        <v>66</v>
      </c>
      <c r="D28" s="7" t="s">
        <v>66</v>
      </c>
      <c r="E28" s="7">
        <v>131</v>
      </c>
      <c r="F28" s="8">
        <v>0.1908</v>
      </c>
      <c r="G28" s="9">
        <f t="shared" si="0"/>
        <v>2584</v>
      </c>
      <c r="H28" s="7">
        <v>25</v>
      </c>
      <c r="I28" s="7">
        <v>64600</v>
      </c>
      <c r="J28" s="7">
        <v>21</v>
      </c>
      <c r="K28" s="7">
        <v>10938</v>
      </c>
      <c r="L28" s="7">
        <v>1584</v>
      </c>
      <c r="M28" s="7">
        <f t="shared" si="1"/>
        <v>39600</v>
      </c>
      <c r="N28" s="7">
        <f t="shared" si="2"/>
        <v>14062</v>
      </c>
      <c r="O28" s="10">
        <f t="shared" si="3"/>
        <v>0.2176780185758514</v>
      </c>
    </row>
    <row r="29" spans="1:16">
      <c r="A29" s="7" t="s">
        <v>67</v>
      </c>
      <c r="B29" s="7"/>
      <c r="C29" s="7" t="s">
        <v>68</v>
      </c>
      <c r="D29" s="7" t="s">
        <v>68</v>
      </c>
      <c r="E29" s="7">
        <v>495</v>
      </c>
      <c r="F29" s="8">
        <v>2.63E-2</v>
      </c>
      <c r="G29" s="9">
        <f t="shared" si="0"/>
        <v>4826.1538461538457</v>
      </c>
      <c r="H29" s="7">
        <v>13</v>
      </c>
      <c r="I29" s="7">
        <v>62740</v>
      </c>
      <c r="J29" s="7">
        <v>7</v>
      </c>
      <c r="K29" s="7">
        <f>SUM(I29*0.15)</f>
        <v>9411</v>
      </c>
      <c r="L29" s="13">
        <v>2862</v>
      </c>
      <c r="M29" s="7">
        <f t="shared" si="1"/>
        <v>37206</v>
      </c>
      <c r="N29" s="7">
        <f t="shared" si="2"/>
        <v>16123</v>
      </c>
      <c r="O29" s="10">
        <f t="shared" si="3"/>
        <v>0.25698119222186805</v>
      </c>
      <c r="P29" t="s">
        <v>69</v>
      </c>
    </row>
    <row r="30" spans="1:16">
      <c r="A30" s="7" t="s">
        <v>70</v>
      </c>
      <c r="B30" s="7"/>
      <c r="C30" s="7" t="s">
        <v>71</v>
      </c>
      <c r="D30" s="7" t="s">
        <v>71</v>
      </c>
      <c r="E30" s="7">
        <v>197</v>
      </c>
      <c r="F30" s="8">
        <v>0.1421</v>
      </c>
      <c r="G30" s="9">
        <f t="shared" si="0"/>
        <v>2180</v>
      </c>
      <c r="H30" s="7">
        <v>28</v>
      </c>
      <c r="I30" s="7">
        <v>61040</v>
      </c>
      <c r="J30" s="7">
        <v>26</v>
      </c>
      <c r="K30" s="7">
        <v>6999</v>
      </c>
      <c r="L30" s="7">
        <v>958</v>
      </c>
      <c r="M30" s="7">
        <f t="shared" si="1"/>
        <v>26824</v>
      </c>
      <c r="N30" s="7">
        <f t="shared" si="2"/>
        <v>27217</v>
      </c>
      <c r="O30" s="10">
        <f t="shared" si="3"/>
        <v>0.44588794233289647</v>
      </c>
    </row>
    <row r="31" spans="1:16">
      <c r="A31" s="7" t="s">
        <v>72</v>
      </c>
      <c r="B31" s="7"/>
      <c r="C31" s="7" t="s">
        <v>73</v>
      </c>
      <c r="D31" s="7" t="s">
        <v>74</v>
      </c>
      <c r="E31" s="7">
        <v>153</v>
      </c>
      <c r="F31" s="8">
        <v>0.2092</v>
      </c>
      <c r="G31" s="9">
        <f t="shared" si="0"/>
        <v>1889</v>
      </c>
      <c r="H31" s="7">
        <v>32</v>
      </c>
      <c r="I31" s="7">
        <v>60448</v>
      </c>
      <c r="J31" s="7">
        <v>31</v>
      </c>
      <c r="K31" s="7">
        <v>10240</v>
      </c>
      <c r="L31" s="7">
        <v>1100</v>
      </c>
      <c r="M31" s="7">
        <f t="shared" si="1"/>
        <v>35200</v>
      </c>
      <c r="N31" s="7">
        <f t="shared" si="2"/>
        <v>15008</v>
      </c>
      <c r="O31" s="10">
        <f t="shared" si="3"/>
        <v>0.24827951296982531</v>
      </c>
    </row>
    <row r="32" spans="1:16">
      <c r="A32" s="7" t="s">
        <v>75</v>
      </c>
      <c r="B32" s="7"/>
      <c r="C32" s="7" t="s">
        <v>76</v>
      </c>
      <c r="D32" s="7" t="s">
        <v>76</v>
      </c>
      <c r="E32" s="7">
        <v>287</v>
      </c>
      <c r="F32" s="8">
        <v>8.3599999999999994E-2</v>
      </c>
      <c r="G32" s="9">
        <f t="shared" si="0"/>
        <v>2180</v>
      </c>
      <c r="H32" s="7">
        <v>24</v>
      </c>
      <c r="I32" s="7">
        <v>52320</v>
      </c>
      <c r="J32" s="7">
        <v>23</v>
      </c>
      <c r="K32" s="7">
        <v>8509</v>
      </c>
      <c r="L32" s="7">
        <v>946</v>
      </c>
      <c r="M32" s="7">
        <f t="shared" si="1"/>
        <v>22704</v>
      </c>
      <c r="N32" s="7">
        <f t="shared" si="2"/>
        <v>21107</v>
      </c>
      <c r="O32" s="10">
        <f t="shared" si="3"/>
        <v>0.40342125382262994</v>
      </c>
    </row>
    <row r="33" spans="1:15">
      <c r="A33" s="7" t="s">
        <v>77</v>
      </c>
      <c r="B33" s="7"/>
      <c r="C33" s="7" t="s">
        <v>78</v>
      </c>
      <c r="D33" s="7" t="s">
        <v>78</v>
      </c>
      <c r="E33" s="7">
        <v>123</v>
      </c>
      <c r="F33" s="8">
        <v>0.14630000000000001</v>
      </c>
      <c r="G33" s="9">
        <f t="shared" si="0"/>
        <v>2874.4444444444443</v>
      </c>
      <c r="H33" s="7">
        <v>18</v>
      </c>
      <c r="I33" s="7">
        <v>51740</v>
      </c>
      <c r="J33" s="7">
        <v>15</v>
      </c>
      <c r="K33" s="7">
        <v>9234</v>
      </c>
      <c r="L33" s="7">
        <v>1338</v>
      </c>
      <c r="M33" s="7">
        <f t="shared" si="1"/>
        <v>24084</v>
      </c>
      <c r="N33" s="7">
        <f t="shared" si="2"/>
        <v>18422</v>
      </c>
      <c r="O33" s="10">
        <f t="shared" si="3"/>
        <v>0.35604947816003091</v>
      </c>
    </row>
    <row r="34" spans="1:15">
      <c r="A34" s="7" t="s">
        <v>79</v>
      </c>
      <c r="B34" s="7"/>
      <c r="C34" s="7" t="s">
        <v>80</v>
      </c>
      <c r="D34" s="7" t="s">
        <v>80</v>
      </c>
      <c r="E34" s="7">
        <v>264</v>
      </c>
      <c r="F34" s="8">
        <v>3.4099999999999998E-2</v>
      </c>
      <c r="G34" s="9">
        <f t="shared" si="0"/>
        <v>5202.2222222222226</v>
      </c>
      <c r="H34" s="7">
        <v>9</v>
      </c>
      <c r="I34" s="7">
        <v>46820</v>
      </c>
      <c r="J34" s="7">
        <v>9</v>
      </c>
      <c r="K34" s="7">
        <v>5392</v>
      </c>
      <c r="L34" s="7">
        <v>2946</v>
      </c>
      <c r="M34" s="7">
        <f t="shared" si="1"/>
        <v>26514</v>
      </c>
      <c r="N34" s="7">
        <f t="shared" si="2"/>
        <v>14914</v>
      </c>
      <c r="O34" s="10">
        <f t="shared" si="3"/>
        <v>0.31853908586074325</v>
      </c>
    </row>
    <row r="35" spans="1:15">
      <c r="A35" s="7" t="s">
        <v>81</v>
      </c>
      <c r="B35" s="7"/>
      <c r="C35" s="7" t="s">
        <v>82</v>
      </c>
      <c r="D35" s="7" t="s">
        <v>83</v>
      </c>
      <c r="E35" s="7">
        <v>32</v>
      </c>
      <c r="F35" s="8">
        <v>0.40630000000000011</v>
      </c>
      <c r="G35" s="9">
        <f t="shared" si="0"/>
        <v>3580</v>
      </c>
      <c r="H35" s="7">
        <v>13</v>
      </c>
      <c r="I35" s="7">
        <v>46540</v>
      </c>
      <c r="J35" s="7">
        <v>13</v>
      </c>
      <c r="K35" s="7">
        <v>7878</v>
      </c>
      <c r="L35" s="7">
        <v>2541</v>
      </c>
      <c r="M35" s="7">
        <f t="shared" si="1"/>
        <v>33033</v>
      </c>
      <c r="N35" s="7">
        <f t="shared" si="2"/>
        <v>5629</v>
      </c>
      <c r="O35" s="10">
        <f t="shared" si="3"/>
        <v>0.12094972067039106</v>
      </c>
    </row>
    <row r="36" spans="1:15">
      <c r="A36" s="7" t="s">
        <v>84</v>
      </c>
      <c r="B36" s="7"/>
      <c r="C36" s="7" t="s">
        <v>85</v>
      </c>
      <c r="D36" s="7" t="s">
        <v>57</v>
      </c>
      <c r="E36" s="7">
        <v>136</v>
      </c>
      <c r="F36" s="8">
        <v>0.2868</v>
      </c>
      <c r="G36" s="9">
        <f t="shared" si="0"/>
        <v>1185.1282051282051</v>
      </c>
      <c r="H36" s="7">
        <v>39</v>
      </c>
      <c r="I36" s="7">
        <v>46220</v>
      </c>
      <c r="J36" s="7">
        <v>38</v>
      </c>
      <c r="K36" s="7">
        <v>4264</v>
      </c>
      <c r="L36" s="7">
        <v>608</v>
      </c>
      <c r="M36" s="7">
        <f t="shared" si="1"/>
        <v>23712</v>
      </c>
      <c r="N36" s="7">
        <f t="shared" si="2"/>
        <v>18244</v>
      </c>
      <c r="O36" s="10">
        <f t="shared" si="3"/>
        <v>0.39472090004327132</v>
      </c>
    </row>
    <row r="37" spans="1:15">
      <c r="A37" s="7" t="s">
        <v>86</v>
      </c>
      <c r="B37" s="7"/>
      <c r="C37" s="7" t="s">
        <v>87</v>
      </c>
      <c r="D37" s="7" t="s">
        <v>87</v>
      </c>
      <c r="E37" s="7">
        <v>73</v>
      </c>
      <c r="F37" s="8">
        <v>0.1507</v>
      </c>
      <c r="G37" s="9">
        <f t="shared" si="0"/>
        <v>4143.636363636364</v>
      </c>
      <c r="H37" s="7">
        <v>11</v>
      </c>
      <c r="I37" s="7">
        <v>45580</v>
      </c>
      <c r="J37" s="7">
        <v>11</v>
      </c>
      <c r="K37" s="7">
        <v>7772</v>
      </c>
      <c r="L37" s="7">
        <v>2006</v>
      </c>
      <c r="M37" s="7">
        <f t="shared" si="1"/>
        <v>22066</v>
      </c>
      <c r="N37" s="7">
        <f t="shared" si="2"/>
        <v>15742</v>
      </c>
      <c r="O37" s="10">
        <f t="shared" si="3"/>
        <v>0.34537077665642824</v>
      </c>
    </row>
    <row r="38" spans="1:15">
      <c r="A38" s="7" t="s">
        <v>88</v>
      </c>
      <c r="B38" s="7"/>
      <c r="C38" s="7" t="s">
        <v>89</v>
      </c>
      <c r="D38" s="7" t="s">
        <v>89</v>
      </c>
      <c r="E38" s="7">
        <v>78</v>
      </c>
      <c r="F38" s="8">
        <v>0.47439999999999999</v>
      </c>
      <c r="G38" s="9">
        <f t="shared" si="0"/>
        <v>1191.7297297297298</v>
      </c>
      <c r="H38" s="7">
        <v>37</v>
      </c>
      <c r="I38" s="7">
        <v>44094</v>
      </c>
      <c r="J38" s="7">
        <v>32</v>
      </c>
      <c r="K38" s="7">
        <v>4180</v>
      </c>
      <c r="L38" s="7">
        <v>624</v>
      </c>
      <c r="M38" s="7">
        <f t="shared" si="1"/>
        <v>23088</v>
      </c>
      <c r="N38" s="7">
        <f t="shared" si="2"/>
        <v>16826</v>
      </c>
      <c r="O38" s="10">
        <f t="shared" si="3"/>
        <v>0.3815938676463918</v>
      </c>
    </row>
    <row r="39" spans="1:15">
      <c r="A39" s="7" t="s">
        <v>90</v>
      </c>
      <c r="B39" s="7"/>
      <c r="C39" s="7" t="s">
        <v>91</v>
      </c>
      <c r="D39" s="7" t="s">
        <v>92</v>
      </c>
      <c r="E39" s="7">
        <v>111</v>
      </c>
      <c r="F39" s="8">
        <v>0.19819999999999999</v>
      </c>
      <c r="G39" s="9">
        <f t="shared" si="0"/>
        <v>1980</v>
      </c>
      <c r="H39" s="7">
        <v>22</v>
      </c>
      <c r="I39" s="7">
        <v>43560</v>
      </c>
      <c r="J39" s="7">
        <v>19</v>
      </c>
      <c r="K39" s="7">
        <v>7725</v>
      </c>
      <c r="L39" s="7">
        <v>960</v>
      </c>
      <c r="M39" s="7">
        <f t="shared" si="1"/>
        <v>21120</v>
      </c>
      <c r="N39" s="7">
        <f t="shared" si="2"/>
        <v>14715</v>
      </c>
      <c r="O39" s="10">
        <f t="shared" si="3"/>
        <v>0.33780991735537191</v>
      </c>
    </row>
    <row r="40" spans="1:15">
      <c r="A40" s="7" t="s">
        <v>93</v>
      </c>
      <c r="B40" s="7"/>
      <c r="C40" s="7" t="s">
        <v>94</v>
      </c>
      <c r="D40" s="7" t="s">
        <v>94</v>
      </c>
      <c r="E40" s="7">
        <v>603</v>
      </c>
      <c r="F40" s="8">
        <v>2.6499999999999999E-2</v>
      </c>
      <c r="G40" s="9">
        <f t="shared" si="0"/>
        <v>2642.5</v>
      </c>
      <c r="H40" s="7">
        <v>16</v>
      </c>
      <c r="I40" s="7">
        <v>42280</v>
      </c>
      <c r="J40" s="7">
        <v>14</v>
      </c>
      <c r="K40" s="7">
        <v>4872</v>
      </c>
      <c r="L40" s="7">
        <v>1406</v>
      </c>
      <c r="M40" s="7">
        <f t="shared" si="1"/>
        <v>22496</v>
      </c>
      <c r="N40" s="7">
        <f t="shared" si="2"/>
        <v>14912</v>
      </c>
      <c r="O40" s="10">
        <f t="shared" si="3"/>
        <v>0.35269631031220433</v>
      </c>
    </row>
    <row r="41" spans="1:15">
      <c r="A41" s="7" t="s">
        <v>95</v>
      </c>
      <c r="B41" s="7"/>
      <c r="C41" s="7" t="s">
        <v>96</v>
      </c>
      <c r="D41" s="7" t="s">
        <v>96</v>
      </c>
      <c r="E41" s="7">
        <v>151</v>
      </c>
      <c r="F41" s="8">
        <v>0.18540000000000001</v>
      </c>
      <c r="G41" s="9">
        <f t="shared" si="0"/>
        <v>1508.0714285714287</v>
      </c>
      <c r="H41" s="7">
        <v>28</v>
      </c>
      <c r="I41" s="7">
        <v>42226</v>
      </c>
      <c r="J41" s="7">
        <v>28</v>
      </c>
      <c r="K41" s="7">
        <v>4278</v>
      </c>
      <c r="L41" s="7">
        <v>874</v>
      </c>
      <c r="M41" s="7">
        <f t="shared" si="1"/>
        <v>24472</v>
      </c>
      <c r="N41" s="7">
        <f t="shared" si="2"/>
        <v>13476</v>
      </c>
      <c r="O41" s="10">
        <f t="shared" si="3"/>
        <v>0.31913986643300335</v>
      </c>
    </row>
    <row r="42" spans="1:15">
      <c r="A42" s="7" t="s">
        <v>97</v>
      </c>
      <c r="B42" s="7"/>
      <c r="C42" s="7" t="s">
        <v>98</v>
      </c>
      <c r="D42" s="7" t="s">
        <v>98</v>
      </c>
      <c r="E42" s="7">
        <v>72</v>
      </c>
      <c r="F42" s="8">
        <v>0.19439999999999999</v>
      </c>
      <c r="G42" s="9">
        <f t="shared" si="0"/>
        <v>2980</v>
      </c>
      <c r="H42" s="7">
        <v>14</v>
      </c>
      <c r="I42" s="7">
        <v>41720</v>
      </c>
      <c r="J42" s="7">
        <v>14</v>
      </c>
      <c r="K42" s="7">
        <v>4774</v>
      </c>
      <c r="L42" s="7">
        <v>1437</v>
      </c>
      <c r="M42" s="7">
        <f t="shared" si="1"/>
        <v>20118</v>
      </c>
      <c r="N42" s="7">
        <f t="shared" si="2"/>
        <v>16828</v>
      </c>
      <c r="O42" s="10">
        <f t="shared" si="3"/>
        <v>0.40335570469798659</v>
      </c>
    </row>
    <row r="43" spans="1:15">
      <c r="A43" s="7" t="s">
        <v>99</v>
      </c>
      <c r="B43" s="7"/>
      <c r="C43" s="7" t="s">
        <v>100</v>
      </c>
      <c r="D43" s="7" t="s">
        <v>100</v>
      </c>
      <c r="E43" s="7">
        <v>164</v>
      </c>
      <c r="F43" s="8">
        <v>0.1646</v>
      </c>
      <c r="G43" s="9">
        <f t="shared" si="0"/>
        <v>1480</v>
      </c>
      <c r="H43" s="7">
        <v>27</v>
      </c>
      <c r="I43" s="7">
        <v>39960</v>
      </c>
      <c r="J43" s="7">
        <v>27</v>
      </c>
      <c r="K43" s="7">
        <v>3672</v>
      </c>
      <c r="L43" s="7">
        <v>836</v>
      </c>
      <c r="M43" s="7">
        <f t="shared" si="1"/>
        <v>22572</v>
      </c>
      <c r="N43" s="7">
        <f t="shared" si="2"/>
        <v>13716</v>
      </c>
      <c r="O43" s="10">
        <f t="shared" si="3"/>
        <v>0.34324324324324323</v>
      </c>
    </row>
    <row r="44" spans="1:15">
      <c r="A44" s="7" t="s">
        <v>101</v>
      </c>
      <c r="B44" s="7"/>
      <c r="C44" s="7" t="s">
        <v>102</v>
      </c>
      <c r="D44" s="7" t="s">
        <v>102</v>
      </c>
      <c r="E44" s="7">
        <v>194</v>
      </c>
      <c r="F44" s="8">
        <v>3.61E-2</v>
      </c>
      <c r="G44" s="9">
        <f t="shared" si="0"/>
        <v>5705.7142857142853</v>
      </c>
      <c r="H44" s="7">
        <v>7</v>
      </c>
      <c r="I44" s="7">
        <v>39940</v>
      </c>
      <c r="J44" s="7">
        <v>7</v>
      </c>
      <c r="K44" s="7">
        <v>6766</v>
      </c>
      <c r="L44" s="7">
        <v>3517</v>
      </c>
      <c r="M44" s="7">
        <f t="shared" si="1"/>
        <v>24619</v>
      </c>
      <c r="N44" s="7">
        <f t="shared" si="2"/>
        <v>8555</v>
      </c>
      <c r="O44" s="10">
        <f t="shared" si="3"/>
        <v>0.21419629444166249</v>
      </c>
    </row>
    <row r="45" spans="1:15">
      <c r="A45" s="7" t="s">
        <v>103</v>
      </c>
      <c r="B45" s="7"/>
      <c r="C45" s="7" t="s">
        <v>104</v>
      </c>
      <c r="D45" s="7" t="s">
        <v>105</v>
      </c>
      <c r="E45" s="7">
        <v>1029</v>
      </c>
      <c r="F45" s="8">
        <v>1.46E-2</v>
      </c>
      <c r="G45" s="9">
        <f t="shared" si="0"/>
        <v>2580</v>
      </c>
      <c r="H45" s="7">
        <v>15</v>
      </c>
      <c r="I45" s="7">
        <v>38700</v>
      </c>
      <c r="J45" s="7">
        <v>15</v>
      </c>
      <c r="K45" s="7">
        <v>5941</v>
      </c>
      <c r="L45" s="7">
        <v>1429</v>
      </c>
      <c r="M45" s="7">
        <f t="shared" si="1"/>
        <v>21435</v>
      </c>
      <c r="N45" s="7">
        <f t="shared" si="2"/>
        <v>11324</v>
      </c>
      <c r="O45" s="10">
        <f t="shared" si="3"/>
        <v>0.29260981912144701</v>
      </c>
    </row>
    <row r="46" spans="1:15">
      <c r="A46" s="7" t="s">
        <v>106</v>
      </c>
      <c r="B46" s="7"/>
      <c r="C46" s="7" t="s">
        <v>107</v>
      </c>
      <c r="D46" s="7" t="s">
        <v>107</v>
      </c>
      <c r="E46" s="7">
        <v>148</v>
      </c>
      <c r="F46" s="8">
        <v>4.7300000000000002E-2</v>
      </c>
      <c r="G46" s="9">
        <f t="shared" si="0"/>
        <v>5522.8571428571431</v>
      </c>
      <c r="H46" s="7">
        <v>7</v>
      </c>
      <c r="I46" s="7">
        <v>38660</v>
      </c>
      <c r="J46" s="7">
        <v>6</v>
      </c>
      <c r="K46" s="7">
        <f>SUM(I46*0.15)</f>
        <v>5799</v>
      </c>
      <c r="L46" s="7">
        <v>3940</v>
      </c>
      <c r="M46" s="7">
        <f t="shared" si="1"/>
        <v>27580</v>
      </c>
      <c r="N46" s="7">
        <f t="shared" si="2"/>
        <v>5281</v>
      </c>
      <c r="O46" s="10">
        <f t="shared" si="3"/>
        <v>0.13660113812726332</v>
      </c>
    </row>
    <row r="47" spans="1:15">
      <c r="A47" s="7" t="s">
        <v>108</v>
      </c>
      <c r="B47" s="7"/>
      <c r="C47" s="7" t="s">
        <v>109</v>
      </c>
      <c r="D47" s="7" t="s">
        <v>109</v>
      </c>
      <c r="E47" s="7">
        <v>78</v>
      </c>
      <c r="F47" s="8">
        <v>0.1154</v>
      </c>
      <c r="G47" s="9">
        <f t="shared" si="0"/>
        <v>4280</v>
      </c>
      <c r="H47" s="7">
        <v>9</v>
      </c>
      <c r="I47" s="7">
        <v>38520</v>
      </c>
      <c r="J47" s="7">
        <v>9</v>
      </c>
      <c r="K47" s="7">
        <v>4410</v>
      </c>
      <c r="L47" s="7">
        <v>2838</v>
      </c>
      <c r="M47" s="7">
        <f t="shared" si="1"/>
        <v>25542</v>
      </c>
      <c r="N47" s="7">
        <f t="shared" si="2"/>
        <v>8568</v>
      </c>
      <c r="O47" s="10">
        <f t="shared" si="3"/>
        <v>0.22242990654205608</v>
      </c>
    </row>
    <row r="48" spans="1:15">
      <c r="A48" s="7" t="s">
        <v>110</v>
      </c>
      <c r="B48" s="7"/>
      <c r="C48" s="7" t="s">
        <v>111</v>
      </c>
      <c r="D48" s="7" t="s">
        <v>111</v>
      </c>
      <c r="E48" s="7">
        <v>203</v>
      </c>
      <c r="F48" s="8">
        <v>0.1527</v>
      </c>
      <c r="G48" s="9">
        <f t="shared" si="0"/>
        <v>1240.3225806451612</v>
      </c>
      <c r="H48" s="7">
        <v>31</v>
      </c>
      <c r="I48" s="7">
        <v>38450</v>
      </c>
      <c r="J48" s="7">
        <v>22</v>
      </c>
      <c r="K48" s="7">
        <v>3301</v>
      </c>
      <c r="L48" s="7">
        <v>624</v>
      </c>
      <c r="M48" s="7">
        <f t="shared" si="1"/>
        <v>19344</v>
      </c>
      <c r="N48" s="7">
        <f t="shared" si="2"/>
        <v>15805</v>
      </c>
      <c r="O48" s="10">
        <f t="shared" si="3"/>
        <v>0.41105331599479844</v>
      </c>
    </row>
    <row r="49" spans="1:15">
      <c r="A49" s="7" t="s">
        <v>112</v>
      </c>
      <c r="B49" s="7"/>
      <c r="C49" s="7" t="s">
        <v>113</v>
      </c>
      <c r="D49" s="7" t="s">
        <v>113</v>
      </c>
      <c r="E49" s="7">
        <v>16</v>
      </c>
      <c r="F49" s="8">
        <v>0.4375</v>
      </c>
      <c r="G49" s="9">
        <f t="shared" si="0"/>
        <v>5351.4285714285716</v>
      </c>
      <c r="H49" s="7">
        <v>7</v>
      </c>
      <c r="I49" s="7">
        <v>37460</v>
      </c>
      <c r="J49" s="7">
        <v>7</v>
      </c>
      <c r="K49" s="7">
        <f>SUM(I49*0.15)</f>
        <v>5619</v>
      </c>
      <c r="L49" s="7">
        <v>3546</v>
      </c>
      <c r="M49" s="7">
        <f t="shared" si="1"/>
        <v>24822</v>
      </c>
      <c r="N49" s="7">
        <f t="shared" si="2"/>
        <v>7019</v>
      </c>
      <c r="O49" s="10">
        <f t="shared" si="3"/>
        <v>0.1873731980779498</v>
      </c>
    </row>
    <row r="50" spans="1:15">
      <c r="A50" s="7" t="s">
        <v>114</v>
      </c>
      <c r="B50" s="7"/>
      <c r="C50" s="7" t="s">
        <v>115</v>
      </c>
      <c r="D50" s="7" t="s">
        <v>115</v>
      </c>
      <c r="E50" s="7">
        <v>116</v>
      </c>
      <c r="F50" s="8">
        <v>0.10340000000000001</v>
      </c>
      <c r="G50" s="9">
        <f t="shared" si="0"/>
        <v>3105</v>
      </c>
      <c r="H50" s="7">
        <v>12</v>
      </c>
      <c r="I50" s="7">
        <v>37260</v>
      </c>
      <c r="J50" s="7">
        <v>9</v>
      </c>
      <c r="K50" s="7">
        <f>SUM(I50*0.15)</f>
        <v>5589</v>
      </c>
      <c r="L50" s="7">
        <v>1988</v>
      </c>
      <c r="M50" s="7">
        <f t="shared" si="1"/>
        <v>23856</v>
      </c>
      <c r="N50" s="7">
        <f t="shared" si="2"/>
        <v>7815</v>
      </c>
      <c r="O50" s="10">
        <f t="shared" si="3"/>
        <v>0.20974235104669886</v>
      </c>
    </row>
    <row r="51" spans="1:15">
      <c r="A51" s="7" t="s">
        <v>116</v>
      </c>
      <c r="B51" s="7"/>
      <c r="C51" s="7" t="s">
        <v>117</v>
      </c>
      <c r="D51" s="7" t="s">
        <v>117</v>
      </c>
      <c r="E51" s="7">
        <v>89</v>
      </c>
      <c r="F51" s="8">
        <v>0.28089999999999998</v>
      </c>
      <c r="G51" s="9">
        <f t="shared" si="0"/>
        <v>1480</v>
      </c>
      <c r="H51" s="7">
        <v>25</v>
      </c>
      <c r="I51" s="7">
        <v>37000</v>
      </c>
      <c r="J51" s="7">
        <v>22</v>
      </c>
      <c r="K51" s="7">
        <v>3267</v>
      </c>
      <c r="L51" s="7">
        <v>869</v>
      </c>
      <c r="M51" s="7">
        <f t="shared" si="1"/>
        <v>21725</v>
      </c>
      <c r="N51" s="7">
        <f t="shared" si="2"/>
        <v>12008</v>
      </c>
      <c r="O51" s="10">
        <f t="shared" si="3"/>
        <v>0.32454054054054055</v>
      </c>
    </row>
    <row r="52" spans="1:15">
      <c r="A52" s="7" t="s">
        <v>118</v>
      </c>
      <c r="B52" s="7"/>
      <c r="C52" s="7" t="s">
        <v>119</v>
      </c>
      <c r="D52" s="7" t="s">
        <v>120</v>
      </c>
      <c r="E52" s="7">
        <v>8</v>
      </c>
      <c r="F52" s="8">
        <v>0.625</v>
      </c>
      <c r="G52" s="9">
        <f t="shared" si="0"/>
        <v>7360</v>
      </c>
      <c r="H52" s="7">
        <v>5</v>
      </c>
      <c r="I52" s="7">
        <v>36800</v>
      </c>
      <c r="J52" s="7">
        <v>5</v>
      </c>
      <c r="K52" s="7">
        <v>6233</v>
      </c>
      <c r="L52" s="7">
        <v>4753</v>
      </c>
      <c r="M52" s="7">
        <f t="shared" si="1"/>
        <v>23765</v>
      </c>
      <c r="N52" s="7">
        <f t="shared" si="2"/>
        <v>6802</v>
      </c>
      <c r="O52" s="10">
        <f t="shared" si="3"/>
        <v>0.18483695652173912</v>
      </c>
    </row>
    <row r="53" spans="1:15">
      <c r="A53" s="7" t="s">
        <v>121</v>
      </c>
      <c r="B53" s="7"/>
      <c r="C53" s="7" t="s">
        <v>122</v>
      </c>
      <c r="D53" s="7" t="s">
        <v>122</v>
      </c>
      <c r="E53" s="7">
        <v>230</v>
      </c>
      <c r="F53" s="8">
        <v>7.3899999999999993E-2</v>
      </c>
      <c r="G53" s="9">
        <f t="shared" si="0"/>
        <v>1980</v>
      </c>
      <c r="H53" s="7">
        <v>17</v>
      </c>
      <c r="I53" s="7">
        <v>33660</v>
      </c>
      <c r="J53" s="7">
        <v>16</v>
      </c>
      <c r="K53" s="7">
        <v>4346</v>
      </c>
      <c r="L53" s="7">
        <v>900</v>
      </c>
      <c r="M53" s="7">
        <f t="shared" si="1"/>
        <v>15300</v>
      </c>
      <c r="N53" s="7">
        <f t="shared" si="2"/>
        <v>14014</v>
      </c>
      <c r="O53" s="10">
        <f t="shared" si="3"/>
        <v>0.41633986928104577</v>
      </c>
    </row>
    <row r="54" spans="1:15">
      <c r="A54" s="7" t="s">
        <v>123</v>
      </c>
      <c r="B54" s="7"/>
      <c r="C54" s="7" t="s">
        <v>124</v>
      </c>
      <c r="D54" s="7" t="s">
        <v>124</v>
      </c>
      <c r="E54" s="7">
        <v>320</v>
      </c>
      <c r="F54" s="8">
        <v>8.1300000000000011E-2</v>
      </c>
      <c r="G54" s="9">
        <f t="shared" si="0"/>
        <v>1280</v>
      </c>
      <c r="H54" s="7">
        <v>26</v>
      </c>
      <c r="I54" s="7">
        <v>33280</v>
      </c>
      <c r="J54" s="7">
        <v>23</v>
      </c>
      <c r="K54" s="7">
        <v>3093</v>
      </c>
      <c r="L54" s="7">
        <v>548</v>
      </c>
      <c r="M54" s="7">
        <f t="shared" si="1"/>
        <v>14248</v>
      </c>
      <c r="N54" s="7">
        <f t="shared" si="2"/>
        <v>15939</v>
      </c>
      <c r="O54" s="10">
        <f t="shared" si="3"/>
        <v>0.47893629807692306</v>
      </c>
    </row>
    <row r="55" spans="1:15">
      <c r="A55" s="7" t="s">
        <v>125</v>
      </c>
      <c r="B55" s="7"/>
      <c r="C55" s="7" t="s">
        <v>126</v>
      </c>
      <c r="D55" s="7" t="s">
        <v>126</v>
      </c>
      <c r="E55" s="7">
        <v>738</v>
      </c>
      <c r="F55" s="8">
        <v>3.39E-2</v>
      </c>
      <c r="G55" s="9">
        <f t="shared" si="0"/>
        <v>1285.2</v>
      </c>
      <c r="H55" s="7">
        <v>25</v>
      </c>
      <c r="I55" s="7">
        <v>32130</v>
      </c>
      <c r="J55" s="7">
        <v>22</v>
      </c>
      <c r="K55" s="7">
        <v>2973</v>
      </c>
      <c r="L55" s="7">
        <v>751</v>
      </c>
      <c r="M55" s="7">
        <f t="shared" si="1"/>
        <v>18775</v>
      </c>
      <c r="N55" s="7">
        <f t="shared" si="2"/>
        <v>10382</v>
      </c>
      <c r="O55" s="10">
        <f t="shared" si="3"/>
        <v>0.32312480547774663</v>
      </c>
    </row>
    <row r="56" spans="1:15">
      <c r="A56" s="7" t="s">
        <v>127</v>
      </c>
      <c r="B56" s="7"/>
      <c r="C56" s="7" t="s">
        <v>128</v>
      </c>
      <c r="D56" s="7" t="s">
        <v>128</v>
      </c>
      <c r="E56" s="7">
        <v>106</v>
      </c>
      <c r="F56" s="8">
        <v>0.15090000000000001</v>
      </c>
      <c r="G56" s="9">
        <f t="shared" si="0"/>
        <v>1980</v>
      </c>
      <c r="H56" s="7">
        <v>16</v>
      </c>
      <c r="I56" s="7">
        <v>31680</v>
      </c>
      <c r="J56" s="7">
        <v>15</v>
      </c>
      <c r="K56" s="7">
        <v>5711</v>
      </c>
      <c r="L56" s="7">
        <v>1040</v>
      </c>
      <c r="M56" s="7">
        <f t="shared" si="1"/>
        <v>16640</v>
      </c>
      <c r="N56" s="7">
        <f t="shared" si="2"/>
        <v>9329</v>
      </c>
      <c r="O56" s="10">
        <f t="shared" si="3"/>
        <v>0.2944760101010101</v>
      </c>
    </row>
    <row r="57" spans="1:15">
      <c r="A57" s="7" t="s">
        <v>129</v>
      </c>
      <c r="B57" s="7"/>
      <c r="C57" s="7" t="s">
        <v>130</v>
      </c>
      <c r="D57" s="7" t="s">
        <v>130</v>
      </c>
      <c r="E57" s="7">
        <v>57</v>
      </c>
      <c r="F57" s="8">
        <v>0.28070000000000001</v>
      </c>
      <c r="G57" s="9">
        <f t="shared" si="0"/>
        <v>1977.25</v>
      </c>
      <c r="H57" s="7">
        <v>16</v>
      </c>
      <c r="I57" s="7">
        <v>31636</v>
      </c>
      <c r="J57" s="7">
        <v>13</v>
      </c>
      <c r="K57" s="7">
        <v>5365</v>
      </c>
      <c r="L57" s="7">
        <v>1056</v>
      </c>
      <c r="M57" s="7">
        <f t="shared" si="1"/>
        <v>16896</v>
      </c>
      <c r="N57" s="7">
        <f t="shared" si="2"/>
        <v>9375</v>
      </c>
      <c r="O57" s="10">
        <f t="shared" si="3"/>
        <v>0.29633961309900114</v>
      </c>
    </row>
    <row r="58" spans="1:15">
      <c r="A58" s="7" t="s">
        <v>131</v>
      </c>
      <c r="B58" s="7"/>
      <c r="C58" s="7" t="s">
        <v>132</v>
      </c>
      <c r="D58" s="7" t="s">
        <v>132</v>
      </c>
      <c r="E58" s="7">
        <v>104</v>
      </c>
      <c r="F58" s="8">
        <v>0.25</v>
      </c>
      <c r="G58" s="9">
        <f t="shared" si="0"/>
        <v>1180</v>
      </c>
      <c r="H58" s="7">
        <v>26</v>
      </c>
      <c r="I58" s="7">
        <v>30680</v>
      </c>
      <c r="J58" s="7">
        <v>23</v>
      </c>
      <c r="K58" s="7">
        <v>2725</v>
      </c>
      <c r="L58" s="7">
        <v>564</v>
      </c>
      <c r="M58" s="7">
        <f t="shared" si="1"/>
        <v>14664</v>
      </c>
      <c r="N58" s="7">
        <f t="shared" si="2"/>
        <v>13291</v>
      </c>
      <c r="O58" s="10">
        <f t="shared" si="3"/>
        <v>0.43321382007822684</v>
      </c>
    </row>
    <row r="59" spans="1:15">
      <c r="A59" s="7" t="s">
        <v>133</v>
      </c>
      <c r="B59" s="7"/>
      <c r="C59" s="7" t="s">
        <v>134</v>
      </c>
      <c r="D59" s="7" t="s">
        <v>134</v>
      </c>
      <c r="E59" s="7">
        <v>140</v>
      </c>
      <c r="F59" s="8">
        <v>0.1</v>
      </c>
      <c r="G59" s="9">
        <f t="shared" si="0"/>
        <v>2180</v>
      </c>
      <c r="H59" s="7">
        <v>14</v>
      </c>
      <c r="I59" s="7">
        <v>30520</v>
      </c>
      <c r="J59" s="7">
        <v>11</v>
      </c>
      <c r="K59" s="7">
        <v>4832</v>
      </c>
      <c r="L59" s="7">
        <v>1122</v>
      </c>
      <c r="M59" s="7">
        <f t="shared" si="1"/>
        <v>15708</v>
      </c>
      <c r="N59" s="7">
        <f t="shared" si="2"/>
        <v>9980</v>
      </c>
      <c r="O59" s="10">
        <f t="shared" si="3"/>
        <v>0.3269986893840105</v>
      </c>
    </row>
    <row r="60" spans="1:15">
      <c r="A60" s="7" t="s">
        <v>135</v>
      </c>
      <c r="B60" s="7"/>
      <c r="C60" s="7" t="s">
        <v>136</v>
      </c>
      <c r="D60" s="7" t="s">
        <v>136</v>
      </c>
      <c r="E60" s="7">
        <v>174</v>
      </c>
      <c r="F60" s="8">
        <v>0.1149</v>
      </c>
      <c r="G60" s="9">
        <f t="shared" si="0"/>
        <v>1498</v>
      </c>
      <c r="H60" s="7">
        <v>20</v>
      </c>
      <c r="I60" s="7">
        <v>29960</v>
      </c>
      <c r="J60" s="7">
        <v>20</v>
      </c>
      <c r="K60" s="7">
        <v>3232</v>
      </c>
      <c r="L60" s="7">
        <v>780</v>
      </c>
      <c r="M60" s="7">
        <f t="shared" si="1"/>
        <v>15600</v>
      </c>
      <c r="N60" s="7">
        <f t="shared" si="2"/>
        <v>11128</v>
      </c>
      <c r="O60" s="10">
        <f t="shared" si="3"/>
        <v>0.37142857142857144</v>
      </c>
    </row>
    <row r="61" spans="1:15">
      <c r="A61" s="7" t="s">
        <v>137</v>
      </c>
      <c r="B61" s="7"/>
      <c r="C61" s="7" t="s">
        <v>138</v>
      </c>
      <c r="D61" s="7" t="s">
        <v>139</v>
      </c>
      <c r="E61" s="7">
        <v>281</v>
      </c>
      <c r="F61" s="8">
        <v>4.6300000000000001E-2</v>
      </c>
      <c r="G61" s="9">
        <f t="shared" si="0"/>
        <v>2280</v>
      </c>
      <c r="H61" s="7">
        <v>13</v>
      </c>
      <c r="I61" s="7">
        <v>29640</v>
      </c>
      <c r="J61" s="7">
        <v>13</v>
      </c>
      <c r="K61" s="7">
        <v>2871</v>
      </c>
      <c r="L61" s="7">
        <v>1388</v>
      </c>
      <c r="M61" s="7">
        <f t="shared" si="1"/>
        <v>18044</v>
      </c>
      <c r="N61" s="7">
        <f t="shared" si="2"/>
        <v>8725</v>
      </c>
      <c r="O61" s="10">
        <f t="shared" si="3"/>
        <v>0.29436572199730093</v>
      </c>
    </row>
    <row r="62" spans="1:15">
      <c r="A62" s="7" t="s">
        <v>140</v>
      </c>
      <c r="B62" s="7"/>
      <c r="C62" s="7" t="s">
        <v>141</v>
      </c>
      <c r="D62" s="7" t="s">
        <v>141</v>
      </c>
      <c r="E62" s="7">
        <v>36</v>
      </c>
      <c r="F62" s="8">
        <v>0.27779999999999999</v>
      </c>
      <c r="G62" s="9">
        <f t="shared" si="0"/>
        <v>2800</v>
      </c>
      <c r="H62" s="7">
        <v>10</v>
      </c>
      <c r="I62" s="7">
        <v>28000</v>
      </c>
      <c r="J62" s="7">
        <v>4</v>
      </c>
      <c r="K62" s="7">
        <v>3237</v>
      </c>
      <c r="L62" s="7">
        <v>1584</v>
      </c>
      <c r="M62" s="7">
        <f t="shared" si="1"/>
        <v>15840</v>
      </c>
      <c r="N62" s="7">
        <f t="shared" si="2"/>
        <v>8923</v>
      </c>
      <c r="O62" s="10">
        <f t="shared" si="3"/>
        <v>0.31867857142857142</v>
      </c>
    </row>
    <row r="63" spans="1:15">
      <c r="A63" s="7" t="s">
        <v>142</v>
      </c>
      <c r="B63" s="7"/>
      <c r="C63" s="7" t="s">
        <v>143</v>
      </c>
      <c r="D63" s="7" t="s">
        <v>143</v>
      </c>
      <c r="E63" s="7">
        <v>129</v>
      </c>
      <c r="F63" s="8">
        <v>0.1085</v>
      </c>
      <c r="G63" s="9">
        <f t="shared" si="0"/>
        <v>1994.2857142857142</v>
      </c>
      <c r="H63" s="7">
        <v>14</v>
      </c>
      <c r="I63" s="7">
        <v>27920</v>
      </c>
      <c r="J63" s="7">
        <v>14</v>
      </c>
      <c r="K63" s="7">
        <v>4761</v>
      </c>
      <c r="L63" s="7">
        <v>1122</v>
      </c>
      <c r="M63" s="7">
        <f t="shared" si="1"/>
        <v>15708</v>
      </c>
      <c r="N63" s="7">
        <f t="shared" si="2"/>
        <v>7451</v>
      </c>
      <c r="O63" s="10">
        <f t="shared" si="3"/>
        <v>0.26686962750716331</v>
      </c>
    </row>
    <row r="64" spans="1:15">
      <c r="A64" s="7" t="s">
        <v>144</v>
      </c>
      <c r="B64" s="7"/>
      <c r="C64" s="7" t="s">
        <v>145</v>
      </c>
      <c r="D64" s="7" t="s">
        <v>145</v>
      </c>
      <c r="E64" s="7">
        <v>50</v>
      </c>
      <c r="F64" s="8">
        <v>0.14000000000000001</v>
      </c>
      <c r="G64" s="9">
        <f t="shared" si="0"/>
        <v>3980</v>
      </c>
      <c r="H64" s="7">
        <v>7</v>
      </c>
      <c r="I64" s="7">
        <v>27860</v>
      </c>
      <c r="J64" s="7">
        <v>7</v>
      </c>
      <c r="K64" s="7">
        <v>4769</v>
      </c>
      <c r="L64" s="7">
        <v>2563</v>
      </c>
      <c r="M64" s="7">
        <f t="shared" si="1"/>
        <v>17941</v>
      </c>
      <c r="N64" s="7">
        <f t="shared" si="2"/>
        <v>5150</v>
      </c>
      <c r="O64" s="10">
        <f t="shared" si="3"/>
        <v>0.18485283560660445</v>
      </c>
    </row>
    <row r="65" spans="1:16">
      <c r="A65" s="7" t="s">
        <v>146</v>
      </c>
      <c r="B65" s="7"/>
      <c r="C65" s="7" t="s">
        <v>147</v>
      </c>
      <c r="D65" s="7" t="s">
        <v>147</v>
      </c>
      <c r="E65" s="7">
        <v>84</v>
      </c>
      <c r="F65" s="8">
        <v>0.11899999999999999</v>
      </c>
      <c r="G65" s="9">
        <f t="shared" si="0"/>
        <v>2780</v>
      </c>
      <c r="H65" s="7">
        <v>10</v>
      </c>
      <c r="I65" s="7">
        <v>27800</v>
      </c>
      <c r="J65" s="7">
        <v>10</v>
      </c>
      <c r="K65" s="7">
        <f>SUM(I65*0.15)</f>
        <v>4170</v>
      </c>
      <c r="L65" s="11">
        <v>1421</v>
      </c>
      <c r="M65" s="7">
        <f t="shared" si="1"/>
        <v>14210</v>
      </c>
      <c r="N65" s="7">
        <f t="shared" si="2"/>
        <v>9420</v>
      </c>
      <c r="O65" s="10">
        <f t="shared" si="3"/>
        <v>0.33884892086330937</v>
      </c>
    </row>
    <row r="66" spans="1:16">
      <c r="A66" s="7" t="s">
        <v>148</v>
      </c>
      <c r="B66" s="7"/>
      <c r="C66" s="7" t="s">
        <v>149</v>
      </c>
      <c r="D66" s="7" t="s">
        <v>149</v>
      </c>
      <c r="E66" s="7">
        <v>499</v>
      </c>
      <c r="F66" s="8">
        <v>3.8100000000000002E-2</v>
      </c>
      <c r="G66" s="9">
        <f t="shared" si="0"/>
        <v>1455.2631578947369</v>
      </c>
      <c r="H66" s="7">
        <v>19</v>
      </c>
      <c r="I66" s="7">
        <v>27650</v>
      </c>
      <c r="J66" s="7">
        <v>16</v>
      </c>
      <c r="K66" s="7">
        <v>5190</v>
      </c>
      <c r="L66" s="7">
        <v>682</v>
      </c>
      <c r="M66" s="7">
        <f t="shared" si="1"/>
        <v>12958</v>
      </c>
      <c r="N66" s="7">
        <f t="shared" si="2"/>
        <v>9502</v>
      </c>
      <c r="O66" s="10">
        <f t="shared" si="3"/>
        <v>0.34365280289330924</v>
      </c>
    </row>
    <row r="67" spans="1:16">
      <c r="A67" s="7" t="s">
        <v>150</v>
      </c>
      <c r="B67" s="7"/>
      <c r="C67" s="7" t="s">
        <v>151</v>
      </c>
      <c r="D67" s="7" t="s">
        <v>151</v>
      </c>
      <c r="E67" s="7">
        <v>175</v>
      </c>
      <c r="F67" s="8">
        <v>0.16569999999999999</v>
      </c>
      <c r="G67" s="9">
        <f t="shared" si="0"/>
        <v>950</v>
      </c>
      <c r="H67" s="7">
        <v>29</v>
      </c>
      <c r="I67" s="7">
        <v>27550</v>
      </c>
      <c r="J67" s="7">
        <v>21</v>
      </c>
      <c r="K67" s="7">
        <v>2728</v>
      </c>
      <c r="L67" s="7">
        <v>396</v>
      </c>
      <c r="M67" s="7">
        <f t="shared" si="1"/>
        <v>11484</v>
      </c>
      <c r="N67" s="7">
        <f t="shared" si="2"/>
        <v>13338</v>
      </c>
      <c r="O67" s="10">
        <f t="shared" si="3"/>
        <v>0.48413793103448277</v>
      </c>
    </row>
    <row r="68" spans="1:16">
      <c r="A68" s="7" t="s">
        <v>152</v>
      </c>
      <c r="B68" s="7"/>
      <c r="C68" s="7" t="s">
        <v>153</v>
      </c>
      <c r="D68" s="7" t="s">
        <v>153</v>
      </c>
      <c r="E68" s="7">
        <v>33</v>
      </c>
      <c r="F68" s="8">
        <v>0.18179999999999999</v>
      </c>
      <c r="G68" s="9">
        <f t="shared" si="0"/>
        <v>4580</v>
      </c>
      <c r="H68" s="7">
        <v>6</v>
      </c>
      <c r="I68" s="7">
        <v>27480</v>
      </c>
      <c r="J68" s="7">
        <v>5</v>
      </c>
      <c r="K68" s="7">
        <v>4680</v>
      </c>
      <c r="L68" s="7">
        <v>2530</v>
      </c>
      <c r="M68" s="7">
        <f t="shared" si="1"/>
        <v>15180</v>
      </c>
      <c r="N68" s="7">
        <f t="shared" si="2"/>
        <v>7620</v>
      </c>
      <c r="O68" s="10">
        <f t="shared" si="3"/>
        <v>0.27729257641921395</v>
      </c>
    </row>
    <row r="69" spans="1:16">
      <c r="A69" s="7" t="s">
        <v>154</v>
      </c>
      <c r="B69" s="7"/>
      <c r="C69" s="7" t="s">
        <v>155</v>
      </c>
      <c r="D69" s="7" t="s">
        <v>155</v>
      </c>
      <c r="E69" s="7">
        <v>167</v>
      </c>
      <c r="F69" s="8">
        <v>5.9900000000000002E-2</v>
      </c>
      <c r="G69" s="9">
        <f t="shared" si="0"/>
        <v>2737.6</v>
      </c>
      <c r="H69" s="7">
        <v>10</v>
      </c>
      <c r="I69" s="7">
        <v>27376</v>
      </c>
      <c r="J69" s="7">
        <v>10</v>
      </c>
      <c r="K69" s="7">
        <v>4222</v>
      </c>
      <c r="L69" s="7">
        <v>1584</v>
      </c>
      <c r="M69" s="7">
        <f t="shared" si="1"/>
        <v>15840</v>
      </c>
      <c r="N69" s="7">
        <f t="shared" si="2"/>
        <v>7314</v>
      </c>
      <c r="O69" s="10">
        <f t="shared" si="3"/>
        <v>0.26716832261835183</v>
      </c>
    </row>
    <row r="70" spans="1:16">
      <c r="A70" s="7" t="s">
        <v>156</v>
      </c>
      <c r="B70" s="7"/>
      <c r="C70" s="7" t="s">
        <v>157</v>
      </c>
      <c r="D70" s="7" t="s">
        <v>157</v>
      </c>
      <c r="E70" s="7">
        <v>51</v>
      </c>
      <c r="F70" s="8">
        <v>0.25490000000000002</v>
      </c>
      <c r="G70" s="9">
        <f t="shared" si="0"/>
        <v>2056.9230769230771</v>
      </c>
      <c r="H70" s="7">
        <v>13</v>
      </c>
      <c r="I70" s="7">
        <v>26740</v>
      </c>
      <c r="J70" s="7">
        <v>12</v>
      </c>
      <c r="K70" s="7">
        <v>2918</v>
      </c>
      <c r="L70" s="7">
        <v>1419</v>
      </c>
      <c r="M70" s="7">
        <f t="shared" si="1"/>
        <v>18447</v>
      </c>
      <c r="N70" s="7">
        <f t="shared" si="2"/>
        <v>5375</v>
      </c>
      <c r="O70" s="10">
        <f t="shared" si="3"/>
        <v>0.20100972326103217</v>
      </c>
    </row>
    <row r="71" spans="1:16">
      <c r="A71" s="7" t="s">
        <v>158</v>
      </c>
      <c r="B71" s="7"/>
      <c r="C71" s="7" t="s">
        <v>159</v>
      </c>
      <c r="D71" s="7" t="s">
        <v>159</v>
      </c>
      <c r="E71" s="7">
        <v>19</v>
      </c>
      <c r="F71" s="8">
        <v>0.31580000000000003</v>
      </c>
      <c r="G71" s="9">
        <f t="shared" si="0"/>
        <v>4213.333333333333</v>
      </c>
      <c r="H71" s="7">
        <v>6</v>
      </c>
      <c r="I71" s="7">
        <v>25280</v>
      </c>
      <c r="J71" s="7">
        <v>6</v>
      </c>
      <c r="K71" s="7">
        <v>4282</v>
      </c>
      <c r="L71" s="7">
        <v>2813</v>
      </c>
      <c r="M71" s="7">
        <f t="shared" si="1"/>
        <v>16878</v>
      </c>
      <c r="N71" s="7">
        <f t="shared" si="2"/>
        <v>4120</v>
      </c>
      <c r="O71" s="10">
        <f t="shared" si="3"/>
        <v>0.16297468354430381</v>
      </c>
    </row>
    <row r="72" spans="1:16">
      <c r="A72" s="7" t="s">
        <v>160</v>
      </c>
      <c r="B72" s="7"/>
      <c r="C72" s="7" t="s">
        <v>161</v>
      </c>
      <c r="D72" s="7" t="s">
        <v>139</v>
      </c>
      <c r="E72" s="7">
        <v>19</v>
      </c>
      <c r="F72" s="8">
        <v>0.26319999999999999</v>
      </c>
      <c r="G72" s="9">
        <f t="shared" ref="G72:G135" si="4">IF(H72=0,"",I72/H72)</f>
        <v>5020</v>
      </c>
      <c r="H72" s="7">
        <v>5</v>
      </c>
      <c r="I72" s="7">
        <v>25100</v>
      </c>
      <c r="J72" s="7">
        <v>4</v>
      </c>
      <c r="K72" s="7">
        <v>2873</v>
      </c>
      <c r="L72" s="7">
        <v>3470</v>
      </c>
      <c r="M72" s="7">
        <f t="shared" ref="M72:M135" si="5">SUM(H72*L72)</f>
        <v>17350</v>
      </c>
      <c r="N72" s="7">
        <f t="shared" ref="N72:N135" si="6">SUM(I72-K72-M72)</f>
        <v>4877</v>
      </c>
      <c r="O72" s="10">
        <f t="shared" ref="O72:O135" si="7">IF(I72=0,"",N72/I72)</f>
        <v>0.19430278884462152</v>
      </c>
    </row>
    <row r="73" spans="1:16">
      <c r="A73" s="7" t="s">
        <v>162</v>
      </c>
      <c r="B73" s="7"/>
      <c r="C73" s="7" t="s">
        <v>163</v>
      </c>
      <c r="D73" s="7" t="s">
        <v>163</v>
      </c>
      <c r="E73" s="7">
        <v>432</v>
      </c>
      <c r="F73" s="8">
        <v>2.3099999999999999E-2</v>
      </c>
      <c r="G73" s="9">
        <f t="shared" si="4"/>
        <v>2437</v>
      </c>
      <c r="H73" s="7">
        <v>10</v>
      </c>
      <c r="I73" s="7">
        <v>24370</v>
      </c>
      <c r="J73" s="7">
        <v>10</v>
      </c>
      <c r="K73" s="7">
        <v>2529</v>
      </c>
      <c r="L73" s="7">
        <v>1805</v>
      </c>
      <c r="M73" s="7">
        <f t="shared" si="5"/>
        <v>18050</v>
      </c>
      <c r="N73" s="7">
        <f t="shared" si="6"/>
        <v>3791</v>
      </c>
      <c r="O73" s="10">
        <f t="shared" si="7"/>
        <v>0.15556011489536314</v>
      </c>
    </row>
    <row r="74" spans="1:16">
      <c r="A74" s="7" t="s">
        <v>164</v>
      </c>
      <c r="B74" s="7"/>
      <c r="C74" s="7" t="s">
        <v>165</v>
      </c>
      <c r="D74" s="7" t="s">
        <v>165</v>
      </c>
      <c r="E74" s="7">
        <v>59</v>
      </c>
      <c r="F74" s="8">
        <v>0.32200000000000001</v>
      </c>
      <c r="G74" s="9">
        <f t="shared" si="4"/>
        <v>1280</v>
      </c>
      <c r="H74" s="7">
        <v>19</v>
      </c>
      <c r="I74" s="7">
        <v>24320</v>
      </c>
      <c r="J74" s="7">
        <v>17</v>
      </c>
      <c r="K74" s="7">
        <v>2288</v>
      </c>
      <c r="L74" s="7">
        <v>624</v>
      </c>
      <c r="M74" s="7">
        <f t="shared" si="5"/>
        <v>11856</v>
      </c>
      <c r="N74" s="7">
        <f t="shared" si="6"/>
        <v>10176</v>
      </c>
      <c r="O74" s="10">
        <f t="shared" si="7"/>
        <v>0.41842105263157897</v>
      </c>
    </row>
    <row r="75" spans="1:16">
      <c r="A75" s="7" t="s">
        <v>166</v>
      </c>
      <c r="B75" s="7"/>
      <c r="C75" s="7" t="s">
        <v>167</v>
      </c>
      <c r="D75" s="7" t="s">
        <v>167</v>
      </c>
      <c r="E75" s="7">
        <v>111</v>
      </c>
      <c r="F75" s="8">
        <v>0.1081</v>
      </c>
      <c r="G75" s="9">
        <f t="shared" si="4"/>
        <v>1980</v>
      </c>
      <c r="H75" s="7">
        <v>12</v>
      </c>
      <c r="I75" s="7">
        <v>23760</v>
      </c>
      <c r="J75" s="7">
        <v>12</v>
      </c>
      <c r="K75" s="7">
        <f>SUM(I75*0.15)</f>
        <v>3564</v>
      </c>
      <c r="L75" s="13">
        <v>1232</v>
      </c>
      <c r="M75" s="7">
        <f t="shared" si="5"/>
        <v>14784</v>
      </c>
      <c r="N75" s="7">
        <f t="shared" si="6"/>
        <v>5412</v>
      </c>
      <c r="O75" s="10">
        <f t="shared" si="7"/>
        <v>0.22777777777777777</v>
      </c>
      <c r="P75" t="s">
        <v>168</v>
      </c>
    </row>
    <row r="76" spans="1:16">
      <c r="A76" s="7" t="s">
        <v>169</v>
      </c>
      <c r="B76" s="7"/>
      <c r="C76" s="7" t="s">
        <v>170</v>
      </c>
      <c r="D76" s="7" t="s">
        <v>170</v>
      </c>
      <c r="E76" s="7">
        <v>309</v>
      </c>
      <c r="F76" s="8">
        <v>2.9100000000000001E-2</v>
      </c>
      <c r="G76" s="9">
        <f t="shared" si="4"/>
        <v>2624.4444444444443</v>
      </c>
      <c r="H76" s="7">
        <v>9</v>
      </c>
      <c r="I76" s="7">
        <v>23620</v>
      </c>
      <c r="J76" s="7">
        <v>9</v>
      </c>
      <c r="K76" s="7">
        <v>4053</v>
      </c>
      <c r="L76" s="7">
        <v>1300</v>
      </c>
      <c r="M76" s="7">
        <f t="shared" si="5"/>
        <v>11700</v>
      </c>
      <c r="N76" s="7">
        <f t="shared" si="6"/>
        <v>7867</v>
      </c>
      <c r="O76" s="10">
        <f t="shared" si="7"/>
        <v>0.33306519898391196</v>
      </c>
    </row>
    <row r="77" spans="1:16">
      <c r="A77" s="7" t="s">
        <v>171</v>
      </c>
      <c r="B77" s="7"/>
      <c r="C77" s="7" t="s">
        <v>172</v>
      </c>
      <c r="D77" s="7" t="s">
        <v>173</v>
      </c>
      <c r="E77" s="7">
        <v>2935</v>
      </c>
      <c r="F77" s="8">
        <v>2.9999999999999997E-4</v>
      </c>
      <c r="G77" s="9">
        <f t="shared" si="4"/>
        <v>23200</v>
      </c>
      <c r="H77" s="7">
        <v>1</v>
      </c>
      <c r="I77" s="7">
        <v>23200</v>
      </c>
      <c r="J77" s="7">
        <v>1</v>
      </c>
      <c r="K77" s="7">
        <v>2654</v>
      </c>
      <c r="L77" s="7">
        <v>18800</v>
      </c>
      <c r="M77" s="7">
        <f t="shared" si="5"/>
        <v>18800</v>
      </c>
      <c r="N77" s="7">
        <f t="shared" si="6"/>
        <v>1746</v>
      </c>
      <c r="O77" s="10">
        <f t="shared" si="7"/>
        <v>7.5258620689655178E-2</v>
      </c>
    </row>
    <row r="78" spans="1:16">
      <c r="A78" s="7" t="s">
        <v>174</v>
      </c>
      <c r="B78" s="7"/>
      <c r="C78" s="7" t="s">
        <v>175</v>
      </c>
      <c r="D78" s="7" t="s">
        <v>176</v>
      </c>
      <c r="E78" s="7">
        <v>53</v>
      </c>
      <c r="F78" s="8">
        <v>0.20749999999999999</v>
      </c>
      <c r="G78" s="9">
        <f t="shared" si="4"/>
        <v>2080</v>
      </c>
      <c r="H78" s="7">
        <v>11</v>
      </c>
      <c r="I78" s="7">
        <v>22880</v>
      </c>
      <c r="J78" s="7">
        <v>8</v>
      </c>
      <c r="K78" s="7">
        <v>3872</v>
      </c>
      <c r="L78" s="7">
        <v>1254</v>
      </c>
      <c r="M78" s="7">
        <f t="shared" si="5"/>
        <v>13794</v>
      </c>
      <c r="N78" s="7">
        <f t="shared" si="6"/>
        <v>5214</v>
      </c>
      <c r="O78" s="10">
        <f t="shared" si="7"/>
        <v>0.22788461538461538</v>
      </c>
    </row>
    <row r="79" spans="1:16">
      <c r="A79" s="7" t="s">
        <v>177</v>
      </c>
      <c r="B79" s="7"/>
      <c r="C79" s="7" t="s">
        <v>178</v>
      </c>
      <c r="D79" s="7" t="s">
        <v>178</v>
      </c>
      <c r="E79" s="7">
        <v>39</v>
      </c>
      <c r="F79" s="8">
        <v>0.25640000000000002</v>
      </c>
      <c r="G79" s="9">
        <f t="shared" si="4"/>
        <v>2230</v>
      </c>
      <c r="H79" s="7">
        <v>10</v>
      </c>
      <c r="I79" s="7">
        <v>22300</v>
      </c>
      <c r="J79" s="7">
        <v>10</v>
      </c>
      <c r="K79" s="7">
        <v>3833</v>
      </c>
      <c r="L79" s="7">
        <v>1027</v>
      </c>
      <c r="M79" s="7">
        <f t="shared" si="5"/>
        <v>10270</v>
      </c>
      <c r="N79" s="7">
        <f t="shared" si="6"/>
        <v>8197</v>
      </c>
      <c r="O79" s="10">
        <f t="shared" si="7"/>
        <v>0.36757847533632287</v>
      </c>
    </row>
    <row r="80" spans="1:16">
      <c r="A80" s="7" t="s">
        <v>179</v>
      </c>
      <c r="B80" s="7"/>
      <c r="C80" s="7" t="s">
        <v>180</v>
      </c>
      <c r="D80" s="7" t="s">
        <v>180</v>
      </c>
      <c r="E80" s="7">
        <v>73</v>
      </c>
      <c r="F80" s="8">
        <v>0.2329</v>
      </c>
      <c r="G80" s="9">
        <f t="shared" si="4"/>
        <v>1280</v>
      </c>
      <c r="H80" s="7">
        <v>17</v>
      </c>
      <c r="I80" s="7">
        <v>21760</v>
      </c>
      <c r="J80" s="7">
        <v>11</v>
      </c>
      <c r="K80" s="7">
        <v>2140</v>
      </c>
      <c r="L80" s="7">
        <v>704</v>
      </c>
      <c r="M80" s="7">
        <f t="shared" si="5"/>
        <v>11968</v>
      </c>
      <c r="N80" s="7">
        <f t="shared" si="6"/>
        <v>7652</v>
      </c>
      <c r="O80" s="10">
        <f t="shared" si="7"/>
        <v>0.35165441176470591</v>
      </c>
    </row>
    <row r="81" spans="1:15">
      <c r="A81" s="7" t="s">
        <v>181</v>
      </c>
      <c r="B81" s="7"/>
      <c r="C81" s="7" t="s">
        <v>182</v>
      </c>
      <c r="D81" s="7" t="s">
        <v>183</v>
      </c>
      <c r="E81" s="7">
        <v>22</v>
      </c>
      <c r="F81" s="8">
        <v>0.2727</v>
      </c>
      <c r="G81" s="9">
        <f t="shared" si="4"/>
        <v>3580</v>
      </c>
      <c r="H81" s="7">
        <v>6</v>
      </c>
      <c r="I81" s="7">
        <v>21480</v>
      </c>
      <c r="J81" s="7">
        <v>6</v>
      </c>
      <c r="K81" s="7">
        <v>3030</v>
      </c>
      <c r="L81" s="7">
        <v>1254</v>
      </c>
      <c r="M81" s="7">
        <f t="shared" si="5"/>
        <v>7524</v>
      </c>
      <c r="N81" s="7">
        <f t="shared" si="6"/>
        <v>10926</v>
      </c>
      <c r="O81" s="10">
        <f t="shared" si="7"/>
        <v>0.508659217877095</v>
      </c>
    </row>
    <row r="82" spans="1:15">
      <c r="A82" s="7" t="s">
        <v>184</v>
      </c>
      <c r="B82" s="7"/>
      <c r="C82" s="7" t="s">
        <v>185</v>
      </c>
      <c r="D82" s="7" t="s">
        <v>185</v>
      </c>
      <c r="E82" s="7">
        <v>90</v>
      </c>
      <c r="F82" s="8">
        <v>0.15559999999999999</v>
      </c>
      <c r="G82" s="9">
        <f t="shared" si="4"/>
        <v>1498</v>
      </c>
      <c r="H82" s="7">
        <v>14</v>
      </c>
      <c r="I82" s="7">
        <v>20972</v>
      </c>
      <c r="J82" s="7">
        <v>14</v>
      </c>
      <c r="K82" s="7">
        <v>1973</v>
      </c>
      <c r="L82" s="7">
        <v>715</v>
      </c>
      <c r="M82" s="7">
        <f t="shared" si="5"/>
        <v>10010</v>
      </c>
      <c r="N82" s="7">
        <f t="shared" si="6"/>
        <v>8989</v>
      </c>
      <c r="O82" s="10">
        <f t="shared" si="7"/>
        <v>0.4286191111958802</v>
      </c>
    </row>
    <row r="83" spans="1:15">
      <c r="A83" s="7" t="s">
        <v>186</v>
      </c>
      <c r="B83" s="7"/>
      <c r="C83" s="7" t="s">
        <v>187</v>
      </c>
      <c r="D83" s="7" t="s">
        <v>83</v>
      </c>
      <c r="E83" s="7">
        <v>10</v>
      </c>
      <c r="F83" s="8">
        <v>0.3</v>
      </c>
      <c r="G83" s="9">
        <f t="shared" si="4"/>
        <v>6980</v>
      </c>
      <c r="H83" s="7">
        <v>3</v>
      </c>
      <c r="I83" s="7">
        <v>20940</v>
      </c>
      <c r="J83" s="7">
        <v>2</v>
      </c>
      <c r="K83" s="7">
        <v>3548</v>
      </c>
      <c r="L83" s="7">
        <v>5082</v>
      </c>
      <c r="M83" s="7">
        <f t="shared" si="5"/>
        <v>15246</v>
      </c>
      <c r="N83" s="7">
        <f t="shared" si="6"/>
        <v>2146</v>
      </c>
      <c r="O83" s="10">
        <f t="shared" si="7"/>
        <v>0.10248328557784145</v>
      </c>
    </row>
    <row r="84" spans="1:15">
      <c r="A84" s="7" t="s">
        <v>188</v>
      </c>
      <c r="B84" s="7"/>
      <c r="C84" s="7" t="s">
        <v>189</v>
      </c>
      <c r="D84" s="7" t="s">
        <v>189</v>
      </c>
      <c r="E84" s="7">
        <v>37</v>
      </c>
      <c r="F84" s="8">
        <v>0.2162</v>
      </c>
      <c r="G84" s="9">
        <f t="shared" si="4"/>
        <v>2567.5</v>
      </c>
      <c r="H84" s="7">
        <v>8</v>
      </c>
      <c r="I84" s="7">
        <v>20540</v>
      </c>
      <c r="J84" s="7">
        <v>8</v>
      </c>
      <c r="K84" s="7">
        <v>2605</v>
      </c>
      <c r="L84" s="7">
        <v>1690</v>
      </c>
      <c r="M84" s="7">
        <f t="shared" si="5"/>
        <v>13520</v>
      </c>
      <c r="N84" s="7">
        <f t="shared" si="6"/>
        <v>4415</v>
      </c>
      <c r="O84" s="10">
        <f t="shared" si="7"/>
        <v>0.2149464459591042</v>
      </c>
    </row>
    <row r="85" spans="1:15">
      <c r="A85" s="7" t="s">
        <v>190</v>
      </c>
      <c r="B85" s="7"/>
      <c r="C85" s="7" t="s">
        <v>191</v>
      </c>
      <c r="D85" s="7" t="s">
        <v>191</v>
      </c>
      <c r="E85" s="7">
        <v>67</v>
      </c>
      <c r="F85" s="8">
        <v>0.14929999999999999</v>
      </c>
      <c r="G85" s="9">
        <f t="shared" si="4"/>
        <v>2020</v>
      </c>
      <c r="H85" s="7">
        <v>10</v>
      </c>
      <c r="I85" s="7">
        <v>20200</v>
      </c>
      <c r="J85" s="7">
        <v>8</v>
      </c>
      <c r="K85" s="7">
        <v>3120</v>
      </c>
      <c r="L85" s="7">
        <v>1182</v>
      </c>
      <c r="M85" s="7">
        <f t="shared" si="5"/>
        <v>11820</v>
      </c>
      <c r="N85" s="7">
        <f t="shared" si="6"/>
        <v>5260</v>
      </c>
      <c r="O85" s="10">
        <f t="shared" si="7"/>
        <v>0.26039603960396041</v>
      </c>
    </row>
    <row r="86" spans="1:15">
      <c r="A86" s="7" t="s">
        <v>192</v>
      </c>
      <c r="B86" s="7"/>
      <c r="C86" s="7" t="s">
        <v>193</v>
      </c>
      <c r="D86" s="7" t="s">
        <v>194</v>
      </c>
      <c r="E86" s="7">
        <v>297</v>
      </c>
      <c r="F86" s="8">
        <v>6.7000000000000002E-3</v>
      </c>
      <c r="G86" s="9">
        <f t="shared" si="4"/>
        <v>9999</v>
      </c>
      <c r="H86" s="7">
        <v>2</v>
      </c>
      <c r="I86" s="7">
        <v>19998</v>
      </c>
      <c r="J86" s="7">
        <v>2</v>
      </c>
      <c r="K86" s="7">
        <v>2419</v>
      </c>
      <c r="L86" s="7">
        <v>7217</v>
      </c>
      <c r="M86" s="7">
        <f t="shared" si="5"/>
        <v>14434</v>
      </c>
      <c r="N86" s="7">
        <f t="shared" si="6"/>
        <v>3145</v>
      </c>
      <c r="O86" s="10">
        <f t="shared" si="7"/>
        <v>0.15726572657265728</v>
      </c>
    </row>
    <row r="87" spans="1:15">
      <c r="A87" s="7" t="s">
        <v>195</v>
      </c>
      <c r="B87" s="7"/>
      <c r="C87" s="7" t="s">
        <v>196</v>
      </c>
      <c r="D87" s="7" t="s">
        <v>139</v>
      </c>
      <c r="E87" s="7">
        <v>13</v>
      </c>
      <c r="F87" s="8">
        <v>0.3846</v>
      </c>
      <c r="G87" s="9">
        <f t="shared" si="4"/>
        <v>3980</v>
      </c>
      <c r="H87" s="7">
        <v>5</v>
      </c>
      <c r="I87" s="7">
        <v>19900</v>
      </c>
      <c r="J87" s="7">
        <v>5</v>
      </c>
      <c r="K87" s="7">
        <v>2275</v>
      </c>
      <c r="L87" s="7">
        <v>2776</v>
      </c>
      <c r="M87" s="7">
        <f t="shared" si="5"/>
        <v>13880</v>
      </c>
      <c r="N87" s="7">
        <f t="shared" si="6"/>
        <v>3745</v>
      </c>
      <c r="O87" s="10">
        <f t="shared" si="7"/>
        <v>0.18819095477386935</v>
      </c>
    </row>
    <row r="88" spans="1:15">
      <c r="A88" s="7" t="s">
        <v>197</v>
      </c>
      <c r="B88" s="7"/>
      <c r="C88" s="7" t="s">
        <v>198</v>
      </c>
      <c r="D88" s="7" t="s">
        <v>198</v>
      </c>
      <c r="E88" s="7">
        <v>119</v>
      </c>
      <c r="F88" s="8">
        <v>4.2000000000000003E-2</v>
      </c>
      <c r="G88" s="9">
        <f t="shared" si="4"/>
        <v>3980</v>
      </c>
      <c r="H88" s="7">
        <v>5</v>
      </c>
      <c r="I88" s="7">
        <v>19900</v>
      </c>
      <c r="J88" s="7">
        <v>4</v>
      </c>
      <c r="K88" s="7">
        <f>SUM(I88*0.15)</f>
        <v>2985</v>
      </c>
      <c r="L88" s="11">
        <v>1456</v>
      </c>
      <c r="M88" s="7">
        <f t="shared" si="5"/>
        <v>7280</v>
      </c>
      <c r="N88" s="7">
        <f t="shared" si="6"/>
        <v>9635</v>
      </c>
      <c r="O88" s="10">
        <f t="shared" si="7"/>
        <v>0.48417085427135681</v>
      </c>
    </row>
    <row r="89" spans="1:15">
      <c r="A89" s="7" t="s">
        <v>199</v>
      </c>
      <c r="B89" s="7"/>
      <c r="C89" s="7" t="s">
        <v>200</v>
      </c>
      <c r="D89" s="7" t="s">
        <v>201</v>
      </c>
      <c r="E89" s="7">
        <v>2475</v>
      </c>
      <c r="F89" s="8">
        <v>6.5000000000000006E-3</v>
      </c>
      <c r="G89" s="9">
        <f t="shared" si="4"/>
        <v>1234.4375</v>
      </c>
      <c r="H89" s="7">
        <v>16</v>
      </c>
      <c r="I89" s="7">
        <v>19751</v>
      </c>
      <c r="J89" s="7">
        <v>16</v>
      </c>
      <c r="K89" s="7">
        <v>1826</v>
      </c>
      <c r="L89" s="7">
        <v>1884</v>
      </c>
      <c r="M89" s="7">
        <f t="shared" si="5"/>
        <v>30144</v>
      </c>
      <c r="N89" s="7">
        <f t="shared" si="6"/>
        <v>-12219</v>
      </c>
      <c r="O89" s="10">
        <f t="shared" si="7"/>
        <v>-0.61865222014075238</v>
      </c>
    </row>
    <row r="90" spans="1:15">
      <c r="A90" s="7" t="s">
        <v>202</v>
      </c>
      <c r="B90" s="7"/>
      <c r="C90" s="7" t="s">
        <v>203</v>
      </c>
      <c r="D90" s="7" t="s">
        <v>203</v>
      </c>
      <c r="E90" s="7">
        <v>80</v>
      </c>
      <c r="F90" s="8">
        <v>3.7499999999999999E-2</v>
      </c>
      <c r="G90" s="9">
        <f t="shared" si="4"/>
        <v>6418</v>
      </c>
      <c r="H90" s="7">
        <v>3</v>
      </c>
      <c r="I90" s="7">
        <v>19254</v>
      </c>
      <c r="J90" s="7">
        <v>3</v>
      </c>
      <c r="K90" s="7">
        <v>1761</v>
      </c>
      <c r="L90" s="7">
        <v>4820</v>
      </c>
      <c r="M90" s="7">
        <f t="shared" si="5"/>
        <v>14460</v>
      </c>
      <c r="N90" s="7">
        <f t="shared" si="6"/>
        <v>3033</v>
      </c>
      <c r="O90" s="10">
        <f t="shared" si="7"/>
        <v>0.15752570894359613</v>
      </c>
    </row>
    <row r="91" spans="1:15">
      <c r="A91" s="7" t="s">
        <v>204</v>
      </c>
      <c r="B91" s="7"/>
      <c r="C91" s="7" t="s">
        <v>205</v>
      </c>
      <c r="D91" s="7" t="s">
        <v>205</v>
      </c>
      <c r="E91" s="7">
        <v>101</v>
      </c>
      <c r="F91" s="8">
        <v>7.9199999999999993E-2</v>
      </c>
      <c r="G91" s="9">
        <f t="shared" si="4"/>
        <v>2380</v>
      </c>
      <c r="H91" s="7">
        <v>8</v>
      </c>
      <c r="I91" s="7">
        <v>19040</v>
      </c>
      <c r="J91" s="7">
        <v>7</v>
      </c>
      <c r="K91" s="7">
        <v>2184</v>
      </c>
      <c r="L91" s="7">
        <v>1044</v>
      </c>
      <c r="M91" s="7">
        <f t="shared" si="5"/>
        <v>8352</v>
      </c>
      <c r="N91" s="7">
        <f t="shared" si="6"/>
        <v>8504</v>
      </c>
      <c r="O91" s="10">
        <f t="shared" si="7"/>
        <v>0.4466386554621849</v>
      </c>
    </row>
    <row r="92" spans="1:15">
      <c r="A92" s="7" t="s">
        <v>206</v>
      </c>
      <c r="B92" s="7"/>
      <c r="C92" s="7" t="s">
        <v>207</v>
      </c>
      <c r="D92" s="7" t="s">
        <v>208</v>
      </c>
      <c r="E92" s="7">
        <v>355</v>
      </c>
      <c r="F92" s="8">
        <v>5.6300000000000003E-2</v>
      </c>
      <c r="G92" s="9">
        <f t="shared" si="4"/>
        <v>942</v>
      </c>
      <c r="H92" s="7">
        <v>20</v>
      </c>
      <c r="I92" s="7">
        <v>18840</v>
      </c>
      <c r="J92" s="7">
        <v>17</v>
      </c>
      <c r="K92" s="7">
        <v>1740</v>
      </c>
      <c r="L92" s="7">
        <v>462</v>
      </c>
      <c r="M92" s="7">
        <f t="shared" si="5"/>
        <v>9240</v>
      </c>
      <c r="N92" s="7">
        <f t="shared" si="6"/>
        <v>7860</v>
      </c>
      <c r="O92" s="10">
        <f t="shared" si="7"/>
        <v>0.41719745222929938</v>
      </c>
    </row>
    <row r="93" spans="1:15">
      <c r="A93" s="7" t="s">
        <v>209</v>
      </c>
      <c r="B93" s="7"/>
      <c r="C93" s="7" t="s">
        <v>210</v>
      </c>
      <c r="D93" s="7" t="s">
        <v>211</v>
      </c>
      <c r="E93" s="7">
        <v>277</v>
      </c>
      <c r="F93" s="8">
        <v>5.0500000000000003E-2</v>
      </c>
      <c r="G93" s="9">
        <f t="shared" si="4"/>
        <v>1336.4285714285713</v>
      </c>
      <c r="H93" s="7">
        <v>14</v>
      </c>
      <c r="I93" s="7">
        <v>18710</v>
      </c>
      <c r="J93" s="7">
        <v>13</v>
      </c>
      <c r="K93" s="7">
        <v>3219</v>
      </c>
      <c r="L93" s="7">
        <v>493</v>
      </c>
      <c r="M93" s="7">
        <f t="shared" si="5"/>
        <v>6902</v>
      </c>
      <c r="N93" s="7">
        <f t="shared" si="6"/>
        <v>8589</v>
      </c>
      <c r="O93" s="10">
        <f t="shared" si="7"/>
        <v>0.45905932656333509</v>
      </c>
    </row>
    <row r="94" spans="1:15">
      <c r="A94" s="7" t="s">
        <v>212</v>
      </c>
      <c r="B94" s="7"/>
      <c r="C94" s="7" t="s">
        <v>213</v>
      </c>
      <c r="D94" s="7" t="s">
        <v>214</v>
      </c>
      <c r="E94" s="7">
        <v>27</v>
      </c>
      <c r="F94" s="8">
        <v>0.25929999999999997</v>
      </c>
      <c r="G94" s="9">
        <f t="shared" si="4"/>
        <v>2580</v>
      </c>
      <c r="H94" s="7">
        <v>7</v>
      </c>
      <c r="I94" s="7">
        <v>18060</v>
      </c>
      <c r="J94" s="7">
        <v>5</v>
      </c>
      <c r="K94" s="7">
        <f>SUM(I94*0.15)</f>
        <v>2709</v>
      </c>
      <c r="L94" s="7">
        <v>1104</v>
      </c>
      <c r="M94" s="7">
        <f t="shared" si="5"/>
        <v>7728</v>
      </c>
      <c r="N94" s="7">
        <f t="shared" si="6"/>
        <v>7623</v>
      </c>
      <c r="O94" s="10">
        <f t="shared" si="7"/>
        <v>0.42209302325581394</v>
      </c>
    </row>
    <row r="95" spans="1:15">
      <c r="A95" s="7" t="s">
        <v>215</v>
      </c>
      <c r="B95" s="7"/>
      <c r="C95" s="7" t="s">
        <v>216</v>
      </c>
      <c r="D95" s="7" t="s">
        <v>217</v>
      </c>
      <c r="E95" s="7">
        <v>87</v>
      </c>
      <c r="F95" s="8">
        <v>0.10340000000000001</v>
      </c>
      <c r="G95" s="9">
        <f t="shared" si="4"/>
        <v>1924.4444444444443</v>
      </c>
      <c r="H95" s="7">
        <v>9</v>
      </c>
      <c r="I95" s="7">
        <v>17320</v>
      </c>
      <c r="J95" s="7">
        <v>9</v>
      </c>
      <c r="K95" s="7">
        <v>2939</v>
      </c>
      <c r="L95" s="7">
        <v>1034</v>
      </c>
      <c r="M95" s="7">
        <f t="shared" si="5"/>
        <v>9306</v>
      </c>
      <c r="N95" s="7">
        <f t="shared" si="6"/>
        <v>5075</v>
      </c>
      <c r="O95" s="10">
        <f t="shared" si="7"/>
        <v>0.29301385681293302</v>
      </c>
    </row>
    <row r="96" spans="1:15">
      <c r="A96" s="7" t="s">
        <v>218</v>
      </c>
      <c r="B96" s="7"/>
      <c r="C96" s="7" t="s">
        <v>219</v>
      </c>
      <c r="D96" s="7" t="s">
        <v>219</v>
      </c>
      <c r="E96" s="7">
        <v>32</v>
      </c>
      <c r="F96" s="8">
        <v>0.1875</v>
      </c>
      <c r="G96" s="9">
        <f t="shared" si="4"/>
        <v>2878.3333333333335</v>
      </c>
      <c r="H96" s="7">
        <v>6</v>
      </c>
      <c r="I96" s="7">
        <v>17270</v>
      </c>
      <c r="J96" s="7">
        <v>6</v>
      </c>
      <c r="K96" s="7">
        <v>1973</v>
      </c>
      <c r="L96" s="7">
        <v>1892</v>
      </c>
      <c r="M96" s="7">
        <f t="shared" si="5"/>
        <v>11352</v>
      </c>
      <c r="N96" s="7">
        <f t="shared" si="6"/>
        <v>3945</v>
      </c>
      <c r="O96" s="10">
        <f t="shared" si="7"/>
        <v>0.22843080486392589</v>
      </c>
    </row>
    <row r="97" spans="1:15">
      <c r="A97" s="7" t="s">
        <v>220</v>
      </c>
      <c r="B97" s="7"/>
      <c r="C97" s="7" t="s">
        <v>221</v>
      </c>
      <c r="D97" s="7" t="s">
        <v>221</v>
      </c>
      <c r="E97" s="7">
        <v>71</v>
      </c>
      <c r="F97" s="8">
        <v>8.4499999999999992E-2</v>
      </c>
      <c r="G97" s="9">
        <f t="shared" si="4"/>
        <v>2780</v>
      </c>
      <c r="H97" s="7">
        <v>6</v>
      </c>
      <c r="I97" s="7">
        <v>16680</v>
      </c>
      <c r="J97" s="7">
        <v>5</v>
      </c>
      <c r="K97" s="7">
        <v>2355</v>
      </c>
      <c r="L97" s="7">
        <v>1474</v>
      </c>
      <c r="M97" s="7">
        <f t="shared" si="5"/>
        <v>8844</v>
      </c>
      <c r="N97" s="7">
        <f t="shared" si="6"/>
        <v>5481</v>
      </c>
      <c r="O97" s="10">
        <f t="shared" si="7"/>
        <v>0.32859712230215826</v>
      </c>
    </row>
    <row r="98" spans="1:15">
      <c r="A98" s="7" t="s">
        <v>222</v>
      </c>
      <c r="B98" s="7"/>
      <c r="C98" s="7" t="s">
        <v>223</v>
      </c>
      <c r="D98" s="7" t="s">
        <v>223</v>
      </c>
      <c r="E98" s="7">
        <v>146</v>
      </c>
      <c r="F98" s="8">
        <v>4.1099999999999998E-2</v>
      </c>
      <c r="G98" s="9">
        <f t="shared" si="4"/>
        <v>2780</v>
      </c>
      <c r="H98" s="7">
        <v>6</v>
      </c>
      <c r="I98" s="7">
        <v>16680</v>
      </c>
      <c r="J98" s="7">
        <v>4</v>
      </c>
      <c r="K98" s="7">
        <v>2826</v>
      </c>
      <c r="L98" s="7">
        <v>1800</v>
      </c>
      <c r="M98" s="7">
        <f t="shared" si="5"/>
        <v>10800</v>
      </c>
      <c r="N98" s="7">
        <f t="shared" si="6"/>
        <v>3054</v>
      </c>
      <c r="O98" s="10">
        <f t="shared" si="7"/>
        <v>0.18309352517985611</v>
      </c>
    </row>
    <row r="99" spans="1:15">
      <c r="A99" s="7" t="s">
        <v>224</v>
      </c>
      <c r="B99" s="7"/>
      <c r="C99" s="7" t="s">
        <v>225</v>
      </c>
      <c r="D99" s="7" t="s">
        <v>225</v>
      </c>
      <c r="E99" s="7">
        <v>44</v>
      </c>
      <c r="F99" s="8">
        <v>0.15909999999999999</v>
      </c>
      <c r="G99" s="9">
        <f t="shared" si="4"/>
        <v>2280</v>
      </c>
      <c r="H99" s="7">
        <v>7</v>
      </c>
      <c r="I99" s="7">
        <v>15960</v>
      </c>
      <c r="J99" s="7">
        <v>5</v>
      </c>
      <c r="K99" s="7">
        <v>2702</v>
      </c>
      <c r="L99" s="7">
        <v>858</v>
      </c>
      <c r="M99" s="7">
        <f t="shared" si="5"/>
        <v>6006</v>
      </c>
      <c r="N99" s="7">
        <f t="shared" si="6"/>
        <v>7252</v>
      </c>
      <c r="O99" s="10">
        <f t="shared" si="7"/>
        <v>0.45438596491228073</v>
      </c>
    </row>
    <row r="100" spans="1:15">
      <c r="A100" s="7" t="s">
        <v>226</v>
      </c>
      <c r="B100" s="7"/>
      <c r="C100" s="7" t="s">
        <v>227</v>
      </c>
      <c r="D100" s="7" t="s">
        <v>228</v>
      </c>
      <c r="E100" s="7">
        <v>130</v>
      </c>
      <c r="F100" s="8">
        <v>6.9199999999999998E-2</v>
      </c>
      <c r="G100" s="9">
        <f t="shared" si="4"/>
        <v>1679.6666666666667</v>
      </c>
      <c r="H100" s="7">
        <v>9</v>
      </c>
      <c r="I100" s="7">
        <v>15117</v>
      </c>
      <c r="J100" s="7">
        <v>5</v>
      </c>
      <c r="K100" s="7">
        <v>1729</v>
      </c>
      <c r="L100" s="7">
        <v>1130</v>
      </c>
      <c r="M100" s="7">
        <f t="shared" si="5"/>
        <v>10170</v>
      </c>
      <c r="N100" s="7">
        <f t="shared" si="6"/>
        <v>3218</v>
      </c>
      <c r="O100" s="10">
        <f t="shared" si="7"/>
        <v>0.21287292452206125</v>
      </c>
    </row>
    <row r="101" spans="1:15">
      <c r="A101" s="7" t="s">
        <v>229</v>
      </c>
      <c r="B101" s="7"/>
      <c r="C101" s="7" t="s">
        <v>230</v>
      </c>
      <c r="D101" s="7" t="s">
        <v>230</v>
      </c>
      <c r="E101" s="7">
        <v>25</v>
      </c>
      <c r="F101" s="8">
        <v>0.4</v>
      </c>
      <c r="G101" s="9">
        <f t="shared" si="4"/>
        <v>1500</v>
      </c>
      <c r="H101" s="7">
        <v>10</v>
      </c>
      <c r="I101" s="7">
        <v>15000</v>
      </c>
      <c r="J101" s="7">
        <v>5</v>
      </c>
      <c r="K101" s="7">
        <v>1387</v>
      </c>
      <c r="L101" s="7">
        <v>798</v>
      </c>
      <c r="M101" s="7">
        <f t="shared" si="5"/>
        <v>7980</v>
      </c>
      <c r="N101" s="7">
        <f t="shared" si="6"/>
        <v>5633</v>
      </c>
      <c r="O101" s="10">
        <f t="shared" si="7"/>
        <v>0.37553333333333333</v>
      </c>
    </row>
    <row r="102" spans="1:15">
      <c r="A102" s="7" t="s">
        <v>231</v>
      </c>
      <c r="B102" s="7"/>
      <c r="C102" s="7" t="s">
        <v>232</v>
      </c>
      <c r="D102" s="7" t="s">
        <v>232</v>
      </c>
      <c r="E102" s="7">
        <v>111</v>
      </c>
      <c r="F102" s="8">
        <v>9.0000000000000011E-3</v>
      </c>
      <c r="G102" s="9">
        <f t="shared" si="4"/>
        <v>14980</v>
      </c>
      <c r="H102" s="7">
        <v>1</v>
      </c>
      <c r="I102" s="7">
        <v>14980</v>
      </c>
      <c r="J102" s="7">
        <v>1</v>
      </c>
      <c r="K102" s="7">
        <f>SUM(I102*0.15)</f>
        <v>2247</v>
      </c>
      <c r="L102" s="7">
        <v>11567</v>
      </c>
      <c r="M102" s="7">
        <f t="shared" si="5"/>
        <v>11567</v>
      </c>
      <c r="N102" s="7">
        <f t="shared" si="6"/>
        <v>1166</v>
      </c>
      <c r="O102" s="10">
        <f t="shared" si="7"/>
        <v>7.7837116154873168E-2</v>
      </c>
    </row>
    <row r="103" spans="1:15">
      <c r="A103" s="7" t="s">
        <v>233</v>
      </c>
      <c r="B103" s="7"/>
      <c r="C103" s="7" t="s">
        <v>234</v>
      </c>
      <c r="D103" s="7" t="s">
        <v>234</v>
      </c>
      <c r="E103" s="7">
        <v>53</v>
      </c>
      <c r="F103" s="8">
        <v>9.4299999999999995E-2</v>
      </c>
      <c r="G103" s="9">
        <f t="shared" si="4"/>
        <v>2980</v>
      </c>
      <c r="H103" s="7">
        <v>5</v>
      </c>
      <c r="I103" s="7">
        <v>14900</v>
      </c>
      <c r="J103" s="7">
        <v>2</v>
      </c>
      <c r="K103" s="7">
        <f>SUM(I103*0.15)</f>
        <v>2235</v>
      </c>
      <c r="L103" s="7">
        <v>2340</v>
      </c>
      <c r="M103" s="7">
        <f t="shared" si="5"/>
        <v>11700</v>
      </c>
      <c r="N103" s="7">
        <f t="shared" si="6"/>
        <v>965</v>
      </c>
      <c r="O103" s="10">
        <f t="shared" si="7"/>
        <v>6.476510067114094E-2</v>
      </c>
    </row>
    <row r="104" spans="1:15">
      <c r="A104" s="7" t="s">
        <v>235</v>
      </c>
      <c r="B104" s="7"/>
      <c r="C104" s="7" t="s">
        <v>236</v>
      </c>
      <c r="D104" s="7" t="s">
        <v>237</v>
      </c>
      <c r="E104" s="7">
        <v>36</v>
      </c>
      <c r="F104" s="8">
        <v>0.27779999999999999</v>
      </c>
      <c r="G104" s="9">
        <f t="shared" si="4"/>
        <v>1480</v>
      </c>
      <c r="H104" s="7">
        <v>10</v>
      </c>
      <c r="I104" s="7">
        <v>14800</v>
      </c>
      <c r="J104" s="7">
        <v>9</v>
      </c>
      <c r="K104" s="7">
        <v>1736</v>
      </c>
      <c r="L104" s="7">
        <v>778</v>
      </c>
      <c r="M104" s="7">
        <f t="shared" si="5"/>
        <v>7780</v>
      </c>
      <c r="N104" s="7">
        <f t="shared" si="6"/>
        <v>5284</v>
      </c>
      <c r="O104" s="10">
        <f t="shared" si="7"/>
        <v>0.35702702702702704</v>
      </c>
    </row>
    <row r="105" spans="1:15">
      <c r="A105" s="7" t="s">
        <v>238</v>
      </c>
      <c r="B105" s="7"/>
      <c r="C105" s="7" t="s">
        <v>239</v>
      </c>
      <c r="D105" s="7" t="s">
        <v>240</v>
      </c>
      <c r="E105" s="7">
        <v>1391</v>
      </c>
      <c r="F105" s="8">
        <v>2.2000000000000001E-3</v>
      </c>
      <c r="G105" s="9">
        <f t="shared" si="4"/>
        <v>4843</v>
      </c>
      <c r="H105" s="7">
        <v>3</v>
      </c>
      <c r="I105" s="7">
        <v>14529</v>
      </c>
      <c r="J105" s="7">
        <v>3</v>
      </c>
      <c r="K105" s="7">
        <v>1662</v>
      </c>
      <c r="L105" s="7">
        <v>2699</v>
      </c>
      <c r="M105" s="7">
        <f t="shared" si="5"/>
        <v>8097</v>
      </c>
      <c r="N105" s="7">
        <f t="shared" si="6"/>
        <v>4770</v>
      </c>
      <c r="O105" s="10">
        <f t="shared" si="7"/>
        <v>0.32830889944249431</v>
      </c>
    </row>
    <row r="106" spans="1:15">
      <c r="A106" s="7" t="s">
        <v>241</v>
      </c>
      <c r="B106" s="7"/>
      <c r="C106" s="7" t="s">
        <v>242</v>
      </c>
      <c r="D106" s="7" t="s">
        <v>243</v>
      </c>
      <c r="E106" s="7">
        <v>23</v>
      </c>
      <c r="F106" s="8">
        <v>0.30430000000000001</v>
      </c>
      <c r="G106" s="9">
        <f t="shared" si="4"/>
        <v>2065.7142857142858</v>
      </c>
      <c r="H106" s="7">
        <v>7</v>
      </c>
      <c r="I106" s="7">
        <v>14460</v>
      </c>
      <c r="J106" s="7">
        <v>6</v>
      </c>
      <c r="K106" s="7">
        <v>2449</v>
      </c>
      <c r="L106" s="7">
        <v>1226</v>
      </c>
      <c r="M106" s="7">
        <f t="shared" si="5"/>
        <v>8582</v>
      </c>
      <c r="N106" s="7">
        <f t="shared" si="6"/>
        <v>3429</v>
      </c>
      <c r="O106" s="10">
        <f t="shared" si="7"/>
        <v>0.2371369294605809</v>
      </c>
    </row>
    <row r="107" spans="1:15">
      <c r="A107" s="7" t="s">
        <v>244</v>
      </c>
      <c r="B107" s="7"/>
      <c r="C107" s="7" t="s">
        <v>245</v>
      </c>
      <c r="D107" s="7" t="s">
        <v>246</v>
      </c>
      <c r="E107" s="7">
        <v>464</v>
      </c>
      <c r="F107" s="8">
        <v>1.0800000000000001E-2</v>
      </c>
      <c r="G107" s="9">
        <f t="shared" si="4"/>
        <v>2848</v>
      </c>
      <c r="H107" s="7">
        <v>5</v>
      </c>
      <c r="I107" s="7">
        <v>14240</v>
      </c>
      <c r="J107" s="7">
        <v>5</v>
      </c>
      <c r="K107" s="7">
        <v>1943</v>
      </c>
      <c r="L107" s="7">
        <v>748</v>
      </c>
      <c r="M107" s="7">
        <f t="shared" si="5"/>
        <v>3740</v>
      </c>
      <c r="N107" s="7">
        <f t="shared" si="6"/>
        <v>8557</v>
      </c>
      <c r="O107" s="10">
        <f t="shared" si="7"/>
        <v>0.60091292134831464</v>
      </c>
    </row>
    <row r="108" spans="1:15">
      <c r="A108" s="7" t="s">
        <v>247</v>
      </c>
      <c r="B108" s="7"/>
      <c r="C108" s="7" t="s">
        <v>248</v>
      </c>
      <c r="D108" s="7" t="s">
        <v>249</v>
      </c>
      <c r="E108" s="7">
        <v>1778</v>
      </c>
      <c r="F108" s="8">
        <v>5.6000000000000008E-3</v>
      </c>
      <c r="G108" s="9">
        <f t="shared" si="4"/>
        <v>1404.6</v>
      </c>
      <c r="H108" s="7">
        <v>10</v>
      </c>
      <c r="I108" s="7">
        <v>14046</v>
      </c>
      <c r="J108" s="7">
        <v>8</v>
      </c>
      <c r="K108" s="7">
        <v>2379</v>
      </c>
      <c r="L108" s="7">
        <v>757</v>
      </c>
      <c r="M108" s="7">
        <f t="shared" si="5"/>
        <v>7570</v>
      </c>
      <c r="N108" s="7">
        <f t="shared" si="6"/>
        <v>4097</v>
      </c>
      <c r="O108" s="10">
        <f t="shared" si="7"/>
        <v>0.2916844653282073</v>
      </c>
    </row>
    <row r="109" spans="1:15">
      <c r="A109" s="7" t="s">
        <v>250</v>
      </c>
      <c r="B109" s="7"/>
      <c r="C109" s="7" t="s">
        <v>251</v>
      </c>
      <c r="D109" s="7" t="s">
        <v>251</v>
      </c>
      <c r="E109" s="7">
        <v>36</v>
      </c>
      <c r="F109" s="8">
        <v>0.19439999999999999</v>
      </c>
      <c r="G109" s="9">
        <f t="shared" si="4"/>
        <v>2000.5714285714287</v>
      </c>
      <c r="H109" s="7">
        <v>7</v>
      </c>
      <c r="I109" s="7">
        <v>14004</v>
      </c>
      <c r="J109" s="7">
        <v>6</v>
      </c>
      <c r="K109" s="7">
        <v>1399</v>
      </c>
      <c r="L109" s="7">
        <v>1328</v>
      </c>
      <c r="M109" s="7">
        <f t="shared" si="5"/>
        <v>9296</v>
      </c>
      <c r="N109" s="7">
        <f t="shared" si="6"/>
        <v>3309</v>
      </c>
      <c r="O109" s="10">
        <f t="shared" si="7"/>
        <v>0.23628963153384747</v>
      </c>
    </row>
    <row r="110" spans="1:15">
      <c r="A110" s="7" t="s">
        <v>252</v>
      </c>
      <c r="B110" s="7"/>
      <c r="C110" s="7" t="s">
        <v>253</v>
      </c>
      <c r="D110" s="7" t="s">
        <v>254</v>
      </c>
      <c r="E110" s="7">
        <v>10470</v>
      </c>
      <c r="F110" s="8">
        <v>1.2999999999999999E-3</v>
      </c>
      <c r="G110" s="9">
        <f t="shared" si="4"/>
        <v>985</v>
      </c>
      <c r="H110" s="7">
        <v>14</v>
      </c>
      <c r="I110" s="7">
        <v>13790</v>
      </c>
      <c r="J110" s="7">
        <v>13</v>
      </c>
      <c r="K110" s="7">
        <f>SUM(I110*0.15)</f>
        <v>2068.5</v>
      </c>
      <c r="L110" s="7">
        <v>232</v>
      </c>
      <c r="M110" s="7">
        <f t="shared" si="5"/>
        <v>3248</v>
      </c>
      <c r="N110" s="7">
        <f t="shared" si="6"/>
        <v>8473.5</v>
      </c>
      <c r="O110" s="10">
        <f t="shared" si="7"/>
        <v>0.61446700507614216</v>
      </c>
    </row>
    <row r="111" spans="1:15">
      <c r="A111" s="7" t="s">
        <v>255</v>
      </c>
      <c r="B111" s="7"/>
      <c r="C111" s="7" t="s">
        <v>256</v>
      </c>
      <c r="D111" s="7" t="s">
        <v>208</v>
      </c>
      <c r="E111" s="7">
        <v>361</v>
      </c>
      <c r="F111" s="8">
        <v>2.2200000000000001E-2</v>
      </c>
      <c r="G111" s="9">
        <f t="shared" si="4"/>
        <v>1681.25</v>
      </c>
      <c r="H111" s="7">
        <v>8</v>
      </c>
      <c r="I111" s="7">
        <v>13450</v>
      </c>
      <c r="J111" s="7">
        <v>7</v>
      </c>
      <c r="K111" s="7">
        <v>2281</v>
      </c>
      <c r="L111" s="7">
        <v>924</v>
      </c>
      <c r="M111" s="7">
        <f t="shared" si="5"/>
        <v>7392</v>
      </c>
      <c r="N111" s="7">
        <f t="shared" si="6"/>
        <v>3777</v>
      </c>
      <c r="O111" s="10">
        <f t="shared" si="7"/>
        <v>0.28081784386617098</v>
      </c>
    </row>
    <row r="112" spans="1:15">
      <c r="A112" s="7" t="s">
        <v>257</v>
      </c>
      <c r="B112" s="7"/>
      <c r="C112" s="7" t="s">
        <v>258</v>
      </c>
      <c r="D112" s="7" t="s">
        <v>259</v>
      </c>
      <c r="E112" s="7">
        <v>47</v>
      </c>
      <c r="F112" s="8">
        <v>0.25530000000000003</v>
      </c>
      <c r="G112" s="9">
        <f t="shared" si="4"/>
        <v>1119.25</v>
      </c>
      <c r="H112" s="7">
        <v>12</v>
      </c>
      <c r="I112" s="7">
        <v>13431</v>
      </c>
      <c r="J112" s="7">
        <v>12</v>
      </c>
      <c r="K112" s="7">
        <v>1294</v>
      </c>
      <c r="L112" s="7">
        <v>550</v>
      </c>
      <c r="M112" s="7">
        <f t="shared" si="5"/>
        <v>6600</v>
      </c>
      <c r="N112" s="7">
        <f t="shared" si="6"/>
        <v>5537</v>
      </c>
      <c r="O112" s="10">
        <f t="shared" si="7"/>
        <v>0.41225523043704859</v>
      </c>
    </row>
    <row r="113" spans="1:15">
      <c r="A113" s="7" t="s">
        <v>260</v>
      </c>
      <c r="B113" s="7"/>
      <c r="C113" s="7" t="s">
        <v>261</v>
      </c>
      <c r="D113" s="7" t="s">
        <v>261</v>
      </c>
      <c r="E113" s="7">
        <v>18</v>
      </c>
      <c r="F113" s="8">
        <v>0.5</v>
      </c>
      <c r="G113" s="9">
        <f t="shared" si="4"/>
        <v>1480</v>
      </c>
      <c r="H113" s="7">
        <v>9</v>
      </c>
      <c r="I113" s="7">
        <v>13320</v>
      </c>
      <c r="J113" s="7">
        <v>5</v>
      </c>
      <c r="K113" s="7">
        <v>1227</v>
      </c>
      <c r="L113" s="7">
        <v>706</v>
      </c>
      <c r="M113" s="7">
        <f t="shared" si="5"/>
        <v>6354</v>
      </c>
      <c r="N113" s="7">
        <f t="shared" si="6"/>
        <v>5739</v>
      </c>
      <c r="O113" s="10">
        <f t="shared" si="7"/>
        <v>0.43085585585585584</v>
      </c>
    </row>
    <row r="114" spans="1:15">
      <c r="A114" s="7" t="s">
        <v>262</v>
      </c>
      <c r="B114" s="7"/>
      <c r="C114" s="7" t="s">
        <v>263</v>
      </c>
      <c r="D114" s="7" t="s">
        <v>263</v>
      </c>
      <c r="E114" s="7">
        <v>71</v>
      </c>
      <c r="F114" s="8">
        <v>7.0400000000000004E-2</v>
      </c>
      <c r="G114" s="9">
        <f t="shared" si="4"/>
        <v>2660</v>
      </c>
      <c r="H114" s="7">
        <v>5</v>
      </c>
      <c r="I114" s="7">
        <v>13300</v>
      </c>
      <c r="J114" s="7">
        <v>5</v>
      </c>
      <c r="K114" s="7">
        <v>1555</v>
      </c>
      <c r="L114" s="7">
        <v>1452</v>
      </c>
      <c r="M114" s="7">
        <f t="shared" si="5"/>
        <v>7260</v>
      </c>
      <c r="N114" s="7">
        <f t="shared" si="6"/>
        <v>4485</v>
      </c>
      <c r="O114" s="10">
        <f t="shared" si="7"/>
        <v>0.33721804511278197</v>
      </c>
    </row>
    <row r="115" spans="1:15">
      <c r="A115" s="7" t="s">
        <v>264</v>
      </c>
      <c r="B115" s="7"/>
      <c r="C115" s="7" t="s">
        <v>265</v>
      </c>
      <c r="D115" s="7" t="s">
        <v>265</v>
      </c>
      <c r="E115" s="7">
        <v>1514</v>
      </c>
      <c r="F115" s="8">
        <v>7.3000000000000001E-3</v>
      </c>
      <c r="G115" s="9">
        <f t="shared" si="4"/>
        <v>1190.1818181818182</v>
      </c>
      <c r="H115" s="7">
        <v>11</v>
      </c>
      <c r="I115" s="7">
        <v>13092</v>
      </c>
      <c r="J115" s="7">
        <v>10</v>
      </c>
      <c r="K115" s="7">
        <v>1212</v>
      </c>
      <c r="L115" s="7">
        <v>658</v>
      </c>
      <c r="M115" s="7">
        <f t="shared" si="5"/>
        <v>7238</v>
      </c>
      <c r="N115" s="7">
        <f t="shared" si="6"/>
        <v>4642</v>
      </c>
      <c r="O115" s="10">
        <f t="shared" si="7"/>
        <v>0.35456767491597924</v>
      </c>
    </row>
    <row r="116" spans="1:15">
      <c r="A116" s="7" t="s">
        <v>266</v>
      </c>
      <c r="B116" s="7"/>
      <c r="C116" s="7" t="s">
        <v>267</v>
      </c>
      <c r="D116" s="7" t="s">
        <v>267</v>
      </c>
      <c r="E116" s="7">
        <v>33</v>
      </c>
      <c r="F116" s="8">
        <v>0.21210000000000001</v>
      </c>
      <c r="G116" s="9">
        <f t="shared" si="4"/>
        <v>1859.1428571428571</v>
      </c>
      <c r="H116" s="7">
        <v>7</v>
      </c>
      <c r="I116" s="7">
        <v>13014</v>
      </c>
      <c r="J116" s="7">
        <v>6</v>
      </c>
      <c r="K116" s="7">
        <v>2136</v>
      </c>
      <c r="L116" s="7">
        <v>831</v>
      </c>
      <c r="M116" s="7">
        <f t="shared" si="5"/>
        <v>5817</v>
      </c>
      <c r="N116" s="7">
        <f t="shared" si="6"/>
        <v>5061</v>
      </c>
      <c r="O116" s="10">
        <f t="shared" si="7"/>
        <v>0.3888888888888889</v>
      </c>
    </row>
    <row r="117" spans="1:15">
      <c r="A117" s="7" t="s">
        <v>268</v>
      </c>
      <c r="B117" s="7"/>
      <c r="C117" s="7" t="s">
        <v>269</v>
      </c>
      <c r="D117" s="7" t="s">
        <v>269</v>
      </c>
      <c r="E117" s="7">
        <v>44</v>
      </c>
      <c r="F117" s="8">
        <v>0.25</v>
      </c>
      <c r="G117" s="9">
        <f t="shared" si="4"/>
        <v>1180</v>
      </c>
      <c r="H117" s="7">
        <v>11</v>
      </c>
      <c r="I117" s="7">
        <v>12980</v>
      </c>
      <c r="J117" s="7">
        <v>5</v>
      </c>
      <c r="K117" s="7">
        <v>1229</v>
      </c>
      <c r="L117" s="7">
        <v>330</v>
      </c>
      <c r="M117" s="7">
        <f t="shared" si="5"/>
        <v>3630</v>
      </c>
      <c r="N117" s="7">
        <f t="shared" si="6"/>
        <v>8121</v>
      </c>
      <c r="O117" s="10">
        <f t="shared" si="7"/>
        <v>0.6256548536209553</v>
      </c>
    </row>
    <row r="118" spans="1:15">
      <c r="A118" s="7" t="s">
        <v>270</v>
      </c>
      <c r="B118" s="7"/>
      <c r="C118" s="7" t="s">
        <v>271</v>
      </c>
      <c r="D118" s="7" t="s">
        <v>272</v>
      </c>
      <c r="E118" s="7">
        <v>55</v>
      </c>
      <c r="F118" s="8">
        <v>0.14549999999999999</v>
      </c>
      <c r="G118" s="9">
        <f t="shared" si="4"/>
        <v>1608</v>
      </c>
      <c r="H118" s="7">
        <v>8</v>
      </c>
      <c r="I118" s="7">
        <v>12864</v>
      </c>
      <c r="J118" s="7">
        <v>8</v>
      </c>
      <c r="K118" s="7">
        <v>1492</v>
      </c>
      <c r="L118" s="7">
        <v>920</v>
      </c>
      <c r="M118" s="7">
        <f t="shared" si="5"/>
        <v>7360</v>
      </c>
      <c r="N118" s="7">
        <f t="shared" si="6"/>
        <v>4012</v>
      </c>
      <c r="O118" s="10">
        <f t="shared" si="7"/>
        <v>0.31187810945273631</v>
      </c>
    </row>
    <row r="119" spans="1:15">
      <c r="A119" s="7" t="s">
        <v>273</v>
      </c>
      <c r="B119" s="7"/>
      <c r="C119" s="7" t="s">
        <v>274</v>
      </c>
      <c r="D119" s="7" t="s">
        <v>275</v>
      </c>
      <c r="E119" s="7">
        <v>209</v>
      </c>
      <c r="F119" s="8">
        <v>3.8300000000000001E-2</v>
      </c>
      <c r="G119" s="9">
        <f t="shared" si="4"/>
        <v>1571.25</v>
      </c>
      <c r="H119" s="7">
        <v>8</v>
      </c>
      <c r="I119" s="7">
        <v>12570</v>
      </c>
      <c r="J119" s="7">
        <v>7</v>
      </c>
      <c r="K119" s="7">
        <v>1622</v>
      </c>
      <c r="L119" s="7">
        <v>986</v>
      </c>
      <c r="M119" s="7">
        <f t="shared" si="5"/>
        <v>7888</v>
      </c>
      <c r="N119" s="7">
        <f t="shared" si="6"/>
        <v>3060</v>
      </c>
      <c r="O119" s="10">
        <f t="shared" si="7"/>
        <v>0.24343675417661098</v>
      </c>
    </row>
    <row r="120" spans="1:15">
      <c r="A120" s="7" t="s">
        <v>276</v>
      </c>
      <c r="B120" s="7"/>
      <c r="C120" s="7" t="s">
        <v>277</v>
      </c>
      <c r="D120" s="7" t="s">
        <v>278</v>
      </c>
      <c r="E120" s="7">
        <v>406</v>
      </c>
      <c r="F120" s="8">
        <v>1.72E-2</v>
      </c>
      <c r="G120" s="9">
        <f t="shared" si="4"/>
        <v>1780.2857142857142</v>
      </c>
      <c r="H120" s="7">
        <v>7</v>
      </c>
      <c r="I120" s="7">
        <v>12462</v>
      </c>
      <c r="J120" s="7">
        <v>7</v>
      </c>
      <c r="K120" s="7">
        <v>2885</v>
      </c>
      <c r="L120" s="7">
        <v>1148</v>
      </c>
      <c r="M120" s="7">
        <f t="shared" si="5"/>
        <v>8036</v>
      </c>
      <c r="N120" s="7">
        <f t="shared" si="6"/>
        <v>1541</v>
      </c>
      <c r="O120" s="10">
        <f t="shared" si="7"/>
        <v>0.12365591397849462</v>
      </c>
    </row>
    <row r="121" spans="1:15">
      <c r="A121" s="7" t="s">
        <v>279</v>
      </c>
      <c r="B121" s="7"/>
      <c r="C121" s="7" t="s">
        <v>280</v>
      </c>
      <c r="D121" s="7" t="s">
        <v>281</v>
      </c>
      <c r="E121" s="7">
        <v>17</v>
      </c>
      <c r="F121" s="8">
        <v>0.58820000000000006</v>
      </c>
      <c r="G121" s="9">
        <f t="shared" si="4"/>
        <v>1180</v>
      </c>
      <c r="H121" s="7">
        <v>10</v>
      </c>
      <c r="I121" s="7">
        <v>11800</v>
      </c>
      <c r="J121" s="7">
        <v>7</v>
      </c>
      <c r="K121" s="7">
        <v>981</v>
      </c>
      <c r="L121" s="7">
        <v>642</v>
      </c>
      <c r="M121" s="7">
        <f t="shared" si="5"/>
        <v>6420</v>
      </c>
      <c r="N121" s="7">
        <f t="shared" si="6"/>
        <v>4399</v>
      </c>
      <c r="O121" s="10">
        <f t="shared" si="7"/>
        <v>0.3727966101694915</v>
      </c>
    </row>
    <row r="122" spans="1:15">
      <c r="A122" s="7" t="s">
        <v>282</v>
      </c>
      <c r="B122" s="7"/>
      <c r="C122" s="7" t="s">
        <v>283</v>
      </c>
      <c r="D122" s="7" t="s">
        <v>283</v>
      </c>
      <c r="E122" s="7">
        <v>123</v>
      </c>
      <c r="F122" s="8">
        <v>4.07E-2</v>
      </c>
      <c r="G122" s="9">
        <f t="shared" si="4"/>
        <v>2080</v>
      </c>
      <c r="H122" s="7">
        <v>5</v>
      </c>
      <c r="I122" s="7">
        <v>10400</v>
      </c>
      <c r="J122" s="7">
        <v>5</v>
      </c>
      <c r="K122" s="7">
        <v>1192</v>
      </c>
      <c r="L122" s="7">
        <v>1126</v>
      </c>
      <c r="M122" s="7">
        <f t="shared" si="5"/>
        <v>5630</v>
      </c>
      <c r="N122" s="7">
        <f t="shared" si="6"/>
        <v>3578</v>
      </c>
      <c r="O122" s="10">
        <f t="shared" si="7"/>
        <v>0.34403846153846152</v>
      </c>
    </row>
    <row r="123" spans="1:15">
      <c r="A123" s="7" t="s">
        <v>284</v>
      </c>
      <c r="B123" s="7"/>
      <c r="C123" s="7" t="s">
        <v>285</v>
      </c>
      <c r="D123" s="7" t="s">
        <v>285</v>
      </c>
      <c r="E123" s="7">
        <v>57</v>
      </c>
      <c r="F123" s="8">
        <v>0.12280000000000001</v>
      </c>
      <c r="G123" s="9">
        <f t="shared" si="4"/>
        <v>1480</v>
      </c>
      <c r="H123" s="7">
        <v>7</v>
      </c>
      <c r="I123" s="7">
        <v>10360</v>
      </c>
      <c r="J123" s="7">
        <v>7</v>
      </c>
      <c r="K123" s="7">
        <v>952</v>
      </c>
      <c r="L123" s="7">
        <v>556</v>
      </c>
      <c r="M123" s="7">
        <f t="shared" si="5"/>
        <v>3892</v>
      </c>
      <c r="N123" s="7">
        <f t="shared" si="6"/>
        <v>5516</v>
      </c>
      <c r="O123" s="10">
        <f t="shared" si="7"/>
        <v>0.53243243243243243</v>
      </c>
    </row>
    <row r="124" spans="1:15">
      <c r="A124" s="7" t="s">
        <v>286</v>
      </c>
      <c r="B124" s="7"/>
      <c r="C124" s="7" t="s">
        <v>287</v>
      </c>
      <c r="D124" s="7" t="s">
        <v>287</v>
      </c>
      <c r="E124" s="7">
        <v>28</v>
      </c>
      <c r="F124" s="8">
        <v>0.1071</v>
      </c>
      <c r="G124" s="9">
        <f t="shared" si="4"/>
        <v>3446.6666666666665</v>
      </c>
      <c r="H124" s="7">
        <v>3</v>
      </c>
      <c r="I124" s="7">
        <v>10340</v>
      </c>
      <c r="J124" s="7">
        <v>3</v>
      </c>
      <c r="K124" s="7">
        <v>1752</v>
      </c>
      <c r="L124" s="7">
        <v>2312</v>
      </c>
      <c r="M124" s="7">
        <f t="shared" si="5"/>
        <v>6936</v>
      </c>
      <c r="N124" s="7">
        <f t="shared" si="6"/>
        <v>1652</v>
      </c>
      <c r="O124" s="10">
        <f t="shared" si="7"/>
        <v>0.1597678916827853</v>
      </c>
    </row>
    <row r="125" spans="1:15">
      <c r="A125" s="7" t="s">
        <v>288</v>
      </c>
      <c r="B125" s="7"/>
      <c r="C125" s="7" t="s">
        <v>289</v>
      </c>
      <c r="D125" s="7" t="s">
        <v>289</v>
      </c>
      <c r="E125" s="7">
        <v>114</v>
      </c>
      <c r="F125" s="8">
        <v>3.5099999999999999E-2</v>
      </c>
      <c r="G125" s="9">
        <f t="shared" si="4"/>
        <v>2570</v>
      </c>
      <c r="H125" s="7">
        <v>4</v>
      </c>
      <c r="I125" s="7">
        <v>10280</v>
      </c>
      <c r="J125" s="7">
        <v>4</v>
      </c>
      <c r="K125" s="7">
        <v>1176</v>
      </c>
      <c r="L125" s="7">
        <v>2040</v>
      </c>
      <c r="M125" s="7">
        <f t="shared" si="5"/>
        <v>8160</v>
      </c>
      <c r="N125" s="7">
        <f t="shared" si="6"/>
        <v>944</v>
      </c>
      <c r="O125" s="10">
        <f t="shared" si="7"/>
        <v>9.1828793774319073E-2</v>
      </c>
    </row>
    <row r="126" spans="1:15">
      <c r="A126" s="7" t="s">
        <v>290</v>
      </c>
      <c r="B126" s="7"/>
      <c r="C126" s="7" t="s">
        <v>291</v>
      </c>
      <c r="D126" s="7" t="s">
        <v>292</v>
      </c>
      <c r="E126" s="7">
        <v>348</v>
      </c>
      <c r="F126" s="8">
        <v>2.8999999999999998E-3</v>
      </c>
      <c r="G126" s="9">
        <f t="shared" si="4"/>
        <v>10200</v>
      </c>
      <c r="H126" s="7">
        <v>1</v>
      </c>
      <c r="I126" s="7">
        <v>10200</v>
      </c>
      <c r="J126" s="7">
        <v>1</v>
      </c>
      <c r="K126" s="7">
        <v>1167</v>
      </c>
      <c r="L126" s="7">
        <v>9100</v>
      </c>
      <c r="M126" s="7">
        <f t="shared" si="5"/>
        <v>9100</v>
      </c>
      <c r="N126" s="7">
        <f t="shared" si="6"/>
        <v>-67</v>
      </c>
      <c r="O126" s="10">
        <f t="shared" si="7"/>
        <v>-6.5686274509803924E-3</v>
      </c>
    </row>
    <row r="127" spans="1:15">
      <c r="A127" s="7" t="s">
        <v>293</v>
      </c>
      <c r="B127" s="7"/>
      <c r="C127" s="7" t="s">
        <v>294</v>
      </c>
      <c r="D127" s="7" t="s">
        <v>295</v>
      </c>
      <c r="E127" s="7">
        <v>1828</v>
      </c>
      <c r="F127" s="8">
        <v>2.7000000000000001E-3</v>
      </c>
      <c r="G127" s="9">
        <f t="shared" si="4"/>
        <v>2010</v>
      </c>
      <c r="H127" s="7">
        <v>5</v>
      </c>
      <c r="I127" s="7">
        <v>10050</v>
      </c>
      <c r="J127" s="7">
        <v>5</v>
      </c>
      <c r="K127" s="7">
        <v>1150</v>
      </c>
      <c r="L127" s="7">
        <v>1169</v>
      </c>
      <c r="M127" s="7">
        <f t="shared" si="5"/>
        <v>5845</v>
      </c>
      <c r="N127" s="7">
        <f t="shared" si="6"/>
        <v>3055</v>
      </c>
      <c r="O127" s="10">
        <f t="shared" si="7"/>
        <v>0.30398009950248756</v>
      </c>
    </row>
    <row r="128" spans="1:15">
      <c r="A128" s="7" t="s">
        <v>296</v>
      </c>
      <c r="B128" s="7"/>
      <c r="C128" s="7" t="s">
        <v>297</v>
      </c>
      <c r="D128" s="7" t="s">
        <v>298</v>
      </c>
      <c r="E128" s="7">
        <v>10</v>
      </c>
      <c r="F128" s="8">
        <v>0.1</v>
      </c>
      <c r="G128" s="9">
        <f t="shared" si="4"/>
        <v>9980</v>
      </c>
      <c r="H128" s="7">
        <v>1</v>
      </c>
      <c r="I128" s="7">
        <v>9980</v>
      </c>
      <c r="J128" s="7">
        <v>1</v>
      </c>
      <c r="K128" s="7">
        <f>SUM(I128*0.15)</f>
        <v>1497</v>
      </c>
      <c r="L128" s="7">
        <v>6336</v>
      </c>
      <c r="M128" s="7">
        <f t="shared" si="5"/>
        <v>6336</v>
      </c>
      <c r="N128" s="7">
        <f t="shared" si="6"/>
        <v>2147</v>
      </c>
      <c r="O128" s="10">
        <f t="shared" si="7"/>
        <v>0.21513026052104209</v>
      </c>
    </row>
    <row r="129" spans="1:15">
      <c r="A129" s="7" t="s">
        <v>299</v>
      </c>
      <c r="B129" s="7"/>
      <c r="C129" s="7" t="s">
        <v>300</v>
      </c>
      <c r="D129" s="7" t="s">
        <v>300</v>
      </c>
      <c r="E129" s="7">
        <v>85</v>
      </c>
      <c r="F129" s="8">
        <v>2.35E-2</v>
      </c>
      <c r="G129" s="9">
        <f t="shared" si="4"/>
        <v>4980</v>
      </c>
      <c r="H129" s="7">
        <v>2</v>
      </c>
      <c r="I129" s="7">
        <v>9960</v>
      </c>
      <c r="J129" s="7">
        <v>2</v>
      </c>
      <c r="K129" s="7">
        <f>SUM(I129*0.15)</f>
        <v>1494</v>
      </c>
      <c r="L129" s="7">
        <v>3726</v>
      </c>
      <c r="M129" s="7">
        <f t="shared" si="5"/>
        <v>7452</v>
      </c>
      <c r="N129" s="7">
        <f t="shared" si="6"/>
        <v>1014</v>
      </c>
      <c r="O129" s="10">
        <f t="shared" si="7"/>
        <v>0.10180722891566266</v>
      </c>
    </row>
    <row r="130" spans="1:15">
      <c r="A130" s="7" t="s">
        <v>301</v>
      </c>
      <c r="B130" s="7"/>
      <c r="C130" s="7" t="s">
        <v>302</v>
      </c>
      <c r="D130" s="7" t="s">
        <v>302</v>
      </c>
      <c r="E130" s="7">
        <v>50</v>
      </c>
      <c r="F130" s="8">
        <v>0.1</v>
      </c>
      <c r="G130" s="9">
        <f t="shared" si="4"/>
        <v>1980</v>
      </c>
      <c r="H130" s="7">
        <v>5</v>
      </c>
      <c r="I130" s="7">
        <v>9900</v>
      </c>
      <c r="J130" s="7">
        <v>4</v>
      </c>
      <c r="K130" s="7">
        <v>1781</v>
      </c>
      <c r="L130" s="7">
        <v>1440</v>
      </c>
      <c r="M130" s="7">
        <f t="shared" si="5"/>
        <v>7200</v>
      </c>
      <c r="N130" s="7">
        <f t="shared" si="6"/>
        <v>919</v>
      </c>
      <c r="O130" s="10">
        <f t="shared" si="7"/>
        <v>9.2828282828282829E-2</v>
      </c>
    </row>
    <row r="131" spans="1:15">
      <c r="A131" s="7" t="s">
        <v>303</v>
      </c>
      <c r="B131" s="7"/>
      <c r="C131" s="7" t="s">
        <v>304</v>
      </c>
      <c r="D131" s="7" t="s">
        <v>305</v>
      </c>
      <c r="E131" s="7">
        <v>122</v>
      </c>
      <c r="F131" s="8">
        <v>7.3800000000000004E-2</v>
      </c>
      <c r="G131" s="9">
        <f t="shared" si="4"/>
        <v>1089</v>
      </c>
      <c r="H131" s="7">
        <v>9</v>
      </c>
      <c r="I131" s="7">
        <v>9801</v>
      </c>
      <c r="J131" s="7">
        <v>5</v>
      </c>
      <c r="K131" s="7">
        <v>1000</v>
      </c>
      <c r="L131" s="7">
        <v>384</v>
      </c>
      <c r="M131" s="7">
        <f t="shared" si="5"/>
        <v>3456</v>
      </c>
      <c r="N131" s="7">
        <f t="shared" si="6"/>
        <v>5345</v>
      </c>
      <c r="O131" s="10">
        <f t="shared" si="7"/>
        <v>0.54535251504948479</v>
      </c>
    </row>
    <row r="132" spans="1:15">
      <c r="A132" s="7" t="s">
        <v>306</v>
      </c>
      <c r="B132" s="7"/>
      <c r="C132" s="7" t="s">
        <v>307</v>
      </c>
      <c r="D132" s="7" t="s">
        <v>307</v>
      </c>
      <c r="E132" s="7">
        <v>71</v>
      </c>
      <c r="F132" s="8">
        <v>0.14080000000000001</v>
      </c>
      <c r="G132" s="9">
        <f t="shared" si="4"/>
        <v>978.8</v>
      </c>
      <c r="H132" s="7">
        <v>10</v>
      </c>
      <c r="I132" s="7">
        <v>9788</v>
      </c>
      <c r="J132" s="7">
        <v>6</v>
      </c>
      <c r="K132" s="7">
        <v>900</v>
      </c>
      <c r="L132" s="7">
        <v>707</v>
      </c>
      <c r="M132" s="7">
        <f t="shared" si="5"/>
        <v>7070</v>
      </c>
      <c r="N132" s="7">
        <f t="shared" si="6"/>
        <v>1818</v>
      </c>
      <c r="O132" s="10">
        <f t="shared" si="7"/>
        <v>0.18573763792398856</v>
      </c>
    </row>
    <row r="133" spans="1:15">
      <c r="A133" s="7" t="s">
        <v>308</v>
      </c>
      <c r="B133" s="7"/>
      <c r="C133" s="7" t="s">
        <v>309</v>
      </c>
      <c r="D133" s="7" t="s">
        <v>310</v>
      </c>
      <c r="E133" s="7">
        <v>4026</v>
      </c>
      <c r="F133" s="8">
        <v>3.2000000000000002E-3</v>
      </c>
      <c r="G133" s="9">
        <f t="shared" si="4"/>
        <v>750</v>
      </c>
      <c r="H133" s="7">
        <v>13</v>
      </c>
      <c r="I133" s="7">
        <v>9750</v>
      </c>
      <c r="J133" s="7">
        <v>4</v>
      </c>
      <c r="K133" s="7">
        <v>544</v>
      </c>
      <c r="L133" s="7">
        <v>788</v>
      </c>
      <c r="M133" s="7">
        <f t="shared" si="5"/>
        <v>10244</v>
      </c>
      <c r="N133" s="7">
        <f t="shared" si="6"/>
        <v>-1038</v>
      </c>
      <c r="O133" s="10">
        <f t="shared" si="7"/>
        <v>-0.10646153846153845</v>
      </c>
    </row>
    <row r="134" spans="1:15">
      <c r="A134" s="7" t="s">
        <v>311</v>
      </c>
      <c r="B134" s="7"/>
      <c r="C134" s="7" t="s">
        <v>312</v>
      </c>
      <c r="D134" s="7" t="s">
        <v>278</v>
      </c>
      <c r="E134" s="7">
        <v>477</v>
      </c>
      <c r="F134" s="8">
        <v>1.26E-2</v>
      </c>
      <c r="G134" s="9">
        <f t="shared" si="4"/>
        <v>1553.3333333333333</v>
      </c>
      <c r="H134" s="7">
        <v>6</v>
      </c>
      <c r="I134" s="7">
        <v>9320</v>
      </c>
      <c r="J134" s="7">
        <v>5</v>
      </c>
      <c r="K134" s="7">
        <v>1491</v>
      </c>
      <c r="L134" s="7">
        <v>1148</v>
      </c>
      <c r="M134" s="7">
        <f t="shared" si="5"/>
        <v>6888</v>
      </c>
      <c r="N134" s="7">
        <f t="shared" si="6"/>
        <v>941</v>
      </c>
      <c r="O134" s="10">
        <f t="shared" si="7"/>
        <v>0.10096566523605151</v>
      </c>
    </row>
    <row r="135" spans="1:15">
      <c r="A135" s="7" t="s">
        <v>313</v>
      </c>
      <c r="B135" s="7"/>
      <c r="C135" s="7" t="s">
        <v>314</v>
      </c>
      <c r="D135" s="7" t="s">
        <v>259</v>
      </c>
      <c r="E135" s="7">
        <v>28</v>
      </c>
      <c r="F135" s="8">
        <v>0.21429999999999999</v>
      </c>
      <c r="G135" s="9">
        <f t="shared" si="4"/>
        <v>1498</v>
      </c>
      <c r="H135" s="7">
        <v>6</v>
      </c>
      <c r="I135" s="7">
        <v>8988</v>
      </c>
      <c r="J135" s="7">
        <v>6</v>
      </c>
      <c r="K135" s="7">
        <v>1000</v>
      </c>
      <c r="L135" s="7">
        <v>825</v>
      </c>
      <c r="M135" s="7">
        <f t="shared" si="5"/>
        <v>4950</v>
      </c>
      <c r="N135" s="7">
        <f t="shared" si="6"/>
        <v>3038</v>
      </c>
      <c r="O135" s="10">
        <f t="shared" si="7"/>
        <v>0.338006230529595</v>
      </c>
    </row>
    <row r="136" spans="1:15">
      <c r="A136" s="7" t="s">
        <v>315</v>
      </c>
      <c r="B136" s="7"/>
      <c r="C136" s="7" t="s">
        <v>316</v>
      </c>
      <c r="D136" s="7" t="s">
        <v>316</v>
      </c>
      <c r="E136" s="7">
        <v>229</v>
      </c>
      <c r="F136" s="8">
        <v>1.3100000000000001E-2</v>
      </c>
      <c r="G136" s="9">
        <f t="shared" ref="G136:G199" si="8">IF(H136=0,"",I136/H136)</f>
        <v>2990.3333333333335</v>
      </c>
      <c r="H136" s="7">
        <v>3</v>
      </c>
      <c r="I136" s="7">
        <v>8971</v>
      </c>
      <c r="J136" s="7">
        <v>3</v>
      </c>
      <c r="K136" s="7">
        <v>1012</v>
      </c>
      <c r="L136" s="7">
        <v>1584</v>
      </c>
      <c r="M136" s="7">
        <f t="shared" ref="M136:M199" si="9">SUM(H136*L136)</f>
        <v>4752</v>
      </c>
      <c r="N136" s="7">
        <f t="shared" ref="N136:N199" si="10">SUM(I136-K136-M136)</f>
        <v>3207</v>
      </c>
      <c r="O136" s="10">
        <f t="shared" ref="O136:O199" si="11">IF(I136=0,"",N136/I136)</f>
        <v>0.35748523018615541</v>
      </c>
    </row>
    <row r="137" spans="1:15">
      <c r="A137" s="7" t="s">
        <v>317</v>
      </c>
      <c r="B137" s="7"/>
      <c r="C137" s="7" t="s">
        <v>318</v>
      </c>
      <c r="D137" s="7" t="s">
        <v>298</v>
      </c>
      <c r="E137" s="7">
        <v>45</v>
      </c>
      <c r="F137" s="8">
        <v>6.6699999999999995E-2</v>
      </c>
      <c r="G137" s="9">
        <f t="shared" si="8"/>
        <v>2980</v>
      </c>
      <c r="H137" s="7">
        <v>3</v>
      </c>
      <c r="I137" s="7">
        <v>8940</v>
      </c>
      <c r="J137" s="7">
        <v>3</v>
      </c>
      <c r="K137" s="7">
        <v>1515</v>
      </c>
      <c r="L137" s="7">
        <v>1056</v>
      </c>
      <c r="M137" s="7">
        <f t="shared" si="9"/>
        <v>3168</v>
      </c>
      <c r="N137" s="7">
        <f t="shared" si="10"/>
        <v>4257</v>
      </c>
      <c r="O137" s="10">
        <f t="shared" si="11"/>
        <v>0.47617449664429529</v>
      </c>
    </row>
    <row r="138" spans="1:15">
      <c r="A138" s="7" t="s">
        <v>319</v>
      </c>
      <c r="B138" s="7"/>
      <c r="C138" s="7" t="s">
        <v>320</v>
      </c>
      <c r="D138" s="7" t="s">
        <v>321</v>
      </c>
      <c r="E138" s="7">
        <v>36</v>
      </c>
      <c r="F138" s="8">
        <v>0.1111</v>
      </c>
      <c r="G138" s="9">
        <f t="shared" si="8"/>
        <v>2198</v>
      </c>
      <c r="H138" s="7">
        <v>4</v>
      </c>
      <c r="I138" s="7">
        <v>8792</v>
      </c>
      <c r="J138" s="7">
        <v>4</v>
      </c>
      <c r="K138" s="7">
        <v>1912</v>
      </c>
      <c r="L138" s="7">
        <v>1086</v>
      </c>
      <c r="M138" s="7">
        <f t="shared" si="9"/>
        <v>4344</v>
      </c>
      <c r="N138" s="7">
        <f t="shared" si="10"/>
        <v>2536</v>
      </c>
      <c r="O138" s="10">
        <f t="shared" si="11"/>
        <v>0.28844404003639673</v>
      </c>
    </row>
    <row r="139" spans="1:15">
      <c r="A139" s="7" t="s">
        <v>322</v>
      </c>
      <c r="B139" s="7"/>
      <c r="C139" s="7" t="s">
        <v>323</v>
      </c>
      <c r="D139" s="7" t="s">
        <v>324</v>
      </c>
      <c r="E139" s="7">
        <v>2876</v>
      </c>
      <c r="F139" s="8">
        <v>2.0999999999999999E-3</v>
      </c>
      <c r="G139" s="9">
        <f t="shared" si="8"/>
        <v>1450</v>
      </c>
      <c r="H139" s="7">
        <v>6</v>
      </c>
      <c r="I139" s="7">
        <v>8700</v>
      </c>
      <c r="J139" s="7">
        <v>5</v>
      </c>
      <c r="K139" s="7">
        <v>807</v>
      </c>
      <c r="L139" s="7">
        <v>838</v>
      </c>
      <c r="M139" s="7">
        <f t="shared" si="9"/>
        <v>5028</v>
      </c>
      <c r="N139" s="7">
        <f t="shared" si="10"/>
        <v>2865</v>
      </c>
      <c r="O139" s="10">
        <f t="shared" si="11"/>
        <v>0.3293103448275862</v>
      </c>
    </row>
    <row r="140" spans="1:15">
      <c r="A140" s="7" t="s">
        <v>325</v>
      </c>
      <c r="B140" s="7"/>
      <c r="C140" s="7" t="s">
        <v>326</v>
      </c>
      <c r="D140" s="7" t="s">
        <v>327</v>
      </c>
      <c r="E140" s="7">
        <v>18</v>
      </c>
      <c r="F140" s="8">
        <v>0.16669999999999999</v>
      </c>
      <c r="G140" s="9">
        <f t="shared" si="8"/>
        <v>2806.3333333333335</v>
      </c>
      <c r="H140" s="7">
        <v>3</v>
      </c>
      <c r="I140" s="7">
        <v>8419</v>
      </c>
      <c r="J140" s="7">
        <v>2</v>
      </c>
      <c r="K140" s="7">
        <v>1427</v>
      </c>
      <c r="L140" s="7">
        <v>2190</v>
      </c>
      <c r="M140" s="7">
        <f t="shared" si="9"/>
        <v>6570</v>
      </c>
      <c r="N140" s="7">
        <f t="shared" si="10"/>
        <v>422</v>
      </c>
      <c r="O140" s="10">
        <f t="shared" si="11"/>
        <v>5.0124717899988125E-2</v>
      </c>
    </row>
    <row r="141" spans="1:15">
      <c r="A141" s="7"/>
      <c r="B141" s="7"/>
      <c r="C141" s="7" t="s">
        <v>328</v>
      </c>
      <c r="D141" s="7" t="s">
        <v>328</v>
      </c>
      <c r="E141" s="7">
        <v>60</v>
      </c>
      <c r="F141" s="8">
        <v>6.6699999999999995E-2</v>
      </c>
      <c r="G141" s="9">
        <f t="shared" si="8"/>
        <v>2080</v>
      </c>
      <c r="H141" s="7">
        <v>4</v>
      </c>
      <c r="I141" s="7">
        <v>8320</v>
      </c>
      <c r="J141" s="7">
        <v>4</v>
      </c>
      <c r="K141" s="7">
        <v>1408</v>
      </c>
      <c r="L141" s="7">
        <v>1018</v>
      </c>
      <c r="M141" s="7">
        <f t="shared" si="9"/>
        <v>4072</v>
      </c>
      <c r="N141" s="7">
        <f t="shared" si="10"/>
        <v>2840</v>
      </c>
      <c r="O141" s="10">
        <f t="shared" si="11"/>
        <v>0.34134615384615385</v>
      </c>
    </row>
    <row r="142" spans="1:15">
      <c r="A142" s="7" t="s">
        <v>329</v>
      </c>
      <c r="B142" s="7"/>
      <c r="C142" s="7" t="s">
        <v>330</v>
      </c>
      <c r="D142" s="7" t="s">
        <v>331</v>
      </c>
      <c r="E142" s="7">
        <v>22</v>
      </c>
      <c r="F142" s="8">
        <v>0.18179999999999999</v>
      </c>
      <c r="G142" s="9">
        <f t="shared" si="8"/>
        <v>1980</v>
      </c>
      <c r="H142" s="7">
        <v>4</v>
      </c>
      <c r="I142" s="7">
        <v>7920</v>
      </c>
      <c r="J142" s="7">
        <v>3</v>
      </c>
      <c r="K142" s="7">
        <v>1343</v>
      </c>
      <c r="L142" s="7">
        <v>968</v>
      </c>
      <c r="M142" s="7">
        <f t="shared" si="9"/>
        <v>3872</v>
      </c>
      <c r="N142" s="7">
        <f t="shared" si="10"/>
        <v>2705</v>
      </c>
      <c r="O142" s="10">
        <f t="shared" si="11"/>
        <v>0.34154040404040403</v>
      </c>
    </row>
    <row r="143" spans="1:15">
      <c r="A143" s="7" t="s">
        <v>332</v>
      </c>
      <c r="B143" s="7"/>
      <c r="C143" s="7" t="s">
        <v>333</v>
      </c>
      <c r="D143" s="7" t="s">
        <v>333</v>
      </c>
      <c r="E143" s="7">
        <v>879</v>
      </c>
      <c r="F143" s="8">
        <v>6.7999999999999996E-3</v>
      </c>
      <c r="G143" s="9">
        <f t="shared" si="8"/>
        <v>1316.6666666666667</v>
      </c>
      <c r="H143" s="7">
        <v>6</v>
      </c>
      <c r="I143" s="7">
        <v>7900</v>
      </c>
      <c r="J143" s="7">
        <v>4</v>
      </c>
      <c r="K143" s="7">
        <f>SUM(I143*0.15)</f>
        <v>1185</v>
      </c>
      <c r="L143" s="11">
        <v>657</v>
      </c>
      <c r="M143" s="7">
        <f t="shared" si="9"/>
        <v>3942</v>
      </c>
      <c r="N143" s="7">
        <f t="shared" si="10"/>
        <v>2773</v>
      </c>
      <c r="O143" s="10">
        <f t="shared" si="11"/>
        <v>0.35101265822784811</v>
      </c>
    </row>
    <row r="144" spans="1:15">
      <c r="A144" s="7" t="s">
        <v>334</v>
      </c>
      <c r="B144" s="7"/>
      <c r="C144" s="7" t="s">
        <v>335</v>
      </c>
      <c r="D144" s="7" t="s">
        <v>335</v>
      </c>
      <c r="E144" s="7">
        <v>5</v>
      </c>
      <c r="F144" s="8">
        <v>0.4</v>
      </c>
      <c r="G144" s="9">
        <f t="shared" si="8"/>
        <v>3780</v>
      </c>
      <c r="H144" s="7">
        <v>2</v>
      </c>
      <c r="I144" s="7">
        <v>7560</v>
      </c>
      <c r="J144" s="7">
        <v>2</v>
      </c>
      <c r="K144" s="7">
        <f>SUM(I144*0.15)</f>
        <v>1134</v>
      </c>
      <c r="L144" s="7">
        <v>2112</v>
      </c>
      <c r="M144" s="7">
        <f t="shared" si="9"/>
        <v>4224</v>
      </c>
      <c r="N144" s="7">
        <f t="shared" si="10"/>
        <v>2202</v>
      </c>
      <c r="O144" s="10">
        <f t="shared" si="11"/>
        <v>0.29126984126984129</v>
      </c>
    </row>
    <row r="145" spans="1:16">
      <c r="A145" s="7" t="s">
        <v>336</v>
      </c>
      <c r="B145" s="7"/>
      <c r="C145" s="7" t="s">
        <v>337</v>
      </c>
      <c r="D145" s="7" t="s">
        <v>337</v>
      </c>
      <c r="E145" s="7">
        <v>27</v>
      </c>
      <c r="F145" s="8">
        <v>0.1111</v>
      </c>
      <c r="G145" s="9">
        <f t="shared" si="8"/>
        <v>2480</v>
      </c>
      <c r="H145" s="7">
        <v>3</v>
      </c>
      <c r="I145" s="7">
        <v>7440</v>
      </c>
      <c r="J145" s="7">
        <v>3</v>
      </c>
      <c r="K145" s="7">
        <f>SUM(I145*0.15)</f>
        <v>1116</v>
      </c>
      <c r="L145" s="7">
        <v>1682</v>
      </c>
      <c r="M145" s="7">
        <f t="shared" si="9"/>
        <v>5046</v>
      </c>
      <c r="N145" s="7">
        <f t="shared" si="10"/>
        <v>1278</v>
      </c>
      <c r="O145" s="10">
        <f t="shared" si="11"/>
        <v>0.17177419354838711</v>
      </c>
    </row>
    <row r="146" spans="1:16">
      <c r="A146" s="6" t="s">
        <v>338</v>
      </c>
      <c r="B146" s="7"/>
      <c r="C146" s="7" t="s">
        <v>339</v>
      </c>
      <c r="D146" s="7" t="s">
        <v>339</v>
      </c>
      <c r="E146" s="7">
        <v>36</v>
      </c>
      <c r="F146" s="8">
        <v>8.3299999999999999E-2</v>
      </c>
      <c r="G146" s="9">
        <f t="shared" si="8"/>
        <v>2480</v>
      </c>
      <c r="H146" s="7">
        <v>3</v>
      </c>
      <c r="I146" s="7">
        <v>7440</v>
      </c>
      <c r="J146" s="7">
        <v>3</v>
      </c>
      <c r="K146" s="7">
        <f>SUM(I146*0.15)</f>
        <v>1116</v>
      </c>
      <c r="L146" s="13">
        <v>1406</v>
      </c>
      <c r="M146" s="7">
        <f t="shared" si="9"/>
        <v>4218</v>
      </c>
      <c r="N146" s="7">
        <f t="shared" si="10"/>
        <v>2106</v>
      </c>
      <c r="O146" s="10">
        <f t="shared" si="11"/>
        <v>0.28306451612903227</v>
      </c>
      <c r="P146" t="s">
        <v>340</v>
      </c>
    </row>
    <row r="147" spans="1:16">
      <c r="A147" s="7" t="s">
        <v>341</v>
      </c>
      <c r="B147" s="7"/>
      <c r="C147" s="7" t="s">
        <v>342</v>
      </c>
      <c r="D147" s="7" t="s">
        <v>342</v>
      </c>
      <c r="E147" s="7">
        <v>39</v>
      </c>
      <c r="F147" s="8">
        <v>0.15379999999999999</v>
      </c>
      <c r="G147" s="9">
        <f t="shared" si="8"/>
        <v>1211.5</v>
      </c>
      <c r="H147" s="7">
        <v>6</v>
      </c>
      <c r="I147" s="7">
        <v>7269</v>
      </c>
      <c r="J147" s="7">
        <v>6</v>
      </c>
      <c r="K147" s="7">
        <v>559</v>
      </c>
      <c r="L147" s="7">
        <v>704</v>
      </c>
      <c r="M147" s="7">
        <f t="shared" si="9"/>
        <v>4224</v>
      </c>
      <c r="N147" s="7">
        <f t="shared" si="10"/>
        <v>2486</v>
      </c>
      <c r="O147" s="10">
        <f t="shared" si="11"/>
        <v>0.34200027514100978</v>
      </c>
    </row>
    <row r="148" spans="1:16">
      <c r="A148" s="7" t="s">
        <v>343</v>
      </c>
      <c r="B148" s="7"/>
      <c r="C148" s="7" t="s">
        <v>344</v>
      </c>
      <c r="D148" s="7" t="s">
        <v>344</v>
      </c>
      <c r="E148" s="7">
        <v>1531</v>
      </c>
      <c r="F148" s="8">
        <v>2.5999999999999999E-3</v>
      </c>
      <c r="G148" s="9">
        <f t="shared" si="8"/>
        <v>1800</v>
      </c>
      <c r="H148" s="7">
        <v>4</v>
      </c>
      <c r="I148" s="7">
        <v>7200</v>
      </c>
      <c r="J148" s="7">
        <v>4</v>
      </c>
      <c r="K148" s="7">
        <f>SUM(I148*0.15)</f>
        <v>1080</v>
      </c>
      <c r="L148" s="7">
        <v>718</v>
      </c>
      <c r="M148" s="7">
        <f t="shared" si="9"/>
        <v>2872</v>
      </c>
      <c r="N148" s="7">
        <f t="shared" si="10"/>
        <v>3248</v>
      </c>
      <c r="O148" s="10">
        <f t="shared" si="11"/>
        <v>0.45111111111111113</v>
      </c>
    </row>
    <row r="149" spans="1:16">
      <c r="A149" s="7" t="s">
        <v>345</v>
      </c>
      <c r="B149" s="7"/>
      <c r="C149" s="7" t="s">
        <v>346</v>
      </c>
      <c r="D149" s="7" t="s">
        <v>347</v>
      </c>
      <c r="E149" s="7">
        <v>199</v>
      </c>
      <c r="F149" s="8">
        <v>2.5100000000000001E-2</v>
      </c>
      <c r="G149" s="9">
        <f t="shared" si="8"/>
        <v>1438</v>
      </c>
      <c r="H149" s="7">
        <v>5</v>
      </c>
      <c r="I149" s="7">
        <v>7190</v>
      </c>
      <c r="J149" s="7">
        <v>5</v>
      </c>
      <c r="K149" s="7">
        <v>665</v>
      </c>
      <c r="L149" s="7">
        <v>550</v>
      </c>
      <c r="M149" s="7">
        <f t="shared" si="9"/>
        <v>2750</v>
      </c>
      <c r="N149" s="7">
        <f t="shared" si="10"/>
        <v>3775</v>
      </c>
      <c r="O149" s="10">
        <f t="shared" si="11"/>
        <v>0.52503477051460357</v>
      </c>
    </row>
    <row r="150" spans="1:16">
      <c r="A150" s="7" t="s">
        <v>348</v>
      </c>
      <c r="B150" s="7"/>
      <c r="C150" s="7" t="s">
        <v>349</v>
      </c>
      <c r="D150" s="7" t="s">
        <v>349</v>
      </c>
      <c r="E150" s="7">
        <v>87</v>
      </c>
      <c r="F150" s="8">
        <v>6.9000000000000006E-2</v>
      </c>
      <c r="G150" s="9">
        <f t="shared" si="8"/>
        <v>1180</v>
      </c>
      <c r="H150" s="7">
        <v>6</v>
      </c>
      <c r="I150" s="7">
        <v>7080</v>
      </c>
      <c r="J150" s="7">
        <v>6</v>
      </c>
      <c r="K150" s="7">
        <v>545</v>
      </c>
      <c r="L150" s="7">
        <v>537</v>
      </c>
      <c r="M150" s="7">
        <f t="shared" si="9"/>
        <v>3222</v>
      </c>
      <c r="N150" s="7">
        <f t="shared" si="10"/>
        <v>3313</v>
      </c>
      <c r="O150" s="10">
        <f t="shared" si="11"/>
        <v>0.46793785310734465</v>
      </c>
    </row>
    <row r="151" spans="1:16">
      <c r="A151" s="7" t="s">
        <v>350</v>
      </c>
      <c r="B151" s="7"/>
      <c r="C151" s="7" t="s">
        <v>351</v>
      </c>
      <c r="D151" s="7" t="s">
        <v>352</v>
      </c>
      <c r="E151" s="7">
        <v>434</v>
      </c>
      <c r="F151" s="8">
        <v>1.15E-2</v>
      </c>
      <c r="G151" s="9">
        <f t="shared" si="8"/>
        <v>1380</v>
      </c>
      <c r="H151" s="7">
        <v>5</v>
      </c>
      <c r="I151" s="7">
        <v>6900</v>
      </c>
      <c r="J151" s="7">
        <v>5</v>
      </c>
      <c r="K151" s="7">
        <f>SUM(I151*0.15)</f>
        <v>1035</v>
      </c>
      <c r="L151" s="7">
        <v>684</v>
      </c>
      <c r="M151" s="7">
        <f t="shared" si="9"/>
        <v>3420</v>
      </c>
      <c r="N151" s="7">
        <f t="shared" si="10"/>
        <v>2445</v>
      </c>
      <c r="O151" s="10">
        <f t="shared" si="11"/>
        <v>0.35434782608695653</v>
      </c>
    </row>
    <row r="152" spans="1:16">
      <c r="A152" s="7" t="s">
        <v>353</v>
      </c>
      <c r="B152" s="7"/>
      <c r="C152" s="7" t="s">
        <v>354</v>
      </c>
      <c r="D152" s="7" t="s">
        <v>354</v>
      </c>
      <c r="E152" s="7">
        <v>195</v>
      </c>
      <c r="F152" s="8">
        <v>1.03E-2</v>
      </c>
      <c r="G152" s="9">
        <f t="shared" si="8"/>
        <v>3430</v>
      </c>
      <c r="H152" s="7">
        <v>2</v>
      </c>
      <c r="I152" s="7">
        <v>6860</v>
      </c>
      <c r="J152" s="7">
        <v>1</v>
      </c>
      <c r="K152" s="7">
        <v>1162</v>
      </c>
      <c r="L152" s="7">
        <v>2283</v>
      </c>
      <c r="M152" s="7">
        <f t="shared" si="9"/>
        <v>4566</v>
      </c>
      <c r="N152" s="7">
        <f t="shared" si="10"/>
        <v>1132</v>
      </c>
      <c r="O152" s="10">
        <f t="shared" si="11"/>
        <v>0.16501457725947521</v>
      </c>
    </row>
    <row r="153" spans="1:16">
      <c r="A153" s="7" t="s">
        <v>355</v>
      </c>
      <c r="B153" s="7"/>
      <c r="C153" s="7" t="s">
        <v>356</v>
      </c>
      <c r="D153" s="7" t="s">
        <v>356</v>
      </c>
      <c r="E153" s="7">
        <v>20</v>
      </c>
      <c r="F153" s="8">
        <v>0.2</v>
      </c>
      <c r="G153" s="9">
        <f t="shared" si="8"/>
        <v>1698</v>
      </c>
      <c r="H153" s="7">
        <v>4</v>
      </c>
      <c r="I153" s="7">
        <v>6792</v>
      </c>
      <c r="J153" s="7">
        <v>2</v>
      </c>
      <c r="K153" s="7">
        <v>1148</v>
      </c>
      <c r="L153" s="7">
        <v>783</v>
      </c>
      <c r="M153" s="7">
        <f t="shared" si="9"/>
        <v>3132</v>
      </c>
      <c r="N153" s="7">
        <f t="shared" si="10"/>
        <v>2512</v>
      </c>
      <c r="O153" s="10">
        <f t="shared" si="11"/>
        <v>0.36984687868080096</v>
      </c>
    </row>
    <row r="154" spans="1:16">
      <c r="A154" s="7" t="s">
        <v>357</v>
      </c>
      <c r="B154" s="7"/>
      <c r="C154" s="7" t="s">
        <v>358</v>
      </c>
      <c r="D154" s="7" t="s">
        <v>359</v>
      </c>
      <c r="E154" s="7">
        <v>360</v>
      </c>
      <c r="F154" s="8">
        <v>1.11E-2</v>
      </c>
      <c r="G154" s="9">
        <f t="shared" si="8"/>
        <v>1600</v>
      </c>
      <c r="H154" s="7">
        <v>4</v>
      </c>
      <c r="I154" s="7">
        <v>6400</v>
      </c>
      <c r="J154" s="7">
        <v>4</v>
      </c>
      <c r="K154" s="7">
        <v>732</v>
      </c>
      <c r="L154" s="7">
        <v>887</v>
      </c>
      <c r="M154" s="7">
        <f t="shared" si="9"/>
        <v>3548</v>
      </c>
      <c r="N154" s="7">
        <f t="shared" si="10"/>
        <v>2120</v>
      </c>
      <c r="O154" s="10">
        <f t="shared" si="11"/>
        <v>0.33124999999999999</v>
      </c>
    </row>
    <row r="155" spans="1:16">
      <c r="A155" s="7" t="s">
        <v>360</v>
      </c>
      <c r="B155" s="7"/>
      <c r="C155" s="7" t="s">
        <v>361</v>
      </c>
      <c r="D155" s="7" t="s">
        <v>139</v>
      </c>
      <c r="E155" s="7">
        <v>15</v>
      </c>
      <c r="F155" s="8">
        <v>0.1333</v>
      </c>
      <c r="G155" s="9">
        <f t="shared" si="8"/>
        <v>3180</v>
      </c>
      <c r="H155" s="7">
        <v>2</v>
      </c>
      <c r="I155" s="7">
        <v>6360</v>
      </c>
      <c r="J155" s="7">
        <v>2</v>
      </c>
      <c r="K155" s="7">
        <v>728</v>
      </c>
      <c r="L155" s="7">
        <v>695</v>
      </c>
      <c r="M155" s="7">
        <f t="shared" si="9"/>
        <v>1390</v>
      </c>
      <c r="N155" s="7">
        <f t="shared" si="10"/>
        <v>4242</v>
      </c>
      <c r="O155" s="10">
        <f t="shared" si="11"/>
        <v>0.66698113207547172</v>
      </c>
    </row>
    <row r="156" spans="1:16">
      <c r="A156" s="7" t="s">
        <v>362</v>
      </c>
      <c r="B156" s="7"/>
      <c r="C156" s="7" t="s">
        <v>363</v>
      </c>
      <c r="D156" s="7" t="s">
        <v>363</v>
      </c>
      <c r="E156" s="7">
        <v>222</v>
      </c>
      <c r="F156" s="8">
        <v>2.7E-2</v>
      </c>
      <c r="G156" s="9">
        <f t="shared" si="8"/>
        <v>1053</v>
      </c>
      <c r="H156" s="7">
        <v>6</v>
      </c>
      <c r="I156" s="7">
        <v>6318</v>
      </c>
      <c r="J156" s="7">
        <v>5</v>
      </c>
      <c r="K156" s="7">
        <v>582</v>
      </c>
      <c r="L156" s="7">
        <v>297</v>
      </c>
      <c r="M156" s="7">
        <f t="shared" si="9"/>
        <v>1782</v>
      </c>
      <c r="N156" s="7">
        <f t="shared" si="10"/>
        <v>3954</v>
      </c>
      <c r="O156" s="10">
        <f t="shared" si="11"/>
        <v>0.62583095916429254</v>
      </c>
    </row>
    <row r="157" spans="1:16">
      <c r="A157" s="7" t="s">
        <v>364</v>
      </c>
      <c r="B157" s="7"/>
      <c r="C157" s="7" t="s">
        <v>365</v>
      </c>
      <c r="D157" s="7" t="s">
        <v>366</v>
      </c>
      <c r="E157" s="7">
        <v>725</v>
      </c>
      <c r="F157" s="8">
        <v>5.5000000000000014E-3</v>
      </c>
      <c r="G157" s="9">
        <f t="shared" si="8"/>
        <v>1570</v>
      </c>
      <c r="H157" s="7">
        <v>4</v>
      </c>
      <c r="I157" s="7">
        <v>6280</v>
      </c>
      <c r="J157" s="7">
        <v>4</v>
      </c>
      <c r="K157" s="7">
        <v>1064</v>
      </c>
      <c r="L157" s="7">
        <v>290</v>
      </c>
      <c r="M157" s="7">
        <f t="shared" si="9"/>
        <v>1160</v>
      </c>
      <c r="N157" s="7">
        <f t="shared" si="10"/>
        <v>4056</v>
      </c>
      <c r="O157" s="10">
        <f t="shared" si="11"/>
        <v>0.64585987261146494</v>
      </c>
    </row>
    <row r="158" spans="1:16">
      <c r="A158" s="7" t="s">
        <v>367</v>
      </c>
      <c r="B158" s="7"/>
      <c r="C158" s="7" t="s">
        <v>368</v>
      </c>
      <c r="D158" s="7" t="s">
        <v>368</v>
      </c>
      <c r="E158" s="7">
        <v>643</v>
      </c>
      <c r="F158" s="8">
        <v>7.8000000000000014E-3</v>
      </c>
      <c r="G158" s="9">
        <f t="shared" si="8"/>
        <v>1236</v>
      </c>
      <c r="H158" s="7">
        <v>5</v>
      </c>
      <c r="I158" s="7">
        <v>6180</v>
      </c>
      <c r="J158" s="7">
        <v>5</v>
      </c>
      <c r="K158" s="7">
        <v>568</v>
      </c>
      <c r="L158" s="7">
        <v>440</v>
      </c>
      <c r="M158" s="7">
        <f t="shared" si="9"/>
        <v>2200</v>
      </c>
      <c r="N158" s="7">
        <f t="shared" si="10"/>
        <v>3412</v>
      </c>
      <c r="O158" s="10">
        <f t="shared" si="11"/>
        <v>0.55210355987055015</v>
      </c>
    </row>
    <row r="159" spans="1:16">
      <c r="A159" s="7" t="s">
        <v>369</v>
      </c>
      <c r="B159" s="7"/>
      <c r="C159" s="7" t="s">
        <v>370</v>
      </c>
      <c r="D159" s="7" t="s">
        <v>371</v>
      </c>
      <c r="E159" s="7">
        <v>11</v>
      </c>
      <c r="F159" s="8">
        <v>9.0899999999999995E-2</v>
      </c>
      <c r="G159" s="9">
        <f t="shared" si="8"/>
        <v>6138</v>
      </c>
      <c r="H159" s="7">
        <v>1</v>
      </c>
      <c r="I159" s="7">
        <v>6138</v>
      </c>
      <c r="J159" s="7">
        <v>1</v>
      </c>
      <c r="K159" s="7">
        <v>702</v>
      </c>
      <c r="L159" s="7">
        <v>4416</v>
      </c>
      <c r="M159" s="7">
        <f t="shared" si="9"/>
        <v>4416</v>
      </c>
      <c r="N159" s="7">
        <f t="shared" si="10"/>
        <v>1020</v>
      </c>
      <c r="O159" s="10">
        <f t="shared" si="11"/>
        <v>0.16617790811339198</v>
      </c>
    </row>
    <row r="160" spans="1:16">
      <c r="A160" s="7" t="s">
        <v>372</v>
      </c>
      <c r="B160" s="7"/>
      <c r="C160" s="7" t="s">
        <v>373</v>
      </c>
      <c r="D160" s="7" t="s">
        <v>359</v>
      </c>
      <c r="E160" s="7">
        <v>138</v>
      </c>
      <c r="F160" s="8">
        <v>7.1999999999999998E-3</v>
      </c>
      <c r="G160" s="9">
        <f t="shared" si="8"/>
        <v>6117</v>
      </c>
      <c r="H160" s="7">
        <v>1</v>
      </c>
      <c r="I160" s="7">
        <v>6117</v>
      </c>
      <c r="J160" s="7">
        <v>1</v>
      </c>
      <c r="K160" s="7">
        <v>700</v>
      </c>
      <c r="L160" s="7">
        <v>4430</v>
      </c>
      <c r="M160" s="7">
        <f t="shared" si="9"/>
        <v>4430</v>
      </c>
      <c r="N160" s="7">
        <f t="shared" si="10"/>
        <v>987</v>
      </c>
      <c r="O160" s="10">
        <f t="shared" si="11"/>
        <v>0.1613536047081903</v>
      </c>
    </row>
    <row r="161" spans="1:15">
      <c r="A161" s="7" t="s">
        <v>374</v>
      </c>
      <c r="B161" s="7"/>
      <c r="C161" s="7" t="s">
        <v>375</v>
      </c>
      <c r="D161" s="7" t="s">
        <v>375</v>
      </c>
      <c r="E161" s="7">
        <v>2215</v>
      </c>
      <c r="F161" s="8">
        <v>1.4E-3</v>
      </c>
      <c r="G161" s="9">
        <f t="shared" si="8"/>
        <v>2025.6666666666667</v>
      </c>
      <c r="H161" s="7">
        <v>3</v>
      </c>
      <c r="I161" s="7">
        <v>6077</v>
      </c>
      <c r="J161" s="7">
        <v>3</v>
      </c>
      <c r="K161" s="7">
        <v>696</v>
      </c>
      <c r="L161" s="7">
        <v>1284</v>
      </c>
      <c r="M161" s="7">
        <f t="shared" si="9"/>
        <v>3852</v>
      </c>
      <c r="N161" s="7">
        <f t="shared" si="10"/>
        <v>1529</v>
      </c>
      <c r="O161" s="10">
        <f t="shared" si="11"/>
        <v>0.25160441007075862</v>
      </c>
    </row>
    <row r="162" spans="1:15">
      <c r="A162" s="7" t="s">
        <v>376</v>
      </c>
      <c r="B162" s="7"/>
      <c r="C162" s="7" t="s">
        <v>377</v>
      </c>
      <c r="D162" s="7" t="s">
        <v>377</v>
      </c>
      <c r="E162" s="7">
        <v>149</v>
      </c>
      <c r="F162" s="8">
        <v>4.0300000000000002E-2</v>
      </c>
      <c r="G162" s="9">
        <f t="shared" si="8"/>
        <v>1000</v>
      </c>
      <c r="H162" s="7">
        <v>6</v>
      </c>
      <c r="I162" s="7">
        <v>6000</v>
      </c>
      <c r="J162" s="7">
        <v>5</v>
      </c>
      <c r="K162" s="7">
        <v>553</v>
      </c>
      <c r="L162" s="7">
        <v>346.5</v>
      </c>
      <c r="M162" s="7">
        <f t="shared" si="9"/>
        <v>2079</v>
      </c>
      <c r="N162" s="7">
        <f t="shared" si="10"/>
        <v>3368</v>
      </c>
      <c r="O162" s="10">
        <f t="shared" si="11"/>
        <v>0.56133333333333335</v>
      </c>
    </row>
    <row r="163" spans="1:15">
      <c r="A163" s="7" t="s">
        <v>378</v>
      </c>
      <c r="B163" s="7"/>
      <c r="C163" s="7" t="s">
        <v>379</v>
      </c>
      <c r="D163" s="7" t="s">
        <v>380</v>
      </c>
      <c r="E163" s="7">
        <v>103</v>
      </c>
      <c r="F163" s="8">
        <v>4.8499999999999988E-2</v>
      </c>
      <c r="G163" s="9">
        <f t="shared" si="8"/>
        <v>1200</v>
      </c>
      <c r="H163" s="7">
        <v>5</v>
      </c>
      <c r="I163" s="7">
        <v>6000</v>
      </c>
      <c r="J163" s="7">
        <v>1</v>
      </c>
      <c r="K163" s="7">
        <v>556</v>
      </c>
      <c r="L163" s="7">
        <v>660</v>
      </c>
      <c r="M163" s="7">
        <f t="shared" si="9"/>
        <v>3300</v>
      </c>
      <c r="N163" s="7">
        <f t="shared" si="10"/>
        <v>2144</v>
      </c>
      <c r="O163" s="10">
        <f t="shared" si="11"/>
        <v>0.35733333333333334</v>
      </c>
    </row>
    <row r="164" spans="1:15">
      <c r="A164" s="7" t="s">
        <v>381</v>
      </c>
      <c r="B164" s="7"/>
      <c r="C164" s="7" t="s">
        <v>382</v>
      </c>
      <c r="D164" s="7" t="s">
        <v>382</v>
      </c>
      <c r="E164" s="7">
        <v>657</v>
      </c>
      <c r="F164" s="8">
        <v>3.0000000000000001E-3</v>
      </c>
      <c r="G164" s="9">
        <f t="shared" si="8"/>
        <v>2980</v>
      </c>
      <c r="H164" s="7">
        <v>2</v>
      </c>
      <c r="I164" s="7">
        <v>5960</v>
      </c>
      <c r="J164" s="7">
        <v>2</v>
      </c>
      <c r="K164" s="7">
        <v>682</v>
      </c>
      <c r="L164" s="7">
        <v>1978</v>
      </c>
      <c r="M164" s="7">
        <f t="shared" si="9"/>
        <v>3956</v>
      </c>
      <c r="N164" s="7">
        <f t="shared" si="10"/>
        <v>1322</v>
      </c>
      <c r="O164" s="10">
        <f t="shared" si="11"/>
        <v>0.22181208053691276</v>
      </c>
    </row>
    <row r="165" spans="1:15">
      <c r="A165" s="7" t="s">
        <v>383</v>
      </c>
      <c r="B165" s="7"/>
      <c r="C165" s="7" t="s">
        <v>384</v>
      </c>
      <c r="D165" s="7" t="s">
        <v>384</v>
      </c>
      <c r="E165" s="7">
        <v>50</v>
      </c>
      <c r="F165" s="8">
        <v>0.06</v>
      </c>
      <c r="G165" s="9">
        <f t="shared" si="8"/>
        <v>1980</v>
      </c>
      <c r="H165" s="7">
        <v>3</v>
      </c>
      <c r="I165" s="7">
        <v>5940</v>
      </c>
      <c r="J165" s="7">
        <v>3</v>
      </c>
      <c r="K165" s="7">
        <v>1008</v>
      </c>
      <c r="L165" s="7">
        <v>1278</v>
      </c>
      <c r="M165" s="7">
        <f t="shared" si="9"/>
        <v>3834</v>
      </c>
      <c r="N165" s="7">
        <f t="shared" si="10"/>
        <v>1098</v>
      </c>
      <c r="O165" s="10">
        <f t="shared" si="11"/>
        <v>0.18484848484848485</v>
      </c>
    </row>
    <row r="166" spans="1:15">
      <c r="A166" s="7" t="s">
        <v>385</v>
      </c>
      <c r="B166" s="7"/>
      <c r="C166" s="7" t="s">
        <v>386</v>
      </c>
      <c r="D166" s="7" t="s">
        <v>386</v>
      </c>
      <c r="E166" s="7">
        <v>104</v>
      </c>
      <c r="F166" s="8">
        <v>1.9199999999999998E-2</v>
      </c>
      <c r="G166" s="9">
        <f t="shared" si="8"/>
        <v>2963</v>
      </c>
      <c r="H166" s="7">
        <v>2</v>
      </c>
      <c r="I166" s="7">
        <v>5926</v>
      </c>
      <c r="J166" s="7">
        <v>2</v>
      </c>
      <c r="K166" s="7">
        <v>1004</v>
      </c>
      <c r="L166" s="7">
        <v>1584</v>
      </c>
      <c r="M166" s="7">
        <f t="shared" si="9"/>
        <v>3168</v>
      </c>
      <c r="N166" s="7">
        <f t="shared" si="10"/>
        <v>1754</v>
      </c>
      <c r="O166" s="10">
        <f t="shared" si="11"/>
        <v>0.29598380020249748</v>
      </c>
    </row>
    <row r="167" spans="1:15">
      <c r="A167" s="7" t="s">
        <v>387</v>
      </c>
      <c r="B167" s="7"/>
      <c r="C167" s="7" t="s">
        <v>388</v>
      </c>
      <c r="D167" s="7" t="s">
        <v>389</v>
      </c>
      <c r="E167" s="7">
        <v>10185</v>
      </c>
      <c r="F167" s="8">
        <v>2.0000000000000001E-4</v>
      </c>
      <c r="G167" s="9">
        <f t="shared" si="8"/>
        <v>2900</v>
      </c>
      <c r="H167" s="7">
        <v>2</v>
      </c>
      <c r="I167" s="7">
        <v>5800</v>
      </c>
      <c r="J167" s="7">
        <v>2</v>
      </c>
      <c r="K167" s="7">
        <f>SUM(I167*0.15)</f>
        <v>870</v>
      </c>
      <c r="L167" s="7">
        <v>1340</v>
      </c>
      <c r="M167" s="7">
        <f t="shared" si="9"/>
        <v>2680</v>
      </c>
      <c r="N167" s="7">
        <f t="shared" si="10"/>
        <v>2250</v>
      </c>
      <c r="O167" s="10">
        <f t="shared" si="11"/>
        <v>0.38793103448275862</v>
      </c>
    </row>
    <row r="168" spans="1:15">
      <c r="A168" s="7" t="s">
        <v>390</v>
      </c>
      <c r="B168" s="7"/>
      <c r="C168" s="7" t="s">
        <v>391</v>
      </c>
      <c r="D168" s="7" t="s">
        <v>391</v>
      </c>
      <c r="E168" s="7">
        <v>12</v>
      </c>
      <c r="F168" s="8">
        <v>0.33329999999999999</v>
      </c>
      <c r="G168" s="9">
        <f t="shared" si="8"/>
        <v>1430</v>
      </c>
      <c r="H168" s="7">
        <v>4</v>
      </c>
      <c r="I168" s="7">
        <v>5720</v>
      </c>
      <c r="J168" s="7">
        <v>3</v>
      </c>
      <c r="K168" s="7">
        <v>529</v>
      </c>
      <c r="L168" s="7">
        <v>413</v>
      </c>
      <c r="M168" s="7">
        <f t="shared" si="9"/>
        <v>1652</v>
      </c>
      <c r="N168" s="7">
        <f t="shared" si="10"/>
        <v>3539</v>
      </c>
      <c r="O168" s="10">
        <f t="shared" si="11"/>
        <v>0.61870629370629371</v>
      </c>
    </row>
    <row r="169" spans="1:15">
      <c r="A169" s="7" t="s">
        <v>392</v>
      </c>
      <c r="B169" s="7"/>
      <c r="C169" s="7" t="s">
        <v>393</v>
      </c>
      <c r="D169" s="7" t="s">
        <v>394</v>
      </c>
      <c r="E169" s="7">
        <v>358</v>
      </c>
      <c r="F169" s="8">
        <v>8.3999999999999995E-3</v>
      </c>
      <c r="G169" s="9">
        <f t="shared" si="8"/>
        <v>1900</v>
      </c>
      <c r="H169" s="7">
        <v>3</v>
      </c>
      <c r="I169" s="7">
        <v>5700</v>
      </c>
      <c r="J169" s="7">
        <v>2</v>
      </c>
      <c r="K169" s="7">
        <v>872</v>
      </c>
      <c r="L169" s="7">
        <v>1030</v>
      </c>
      <c r="M169" s="7">
        <f t="shared" si="9"/>
        <v>3090</v>
      </c>
      <c r="N169" s="7">
        <f t="shared" si="10"/>
        <v>1738</v>
      </c>
      <c r="O169" s="10">
        <f t="shared" si="11"/>
        <v>0.30491228070175441</v>
      </c>
    </row>
    <row r="170" spans="1:15">
      <c r="A170" s="7" t="s">
        <v>395</v>
      </c>
      <c r="B170" s="7"/>
      <c r="C170" s="7" t="s">
        <v>396</v>
      </c>
      <c r="D170" s="7" t="s">
        <v>281</v>
      </c>
      <c r="E170" s="7">
        <v>15</v>
      </c>
      <c r="F170" s="8">
        <v>0.2</v>
      </c>
      <c r="G170" s="9">
        <f t="shared" si="8"/>
        <v>1889</v>
      </c>
      <c r="H170" s="7">
        <v>3</v>
      </c>
      <c r="I170" s="7">
        <v>5667</v>
      </c>
      <c r="J170" s="7">
        <v>3</v>
      </c>
      <c r="K170" s="7">
        <v>1062</v>
      </c>
      <c r="L170" s="7">
        <v>963</v>
      </c>
      <c r="M170" s="7">
        <f t="shared" si="9"/>
        <v>2889</v>
      </c>
      <c r="N170" s="7">
        <f t="shared" si="10"/>
        <v>1716</v>
      </c>
      <c r="O170" s="10">
        <f t="shared" si="11"/>
        <v>0.3028057173107464</v>
      </c>
    </row>
    <row r="171" spans="1:15">
      <c r="A171" s="7" t="s">
        <v>397</v>
      </c>
      <c r="B171" s="7"/>
      <c r="C171" s="7" t="s">
        <v>398</v>
      </c>
      <c r="D171" s="7" t="s">
        <v>399</v>
      </c>
      <c r="E171" s="7">
        <v>117</v>
      </c>
      <c r="F171" s="8">
        <v>3.4200000000000001E-2</v>
      </c>
      <c r="G171" s="9">
        <f t="shared" si="8"/>
        <v>1400</v>
      </c>
      <c r="H171" s="7">
        <v>4</v>
      </c>
      <c r="I171" s="7">
        <v>5600</v>
      </c>
      <c r="J171" s="7">
        <v>4</v>
      </c>
      <c r="K171" s="7">
        <v>714</v>
      </c>
      <c r="L171" s="7">
        <v>500</v>
      </c>
      <c r="M171" s="7">
        <f t="shared" si="9"/>
        <v>2000</v>
      </c>
      <c r="N171" s="7">
        <f t="shared" si="10"/>
        <v>2886</v>
      </c>
      <c r="O171" s="10">
        <f t="shared" si="11"/>
        <v>0.51535714285714285</v>
      </c>
    </row>
    <row r="172" spans="1:15">
      <c r="A172" s="7" t="s">
        <v>400</v>
      </c>
      <c r="B172" s="7"/>
      <c r="C172" s="7" t="s">
        <v>401</v>
      </c>
      <c r="D172" s="7" t="s">
        <v>402</v>
      </c>
      <c r="E172" s="7">
        <v>770</v>
      </c>
      <c r="F172" s="8">
        <v>5.1999999999999998E-3</v>
      </c>
      <c r="G172" s="9">
        <f t="shared" si="8"/>
        <v>1400</v>
      </c>
      <c r="H172" s="7">
        <v>4</v>
      </c>
      <c r="I172" s="7">
        <v>5600</v>
      </c>
      <c r="J172" s="7">
        <v>3</v>
      </c>
      <c r="K172" s="7">
        <v>520</v>
      </c>
      <c r="L172" s="7">
        <v>754</v>
      </c>
      <c r="M172" s="7">
        <f t="shared" si="9"/>
        <v>3016</v>
      </c>
      <c r="N172" s="7">
        <f t="shared" si="10"/>
        <v>2064</v>
      </c>
      <c r="O172" s="10">
        <f t="shared" si="11"/>
        <v>0.36857142857142855</v>
      </c>
    </row>
    <row r="173" spans="1:15">
      <c r="A173" s="7" t="s">
        <v>403</v>
      </c>
      <c r="B173" s="7"/>
      <c r="C173" s="7" t="s">
        <v>404</v>
      </c>
      <c r="D173" s="7" t="s">
        <v>404</v>
      </c>
      <c r="E173" s="7">
        <v>49</v>
      </c>
      <c r="F173" s="8">
        <v>4.0800000000000003E-2</v>
      </c>
      <c r="G173" s="9">
        <f t="shared" si="8"/>
        <v>2780</v>
      </c>
      <c r="H173" s="7">
        <v>2</v>
      </c>
      <c r="I173" s="7">
        <v>5560</v>
      </c>
      <c r="J173" s="7">
        <v>2</v>
      </c>
      <c r="K173" s="7">
        <v>636</v>
      </c>
      <c r="L173" s="7">
        <v>1120</v>
      </c>
      <c r="M173" s="7">
        <f t="shared" si="9"/>
        <v>2240</v>
      </c>
      <c r="N173" s="7">
        <f t="shared" si="10"/>
        <v>2684</v>
      </c>
      <c r="O173" s="10">
        <f t="shared" si="11"/>
        <v>0.4827338129496403</v>
      </c>
    </row>
    <row r="174" spans="1:15">
      <c r="A174" s="7" t="s">
        <v>405</v>
      </c>
      <c r="B174" s="7"/>
      <c r="C174" s="7" t="s">
        <v>406</v>
      </c>
      <c r="D174" s="7" t="s">
        <v>406</v>
      </c>
      <c r="E174" s="7">
        <v>43</v>
      </c>
      <c r="F174" s="8">
        <v>9.3000000000000013E-2</v>
      </c>
      <c r="G174" s="9">
        <f t="shared" si="8"/>
        <v>1380</v>
      </c>
      <c r="H174" s="7">
        <v>4</v>
      </c>
      <c r="I174" s="7">
        <v>5520</v>
      </c>
      <c r="J174" s="7">
        <v>2</v>
      </c>
      <c r="K174" s="7">
        <v>511</v>
      </c>
      <c r="L174" s="7">
        <v>297</v>
      </c>
      <c r="M174" s="7">
        <f t="shared" si="9"/>
        <v>1188</v>
      </c>
      <c r="N174" s="7">
        <f t="shared" si="10"/>
        <v>3821</v>
      </c>
      <c r="O174" s="10">
        <f t="shared" si="11"/>
        <v>0.69221014492753619</v>
      </c>
    </row>
    <row r="175" spans="1:15">
      <c r="A175" s="7" t="s">
        <v>407</v>
      </c>
      <c r="B175" s="7"/>
      <c r="C175" s="7" t="s">
        <v>408</v>
      </c>
      <c r="D175" s="7" t="s">
        <v>183</v>
      </c>
      <c r="E175" s="7">
        <v>15</v>
      </c>
      <c r="F175" s="8">
        <v>6.6699999999999995E-2</v>
      </c>
      <c r="G175" s="9">
        <f t="shared" si="8"/>
        <v>5480</v>
      </c>
      <c r="H175" s="7">
        <v>1</v>
      </c>
      <c r="I175" s="7">
        <v>5480</v>
      </c>
      <c r="J175" s="7">
        <v>1</v>
      </c>
      <c r="K175" s="7">
        <v>928</v>
      </c>
      <c r="L175" s="7">
        <v>3682</v>
      </c>
      <c r="M175" s="7">
        <f t="shared" si="9"/>
        <v>3682</v>
      </c>
      <c r="N175" s="7">
        <f t="shared" si="10"/>
        <v>870</v>
      </c>
      <c r="O175" s="10">
        <f t="shared" si="11"/>
        <v>0.15875912408759124</v>
      </c>
    </row>
    <row r="176" spans="1:15">
      <c r="A176" s="7" t="s">
        <v>409</v>
      </c>
      <c r="B176" s="7"/>
      <c r="C176" s="7" t="s">
        <v>410</v>
      </c>
      <c r="D176" s="7" t="s">
        <v>411</v>
      </c>
      <c r="E176" s="7">
        <v>111</v>
      </c>
      <c r="F176" s="8">
        <v>3.5999999999999997E-2</v>
      </c>
      <c r="G176" s="9">
        <f t="shared" si="8"/>
        <v>1349</v>
      </c>
      <c r="H176" s="7">
        <v>4</v>
      </c>
      <c r="I176" s="7">
        <v>5396</v>
      </c>
      <c r="J176" s="7">
        <v>3</v>
      </c>
      <c r="K176" s="7">
        <v>916</v>
      </c>
      <c r="L176" s="7">
        <v>528</v>
      </c>
      <c r="M176" s="7">
        <f t="shared" si="9"/>
        <v>2112</v>
      </c>
      <c r="N176" s="7">
        <f t="shared" si="10"/>
        <v>2368</v>
      </c>
      <c r="O176" s="10">
        <f t="shared" si="11"/>
        <v>0.43884358784284655</v>
      </c>
    </row>
    <row r="177" spans="1:15">
      <c r="A177" s="7" t="s">
        <v>412</v>
      </c>
      <c r="B177" s="7"/>
      <c r="C177" s="7" t="s">
        <v>413</v>
      </c>
      <c r="D177" s="7" t="s">
        <v>413</v>
      </c>
      <c r="E177" s="7">
        <v>33</v>
      </c>
      <c r="F177" s="8">
        <v>0.21210000000000001</v>
      </c>
      <c r="G177" s="9">
        <f t="shared" si="8"/>
        <v>750</v>
      </c>
      <c r="H177" s="7">
        <v>7</v>
      </c>
      <c r="I177" s="7">
        <v>5250</v>
      </c>
      <c r="J177" s="7">
        <v>7</v>
      </c>
      <c r="K177" s="7">
        <f>SUM(I177*0.15)</f>
        <v>787.5</v>
      </c>
      <c r="L177" s="7">
        <v>168</v>
      </c>
      <c r="M177" s="7">
        <f t="shared" si="9"/>
        <v>1176</v>
      </c>
      <c r="N177" s="7">
        <f t="shared" si="10"/>
        <v>3286.5</v>
      </c>
      <c r="O177" s="10">
        <f t="shared" si="11"/>
        <v>0.626</v>
      </c>
    </row>
    <row r="178" spans="1:15">
      <c r="A178" s="7" t="s">
        <v>414</v>
      </c>
      <c r="B178" s="7"/>
      <c r="C178" s="7" t="s">
        <v>415</v>
      </c>
      <c r="D178" s="7" t="s">
        <v>415</v>
      </c>
      <c r="E178" s="7">
        <v>87</v>
      </c>
      <c r="F178" s="8">
        <v>2.3E-2</v>
      </c>
      <c r="G178" s="9">
        <f t="shared" si="8"/>
        <v>2580</v>
      </c>
      <c r="H178" s="7">
        <v>2</v>
      </c>
      <c r="I178" s="7">
        <v>5160</v>
      </c>
      <c r="J178" s="7">
        <v>2</v>
      </c>
      <c r="K178" s="7">
        <v>590</v>
      </c>
      <c r="L178" s="7">
        <v>1275</v>
      </c>
      <c r="M178" s="7">
        <f t="shared" si="9"/>
        <v>2550</v>
      </c>
      <c r="N178" s="7">
        <f t="shared" si="10"/>
        <v>2020</v>
      </c>
      <c r="O178" s="10">
        <f t="shared" si="11"/>
        <v>0.39147286821705424</v>
      </c>
    </row>
    <row r="179" spans="1:15">
      <c r="A179" s="7" t="s">
        <v>416</v>
      </c>
      <c r="B179" s="7"/>
      <c r="C179" s="7" t="s">
        <v>417</v>
      </c>
      <c r="D179" s="7" t="s">
        <v>417</v>
      </c>
      <c r="E179" s="7">
        <v>38</v>
      </c>
      <c r="F179" s="8">
        <v>0.1053</v>
      </c>
      <c r="G179" s="9">
        <f t="shared" si="8"/>
        <v>1280</v>
      </c>
      <c r="H179" s="7">
        <v>4</v>
      </c>
      <c r="I179" s="7">
        <v>5120</v>
      </c>
      <c r="J179" s="7">
        <v>4</v>
      </c>
      <c r="K179" s="7">
        <v>476</v>
      </c>
      <c r="L179" s="7">
        <v>780</v>
      </c>
      <c r="M179" s="7">
        <f t="shared" si="9"/>
        <v>3120</v>
      </c>
      <c r="N179" s="7">
        <f t="shared" si="10"/>
        <v>1524</v>
      </c>
      <c r="O179" s="10">
        <f t="shared" si="11"/>
        <v>0.29765625000000001</v>
      </c>
    </row>
    <row r="180" spans="1:15">
      <c r="A180" s="7" t="s">
        <v>418</v>
      </c>
      <c r="B180" s="7"/>
      <c r="C180" s="7" t="s">
        <v>419</v>
      </c>
      <c r="D180" s="7" t="s">
        <v>419</v>
      </c>
      <c r="E180" s="7">
        <v>17</v>
      </c>
      <c r="F180" s="8">
        <v>0.1176</v>
      </c>
      <c r="G180" s="9">
        <f t="shared" si="8"/>
        <v>2480</v>
      </c>
      <c r="H180" s="7">
        <v>2</v>
      </c>
      <c r="I180" s="7">
        <v>4960</v>
      </c>
      <c r="J180" s="7">
        <v>2</v>
      </c>
      <c r="K180" s="7">
        <f>SUM(I180*0.15)</f>
        <v>744</v>
      </c>
      <c r="L180" s="7">
        <v>1270</v>
      </c>
      <c r="M180" s="7">
        <f t="shared" si="9"/>
        <v>2540</v>
      </c>
      <c r="N180" s="7">
        <f t="shared" si="10"/>
        <v>1676</v>
      </c>
      <c r="O180" s="10">
        <f t="shared" si="11"/>
        <v>0.3379032258064516</v>
      </c>
    </row>
    <row r="181" spans="1:15">
      <c r="A181" s="7" t="s">
        <v>420</v>
      </c>
      <c r="B181" s="7"/>
      <c r="C181" s="7" t="s">
        <v>421</v>
      </c>
      <c r="D181" s="7" t="s">
        <v>422</v>
      </c>
      <c r="E181" s="7">
        <v>118</v>
      </c>
      <c r="F181" s="8">
        <v>8.5000000000000006E-3</v>
      </c>
      <c r="G181" s="9">
        <f t="shared" si="8"/>
        <v>4950</v>
      </c>
      <c r="H181" s="7">
        <v>1</v>
      </c>
      <c r="I181" s="7">
        <v>4950</v>
      </c>
      <c r="J181" s="7">
        <v>1</v>
      </c>
      <c r="K181" s="7">
        <f>SUM(I181*0.15)</f>
        <v>742.5</v>
      </c>
      <c r="L181" s="11">
        <v>3000</v>
      </c>
      <c r="M181" s="7">
        <f t="shared" si="9"/>
        <v>3000</v>
      </c>
      <c r="N181" s="7">
        <f t="shared" si="10"/>
        <v>1207.5</v>
      </c>
      <c r="O181" s="10">
        <f t="shared" si="11"/>
        <v>0.24393939393939393</v>
      </c>
    </row>
    <row r="182" spans="1:15">
      <c r="A182" s="7" t="s">
        <v>423</v>
      </c>
      <c r="B182" s="7"/>
      <c r="C182" s="7" t="s">
        <v>424</v>
      </c>
      <c r="D182" s="7" t="s">
        <v>424</v>
      </c>
      <c r="E182" s="7">
        <v>45</v>
      </c>
      <c r="F182" s="8">
        <v>0.1333</v>
      </c>
      <c r="G182" s="9">
        <f t="shared" si="8"/>
        <v>820</v>
      </c>
      <c r="H182" s="7">
        <v>6</v>
      </c>
      <c r="I182" s="7">
        <v>4920</v>
      </c>
      <c r="J182" s="7">
        <v>6</v>
      </c>
      <c r="K182" s="7">
        <v>2170</v>
      </c>
      <c r="L182" s="7">
        <v>273</v>
      </c>
      <c r="M182" s="7">
        <f t="shared" si="9"/>
        <v>1638</v>
      </c>
      <c r="N182" s="7">
        <f t="shared" si="10"/>
        <v>1112</v>
      </c>
      <c r="O182" s="10">
        <f t="shared" si="11"/>
        <v>0.22601626016260162</v>
      </c>
    </row>
    <row r="183" spans="1:15">
      <c r="A183" s="7" t="s">
        <v>425</v>
      </c>
      <c r="B183" s="7"/>
      <c r="C183" s="7" t="s">
        <v>426</v>
      </c>
      <c r="D183" s="7" t="s">
        <v>426</v>
      </c>
      <c r="E183" s="7">
        <v>39</v>
      </c>
      <c r="F183" s="8">
        <v>5.1299999999999998E-2</v>
      </c>
      <c r="G183" s="9">
        <f t="shared" si="8"/>
        <v>2380</v>
      </c>
      <c r="H183" s="7">
        <v>2</v>
      </c>
      <c r="I183" s="7">
        <v>4760</v>
      </c>
      <c r="J183" s="7">
        <v>2</v>
      </c>
      <c r="K183" s="7">
        <v>808</v>
      </c>
      <c r="L183" s="7">
        <v>1280</v>
      </c>
      <c r="M183" s="7">
        <f t="shared" si="9"/>
        <v>2560</v>
      </c>
      <c r="N183" s="7">
        <f t="shared" si="10"/>
        <v>1392</v>
      </c>
      <c r="O183" s="10">
        <f t="shared" si="11"/>
        <v>0.29243697478991598</v>
      </c>
    </row>
    <row r="184" spans="1:15">
      <c r="A184" s="7" t="s">
        <v>427</v>
      </c>
      <c r="B184" s="7"/>
      <c r="C184" s="7" t="s">
        <v>428</v>
      </c>
      <c r="D184" s="7" t="s">
        <v>429</v>
      </c>
      <c r="E184" s="7">
        <v>807</v>
      </c>
      <c r="F184" s="8">
        <v>6.1999999999999998E-3</v>
      </c>
      <c r="G184" s="9">
        <f t="shared" si="8"/>
        <v>950</v>
      </c>
      <c r="H184" s="7">
        <v>5</v>
      </c>
      <c r="I184" s="7">
        <v>4750</v>
      </c>
      <c r="J184" s="7">
        <v>5</v>
      </c>
      <c r="K184" s="7">
        <v>805</v>
      </c>
      <c r="L184" s="7">
        <v>504</v>
      </c>
      <c r="M184" s="7">
        <f t="shared" si="9"/>
        <v>2520</v>
      </c>
      <c r="N184" s="7">
        <f t="shared" si="10"/>
        <v>1425</v>
      </c>
      <c r="O184" s="10">
        <f t="shared" si="11"/>
        <v>0.3</v>
      </c>
    </row>
    <row r="185" spans="1:15">
      <c r="A185" s="7" t="s">
        <v>430</v>
      </c>
      <c r="B185" s="7"/>
      <c r="C185" s="7" t="s">
        <v>431</v>
      </c>
      <c r="D185" s="7" t="s">
        <v>432</v>
      </c>
      <c r="E185" s="7">
        <v>110</v>
      </c>
      <c r="F185" s="8">
        <v>9.1000000000000004E-3</v>
      </c>
      <c r="G185" s="9">
        <f t="shared" si="8"/>
        <v>4700</v>
      </c>
      <c r="H185" s="7">
        <v>1</v>
      </c>
      <c r="I185" s="7">
        <v>4700</v>
      </c>
      <c r="J185" s="7">
        <v>1</v>
      </c>
      <c r="K185" s="7">
        <v>796</v>
      </c>
      <c r="L185" s="7">
        <v>2739</v>
      </c>
      <c r="M185" s="7">
        <f t="shared" si="9"/>
        <v>2739</v>
      </c>
      <c r="N185" s="7">
        <f t="shared" si="10"/>
        <v>1165</v>
      </c>
      <c r="O185" s="10">
        <f t="shared" si="11"/>
        <v>0.24787234042553191</v>
      </c>
    </row>
    <row r="186" spans="1:15">
      <c r="A186" s="7" t="s">
        <v>433</v>
      </c>
      <c r="B186" s="7"/>
      <c r="C186" s="7" t="s">
        <v>434</v>
      </c>
      <c r="D186" s="7" t="s">
        <v>434</v>
      </c>
      <c r="E186" s="7">
        <v>208</v>
      </c>
      <c r="F186" s="8">
        <v>1.44E-2</v>
      </c>
      <c r="G186" s="9">
        <f t="shared" si="8"/>
        <v>1520</v>
      </c>
      <c r="H186" s="7">
        <v>3</v>
      </c>
      <c r="I186" s="7">
        <v>4560</v>
      </c>
      <c r="J186" s="7">
        <v>3</v>
      </c>
      <c r="K186" s="7">
        <v>774</v>
      </c>
      <c r="L186" s="7">
        <v>629</v>
      </c>
      <c r="M186" s="7">
        <f t="shared" si="9"/>
        <v>1887</v>
      </c>
      <c r="N186" s="7">
        <f t="shared" si="10"/>
        <v>1899</v>
      </c>
      <c r="O186" s="10">
        <f t="shared" si="11"/>
        <v>0.41644736842105262</v>
      </c>
    </row>
    <row r="187" spans="1:15">
      <c r="A187" s="7" t="s">
        <v>435</v>
      </c>
      <c r="B187" s="7"/>
      <c r="C187" s="7" t="s">
        <v>436</v>
      </c>
      <c r="D187" s="7" t="s">
        <v>366</v>
      </c>
      <c r="E187" s="7">
        <v>389</v>
      </c>
      <c r="F187" s="8">
        <v>7.7000000000000002E-3</v>
      </c>
      <c r="G187" s="9">
        <f t="shared" si="8"/>
        <v>1500</v>
      </c>
      <c r="H187" s="7">
        <v>3</v>
      </c>
      <c r="I187" s="7">
        <v>4500</v>
      </c>
      <c r="J187" s="7">
        <v>3</v>
      </c>
      <c r="K187" s="7">
        <f>SUM(I187*0.15)</f>
        <v>675</v>
      </c>
      <c r="L187" s="7">
        <v>290</v>
      </c>
      <c r="M187" s="7">
        <f t="shared" si="9"/>
        <v>870</v>
      </c>
      <c r="N187" s="7">
        <f t="shared" si="10"/>
        <v>2955</v>
      </c>
      <c r="O187" s="10">
        <f t="shared" si="11"/>
        <v>0.65666666666666662</v>
      </c>
    </row>
    <row r="188" spans="1:15">
      <c r="A188" s="7" t="s">
        <v>437</v>
      </c>
      <c r="B188" s="7"/>
      <c r="C188" s="7" t="s">
        <v>438</v>
      </c>
      <c r="D188" s="7" t="s">
        <v>438</v>
      </c>
      <c r="E188" s="7">
        <v>25</v>
      </c>
      <c r="F188" s="8">
        <v>0.12</v>
      </c>
      <c r="G188" s="9">
        <f t="shared" si="8"/>
        <v>1495</v>
      </c>
      <c r="H188" s="7">
        <v>3</v>
      </c>
      <c r="I188" s="7">
        <v>4485</v>
      </c>
      <c r="J188" s="7">
        <v>3</v>
      </c>
      <c r="K188" s="7">
        <v>553</v>
      </c>
      <c r="L188" s="7">
        <v>830</v>
      </c>
      <c r="M188" s="7">
        <f t="shared" si="9"/>
        <v>2490</v>
      </c>
      <c r="N188" s="7">
        <f t="shared" si="10"/>
        <v>1442</v>
      </c>
      <c r="O188" s="10">
        <f t="shared" si="11"/>
        <v>0.32151616499442587</v>
      </c>
    </row>
    <row r="189" spans="1:15">
      <c r="A189" s="7" t="s">
        <v>439</v>
      </c>
      <c r="B189" s="7"/>
      <c r="C189" s="7" t="s">
        <v>440</v>
      </c>
      <c r="D189" s="7" t="s">
        <v>440</v>
      </c>
      <c r="E189" s="7">
        <v>108</v>
      </c>
      <c r="F189" s="8">
        <v>3.7000000000000012E-2</v>
      </c>
      <c r="G189" s="9">
        <f t="shared" si="8"/>
        <v>1119</v>
      </c>
      <c r="H189" s="7">
        <v>4</v>
      </c>
      <c r="I189" s="7">
        <v>4476</v>
      </c>
      <c r="J189" s="7">
        <v>3</v>
      </c>
      <c r="K189" s="7">
        <v>310</v>
      </c>
      <c r="L189" s="7">
        <v>0</v>
      </c>
      <c r="M189" s="7">
        <f t="shared" si="9"/>
        <v>0</v>
      </c>
      <c r="N189" s="7">
        <f t="shared" si="10"/>
        <v>4166</v>
      </c>
      <c r="O189" s="10">
        <f t="shared" si="11"/>
        <v>0.93074173369079538</v>
      </c>
    </row>
    <row r="190" spans="1:15">
      <c r="A190" s="7" t="s">
        <v>441</v>
      </c>
      <c r="B190" s="7"/>
      <c r="C190" s="7" t="s">
        <v>442</v>
      </c>
      <c r="D190" s="7" t="s">
        <v>442</v>
      </c>
      <c r="E190" s="7">
        <v>50</v>
      </c>
      <c r="F190" s="8">
        <v>0.06</v>
      </c>
      <c r="G190" s="9">
        <f t="shared" si="8"/>
        <v>1480</v>
      </c>
      <c r="H190" s="7">
        <v>3</v>
      </c>
      <c r="I190" s="7">
        <v>4440</v>
      </c>
      <c r="J190" s="7">
        <v>3</v>
      </c>
      <c r="K190" s="7">
        <f>SUM(I190*0.15)</f>
        <v>666</v>
      </c>
      <c r="L190" s="7">
        <v>436</v>
      </c>
      <c r="M190" s="7">
        <f t="shared" si="9"/>
        <v>1308</v>
      </c>
      <c r="N190" s="7">
        <f t="shared" si="10"/>
        <v>2466</v>
      </c>
      <c r="O190" s="10">
        <f t="shared" si="11"/>
        <v>0.55540540540540539</v>
      </c>
    </row>
    <row r="191" spans="1:15">
      <c r="A191" s="7" t="s">
        <v>443</v>
      </c>
      <c r="B191" s="7"/>
      <c r="C191" s="7" t="s">
        <v>444</v>
      </c>
      <c r="D191" s="7" t="s">
        <v>444</v>
      </c>
      <c r="E191" s="7">
        <v>13</v>
      </c>
      <c r="F191" s="8">
        <v>0.23080000000000001</v>
      </c>
      <c r="G191" s="9">
        <f t="shared" si="8"/>
        <v>1480</v>
      </c>
      <c r="H191" s="7">
        <v>3</v>
      </c>
      <c r="I191" s="7">
        <v>4440</v>
      </c>
      <c r="J191" s="7">
        <v>2</v>
      </c>
      <c r="K191" s="7">
        <v>409</v>
      </c>
      <c r="L191" s="7">
        <v>785</v>
      </c>
      <c r="M191" s="7">
        <f t="shared" si="9"/>
        <v>2355</v>
      </c>
      <c r="N191" s="7">
        <f t="shared" si="10"/>
        <v>1676</v>
      </c>
      <c r="O191" s="10">
        <f t="shared" si="11"/>
        <v>0.37747747747747745</v>
      </c>
    </row>
    <row r="192" spans="1:15">
      <c r="A192" s="7" t="s">
        <v>445</v>
      </c>
      <c r="B192" s="7"/>
      <c r="C192" s="7" t="s">
        <v>446</v>
      </c>
      <c r="D192" s="7" t="s">
        <v>446</v>
      </c>
      <c r="E192" s="7">
        <v>87</v>
      </c>
      <c r="F192" s="8">
        <v>4.5999999999999999E-2</v>
      </c>
      <c r="G192" s="9">
        <f t="shared" si="8"/>
        <v>1100</v>
      </c>
      <c r="H192" s="7">
        <v>4</v>
      </c>
      <c r="I192" s="7">
        <v>4400</v>
      </c>
      <c r="J192" s="7">
        <v>2</v>
      </c>
      <c r="K192" s="7">
        <v>405</v>
      </c>
      <c r="L192" s="7">
        <v>657</v>
      </c>
      <c r="M192" s="7">
        <f t="shared" si="9"/>
        <v>2628</v>
      </c>
      <c r="N192" s="7">
        <f t="shared" si="10"/>
        <v>1367</v>
      </c>
      <c r="O192" s="10">
        <f t="shared" si="11"/>
        <v>0.31068181818181817</v>
      </c>
    </row>
    <row r="193" spans="1:15">
      <c r="A193" s="7" t="s">
        <v>447</v>
      </c>
      <c r="B193" s="7"/>
      <c r="C193" s="7" t="s">
        <v>448</v>
      </c>
      <c r="D193" s="7" t="s">
        <v>237</v>
      </c>
      <c r="E193" s="7">
        <v>49</v>
      </c>
      <c r="F193" s="8">
        <v>8.1600000000000006E-2</v>
      </c>
      <c r="G193" s="9">
        <f t="shared" si="8"/>
        <v>1080</v>
      </c>
      <c r="H193" s="7">
        <v>4</v>
      </c>
      <c r="I193" s="7">
        <v>4320</v>
      </c>
      <c r="J193" s="7">
        <v>4</v>
      </c>
      <c r="K193" s="7">
        <v>400</v>
      </c>
      <c r="L193" s="7">
        <v>519</v>
      </c>
      <c r="M193" s="7">
        <f t="shared" si="9"/>
        <v>2076</v>
      </c>
      <c r="N193" s="7">
        <f t="shared" si="10"/>
        <v>1844</v>
      </c>
      <c r="O193" s="10">
        <f t="shared" si="11"/>
        <v>0.42685185185185187</v>
      </c>
    </row>
    <row r="194" spans="1:15">
      <c r="A194" s="7" t="s">
        <v>449</v>
      </c>
      <c r="B194" s="7"/>
      <c r="C194" s="7" t="s">
        <v>450</v>
      </c>
      <c r="D194" s="7" t="s">
        <v>450</v>
      </c>
      <c r="E194" s="7">
        <v>2</v>
      </c>
      <c r="F194" s="8">
        <v>2</v>
      </c>
      <c r="G194" s="9">
        <f t="shared" si="8"/>
        <v>999</v>
      </c>
      <c r="H194" s="7">
        <v>4</v>
      </c>
      <c r="I194" s="7">
        <v>3996</v>
      </c>
      <c r="J194" s="7">
        <v>1</v>
      </c>
      <c r="K194" s="7">
        <v>555</v>
      </c>
      <c r="L194" s="7">
        <v>253</v>
      </c>
      <c r="M194" s="7">
        <f t="shared" si="9"/>
        <v>1012</v>
      </c>
      <c r="N194" s="7">
        <f t="shared" si="10"/>
        <v>2429</v>
      </c>
      <c r="O194" s="10">
        <f t="shared" si="11"/>
        <v>0.60785785785785784</v>
      </c>
    </row>
    <row r="195" spans="1:15">
      <c r="A195" s="7" t="s">
        <v>451</v>
      </c>
      <c r="B195" s="7"/>
      <c r="C195" s="7" t="s">
        <v>452</v>
      </c>
      <c r="D195" s="7" t="s">
        <v>452</v>
      </c>
      <c r="E195" s="7">
        <v>64</v>
      </c>
      <c r="F195" s="8">
        <v>1.5599999999999999E-2</v>
      </c>
      <c r="G195" s="9">
        <f t="shared" si="8"/>
        <v>3980</v>
      </c>
      <c r="H195" s="7">
        <v>1</v>
      </c>
      <c r="I195" s="7">
        <v>3980</v>
      </c>
      <c r="J195" s="7">
        <v>1</v>
      </c>
      <c r="K195" s="7">
        <f>SUM(I195*0.15)</f>
        <v>597</v>
      </c>
      <c r="L195" s="11">
        <v>2285</v>
      </c>
      <c r="M195" s="7">
        <f t="shared" si="9"/>
        <v>2285</v>
      </c>
      <c r="N195" s="7">
        <f t="shared" si="10"/>
        <v>1098</v>
      </c>
      <c r="O195" s="10">
        <f t="shared" si="11"/>
        <v>0.27587939698492464</v>
      </c>
    </row>
    <row r="196" spans="1:15">
      <c r="A196" s="7" t="s">
        <v>453</v>
      </c>
      <c r="B196" s="7"/>
      <c r="C196" s="7" t="s">
        <v>454</v>
      </c>
      <c r="D196" s="7" t="s">
        <v>455</v>
      </c>
      <c r="E196" s="7">
        <v>49</v>
      </c>
      <c r="F196" s="8">
        <v>4.0800000000000003E-2</v>
      </c>
      <c r="G196" s="9">
        <f t="shared" si="8"/>
        <v>1980</v>
      </c>
      <c r="H196" s="7">
        <v>2</v>
      </c>
      <c r="I196" s="7">
        <v>3960</v>
      </c>
      <c r="J196" s="7">
        <v>2</v>
      </c>
      <c r="K196" s="7">
        <v>672</v>
      </c>
      <c r="L196" s="7">
        <v>495</v>
      </c>
      <c r="M196" s="7">
        <f t="shared" si="9"/>
        <v>990</v>
      </c>
      <c r="N196" s="7">
        <f t="shared" si="10"/>
        <v>2298</v>
      </c>
      <c r="O196" s="10">
        <f t="shared" si="11"/>
        <v>0.58030303030303032</v>
      </c>
    </row>
    <row r="197" spans="1:15">
      <c r="A197" s="7" t="s">
        <v>456</v>
      </c>
      <c r="B197" s="7"/>
      <c r="C197" s="7" t="s">
        <v>457</v>
      </c>
      <c r="D197" s="7" t="s">
        <v>457</v>
      </c>
      <c r="E197" s="7">
        <v>242</v>
      </c>
      <c r="F197" s="8">
        <v>8.3000000000000001E-3</v>
      </c>
      <c r="G197" s="9">
        <f t="shared" si="8"/>
        <v>1980</v>
      </c>
      <c r="H197" s="7">
        <v>2</v>
      </c>
      <c r="I197" s="7">
        <v>3960</v>
      </c>
      <c r="J197" s="7">
        <v>2</v>
      </c>
      <c r="K197" s="7">
        <f>SUM(I197*0.15)</f>
        <v>594</v>
      </c>
      <c r="L197" s="7">
        <v>1224</v>
      </c>
      <c r="M197" s="7">
        <f t="shared" si="9"/>
        <v>2448</v>
      </c>
      <c r="N197" s="7">
        <f t="shared" si="10"/>
        <v>918</v>
      </c>
      <c r="O197" s="10">
        <f t="shared" si="11"/>
        <v>0.23181818181818181</v>
      </c>
    </row>
    <row r="198" spans="1:15">
      <c r="A198" s="7" t="s">
        <v>458</v>
      </c>
      <c r="B198" s="7"/>
      <c r="C198" s="7" t="s">
        <v>459</v>
      </c>
      <c r="D198" s="7" t="s">
        <v>459</v>
      </c>
      <c r="E198" s="7">
        <v>28</v>
      </c>
      <c r="F198" s="8">
        <v>7.1399999999999991E-2</v>
      </c>
      <c r="G198" s="9">
        <f t="shared" si="8"/>
        <v>1980</v>
      </c>
      <c r="H198" s="7">
        <v>2</v>
      </c>
      <c r="I198" s="7">
        <v>3960</v>
      </c>
      <c r="J198" s="7">
        <v>2</v>
      </c>
      <c r="K198" s="7">
        <f>SUM(I198*0.15)</f>
        <v>594</v>
      </c>
      <c r="L198" s="11">
        <v>918</v>
      </c>
      <c r="M198" s="7">
        <f t="shared" si="9"/>
        <v>1836</v>
      </c>
      <c r="N198" s="7">
        <f t="shared" si="10"/>
        <v>1530</v>
      </c>
      <c r="O198" s="10">
        <f t="shared" si="11"/>
        <v>0.38636363636363635</v>
      </c>
    </row>
    <row r="199" spans="1:15">
      <c r="A199" s="7" t="s">
        <v>460</v>
      </c>
      <c r="B199" s="7"/>
      <c r="C199" s="7" t="s">
        <v>461</v>
      </c>
      <c r="D199" s="7" t="s">
        <v>462</v>
      </c>
      <c r="E199" s="7">
        <v>167</v>
      </c>
      <c r="F199" s="8">
        <v>1.2E-2</v>
      </c>
      <c r="G199" s="9">
        <f t="shared" si="8"/>
        <v>1950</v>
      </c>
      <c r="H199" s="7">
        <v>2</v>
      </c>
      <c r="I199" s="7">
        <v>3900</v>
      </c>
      <c r="J199" s="7">
        <v>2</v>
      </c>
      <c r="K199" s="7">
        <v>446</v>
      </c>
      <c r="L199" s="7">
        <v>1580</v>
      </c>
      <c r="M199" s="7">
        <f t="shared" si="9"/>
        <v>3160</v>
      </c>
      <c r="N199" s="7">
        <f t="shared" si="10"/>
        <v>294</v>
      </c>
      <c r="O199" s="10">
        <f t="shared" si="11"/>
        <v>7.5384615384615383E-2</v>
      </c>
    </row>
    <row r="200" spans="1:15">
      <c r="A200" s="7" t="s">
        <v>463</v>
      </c>
      <c r="B200" s="7"/>
      <c r="C200" s="7" t="s">
        <v>464</v>
      </c>
      <c r="D200" s="7" t="s">
        <v>464</v>
      </c>
      <c r="E200" s="7">
        <v>33</v>
      </c>
      <c r="F200" s="8">
        <v>0.21210000000000001</v>
      </c>
      <c r="G200" s="9">
        <f t="shared" ref="G200:G263" si="12">IF(H200=0,"",I200/H200)</f>
        <v>550</v>
      </c>
      <c r="H200" s="7">
        <v>7</v>
      </c>
      <c r="I200" s="7">
        <v>3850</v>
      </c>
      <c r="J200" s="7">
        <v>7</v>
      </c>
      <c r="K200" s="7">
        <v>231</v>
      </c>
      <c r="L200" s="7">
        <v>242</v>
      </c>
      <c r="M200" s="7">
        <f t="shared" ref="M200:M263" si="13">SUM(H200*L200)</f>
        <v>1694</v>
      </c>
      <c r="N200" s="7">
        <f t="shared" ref="N200:N263" si="14">SUM(I200-K200-M200)</f>
        <v>1925</v>
      </c>
      <c r="O200" s="10">
        <f t="shared" ref="O200:O263" si="15">IF(I200=0,"",N200/I200)</f>
        <v>0.5</v>
      </c>
    </row>
    <row r="201" spans="1:15">
      <c r="A201" s="7" t="s">
        <v>465</v>
      </c>
      <c r="B201" s="7"/>
      <c r="C201" s="7" t="s">
        <v>466</v>
      </c>
      <c r="D201" s="7" t="s">
        <v>466</v>
      </c>
      <c r="E201" s="7">
        <v>22</v>
      </c>
      <c r="F201" s="8">
        <v>0.13639999999999999</v>
      </c>
      <c r="G201" s="9">
        <f t="shared" si="12"/>
        <v>1283</v>
      </c>
      <c r="H201" s="7">
        <v>3</v>
      </c>
      <c r="I201" s="7">
        <v>3849</v>
      </c>
      <c r="J201" s="7">
        <v>3</v>
      </c>
      <c r="K201" s="7">
        <v>356</v>
      </c>
      <c r="L201" s="7">
        <v>624</v>
      </c>
      <c r="M201" s="7">
        <f t="shared" si="13"/>
        <v>1872</v>
      </c>
      <c r="N201" s="7">
        <f t="shared" si="14"/>
        <v>1621</v>
      </c>
      <c r="O201" s="10">
        <f t="shared" si="15"/>
        <v>0.42114835022083658</v>
      </c>
    </row>
    <row r="202" spans="1:15">
      <c r="A202" s="7" t="s">
        <v>467</v>
      </c>
      <c r="B202" s="7"/>
      <c r="C202" s="7" t="s">
        <v>468</v>
      </c>
      <c r="D202" s="7" t="s">
        <v>468</v>
      </c>
      <c r="E202" s="7">
        <v>39</v>
      </c>
      <c r="F202" s="8">
        <v>7.690000000000001E-2</v>
      </c>
      <c r="G202" s="9">
        <f t="shared" si="12"/>
        <v>1280</v>
      </c>
      <c r="H202" s="7">
        <v>3</v>
      </c>
      <c r="I202" s="7">
        <v>3840</v>
      </c>
      <c r="J202" s="7">
        <v>3</v>
      </c>
      <c r="K202" s="7">
        <v>357</v>
      </c>
      <c r="L202" s="7">
        <v>778</v>
      </c>
      <c r="M202" s="7">
        <f t="shared" si="13"/>
        <v>2334</v>
      </c>
      <c r="N202" s="7">
        <f t="shared" si="14"/>
        <v>1149</v>
      </c>
      <c r="O202" s="10">
        <f t="shared" si="15"/>
        <v>0.29921874999999998</v>
      </c>
    </row>
    <row r="203" spans="1:15">
      <c r="A203" s="7" t="s">
        <v>469</v>
      </c>
      <c r="B203" s="7"/>
      <c r="C203" s="7" t="s">
        <v>470</v>
      </c>
      <c r="D203" s="7" t="s">
        <v>470</v>
      </c>
      <c r="E203" s="7">
        <v>32</v>
      </c>
      <c r="F203" s="8">
        <v>9.3800000000000008E-2</v>
      </c>
      <c r="G203" s="9">
        <f t="shared" si="12"/>
        <v>1280</v>
      </c>
      <c r="H203" s="7">
        <v>3</v>
      </c>
      <c r="I203" s="7">
        <v>3840</v>
      </c>
      <c r="J203" s="7">
        <v>3</v>
      </c>
      <c r="K203" s="7">
        <v>357</v>
      </c>
      <c r="L203" s="7">
        <v>460</v>
      </c>
      <c r="M203" s="7">
        <f t="shared" si="13"/>
        <v>1380</v>
      </c>
      <c r="N203" s="7">
        <f t="shared" si="14"/>
        <v>2103</v>
      </c>
      <c r="O203" s="10">
        <f t="shared" si="15"/>
        <v>0.54765624999999996</v>
      </c>
    </row>
    <row r="204" spans="1:15">
      <c r="A204" s="7" t="s">
        <v>471</v>
      </c>
      <c r="B204" s="7"/>
      <c r="C204" s="7" t="s">
        <v>472</v>
      </c>
      <c r="D204" s="7" t="s">
        <v>472</v>
      </c>
      <c r="E204" s="7">
        <v>1105</v>
      </c>
      <c r="F204" s="8">
        <v>3.5999999999999999E-3</v>
      </c>
      <c r="G204" s="9">
        <f t="shared" si="12"/>
        <v>930</v>
      </c>
      <c r="H204" s="7">
        <v>4</v>
      </c>
      <c r="I204" s="7">
        <v>3720</v>
      </c>
      <c r="J204" s="7">
        <v>3</v>
      </c>
      <c r="K204" s="7">
        <v>344</v>
      </c>
      <c r="L204" s="7">
        <v>438</v>
      </c>
      <c r="M204" s="7">
        <f t="shared" si="13"/>
        <v>1752</v>
      </c>
      <c r="N204" s="7">
        <f t="shared" si="14"/>
        <v>1624</v>
      </c>
      <c r="O204" s="10">
        <f t="shared" si="15"/>
        <v>0.43655913978494626</v>
      </c>
    </row>
    <row r="205" spans="1:15">
      <c r="A205" s="7" t="s">
        <v>473</v>
      </c>
      <c r="B205" s="7"/>
      <c r="C205" s="7" t="s">
        <v>474</v>
      </c>
      <c r="D205" s="7" t="s">
        <v>474</v>
      </c>
      <c r="E205" s="7">
        <v>11</v>
      </c>
      <c r="F205" s="8">
        <v>9.0899999999999995E-2</v>
      </c>
      <c r="G205" s="9">
        <f t="shared" si="12"/>
        <v>3680</v>
      </c>
      <c r="H205" s="7">
        <v>1</v>
      </c>
      <c r="I205" s="7">
        <v>3680</v>
      </c>
      <c r="J205" s="7">
        <v>1</v>
      </c>
      <c r="K205" s="7">
        <f>SUM(I205*0.15)</f>
        <v>552</v>
      </c>
      <c r="L205" s="7">
        <v>2766</v>
      </c>
      <c r="M205" s="7">
        <f t="shared" si="13"/>
        <v>2766</v>
      </c>
      <c r="N205" s="7">
        <f t="shared" si="14"/>
        <v>362</v>
      </c>
      <c r="O205" s="10">
        <f t="shared" si="15"/>
        <v>9.8369565217391305E-2</v>
      </c>
    </row>
    <row r="206" spans="1:15">
      <c r="A206" s="7" t="s">
        <v>475</v>
      </c>
      <c r="B206" s="7"/>
      <c r="C206" s="7" t="s">
        <v>476</v>
      </c>
      <c r="D206" s="7" t="s">
        <v>476</v>
      </c>
      <c r="E206" s="7">
        <v>51</v>
      </c>
      <c r="F206" s="8">
        <v>5.8799999999999998E-2</v>
      </c>
      <c r="G206" s="9">
        <f t="shared" si="12"/>
        <v>1199</v>
      </c>
      <c r="H206" s="7">
        <v>3</v>
      </c>
      <c r="I206" s="7">
        <v>3597</v>
      </c>
      <c r="J206" s="7">
        <v>2</v>
      </c>
      <c r="K206" s="7">
        <v>333</v>
      </c>
      <c r="L206" s="7">
        <v>239</v>
      </c>
      <c r="M206" s="7">
        <f t="shared" si="13"/>
        <v>717</v>
      </c>
      <c r="N206" s="7">
        <f t="shared" si="14"/>
        <v>2547</v>
      </c>
      <c r="O206" s="10">
        <f t="shared" si="15"/>
        <v>0.70809007506255217</v>
      </c>
    </row>
    <row r="207" spans="1:15">
      <c r="A207" s="7" t="s">
        <v>477</v>
      </c>
      <c r="B207" s="7"/>
      <c r="C207" s="7" t="s">
        <v>478</v>
      </c>
      <c r="D207" s="7" t="s">
        <v>478</v>
      </c>
      <c r="E207" s="7">
        <v>32</v>
      </c>
      <c r="F207" s="8">
        <v>6.25E-2</v>
      </c>
      <c r="G207" s="9">
        <f t="shared" si="12"/>
        <v>1798</v>
      </c>
      <c r="H207" s="7">
        <v>2</v>
      </c>
      <c r="I207" s="7">
        <v>3596</v>
      </c>
      <c r="J207" s="7">
        <v>1</v>
      </c>
      <c r="K207" s="7">
        <v>1469</v>
      </c>
      <c r="L207" s="7">
        <v>1792</v>
      </c>
      <c r="M207" s="7">
        <f t="shared" si="13"/>
        <v>3584</v>
      </c>
      <c r="N207" s="7">
        <f t="shared" si="14"/>
        <v>-1457</v>
      </c>
      <c r="O207" s="10">
        <f t="shared" si="15"/>
        <v>-0.40517241379310343</v>
      </c>
    </row>
    <row r="208" spans="1:15">
      <c r="A208" s="7" t="s">
        <v>479</v>
      </c>
      <c r="B208" s="7"/>
      <c r="C208" s="7" t="s">
        <v>480</v>
      </c>
      <c r="D208" s="7" t="s">
        <v>480</v>
      </c>
      <c r="E208" s="7">
        <v>22</v>
      </c>
      <c r="F208" s="8">
        <v>4.5499999999999999E-2</v>
      </c>
      <c r="G208" s="9">
        <f t="shared" si="12"/>
        <v>3580</v>
      </c>
      <c r="H208" s="7">
        <v>1</v>
      </c>
      <c r="I208" s="7">
        <v>3580</v>
      </c>
      <c r="J208" s="7">
        <v>1</v>
      </c>
      <c r="K208" s="7">
        <f>SUM(I208*0.15)</f>
        <v>537</v>
      </c>
      <c r="L208" s="7">
        <v>2330</v>
      </c>
      <c r="M208" s="7">
        <f t="shared" si="13"/>
        <v>2330</v>
      </c>
      <c r="N208" s="7">
        <f t="shared" si="14"/>
        <v>713</v>
      </c>
      <c r="O208" s="10">
        <f t="shared" si="15"/>
        <v>0.19916201117318436</v>
      </c>
    </row>
    <row r="209" spans="1:15">
      <c r="A209" s="7" t="s">
        <v>481</v>
      </c>
      <c r="B209" s="7"/>
      <c r="C209" s="7" t="s">
        <v>482</v>
      </c>
      <c r="D209" s="7" t="s">
        <v>482</v>
      </c>
      <c r="E209" s="7">
        <v>32</v>
      </c>
      <c r="F209" s="8">
        <v>9.3800000000000008E-2</v>
      </c>
      <c r="G209" s="9">
        <f t="shared" si="12"/>
        <v>1182</v>
      </c>
      <c r="H209" s="7">
        <v>3</v>
      </c>
      <c r="I209" s="7">
        <v>3546</v>
      </c>
      <c r="J209" s="7">
        <v>3</v>
      </c>
      <c r="K209" s="7">
        <v>329</v>
      </c>
      <c r="L209" s="7">
        <v>1148</v>
      </c>
      <c r="M209" s="7">
        <f t="shared" si="13"/>
        <v>3444</v>
      </c>
      <c r="N209" s="7">
        <f t="shared" si="14"/>
        <v>-227</v>
      </c>
      <c r="O209" s="10">
        <f t="shared" si="15"/>
        <v>-6.4015792442188385E-2</v>
      </c>
    </row>
    <row r="210" spans="1:15">
      <c r="A210" s="7" t="s">
        <v>483</v>
      </c>
      <c r="B210" s="7"/>
      <c r="C210" s="7" t="s">
        <v>484</v>
      </c>
      <c r="D210" s="7" t="s">
        <v>484</v>
      </c>
      <c r="E210" s="7">
        <v>9789</v>
      </c>
      <c r="F210" s="8">
        <v>2.0000000000000001E-4</v>
      </c>
      <c r="G210" s="9">
        <f t="shared" si="12"/>
        <v>1761</v>
      </c>
      <c r="H210" s="7">
        <v>2</v>
      </c>
      <c r="I210" s="7">
        <v>3522</v>
      </c>
      <c r="J210" s="7">
        <v>2</v>
      </c>
      <c r="K210" s="7">
        <v>403</v>
      </c>
      <c r="L210" s="7">
        <v>1067</v>
      </c>
      <c r="M210" s="7">
        <f t="shared" si="13"/>
        <v>2134</v>
      </c>
      <c r="N210" s="7">
        <f t="shared" si="14"/>
        <v>985</v>
      </c>
      <c r="O210" s="10">
        <f t="shared" si="15"/>
        <v>0.27967064168086314</v>
      </c>
    </row>
    <row r="211" spans="1:15">
      <c r="A211" s="7" t="s">
        <v>485</v>
      </c>
      <c r="B211" s="7"/>
      <c r="C211" s="7" t="s">
        <v>486</v>
      </c>
      <c r="D211" s="7" t="s">
        <v>486</v>
      </c>
      <c r="E211" s="7">
        <v>14</v>
      </c>
      <c r="F211" s="8">
        <v>7.1399999999999991E-2</v>
      </c>
      <c r="G211" s="9">
        <f t="shared" si="12"/>
        <v>3480</v>
      </c>
      <c r="H211" s="7">
        <v>1</v>
      </c>
      <c r="I211" s="7">
        <v>3480</v>
      </c>
      <c r="J211" s="7">
        <v>1</v>
      </c>
      <c r="K211" s="7">
        <f>SUM(I211*0.15)</f>
        <v>522</v>
      </c>
      <c r="L211" s="7">
        <v>2312</v>
      </c>
      <c r="M211" s="7">
        <f t="shared" si="13"/>
        <v>2312</v>
      </c>
      <c r="N211" s="7">
        <f t="shared" si="14"/>
        <v>646</v>
      </c>
      <c r="O211" s="10">
        <f t="shared" si="15"/>
        <v>0.18563218390804598</v>
      </c>
    </row>
    <row r="212" spans="1:15">
      <c r="A212" s="7" t="s">
        <v>487</v>
      </c>
      <c r="B212" s="7"/>
      <c r="C212" s="7" t="s">
        <v>488</v>
      </c>
      <c r="D212" s="7" t="s">
        <v>40</v>
      </c>
      <c r="E212" s="7">
        <v>1691</v>
      </c>
      <c r="F212" s="8">
        <v>1.8E-3</v>
      </c>
      <c r="G212" s="9">
        <f t="shared" si="12"/>
        <v>1140</v>
      </c>
      <c r="H212" s="7">
        <v>3</v>
      </c>
      <c r="I212" s="7">
        <v>3420</v>
      </c>
      <c r="J212" s="7">
        <v>3</v>
      </c>
      <c r="K212" s="7">
        <v>580</v>
      </c>
      <c r="L212" s="7">
        <v>504</v>
      </c>
      <c r="M212" s="7">
        <f t="shared" si="13"/>
        <v>1512</v>
      </c>
      <c r="N212" s="7">
        <f t="shared" si="14"/>
        <v>1328</v>
      </c>
      <c r="O212" s="10">
        <f t="shared" si="15"/>
        <v>0.38830409356725148</v>
      </c>
    </row>
    <row r="213" spans="1:15">
      <c r="A213" s="7" t="s">
        <v>489</v>
      </c>
      <c r="B213" s="7"/>
      <c r="C213" s="7" t="s">
        <v>490</v>
      </c>
      <c r="D213" s="7" t="s">
        <v>62</v>
      </c>
      <c r="E213" s="7">
        <v>15</v>
      </c>
      <c r="F213" s="8">
        <v>0.1333</v>
      </c>
      <c r="G213" s="9">
        <f t="shared" si="12"/>
        <v>1698</v>
      </c>
      <c r="H213" s="7">
        <v>2</v>
      </c>
      <c r="I213" s="7">
        <v>3396</v>
      </c>
      <c r="J213" s="7">
        <v>2</v>
      </c>
      <c r="K213" s="7">
        <v>574</v>
      </c>
      <c r="L213" s="7">
        <v>705</v>
      </c>
      <c r="M213" s="7">
        <f t="shared" si="13"/>
        <v>1410</v>
      </c>
      <c r="N213" s="7">
        <f t="shared" si="14"/>
        <v>1412</v>
      </c>
      <c r="O213" s="10">
        <f t="shared" si="15"/>
        <v>0.41578327444051827</v>
      </c>
    </row>
    <row r="214" spans="1:15">
      <c r="A214" s="7" t="s">
        <v>491</v>
      </c>
      <c r="B214" s="7"/>
      <c r="C214" s="7" t="s">
        <v>492</v>
      </c>
      <c r="D214" s="7" t="s">
        <v>492</v>
      </c>
      <c r="E214" s="7">
        <v>18</v>
      </c>
      <c r="F214" s="8">
        <v>5.5599999999999997E-2</v>
      </c>
      <c r="G214" s="9">
        <f t="shared" si="12"/>
        <v>3280</v>
      </c>
      <c r="H214" s="7">
        <v>1</v>
      </c>
      <c r="I214" s="7">
        <v>3280</v>
      </c>
      <c r="J214" s="7">
        <v>1</v>
      </c>
      <c r="K214" s="7">
        <f>SUM(I214*0.15)</f>
        <v>492</v>
      </c>
      <c r="L214" s="11">
        <v>2139</v>
      </c>
      <c r="M214" s="7">
        <f t="shared" si="13"/>
        <v>2139</v>
      </c>
      <c r="N214" s="7">
        <f t="shared" si="14"/>
        <v>649</v>
      </c>
      <c r="O214" s="10">
        <f t="shared" si="15"/>
        <v>0.19786585365853659</v>
      </c>
    </row>
    <row r="215" spans="1:15">
      <c r="A215" s="7" t="s">
        <v>493</v>
      </c>
      <c r="B215" s="7"/>
      <c r="C215" s="7" t="s">
        <v>494</v>
      </c>
      <c r="D215" s="7" t="s">
        <v>278</v>
      </c>
      <c r="E215" s="7">
        <v>587</v>
      </c>
      <c r="F215" s="8">
        <v>3.3999999999999998E-3</v>
      </c>
      <c r="G215" s="9">
        <f t="shared" si="12"/>
        <v>1633</v>
      </c>
      <c r="H215" s="7">
        <v>2</v>
      </c>
      <c r="I215" s="7">
        <v>3266</v>
      </c>
      <c r="J215" s="7">
        <v>2</v>
      </c>
      <c r="K215" s="7">
        <f>SUM(I215*0.15)</f>
        <v>489.9</v>
      </c>
      <c r="L215" s="7">
        <v>1148</v>
      </c>
      <c r="M215" s="7">
        <f t="shared" si="13"/>
        <v>2296</v>
      </c>
      <c r="N215" s="7">
        <f t="shared" si="14"/>
        <v>480.09999999999991</v>
      </c>
      <c r="O215" s="10">
        <f t="shared" si="15"/>
        <v>0.14699938763012857</v>
      </c>
    </row>
    <row r="216" spans="1:15">
      <c r="A216" s="7" t="s">
        <v>495</v>
      </c>
      <c r="B216" s="7"/>
      <c r="C216" s="7" t="s">
        <v>496</v>
      </c>
      <c r="D216" s="7" t="s">
        <v>228</v>
      </c>
      <c r="E216" s="7">
        <v>170</v>
      </c>
      <c r="F216" s="8">
        <v>1.18E-2</v>
      </c>
      <c r="G216" s="9">
        <f t="shared" si="12"/>
        <v>1602</v>
      </c>
      <c r="H216" s="7">
        <v>2</v>
      </c>
      <c r="I216" s="7">
        <v>3204</v>
      </c>
      <c r="J216" s="7">
        <v>2</v>
      </c>
      <c r="K216" s="7">
        <v>367</v>
      </c>
      <c r="L216" s="7">
        <v>1130</v>
      </c>
      <c r="M216" s="7">
        <f t="shared" si="13"/>
        <v>2260</v>
      </c>
      <c r="N216" s="7">
        <f t="shared" si="14"/>
        <v>577</v>
      </c>
      <c r="O216" s="10">
        <f t="shared" si="15"/>
        <v>0.18008739076154806</v>
      </c>
    </row>
    <row r="217" spans="1:15">
      <c r="A217" s="7" t="s">
        <v>497</v>
      </c>
      <c r="B217" s="7"/>
      <c r="C217" s="7" t="s">
        <v>498</v>
      </c>
      <c r="D217" s="7" t="s">
        <v>498</v>
      </c>
      <c r="E217" s="7">
        <v>677</v>
      </c>
      <c r="F217" s="8">
        <v>1.5E-3</v>
      </c>
      <c r="G217" s="9">
        <f t="shared" si="12"/>
        <v>3180</v>
      </c>
      <c r="H217" s="7">
        <v>1</v>
      </c>
      <c r="I217" s="7">
        <v>3180</v>
      </c>
      <c r="J217" s="7">
        <v>1</v>
      </c>
      <c r="K217" s="7">
        <v>539</v>
      </c>
      <c r="L217" s="7">
        <v>2344</v>
      </c>
      <c r="M217" s="7">
        <f t="shared" si="13"/>
        <v>2344</v>
      </c>
      <c r="N217" s="7">
        <f t="shared" si="14"/>
        <v>297</v>
      </c>
      <c r="O217" s="10">
        <f t="shared" si="15"/>
        <v>9.3396226415094333E-2</v>
      </c>
    </row>
    <row r="218" spans="1:15">
      <c r="A218" s="7" t="s">
        <v>499</v>
      </c>
      <c r="B218" s="7"/>
      <c r="C218" s="7" t="s">
        <v>500</v>
      </c>
      <c r="D218" s="7" t="s">
        <v>500</v>
      </c>
      <c r="E218" s="7">
        <v>19</v>
      </c>
      <c r="F218" s="8">
        <v>0.1053</v>
      </c>
      <c r="G218" s="9">
        <f t="shared" si="12"/>
        <v>1540</v>
      </c>
      <c r="H218" s="7">
        <v>2</v>
      </c>
      <c r="I218" s="7">
        <v>3080</v>
      </c>
      <c r="J218" s="7">
        <v>2</v>
      </c>
      <c r="K218" s="7">
        <v>352</v>
      </c>
      <c r="L218" s="7">
        <v>400</v>
      </c>
      <c r="M218" s="7">
        <f t="shared" si="13"/>
        <v>800</v>
      </c>
      <c r="N218" s="7">
        <f t="shared" si="14"/>
        <v>1928</v>
      </c>
      <c r="O218" s="10">
        <f t="shared" si="15"/>
        <v>0.62597402597402596</v>
      </c>
    </row>
    <row r="219" spans="1:15">
      <c r="A219" s="7" t="s">
        <v>501</v>
      </c>
      <c r="B219" s="7"/>
      <c r="C219" s="7" t="s">
        <v>502</v>
      </c>
      <c r="D219" s="7" t="s">
        <v>503</v>
      </c>
      <c r="E219" s="7">
        <v>348</v>
      </c>
      <c r="F219" s="8">
        <v>1.44E-2</v>
      </c>
      <c r="G219" s="9">
        <f t="shared" si="12"/>
        <v>600</v>
      </c>
      <c r="H219" s="7">
        <v>5</v>
      </c>
      <c r="I219" s="7">
        <v>3000</v>
      </c>
      <c r="J219" s="7">
        <v>5</v>
      </c>
      <c r="K219" s="7">
        <f>SUM(I219*0.15)</f>
        <v>450</v>
      </c>
      <c r="L219" s="7">
        <v>204</v>
      </c>
      <c r="M219" s="7">
        <f t="shared" si="13"/>
        <v>1020</v>
      </c>
      <c r="N219" s="7">
        <f t="shared" si="14"/>
        <v>1530</v>
      </c>
      <c r="O219" s="10">
        <f t="shared" si="15"/>
        <v>0.51</v>
      </c>
    </row>
    <row r="220" spans="1:15">
      <c r="A220" s="7" t="s">
        <v>504</v>
      </c>
      <c r="B220" s="7"/>
      <c r="C220" s="7" t="s">
        <v>505</v>
      </c>
      <c r="D220" s="7" t="s">
        <v>366</v>
      </c>
      <c r="E220" s="7">
        <v>440</v>
      </c>
      <c r="F220" s="8">
        <v>4.5000000000000014E-3</v>
      </c>
      <c r="G220" s="9">
        <f t="shared" si="12"/>
        <v>1500</v>
      </c>
      <c r="H220" s="7">
        <v>2</v>
      </c>
      <c r="I220" s="7">
        <v>3000</v>
      </c>
      <c r="J220" s="7">
        <v>2</v>
      </c>
      <c r="K220" s="7">
        <v>508</v>
      </c>
      <c r="L220" s="7">
        <v>290</v>
      </c>
      <c r="M220" s="7">
        <f t="shared" si="13"/>
        <v>580</v>
      </c>
      <c r="N220" s="7">
        <f t="shared" si="14"/>
        <v>1912</v>
      </c>
      <c r="O220" s="10">
        <f t="shared" si="15"/>
        <v>0.63733333333333331</v>
      </c>
    </row>
    <row r="221" spans="1:15">
      <c r="A221" s="7" t="s">
        <v>506</v>
      </c>
      <c r="B221" s="7"/>
      <c r="C221" s="7" t="s">
        <v>507</v>
      </c>
      <c r="D221" s="7" t="s">
        <v>507</v>
      </c>
      <c r="E221" s="7">
        <v>30</v>
      </c>
      <c r="F221" s="8">
        <v>3.3300000000000003E-2</v>
      </c>
      <c r="G221" s="9">
        <f t="shared" si="12"/>
        <v>2980</v>
      </c>
      <c r="H221" s="7">
        <v>1</v>
      </c>
      <c r="I221" s="7">
        <v>2980</v>
      </c>
      <c r="J221" s="7">
        <v>1</v>
      </c>
      <c r="K221" s="7">
        <v>505</v>
      </c>
      <c r="L221" s="7">
        <v>1672</v>
      </c>
      <c r="M221" s="7">
        <f t="shared" si="13"/>
        <v>1672</v>
      </c>
      <c r="N221" s="7">
        <f t="shared" si="14"/>
        <v>803</v>
      </c>
      <c r="O221" s="10">
        <f t="shared" si="15"/>
        <v>0.26946308724832213</v>
      </c>
    </row>
    <row r="222" spans="1:15">
      <c r="A222" s="7" t="s">
        <v>508</v>
      </c>
      <c r="B222" s="7"/>
      <c r="C222" s="7" t="s">
        <v>509</v>
      </c>
      <c r="D222" s="7" t="s">
        <v>429</v>
      </c>
      <c r="E222" s="7">
        <v>777</v>
      </c>
      <c r="F222" s="8">
        <v>3.8999999999999998E-3</v>
      </c>
      <c r="G222" s="9">
        <f t="shared" si="12"/>
        <v>983.33333333333337</v>
      </c>
      <c r="H222" s="7">
        <v>3</v>
      </c>
      <c r="I222" s="7">
        <v>2950</v>
      </c>
      <c r="J222" s="7">
        <v>3</v>
      </c>
      <c r="K222" s="7">
        <v>499</v>
      </c>
      <c r="L222" s="7">
        <v>504</v>
      </c>
      <c r="M222" s="7">
        <f t="shared" si="13"/>
        <v>1512</v>
      </c>
      <c r="N222" s="7">
        <f t="shared" si="14"/>
        <v>939</v>
      </c>
      <c r="O222" s="10">
        <f t="shared" si="15"/>
        <v>0.31830508474576269</v>
      </c>
    </row>
    <row r="223" spans="1:15">
      <c r="A223" s="7" t="s">
        <v>510</v>
      </c>
      <c r="B223" s="7"/>
      <c r="C223" s="7" t="s">
        <v>511</v>
      </c>
      <c r="D223" s="7" t="s">
        <v>511</v>
      </c>
      <c r="E223" s="7">
        <v>245</v>
      </c>
      <c r="F223" s="8">
        <v>2.4500000000000001E-2</v>
      </c>
      <c r="G223" s="9">
        <f t="shared" si="12"/>
        <v>490</v>
      </c>
      <c r="H223" s="7">
        <v>6</v>
      </c>
      <c r="I223" s="7">
        <v>2940</v>
      </c>
      <c r="J223" s="7">
        <v>6</v>
      </c>
      <c r="K223" s="7">
        <v>198</v>
      </c>
      <c r="L223" s="7">
        <v>232</v>
      </c>
      <c r="M223" s="7">
        <f t="shared" si="13"/>
        <v>1392</v>
      </c>
      <c r="N223" s="7">
        <f t="shared" si="14"/>
        <v>1350</v>
      </c>
      <c r="O223" s="10">
        <f t="shared" si="15"/>
        <v>0.45918367346938777</v>
      </c>
    </row>
    <row r="224" spans="1:15">
      <c r="A224" s="7" t="s">
        <v>512</v>
      </c>
      <c r="B224" s="7"/>
      <c r="C224" s="7" t="s">
        <v>513</v>
      </c>
      <c r="D224" s="7" t="s">
        <v>513</v>
      </c>
      <c r="E224" s="7">
        <v>605</v>
      </c>
      <c r="F224" s="8">
        <v>3.3E-3</v>
      </c>
      <c r="G224" s="9">
        <f t="shared" si="12"/>
        <v>1450</v>
      </c>
      <c r="H224" s="7">
        <v>2</v>
      </c>
      <c r="I224" s="7">
        <v>2900</v>
      </c>
      <c r="J224" s="7">
        <v>2</v>
      </c>
      <c r="K224" s="7">
        <v>268</v>
      </c>
      <c r="L224" s="7">
        <v>761</v>
      </c>
      <c r="M224" s="7">
        <f t="shared" si="13"/>
        <v>1522</v>
      </c>
      <c r="N224" s="7">
        <f t="shared" si="14"/>
        <v>1110</v>
      </c>
      <c r="O224" s="10">
        <f t="shared" si="15"/>
        <v>0.38275862068965516</v>
      </c>
    </row>
    <row r="225" spans="1:15">
      <c r="A225" s="7" t="s">
        <v>514</v>
      </c>
      <c r="B225" s="7"/>
      <c r="C225" s="7" t="s">
        <v>515</v>
      </c>
      <c r="D225" s="7" t="s">
        <v>254</v>
      </c>
      <c r="E225" s="7">
        <v>12119</v>
      </c>
      <c r="F225" s="8">
        <v>2.0000000000000001E-4</v>
      </c>
      <c r="G225" s="9">
        <f t="shared" si="12"/>
        <v>950</v>
      </c>
      <c r="H225" s="7">
        <v>3</v>
      </c>
      <c r="I225" s="7">
        <v>2850</v>
      </c>
      <c r="J225" s="7">
        <v>3</v>
      </c>
      <c r="K225" s="7">
        <v>483</v>
      </c>
      <c r="L225" s="7">
        <v>232</v>
      </c>
      <c r="M225" s="7">
        <f t="shared" si="13"/>
        <v>696</v>
      </c>
      <c r="N225" s="7">
        <f t="shared" si="14"/>
        <v>1671</v>
      </c>
      <c r="O225" s="10">
        <f t="shared" si="15"/>
        <v>0.58631578947368423</v>
      </c>
    </row>
    <row r="226" spans="1:15">
      <c r="A226" s="7" t="s">
        <v>516</v>
      </c>
      <c r="B226" s="7"/>
      <c r="C226" s="7" t="s">
        <v>517</v>
      </c>
      <c r="D226" s="7" t="s">
        <v>517</v>
      </c>
      <c r="E226" s="7">
        <v>24</v>
      </c>
      <c r="F226" s="8">
        <v>4.1700000000000001E-2</v>
      </c>
      <c r="G226" s="9">
        <f t="shared" si="12"/>
        <v>2780</v>
      </c>
      <c r="H226" s="7">
        <v>1</v>
      </c>
      <c r="I226" s="7">
        <v>2780</v>
      </c>
      <c r="J226" s="7">
        <v>1</v>
      </c>
      <c r="K226" s="7">
        <v>318</v>
      </c>
      <c r="L226" s="7">
        <v>1882</v>
      </c>
      <c r="M226" s="7">
        <f t="shared" si="13"/>
        <v>1882</v>
      </c>
      <c r="N226" s="7">
        <f t="shared" si="14"/>
        <v>580</v>
      </c>
      <c r="O226" s="10">
        <f t="shared" si="15"/>
        <v>0.20863309352517986</v>
      </c>
    </row>
    <row r="227" spans="1:15">
      <c r="A227" s="7" t="s">
        <v>518</v>
      </c>
      <c r="B227" s="7"/>
      <c r="C227" s="7" t="s">
        <v>519</v>
      </c>
      <c r="D227" s="7" t="s">
        <v>214</v>
      </c>
      <c r="E227" s="7">
        <v>23</v>
      </c>
      <c r="F227" s="8">
        <v>8.6999999999999994E-2</v>
      </c>
      <c r="G227" s="9">
        <f t="shared" si="12"/>
        <v>1380</v>
      </c>
      <c r="H227" s="7">
        <v>2</v>
      </c>
      <c r="I227" s="7">
        <v>2760</v>
      </c>
      <c r="J227" s="7">
        <v>2</v>
      </c>
      <c r="K227" s="7">
        <f>SUM(I227*0.15)</f>
        <v>414</v>
      </c>
      <c r="L227" s="7">
        <v>552</v>
      </c>
      <c r="M227" s="7">
        <f t="shared" si="13"/>
        <v>1104</v>
      </c>
      <c r="N227" s="7">
        <f t="shared" si="14"/>
        <v>1242</v>
      </c>
      <c r="O227" s="10">
        <f t="shared" si="15"/>
        <v>0.45</v>
      </c>
    </row>
    <row r="228" spans="1:15">
      <c r="A228" s="7" t="s">
        <v>520</v>
      </c>
      <c r="B228" s="7"/>
      <c r="C228" s="7" t="s">
        <v>521</v>
      </c>
      <c r="D228" s="7" t="s">
        <v>217</v>
      </c>
      <c r="E228" s="7">
        <v>11</v>
      </c>
      <c r="F228" s="8">
        <v>9.0899999999999995E-2</v>
      </c>
      <c r="G228" s="9">
        <f t="shared" si="12"/>
        <v>2680</v>
      </c>
      <c r="H228" s="7">
        <v>1</v>
      </c>
      <c r="I228" s="7">
        <v>2680</v>
      </c>
      <c r="J228" s="7">
        <v>1</v>
      </c>
      <c r="K228" s="7">
        <v>454</v>
      </c>
      <c r="L228" s="7">
        <v>1566</v>
      </c>
      <c r="M228" s="7">
        <f t="shared" si="13"/>
        <v>1566</v>
      </c>
      <c r="N228" s="7">
        <f t="shared" si="14"/>
        <v>660</v>
      </c>
      <c r="O228" s="10">
        <f t="shared" si="15"/>
        <v>0.2462686567164179</v>
      </c>
    </row>
    <row r="229" spans="1:15">
      <c r="A229" s="7" t="s">
        <v>522</v>
      </c>
      <c r="B229" s="7"/>
      <c r="C229" s="7" t="s">
        <v>523</v>
      </c>
      <c r="D229" s="7" t="s">
        <v>523</v>
      </c>
      <c r="E229" s="7">
        <v>377</v>
      </c>
      <c r="F229" s="8">
        <v>8.0000000000000002E-3</v>
      </c>
      <c r="G229" s="9">
        <f t="shared" si="12"/>
        <v>889</v>
      </c>
      <c r="H229" s="7">
        <v>3</v>
      </c>
      <c r="I229" s="7">
        <v>2667</v>
      </c>
      <c r="J229" s="7">
        <v>2</v>
      </c>
      <c r="K229" s="7">
        <f>SUM(I229*0.15)</f>
        <v>400.05</v>
      </c>
      <c r="L229" s="7">
        <v>329</v>
      </c>
      <c r="M229" s="7">
        <f t="shared" si="13"/>
        <v>987</v>
      </c>
      <c r="N229" s="7">
        <f t="shared" si="14"/>
        <v>1279.9499999999998</v>
      </c>
      <c r="O229" s="10">
        <f t="shared" si="15"/>
        <v>0.4799212598425196</v>
      </c>
    </row>
    <row r="230" spans="1:15">
      <c r="A230" s="7" t="s">
        <v>524</v>
      </c>
      <c r="B230" s="7"/>
      <c r="C230" s="7" t="s">
        <v>525</v>
      </c>
      <c r="D230" s="7" t="s">
        <v>525</v>
      </c>
      <c r="E230" s="7">
        <v>38</v>
      </c>
      <c r="F230" s="8">
        <v>5.2600000000000001E-2</v>
      </c>
      <c r="G230" s="9">
        <f t="shared" si="12"/>
        <v>1289</v>
      </c>
      <c r="H230" s="7">
        <v>2</v>
      </c>
      <c r="I230" s="7">
        <v>2578</v>
      </c>
      <c r="J230" s="7">
        <v>2</v>
      </c>
      <c r="K230" s="7">
        <v>238</v>
      </c>
      <c r="L230" s="7">
        <v>613</v>
      </c>
      <c r="M230" s="7">
        <f t="shared" si="13"/>
        <v>1226</v>
      </c>
      <c r="N230" s="7">
        <f t="shared" si="14"/>
        <v>1114</v>
      </c>
      <c r="O230" s="10">
        <f t="shared" si="15"/>
        <v>0.43211792086889061</v>
      </c>
    </row>
    <row r="231" spans="1:15">
      <c r="A231" s="7" t="s">
        <v>526</v>
      </c>
      <c r="B231" s="7"/>
      <c r="C231" s="7" t="s">
        <v>527</v>
      </c>
      <c r="D231" s="7" t="s">
        <v>528</v>
      </c>
      <c r="E231" s="7">
        <v>53</v>
      </c>
      <c r="F231" s="8">
        <v>3.7699999999999997E-2</v>
      </c>
      <c r="G231" s="9">
        <f t="shared" si="12"/>
        <v>1280</v>
      </c>
      <c r="H231" s="7">
        <v>2</v>
      </c>
      <c r="I231" s="7">
        <v>2560</v>
      </c>
      <c r="J231" s="7">
        <v>2</v>
      </c>
      <c r="K231" s="7">
        <v>238</v>
      </c>
      <c r="L231" s="7">
        <v>833</v>
      </c>
      <c r="M231" s="7">
        <f t="shared" si="13"/>
        <v>1666</v>
      </c>
      <c r="N231" s="7">
        <f t="shared" si="14"/>
        <v>656</v>
      </c>
      <c r="O231" s="10">
        <f t="shared" si="15"/>
        <v>0.25624999999999998</v>
      </c>
    </row>
    <row r="232" spans="1:15">
      <c r="A232" s="7" t="s">
        <v>529</v>
      </c>
      <c r="B232" s="7"/>
      <c r="C232" s="7" t="s">
        <v>530</v>
      </c>
      <c r="D232" s="7" t="s">
        <v>531</v>
      </c>
      <c r="E232" s="7">
        <v>972</v>
      </c>
      <c r="F232" s="8">
        <v>5.1000000000000004E-3</v>
      </c>
      <c r="G232" s="9">
        <f t="shared" si="12"/>
        <v>500</v>
      </c>
      <c r="H232" s="7">
        <v>5</v>
      </c>
      <c r="I232" s="7">
        <v>2500</v>
      </c>
      <c r="J232" s="7">
        <v>5</v>
      </c>
      <c r="K232" s="7">
        <v>165</v>
      </c>
      <c r="L232" s="7">
        <v>186</v>
      </c>
      <c r="M232" s="7">
        <f t="shared" si="13"/>
        <v>930</v>
      </c>
      <c r="N232" s="7">
        <f t="shared" si="14"/>
        <v>1405</v>
      </c>
      <c r="O232" s="10">
        <f t="shared" si="15"/>
        <v>0.56200000000000006</v>
      </c>
    </row>
    <row r="233" spans="1:15">
      <c r="A233" s="7" t="s">
        <v>532</v>
      </c>
      <c r="B233" s="7"/>
      <c r="C233" s="7" t="s">
        <v>533</v>
      </c>
      <c r="D233" s="7" t="s">
        <v>533</v>
      </c>
      <c r="E233" s="7">
        <v>10</v>
      </c>
      <c r="F233" s="8">
        <v>0.1</v>
      </c>
      <c r="G233" s="9">
        <f t="shared" si="12"/>
        <v>2480</v>
      </c>
      <c r="H233" s="7">
        <v>1</v>
      </c>
      <c r="I233" s="7">
        <v>2480</v>
      </c>
      <c r="J233" s="7">
        <v>1</v>
      </c>
      <c r="K233" s="7">
        <f>SUM(I233*0.15)</f>
        <v>372</v>
      </c>
      <c r="L233" s="11">
        <v>1018</v>
      </c>
      <c r="M233" s="7">
        <f t="shared" si="13"/>
        <v>1018</v>
      </c>
      <c r="N233" s="7">
        <f t="shared" si="14"/>
        <v>1090</v>
      </c>
      <c r="O233" s="10">
        <f t="shared" si="15"/>
        <v>0.43951612903225806</v>
      </c>
    </row>
    <row r="234" spans="1:15">
      <c r="A234" s="7" t="s">
        <v>534</v>
      </c>
      <c r="B234" s="7"/>
      <c r="C234" s="7" t="s">
        <v>535</v>
      </c>
      <c r="D234" s="7" t="s">
        <v>278</v>
      </c>
      <c r="E234" s="7">
        <v>408</v>
      </c>
      <c r="F234" s="8">
        <v>2.5000000000000001E-3</v>
      </c>
      <c r="G234" s="9">
        <f t="shared" si="12"/>
        <v>2400</v>
      </c>
      <c r="H234" s="7">
        <v>1</v>
      </c>
      <c r="I234" s="7">
        <v>2400</v>
      </c>
      <c r="J234" s="7">
        <v>1</v>
      </c>
      <c r="K234" s="7">
        <v>407</v>
      </c>
      <c r="L234" s="7">
        <v>1148</v>
      </c>
      <c r="M234" s="7">
        <f t="shared" si="13"/>
        <v>1148</v>
      </c>
      <c r="N234" s="7">
        <f t="shared" si="14"/>
        <v>845</v>
      </c>
      <c r="O234" s="10">
        <f t="shared" si="15"/>
        <v>0.35208333333333336</v>
      </c>
    </row>
    <row r="235" spans="1:15">
      <c r="A235" s="7" t="s">
        <v>536</v>
      </c>
      <c r="B235" s="7"/>
      <c r="C235" s="7" t="s">
        <v>537</v>
      </c>
      <c r="D235" s="7" t="s">
        <v>537</v>
      </c>
      <c r="E235" s="7">
        <v>14</v>
      </c>
      <c r="F235" s="8">
        <v>0.1429</v>
      </c>
      <c r="G235" s="9">
        <f t="shared" si="12"/>
        <v>1198</v>
      </c>
      <c r="H235" s="7">
        <v>2</v>
      </c>
      <c r="I235" s="7">
        <v>2396</v>
      </c>
      <c r="J235" s="7">
        <v>1</v>
      </c>
      <c r="K235" s="7">
        <v>222</v>
      </c>
      <c r="L235" s="7">
        <v>800</v>
      </c>
      <c r="M235" s="7">
        <f t="shared" si="13"/>
        <v>1600</v>
      </c>
      <c r="N235" s="7">
        <f t="shared" si="14"/>
        <v>574</v>
      </c>
      <c r="O235" s="10">
        <f t="shared" si="15"/>
        <v>0.2395659432387312</v>
      </c>
    </row>
    <row r="236" spans="1:15">
      <c r="A236" s="7" t="s">
        <v>538</v>
      </c>
      <c r="B236" s="7"/>
      <c r="C236" s="7" t="s">
        <v>539</v>
      </c>
      <c r="D236" s="7" t="s">
        <v>540</v>
      </c>
      <c r="E236" s="7">
        <v>11032</v>
      </c>
      <c r="F236" s="8">
        <v>1E-4</v>
      </c>
      <c r="G236" s="9">
        <f t="shared" si="12"/>
        <v>2380</v>
      </c>
      <c r="H236" s="7">
        <v>1</v>
      </c>
      <c r="I236" s="7">
        <v>2380</v>
      </c>
      <c r="J236" s="7">
        <v>1</v>
      </c>
      <c r="K236" s="7">
        <f>SUM(I236*0.15)</f>
        <v>357</v>
      </c>
      <c r="L236" s="7">
        <v>1194</v>
      </c>
      <c r="M236" s="7">
        <f t="shared" si="13"/>
        <v>1194</v>
      </c>
      <c r="N236" s="7">
        <f t="shared" si="14"/>
        <v>829</v>
      </c>
      <c r="O236" s="10">
        <f t="shared" si="15"/>
        <v>0.34831932773109242</v>
      </c>
    </row>
    <row r="237" spans="1:15">
      <c r="A237" s="7" t="s">
        <v>541</v>
      </c>
      <c r="B237" s="7"/>
      <c r="C237" s="7" t="s">
        <v>542</v>
      </c>
      <c r="D237" s="7" t="s">
        <v>543</v>
      </c>
      <c r="E237" s="7">
        <v>646</v>
      </c>
      <c r="F237" s="8">
        <v>4.5999999999999999E-3</v>
      </c>
      <c r="G237" s="9">
        <f t="shared" si="12"/>
        <v>790</v>
      </c>
      <c r="H237" s="7">
        <v>3</v>
      </c>
      <c r="I237" s="7">
        <v>2370</v>
      </c>
      <c r="J237" s="7">
        <v>3</v>
      </c>
      <c r="K237" s="7">
        <v>219</v>
      </c>
      <c r="L237" s="7">
        <v>309</v>
      </c>
      <c r="M237" s="7">
        <f t="shared" si="13"/>
        <v>927</v>
      </c>
      <c r="N237" s="7">
        <f t="shared" si="14"/>
        <v>1224</v>
      </c>
      <c r="O237" s="10">
        <f t="shared" si="15"/>
        <v>0.51645569620253162</v>
      </c>
    </row>
    <row r="238" spans="1:15">
      <c r="A238" s="7" t="s">
        <v>544</v>
      </c>
      <c r="B238" s="7"/>
      <c r="C238" s="7" t="s">
        <v>545</v>
      </c>
      <c r="D238" s="7" t="s">
        <v>545</v>
      </c>
      <c r="E238" s="7">
        <v>8</v>
      </c>
      <c r="F238" s="8">
        <v>0.25</v>
      </c>
      <c r="G238" s="9">
        <f t="shared" si="12"/>
        <v>1180</v>
      </c>
      <c r="H238" s="7">
        <v>2</v>
      </c>
      <c r="I238" s="7">
        <v>2360</v>
      </c>
      <c r="J238" s="7">
        <v>1</v>
      </c>
      <c r="K238" s="7">
        <v>218</v>
      </c>
      <c r="L238" s="7">
        <v>385</v>
      </c>
      <c r="M238" s="7">
        <f t="shared" si="13"/>
        <v>770</v>
      </c>
      <c r="N238" s="7">
        <f t="shared" si="14"/>
        <v>1372</v>
      </c>
      <c r="O238" s="10">
        <f t="shared" si="15"/>
        <v>0.58135593220338988</v>
      </c>
    </row>
    <row r="239" spans="1:15">
      <c r="A239" s="7" t="s">
        <v>546</v>
      </c>
      <c r="B239" s="7"/>
      <c r="C239" s="7" t="s">
        <v>547</v>
      </c>
      <c r="D239" s="7" t="s">
        <v>548</v>
      </c>
      <c r="E239" s="7">
        <v>35</v>
      </c>
      <c r="F239" s="8">
        <v>2.86E-2</v>
      </c>
      <c r="G239" s="9">
        <f t="shared" si="12"/>
        <v>2300</v>
      </c>
      <c r="H239" s="7">
        <v>1</v>
      </c>
      <c r="I239" s="7">
        <v>2300</v>
      </c>
      <c r="J239" s="7">
        <v>1</v>
      </c>
      <c r="K239" s="7">
        <f>SUM(I239*0.15)</f>
        <v>345</v>
      </c>
      <c r="L239" s="7">
        <v>1193</v>
      </c>
      <c r="M239" s="7">
        <f t="shared" si="13"/>
        <v>1193</v>
      </c>
      <c r="N239" s="7">
        <f t="shared" si="14"/>
        <v>762</v>
      </c>
      <c r="O239" s="10">
        <f t="shared" si="15"/>
        <v>0.33130434782608698</v>
      </c>
    </row>
    <row r="240" spans="1:15">
      <c r="A240" s="7" t="s">
        <v>549</v>
      </c>
      <c r="B240" s="7"/>
      <c r="C240" s="7" t="s">
        <v>550</v>
      </c>
      <c r="D240" s="7" t="s">
        <v>550</v>
      </c>
      <c r="E240" s="7">
        <v>183</v>
      </c>
      <c r="F240" s="8">
        <v>5.5000000000000014E-3</v>
      </c>
      <c r="G240" s="9">
        <f t="shared" si="12"/>
        <v>2280</v>
      </c>
      <c r="H240" s="7">
        <v>1</v>
      </c>
      <c r="I240" s="7">
        <v>2280</v>
      </c>
      <c r="J240" s="7">
        <v>1</v>
      </c>
      <c r="K240" s="7">
        <v>1565</v>
      </c>
      <c r="L240" s="7">
        <v>1294</v>
      </c>
      <c r="M240" s="7">
        <f t="shared" si="13"/>
        <v>1294</v>
      </c>
      <c r="N240" s="7">
        <f t="shared" si="14"/>
        <v>-579</v>
      </c>
      <c r="O240" s="10">
        <f t="shared" si="15"/>
        <v>-0.25394736842105264</v>
      </c>
    </row>
    <row r="241" spans="1:15">
      <c r="A241" s="7" t="s">
        <v>551</v>
      </c>
      <c r="B241" s="7"/>
      <c r="C241" s="7" t="s">
        <v>552</v>
      </c>
      <c r="D241" s="7" t="s">
        <v>321</v>
      </c>
      <c r="E241" s="7">
        <v>16</v>
      </c>
      <c r="F241" s="8">
        <v>6.25E-2</v>
      </c>
      <c r="G241" s="9">
        <f t="shared" si="12"/>
        <v>2280</v>
      </c>
      <c r="H241" s="7">
        <v>1</v>
      </c>
      <c r="I241" s="7">
        <v>2280</v>
      </c>
      <c r="J241" s="7">
        <v>1</v>
      </c>
      <c r="K241" s="7">
        <f>SUM(I241*0.15)</f>
        <v>342</v>
      </c>
      <c r="L241" s="7">
        <v>1170</v>
      </c>
      <c r="M241" s="7">
        <f t="shared" si="13"/>
        <v>1170</v>
      </c>
      <c r="N241" s="7">
        <f t="shared" si="14"/>
        <v>768</v>
      </c>
      <c r="O241" s="10">
        <f t="shared" si="15"/>
        <v>0.33684210526315789</v>
      </c>
    </row>
    <row r="242" spans="1:15">
      <c r="A242" s="7" t="s">
        <v>553</v>
      </c>
      <c r="B242" s="7"/>
      <c r="C242" s="7" t="s">
        <v>554</v>
      </c>
      <c r="D242" s="7" t="s">
        <v>554</v>
      </c>
      <c r="E242" s="7">
        <v>77</v>
      </c>
      <c r="F242" s="8">
        <v>1.2999999999999999E-2</v>
      </c>
      <c r="G242" s="9">
        <f t="shared" si="12"/>
        <v>2180</v>
      </c>
      <c r="H242" s="7">
        <v>1</v>
      </c>
      <c r="I242" s="7">
        <v>2180</v>
      </c>
      <c r="J242" s="7">
        <v>1</v>
      </c>
      <c r="K242" s="7">
        <f>SUM(I242*0.15)</f>
        <v>327</v>
      </c>
      <c r="L242" s="7">
        <v>1452</v>
      </c>
      <c r="M242" s="7">
        <f t="shared" si="13"/>
        <v>1452</v>
      </c>
      <c r="N242" s="7">
        <f t="shared" si="14"/>
        <v>401</v>
      </c>
      <c r="O242" s="10">
        <f t="shared" si="15"/>
        <v>0.18394495412844036</v>
      </c>
    </row>
    <row r="243" spans="1:15">
      <c r="A243" s="7" t="s">
        <v>555</v>
      </c>
      <c r="B243" s="7"/>
      <c r="C243" s="7" t="s">
        <v>556</v>
      </c>
      <c r="D243" s="7" t="s">
        <v>556</v>
      </c>
      <c r="E243" s="7">
        <v>9</v>
      </c>
      <c r="F243" s="8">
        <v>0.22220000000000001</v>
      </c>
      <c r="G243" s="9">
        <f t="shared" si="12"/>
        <v>1050</v>
      </c>
      <c r="H243" s="7">
        <v>2</v>
      </c>
      <c r="I243" s="7">
        <v>2100</v>
      </c>
      <c r="J243" s="7">
        <v>2</v>
      </c>
      <c r="K243" s="7">
        <v>194</v>
      </c>
      <c r="L243" s="7">
        <v>638</v>
      </c>
      <c r="M243" s="7">
        <f t="shared" si="13"/>
        <v>1276</v>
      </c>
      <c r="N243" s="7">
        <f t="shared" si="14"/>
        <v>630</v>
      </c>
      <c r="O243" s="10">
        <f t="shared" si="15"/>
        <v>0.3</v>
      </c>
    </row>
    <row r="244" spans="1:15">
      <c r="A244" s="7"/>
      <c r="B244" s="7"/>
      <c r="C244" s="7" t="s">
        <v>557</v>
      </c>
      <c r="D244" s="7" t="s">
        <v>558</v>
      </c>
      <c r="E244" s="7">
        <v>16</v>
      </c>
      <c r="F244" s="8">
        <v>0.125</v>
      </c>
      <c r="G244" s="9">
        <f t="shared" si="12"/>
        <v>999</v>
      </c>
      <c r="H244" s="7">
        <v>2</v>
      </c>
      <c r="I244" s="7">
        <v>1998</v>
      </c>
      <c r="J244" s="7">
        <v>2</v>
      </c>
      <c r="K244" s="7">
        <v>202</v>
      </c>
      <c r="L244" s="7">
        <v>520</v>
      </c>
      <c r="M244" s="7">
        <f t="shared" si="13"/>
        <v>1040</v>
      </c>
      <c r="N244" s="7">
        <f t="shared" si="14"/>
        <v>756</v>
      </c>
      <c r="O244" s="10">
        <f t="shared" si="15"/>
        <v>0.3783783783783784</v>
      </c>
    </row>
    <row r="245" spans="1:15">
      <c r="A245" s="7" t="s">
        <v>559</v>
      </c>
      <c r="B245" s="7"/>
      <c r="C245" s="7" t="s">
        <v>560</v>
      </c>
      <c r="D245" s="7" t="s">
        <v>561</v>
      </c>
      <c r="E245" s="7">
        <v>526</v>
      </c>
      <c r="F245" s="8">
        <v>7.6E-3</v>
      </c>
      <c r="G245" s="9">
        <f t="shared" si="12"/>
        <v>495</v>
      </c>
      <c r="H245" s="7">
        <v>4</v>
      </c>
      <c r="I245" s="7">
        <v>1980</v>
      </c>
      <c r="J245" s="7">
        <v>4</v>
      </c>
      <c r="K245" s="7">
        <v>132</v>
      </c>
      <c r="L245" s="7">
        <v>232</v>
      </c>
      <c r="M245" s="7">
        <f t="shared" si="13"/>
        <v>928</v>
      </c>
      <c r="N245" s="7">
        <f t="shared" si="14"/>
        <v>920</v>
      </c>
      <c r="O245" s="10">
        <f t="shared" si="15"/>
        <v>0.46464646464646464</v>
      </c>
    </row>
    <row r="246" spans="1:15">
      <c r="A246" s="7" t="s">
        <v>562</v>
      </c>
      <c r="B246" s="7"/>
      <c r="C246" s="7" t="s">
        <v>563</v>
      </c>
      <c r="D246" s="7" t="s">
        <v>563</v>
      </c>
      <c r="E246" s="7">
        <v>0</v>
      </c>
      <c r="F246" s="8">
        <v>0</v>
      </c>
      <c r="G246" s="9">
        <f t="shared" si="12"/>
        <v>1980</v>
      </c>
      <c r="H246" s="7">
        <v>1</v>
      </c>
      <c r="I246" s="7">
        <v>1980</v>
      </c>
      <c r="J246" s="7">
        <v>1</v>
      </c>
      <c r="K246" s="7">
        <v>336</v>
      </c>
      <c r="L246" s="7">
        <v>935</v>
      </c>
      <c r="M246" s="7">
        <f t="shared" si="13"/>
        <v>935</v>
      </c>
      <c r="N246" s="7">
        <f t="shared" si="14"/>
        <v>709</v>
      </c>
      <c r="O246" s="10">
        <f t="shared" si="15"/>
        <v>0.35808080808080806</v>
      </c>
    </row>
    <row r="247" spans="1:15">
      <c r="A247" s="7" t="s">
        <v>564</v>
      </c>
      <c r="B247" s="7"/>
      <c r="C247" s="7" t="s">
        <v>565</v>
      </c>
      <c r="D247" s="7" t="s">
        <v>565</v>
      </c>
      <c r="E247" s="7">
        <v>8</v>
      </c>
      <c r="F247" s="8">
        <v>0.125</v>
      </c>
      <c r="G247" s="9">
        <f t="shared" si="12"/>
        <v>1980</v>
      </c>
      <c r="H247" s="7">
        <v>1</v>
      </c>
      <c r="I247" s="7">
        <v>1980</v>
      </c>
      <c r="J247" s="7">
        <v>1</v>
      </c>
      <c r="K247" s="7">
        <f>SUM(I247*0.15)</f>
        <v>297</v>
      </c>
      <c r="L247" s="11">
        <v>981</v>
      </c>
      <c r="M247" s="7">
        <f t="shared" si="13"/>
        <v>981</v>
      </c>
      <c r="N247" s="7">
        <f t="shared" si="14"/>
        <v>702</v>
      </c>
      <c r="O247" s="10">
        <f t="shared" si="15"/>
        <v>0.35454545454545455</v>
      </c>
    </row>
    <row r="248" spans="1:15">
      <c r="A248" s="7" t="s">
        <v>566</v>
      </c>
      <c r="B248" s="7"/>
      <c r="C248" s="7" t="s">
        <v>567</v>
      </c>
      <c r="D248" s="7" t="s">
        <v>503</v>
      </c>
      <c r="E248" s="7">
        <v>354</v>
      </c>
      <c r="F248" s="8">
        <v>8.5000000000000006E-3</v>
      </c>
      <c r="G248" s="9">
        <f t="shared" si="12"/>
        <v>651</v>
      </c>
      <c r="H248" s="7">
        <v>3</v>
      </c>
      <c r="I248" s="7">
        <v>1953</v>
      </c>
      <c r="J248" s="7">
        <v>3</v>
      </c>
      <c r="K248" s="7">
        <v>107</v>
      </c>
      <c r="L248" s="7">
        <v>204</v>
      </c>
      <c r="M248" s="7">
        <f t="shared" si="13"/>
        <v>612</v>
      </c>
      <c r="N248" s="7">
        <f t="shared" si="14"/>
        <v>1234</v>
      </c>
      <c r="O248" s="10">
        <f t="shared" si="15"/>
        <v>0.63184843830005122</v>
      </c>
    </row>
    <row r="249" spans="1:15">
      <c r="A249" s="7" t="s">
        <v>568</v>
      </c>
      <c r="B249" s="7"/>
      <c r="C249" s="7" t="s">
        <v>569</v>
      </c>
      <c r="D249" s="7" t="s">
        <v>569</v>
      </c>
      <c r="E249" s="7">
        <v>207</v>
      </c>
      <c r="F249" s="8">
        <v>4.7999999999999996E-3</v>
      </c>
      <c r="G249" s="9">
        <f t="shared" si="12"/>
        <v>1950</v>
      </c>
      <c r="H249" s="7">
        <v>1</v>
      </c>
      <c r="I249" s="7">
        <v>1950</v>
      </c>
      <c r="J249" s="7">
        <v>1</v>
      </c>
      <c r="K249" s="7">
        <v>223</v>
      </c>
      <c r="L249" s="7">
        <v>1167</v>
      </c>
      <c r="M249" s="7">
        <f t="shared" si="13"/>
        <v>1167</v>
      </c>
      <c r="N249" s="7">
        <f t="shared" si="14"/>
        <v>560</v>
      </c>
      <c r="O249" s="10">
        <f t="shared" si="15"/>
        <v>0.28717948717948716</v>
      </c>
    </row>
    <row r="250" spans="1:15">
      <c r="A250" s="7" t="s">
        <v>570</v>
      </c>
      <c r="B250" s="7"/>
      <c r="C250" s="7" t="s">
        <v>571</v>
      </c>
      <c r="D250" s="7" t="s">
        <v>548</v>
      </c>
      <c r="E250" s="7">
        <v>631</v>
      </c>
      <c r="F250" s="8">
        <v>3.2000000000000002E-3</v>
      </c>
      <c r="G250" s="9">
        <f t="shared" si="12"/>
        <v>962</v>
      </c>
      <c r="H250" s="7">
        <v>2</v>
      </c>
      <c r="I250" s="7">
        <v>1924</v>
      </c>
      <c r="J250" s="7">
        <v>2</v>
      </c>
      <c r="K250" s="7">
        <f>SUM(I250*0.15)</f>
        <v>288.59999999999997</v>
      </c>
      <c r="L250" s="7">
        <v>239</v>
      </c>
      <c r="M250" s="7">
        <f t="shared" si="13"/>
        <v>478</v>
      </c>
      <c r="N250" s="7">
        <f t="shared" si="14"/>
        <v>1157.4000000000001</v>
      </c>
      <c r="O250" s="10">
        <f t="shared" si="15"/>
        <v>0.60155925155925161</v>
      </c>
    </row>
    <row r="251" spans="1:15">
      <c r="A251" s="7" t="s">
        <v>572</v>
      </c>
      <c r="B251" s="7"/>
      <c r="C251" s="7" t="s">
        <v>573</v>
      </c>
      <c r="D251" s="7" t="s">
        <v>429</v>
      </c>
      <c r="E251" s="7">
        <v>779</v>
      </c>
      <c r="F251" s="8">
        <v>2.5999999999999999E-3</v>
      </c>
      <c r="G251" s="9">
        <f t="shared" si="12"/>
        <v>950</v>
      </c>
      <c r="H251" s="7">
        <v>2</v>
      </c>
      <c r="I251" s="7">
        <v>1900</v>
      </c>
      <c r="J251" s="7">
        <v>2</v>
      </c>
      <c r="K251" s="7">
        <v>322</v>
      </c>
      <c r="L251" s="7">
        <v>504</v>
      </c>
      <c r="M251" s="7">
        <f t="shared" si="13"/>
        <v>1008</v>
      </c>
      <c r="N251" s="7">
        <f t="shared" si="14"/>
        <v>570</v>
      </c>
      <c r="O251" s="10">
        <f t="shared" si="15"/>
        <v>0.3</v>
      </c>
    </row>
    <row r="252" spans="1:15">
      <c r="A252" s="7" t="s">
        <v>574</v>
      </c>
      <c r="B252" s="7"/>
      <c r="C252" s="7" t="s">
        <v>575</v>
      </c>
      <c r="D252" s="7" t="s">
        <v>575</v>
      </c>
      <c r="E252" s="7">
        <v>5</v>
      </c>
      <c r="F252" s="8">
        <v>0.2</v>
      </c>
      <c r="G252" s="9">
        <f t="shared" si="12"/>
        <v>1881</v>
      </c>
      <c r="H252" s="7">
        <v>1</v>
      </c>
      <c r="I252" s="7">
        <v>1881</v>
      </c>
      <c r="J252" s="7">
        <v>1</v>
      </c>
      <c r="K252" s="7">
        <v>216</v>
      </c>
      <c r="L252" s="7">
        <v>768</v>
      </c>
      <c r="M252" s="7">
        <f t="shared" si="13"/>
        <v>768</v>
      </c>
      <c r="N252" s="7">
        <f t="shared" si="14"/>
        <v>897</v>
      </c>
      <c r="O252" s="10">
        <f t="shared" si="15"/>
        <v>0.47687400318979267</v>
      </c>
    </row>
    <row r="253" spans="1:15">
      <c r="A253" s="7" t="s">
        <v>576</v>
      </c>
      <c r="B253" s="7"/>
      <c r="C253" s="7" t="s">
        <v>577</v>
      </c>
      <c r="D253" s="7" t="s">
        <v>324</v>
      </c>
      <c r="E253" s="7">
        <v>36600</v>
      </c>
      <c r="F253" s="8">
        <v>0</v>
      </c>
      <c r="G253" s="9">
        <f t="shared" si="12"/>
        <v>1835</v>
      </c>
      <c r="H253" s="7">
        <v>1</v>
      </c>
      <c r="I253" s="7">
        <v>1835</v>
      </c>
      <c r="J253" s="7">
        <v>1</v>
      </c>
      <c r="K253" s="7">
        <f>SUM(I253*0.15)</f>
        <v>275.25</v>
      </c>
      <c r="L253" s="7">
        <v>1538</v>
      </c>
      <c r="M253" s="7">
        <f t="shared" si="13"/>
        <v>1538</v>
      </c>
      <c r="N253" s="7">
        <f t="shared" si="14"/>
        <v>21.75</v>
      </c>
      <c r="O253" s="10">
        <f t="shared" si="15"/>
        <v>1.1852861035422343E-2</v>
      </c>
    </row>
    <row r="254" spans="1:15">
      <c r="A254" s="7" t="s">
        <v>578</v>
      </c>
      <c r="B254" s="7"/>
      <c r="C254" s="7" t="s">
        <v>579</v>
      </c>
      <c r="D254" s="7" t="s">
        <v>579</v>
      </c>
      <c r="E254" s="7">
        <v>503</v>
      </c>
      <c r="F254" s="8">
        <v>2E-3</v>
      </c>
      <c r="G254" s="9">
        <f t="shared" si="12"/>
        <v>1800</v>
      </c>
      <c r="H254" s="7">
        <v>1</v>
      </c>
      <c r="I254" s="7">
        <v>1800</v>
      </c>
      <c r="J254" s="7">
        <v>1</v>
      </c>
      <c r="K254" s="7">
        <f>SUM(I254*0.15)</f>
        <v>270</v>
      </c>
      <c r="L254" s="7">
        <v>549</v>
      </c>
      <c r="M254" s="7">
        <f t="shared" si="13"/>
        <v>549</v>
      </c>
      <c r="N254" s="7">
        <f t="shared" si="14"/>
        <v>981</v>
      </c>
      <c r="O254" s="10">
        <f t="shared" si="15"/>
        <v>0.54500000000000004</v>
      </c>
    </row>
    <row r="255" spans="1:15">
      <c r="A255" s="7" t="s">
        <v>580</v>
      </c>
      <c r="B255" s="7"/>
      <c r="C255" s="7" t="s">
        <v>581</v>
      </c>
      <c r="D255" s="7" t="s">
        <v>581</v>
      </c>
      <c r="E255" s="7">
        <v>326</v>
      </c>
      <c r="F255" s="8">
        <v>3.0999999999999999E-3</v>
      </c>
      <c r="G255" s="9">
        <f t="shared" si="12"/>
        <v>1780</v>
      </c>
      <c r="H255" s="7">
        <v>1</v>
      </c>
      <c r="I255" s="7">
        <v>1780</v>
      </c>
      <c r="J255" s="7">
        <v>1</v>
      </c>
      <c r="K255" s="7">
        <v>204</v>
      </c>
      <c r="L255" s="7">
        <v>770</v>
      </c>
      <c r="M255" s="7">
        <f t="shared" si="13"/>
        <v>770</v>
      </c>
      <c r="N255" s="7">
        <f t="shared" si="14"/>
        <v>806</v>
      </c>
      <c r="O255" s="10">
        <f t="shared" si="15"/>
        <v>0.45280898876404496</v>
      </c>
    </row>
    <row r="256" spans="1:15">
      <c r="A256" s="7" t="s">
        <v>582</v>
      </c>
      <c r="B256" s="7"/>
      <c r="C256" s="7" t="s">
        <v>583</v>
      </c>
      <c r="D256" s="7" t="s">
        <v>583</v>
      </c>
      <c r="E256" s="7">
        <v>28</v>
      </c>
      <c r="F256" s="8">
        <v>3.5700000000000003E-2</v>
      </c>
      <c r="G256" s="9">
        <f t="shared" si="12"/>
        <v>1780</v>
      </c>
      <c r="H256" s="7">
        <v>1</v>
      </c>
      <c r="I256" s="7">
        <v>1780</v>
      </c>
      <c r="J256" s="7">
        <v>1</v>
      </c>
      <c r="K256" s="7">
        <f>SUM(I256*0.15)</f>
        <v>267</v>
      </c>
      <c r="L256" s="11">
        <v>849</v>
      </c>
      <c r="M256" s="7">
        <f t="shared" si="13"/>
        <v>849</v>
      </c>
      <c r="N256" s="7">
        <f t="shared" si="14"/>
        <v>664</v>
      </c>
      <c r="O256" s="10">
        <f t="shared" si="15"/>
        <v>0.37303370786516854</v>
      </c>
    </row>
    <row r="257" spans="1:15">
      <c r="A257" s="7" t="s">
        <v>584</v>
      </c>
      <c r="B257" s="7"/>
      <c r="C257" s="7" t="s">
        <v>585</v>
      </c>
      <c r="D257" s="7" t="s">
        <v>585</v>
      </c>
      <c r="E257" s="7">
        <v>179</v>
      </c>
      <c r="F257" s="8">
        <v>5.6000000000000008E-3</v>
      </c>
      <c r="G257" s="9">
        <f t="shared" si="12"/>
        <v>1750</v>
      </c>
      <c r="H257" s="7">
        <v>1</v>
      </c>
      <c r="I257" s="7">
        <v>1750</v>
      </c>
      <c r="J257" s="7">
        <v>1</v>
      </c>
      <c r="K257" s="7">
        <v>297</v>
      </c>
      <c r="L257" s="7">
        <v>1010</v>
      </c>
      <c r="M257" s="7">
        <f t="shared" si="13"/>
        <v>1010</v>
      </c>
      <c r="N257" s="7">
        <f t="shared" si="14"/>
        <v>443</v>
      </c>
      <c r="O257" s="10">
        <f t="shared" si="15"/>
        <v>0.25314285714285717</v>
      </c>
    </row>
    <row r="258" spans="1:15">
      <c r="A258" s="7" t="s">
        <v>586</v>
      </c>
      <c r="B258" s="7"/>
      <c r="C258" s="7" t="s">
        <v>587</v>
      </c>
      <c r="D258" s="7" t="s">
        <v>588</v>
      </c>
      <c r="E258" s="7">
        <v>75</v>
      </c>
      <c r="F258" s="8">
        <v>2.6700000000000002E-2</v>
      </c>
      <c r="G258" s="9">
        <f t="shared" si="12"/>
        <v>862</v>
      </c>
      <c r="H258" s="7">
        <v>2</v>
      </c>
      <c r="I258" s="7">
        <v>1724</v>
      </c>
      <c r="J258" s="7">
        <v>1</v>
      </c>
      <c r="K258" s="7">
        <v>293</v>
      </c>
      <c r="L258" s="7">
        <v>504</v>
      </c>
      <c r="M258" s="7">
        <f t="shared" si="13"/>
        <v>1008</v>
      </c>
      <c r="N258" s="7">
        <f t="shared" si="14"/>
        <v>423</v>
      </c>
      <c r="O258" s="10">
        <f t="shared" si="15"/>
        <v>0.24535962877030162</v>
      </c>
    </row>
    <row r="259" spans="1:15">
      <c r="A259" s="7" t="s">
        <v>589</v>
      </c>
      <c r="B259" s="7"/>
      <c r="C259" s="7" t="s">
        <v>590</v>
      </c>
      <c r="D259" s="7" t="s">
        <v>591</v>
      </c>
      <c r="E259" s="7">
        <v>239</v>
      </c>
      <c r="F259" s="8">
        <v>8.3999999999999995E-3</v>
      </c>
      <c r="G259" s="9">
        <f t="shared" si="12"/>
        <v>850</v>
      </c>
      <c r="H259" s="7">
        <v>2</v>
      </c>
      <c r="I259" s="7">
        <v>1700</v>
      </c>
      <c r="J259" s="7">
        <v>2</v>
      </c>
      <c r="K259" s="7">
        <v>156</v>
      </c>
      <c r="L259" s="7">
        <v>541</v>
      </c>
      <c r="M259" s="7">
        <f t="shared" si="13"/>
        <v>1082</v>
      </c>
      <c r="N259" s="7">
        <f t="shared" si="14"/>
        <v>462</v>
      </c>
      <c r="O259" s="10">
        <f t="shared" si="15"/>
        <v>0.27176470588235296</v>
      </c>
    </row>
    <row r="260" spans="1:15">
      <c r="A260" s="7" t="s">
        <v>592</v>
      </c>
      <c r="B260" s="7"/>
      <c r="C260" s="7" t="s">
        <v>593</v>
      </c>
      <c r="D260" s="7" t="s">
        <v>594</v>
      </c>
      <c r="E260" s="7">
        <v>23</v>
      </c>
      <c r="F260" s="8">
        <v>4.3499999999999997E-2</v>
      </c>
      <c r="G260" s="9">
        <f t="shared" si="12"/>
        <v>1680</v>
      </c>
      <c r="H260" s="7">
        <v>1</v>
      </c>
      <c r="I260" s="7">
        <v>1680</v>
      </c>
      <c r="J260" s="7">
        <v>1</v>
      </c>
      <c r="K260" s="7">
        <v>193</v>
      </c>
      <c r="L260" s="7">
        <v>699</v>
      </c>
      <c r="M260" s="7">
        <f t="shared" si="13"/>
        <v>699</v>
      </c>
      <c r="N260" s="7">
        <f t="shared" si="14"/>
        <v>788</v>
      </c>
      <c r="O260" s="10">
        <f t="shared" si="15"/>
        <v>0.46904761904761905</v>
      </c>
    </row>
    <row r="261" spans="1:15">
      <c r="A261" s="7" t="s">
        <v>595</v>
      </c>
      <c r="B261" s="7"/>
      <c r="C261" s="7" t="s">
        <v>596</v>
      </c>
      <c r="D261" s="7" t="s">
        <v>588</v>
      </c>
      <c r="E261" s="7">
        <v>86</v>
      </c>
      <c r="F261" s="8">
        <v>1.1599999999999999E-2</v>
      </c>
      <c r="G261" s="9">
        <f t="shared" si="12"/>
        <v>1640</v>
      </c>
      <c r="H261" s="7">
        <v>1</v>
      </c>
      <c r="I261" s="7">
        <v>1640</v>
      </c>
      <c r="J261" s="7">
        <v>1</v>
      </c>
      <c r="K261" s="7">
        <v>278</v>
      </c>
      <c r="L261" s="7">
        <v>504</v>
      </c>
      <c r="M261" s="7">
        <f t="shared" si="13"/>
        <v>504</v>
      </c>
      <c r="N261" s="7">
        <f t="shared" si="14"/>
        <v>858</v>
      </c>
      <c r="O261" s="10">
        <f t="shared" si="15"/>
        <v>0.52317073170731709</v>
      </c>
    </row>
    <row r="262" spans="1:15">
      <c r="A262" s="7" t="s">
        <v>597</v>
      </c>
      <c r="B262" s="7"/>
      <c r="C262" s="7" t="s">
        <v>598</v>
      </c>
      <c r="D262" s="7" t="s">
        <v>598</v>
      </c>
      <c r="E262" s="7">
        <v>78</v>
      </c>
      <c r="F262" s="8">
        <v>1.2800000000000001E-2</v>
      </c>
      <c r="G262" s="9">
        <f t="shared" si="12"/>
        <v>1538</v>
      </c>
      <c r="H262" s="7">
        <v>1</v>
      </c>
      <c r="I262" s="7">
        <v>1538</v>
      </c>
      <c r="J262" s="7">
        <v>1</v>
      </c>
      <c r="K262" s="7">
        <f>SUM(I262*0.15)</f>
        <v>230.7</v>
      </c>
      <c r="L262" s="11">
        <v>798</v>
      </c>
      <c r="M262" s="7">
        <f t="shared" si="13"/>
        <v>798</v>
      </c>
      <c r="N262" s="7">
        <f t="shared" si="14"/>
        <v>509.29999999999995</v>
      </c>
      <c r="O262" s="10">
        <f t="shared" si="15"/>
        <v>0.33114434330299086</v>
      </c>
    </row>
    <row r="263" spans="1:15">
      <c r="A263" s="7" t="s">
        <v>599</v>
      </c>
      <c r="B263" s="7"/>
      <c r="C263" s="7" t="s">
        <v>600</v>
      </c>
      <c r="D263" s="7" t="s">
        <v>600</v>
      </c>
      <c r="E263" s="7">
        <v>31</v>
      </c>
      <c r="F263" s="8">
        <v>3.2300000000000002E-2</v>
      </c>
      <c r="G263" s="9">
        <f t="shared" si="12"/>
        <v>1480</v>
      </c>
      <c r="H263" s="7">
        <v>1</v>
      </c>
      <c r="I263" s="7">
        <v>1480</v>
      </c>
      <c r="J263" s="7">
        <v>1</v>
      </c>
      <c r="K263" s="7">
        <v>136</v>
      </c>
      <c r="L263" s="7">
        <v>605</v>
      </c>
      <c r="M263" s="7">
        <f t="shared" si="13"/>
        <v>605</v>
      </c>
      <c r="N263" s="7">
        <f t="shared" si="14"/>
        <v>739</v>
      </c>
      <c r="O263" s="10">
        <f t="shared" si="15"/>
        <v>0.49932432432432433</v>
      </c>
    </row>
    <row r="264" spans="1:15">
      <c r="A264" s="7" t="s">
        <v>601</v>
      </c>
      <c r="B264" s="7"/>
      <c r="C264" s="7" t="s">
        <v>602</v>
      </c>
      <c r="D264" s="7" t="s">
        <v>602</v>
      </c>
      <c r="E264" s="7">
        <v>4</v>
      </c>
      <c r="F264" s="8">
        <v>0.25</v>
      </c>
      <c r="G264" s="9">
        <f t="shared" ref="G264:G327" si="16">IF(H264=0,"",I264/H264)</f>
        <v>1480</v>
      </c>
      <c r="H264" s="7">
        <v>1</v>
      </c>
      <c r="I264" s="7">
        <v>1480</v>
      </c>
      <c r="J264" s="7">
        <v>1</v>
      </c>
      <c r="K264" s="7">
        <v>136</v>
      </c>
      <c r="L264" s="7">
        <v>932</v>
      </c>
      <c r="M264" s="7">
        <f t="shared" ref="M264:M327" si="17">SUM(H264*L264)</f>
        <v>932</v>
      </c>
      <c r="N264" s="7">
        <f t="shared" ref="N264:N327" si="18">SUM(I264-K264-M264)</f>
        <v>412</v>
      </c>
      <c r="O264" s="10">
        <f t="shared" ref="O264:O327" si="19">IF(I264=0,"",N264/I264)</f>
        <v>0.27837837837837837</v>
      </c>
    </row>
    <row r="265" spans="1:15">
      <c r="A265" s="7" t="s">
        <v>603</v>
      </c>
      <c r="B265" s="7"/>
      <c r="C265" s="7" t="s">
        <v>604</v>
      </c>
      <c r="D265" s="7" t="s">
        <v>604</v>
      </c>
      <c r="E265" s="7">
        <v>149</v>
      </c>
      <c r="F265" s="8">
        <v>6.7000000000000002E-3</v>
      </c>
      <c r="G265" s="9">
        <f t="shared" si="16"/>
        <v>1480</v>
      </c>
      <c r="H265" s="7">
        <v>1</v>
      </c>
      <c r="I265" s="7">
        <v>1480</v>
      </c>
      <c r="J265" s="7">
        <v>1</v>
      </c>
      <c r="K265" s="7">
        <v>136</v>
      </c>
      <c r="L265" s="7">
        <v>658</v>
      </c>
      <c r="M265" s="7">
        <f t="shared" si="17"/>
        <v>658</v>
      </c>
      <c r="N265" s="7">
        <f t="shared" si="18"/>
        <v>686</v>
      </c>
      <c r="O265" s="10">
        <f t="shared" si="19"/>
        <v>0.4635135135135135</v>
      </c>
    </row>
    <row r="266" spans="1:15">
      <c r="A266" s="7" t="s">
        <v>605</v>
      </c>
      <c r="B266" s="7"/>
      <c r="C266" s="7" t="s">
        <v>606</v>
      </c>
      <c r="D266" s="7" t="s">
        <v>606</v>
      </c>
      <c r="E266" s="7">
        <v>16</v>
      </c>
      <c r="F266" s="8">
        <v>6.25E-2</v>
      </c>
      <c r="G266" s="9">
        <f t="shared" si="16"/>
        <v>1480</v>
      </c>
      <c r="H266" s="7">
        <v>1</v>
      </c>
      <c r="I266" s="7">
        <v>1480</v>
      </c>
      <c r="J266" s="7">
        <v>1</v>
      </c>
      <c r="K266" s="7">
        <v>203</v>
      </c>
      <c r="L266" s="7">
        <v>438</v>
      </c>
      <c r="M266" s="7">
        <f t="shared" si="17"/>
        <v>438</v>
      </c>
      <c r="N266" s="7">
        <f t="shared" si="18"/>
        <v>839</v>
      </c>
      <c r="O266" s="10">
        <f t="shared" si="19"/>
        <v>0.56689189189189193</v>
      </c>
    </row>
    <row r="267" spans="1:15">
      <c r="A267" s="7" t="s">
        <v>607</v>
      </c>
      <c r="B267" s="7"/>
      <c r="C267" s="7" t="s">
        <v>608</v>
      </c>
      <c r="D267" s="7" t="s">
        <v>608</v>
      </c>
      <c r="E267" s="7">
        <v>10</v>
      </c>
      <c r="F267" s="8">
        <v>0.1</v>
      </c>
      <c r="G267" s="9">
        <f t="shared" si="16"/>
        <v>1480</v>
      </c>
      <c r="H267" s="7">
        <v>1</v>
      </c>
      <c r="I267" s="7">
        <v>1480</v>
      </c>
      <c r="J267" s="7">
        <v>1</v>
      </c>
      <c r="K267" s="7">
        <f>SUM(I267*0.15)</f>
        <v>222</v>
      </c>
      <c r="L267" s="11">
        <v>654</v>
      </c>
      <c r="M267" s="7">
        <f t="shared" si="17"/>
        <v>654</v>
      </c>
      <c r="N267" s="7">
        <f t="shared" si="18"/>
        <v>604</v>
      </c>
      <c r="O267" s="10">
        <f t="shared" si="19"/>
        <v>0.4081081081081081</v>
      </c>
    </row>
    <row r="268" spans="1:15">
      <c r="A268" s="7" t="s">
        <v>609</v>
      </c>
      <c r="B268" s="7"/>
      <c r="C268" s="7" t="s">
        <v>610</v>
      </c>
      <c r="D268" s="7" t="s">
        <v>610</v>
      </c>
      <c r="E268" s="7">
        <v>395</v>
      </c>
      <c r="F268" s="8">
        <v>2.5000000000000001E-3</v>
      </c>
      <c r="G268" s="9">
        <f t="shared" si="16"/>
        <v>1470</v>
      </c>
      <c r="H268" s="7">
        <v>1</v>
      </c>
      <c r="I268" s="7">
        <v>1470</v>
      </c>
      <c r="J268" s="7">
        <v>1</v>
      </c>
      <c r="K268" s="7">
        <f>SUM(I268*0.15)</f>
        <v>220.5</v>
      </c>
      <c r="L268" s="11">
        <v>879</v>
      </c>
      <c r="M268" s="7">
        <f t="shared" si="17"/>
        <v>879</v>
      </c>
      <c r="N268" s="7">
        <f t="shared" si="18"/>
        <v>370.5</v>
      </c>
      <c r="O268" s="10">
        <f t="shared" si="19"/>
        <v>0.25204081632653064</v>
      </c>
    </row>
    <row r="269" spans="1:15">
      <c r="A269" s="7" t="s">
        <v>611</v>
      </c>
      <c r="B269" s="7"/>
      <c r="C269" s="7" t="s">
        <v>612</v>
      </c>
      <c r="D269" s="7" t="s">
        <v>612</v>
      </c>
      <c r="E269" s="7">
        <v>15</v>
      </c>
      <c r="F269" s="8">
        <v>6.6699999999999995E-2</v>
      </c>
      <c r="G269" s="9">
        <f t="shared" si="16"/>
        <v>1468</v>
      </c>
      <c r="H269" s="7">
        <v>1</v>
      </c>
      <c r="I269" s="7">
        <v>1468</v>
      </c>
      <c r="J269" s="7">
        <v>1</v>
      </c>
      <c r="K269" s="7">
        <v>135</v>
      </c>
      <c r="L269" s="7">
        <v>550</v>
      </c>
      <c r="M269" s="7">
        <f t="shared" si="17"/>
        <v>550</v>
      </c>
      <c r="N269" s="7">
        <f t="shared" si="18"/>
        <v>783</v>
      </c>
      <c r="O269" s="10">
        <f t="shared" si="19"/>
        <v>0.53337874659400542</v>
      </c>
    </row>
    <row r="270" spans="1:15">
      <c r="A270" s="7" t="s">
        <v>613</v>
      </c>
      <c r="B270" s="7"/>
      <c r="C270" s="7" t="s">
        <v>614</v>
      </c>
      <c r="D270" s="7" t="s">
        <v>614</v>
      </c>
      <c r="E270" s="7">
        <v>94</v>
      </c>
      <c r="F270" s="8">
        <v>1.06E-2</v>
      </c>
      <c r="G270" s="9">
        <f t="shared" si="16"/>
        <v>1319</v>
      </c>
      <c r="H270" s="7">
        <v>1</v>
      </c>
      <c r="I270" s="7">
        <v>1319</v>
      </c>
      <c r="J270" s="7">
        <v>1</v>
      </c>
      <c r="K270" s="7">
        <v>122</v>
      </c>
      <c r="L270" s="7">
        <v>513</v>
      </c>
      <c r="M270" s="7">
        <f t="shared" si="17"/>
        <v>513</v>
      </c>
      <c r="N270" s="7">
        <f t="shared" si="18"/>
        <v>684</v>
      </c>
      <c r="O270" s="10">
        <f t="shared" si="19"/>
        <v>0.5185746777862017</v>
      </c>
    </row>
    <row r="271" spans="1:15">
      <c r="A271" s="7" t="s">
        <v>615</v>
      </c>
      <c r="B271" s="7"/>
      <c r="C271" s="7" t="s">
        <v>616</v>
      </c>
      <c r="D271" s="7" t="s">
        <v>617</v>
      </c>
      <c r="E271" s="7">
        <v>6209</v>
      </c>
      <c r="F271" s="8">
        <v>2.0000000000000001E-4</v>
      </c>
      <c r="G271" s="9">
        <f t="shared" si="16"/>
        <v>1300</v>
      </c>
      <c r="H271" s="7">
        <v>1</v>
      </c>
      <c r="I271" s="7">
        <v>1300</v>
      </c>
      <c r="J271" s="7">
        <v>1</v>
      </c>
      <c r="K271" s="7">
        <f>SUM(I271*0.15)</f>
        <v>195</v>
      </c>
      <c r="L271" s="7">
        <v>1210</v>
      </c>
      <c r="M271" s="7">
        <f t="shared" si="17"/>
        <v>1210</v>
      </c>
      <c r="N271" s="7">
        <f t="shared" si="18"/>
        <v>-105</v>
      </c>
      <c r="O271" s="10">
        <f t="shared" si="19"/>
        <v>-8.0769230769230774E-2</v>
      </c>
    </row>
    <row r="272" spans="1:15">
      <c r="A272" s="7" t="s">
        <v>618</v>
      </c>
      <c r="B272" s="7"/>
      <c r="C272" s="7" t="s">
        <v>619</v>
      </c>
      <c r="D272" s="7" t="s">
        <v>620</v>
      </c>
      <c r="E272" s="7">
        <v>29</v>
      </c>
      <c r="F272" s="8">
        <v>6.9000000000000006E-2</v>
      </c>
      <c r="G272" s="9">
        <f t="shared" si="16"/>
        <v>642</v>
      </c>
      <c r="H272" s="7">
        <v>2</v>
      </c>
      <c r="I272" s="7">
        <v>1284</v>
      </c>
      <c r="J272" s="7">
        <v>2</v>
      </c>
      <c r="K272" s="7">
        <v>70</v>
      </c>
      <c r="L272" s="7">
        <v>132</v>
      </c>
      <c r="M272" s="7">
        <f t="shared" si="17"/>
        <v>264</v>
      </c>
      <c r="N272" s="7">
        <f t="shared" si="18"/>
        <v>950</v>
      </c>
      <c r="O272" s="10">
        <f t="shared" si="19"/>
        <v>0.73987538940809972</v>
      </c>
    </row>
    <row r="273" spans="1:15">
      <c r="A273" s="7"/>
      <c r="B273" s="7"/>
      <c r="C273" s="7" t="s">
        <v>621</v>
      </c>
      <c r="D273" s="7" t="s">
        <v>621</v>
      </c>
      <c r="E273" s="7">
        <v>19</v>
      </c>
      <c r="F273" s="8">
        <v>5.2600000000000001E-2</v>
      </c>
      <c r="G273" s="9">
        <f t="shared" si="16"/>
        <v>1280</v>
      </c>
      <c r="H273" s="7">
        <v>1</v>
      </c>
      <c r="I273" s="7">
        <v>1280</v>
      </c>
      <c r="J273" s="7">
        <v>1</v>
      </c>
      <c r="K273" s="7">
        <v>119</v>
      </c>
      <c r="L273" s="7">
        <v>780</v>
      </c>
      <c r="M273" s="7">
        <f t="shared" si="17"/>
        <v>780</v>
      </c>
      <c r="N273" s="7">
        <f t="shared" si="18"/>
        <v>381</v>
      </c>
      <c r="O273" s="10">
        <f t="shared" si="19"/>
        <v>0.29765625000000001</v>
      </c>
    </row>
    <row r="274" spans="1:15">
      <c r="A274" s="7" t="s">
        <v>622</v>
      </c>
      <c r="B274" s="7"/>
      <c r="C274" s="7" t="s">
        <v>623</v>
      </c>
      <c r="D274" s="7" t="s">
        <v>623</v>
      </c>
      <c r="E274" s="7">
        <v>33</v>
      </c>
      <c r="F274" s="8">
        <v>3.0300000000000001E-2</v>
      </c>
      <c r="G274" s="9">
        <f t="shared" si="16"/>
        <v>1200</v>
      </c>
      <c r="H274" s="7">
        <v>1</v>
      </c>
      <c r="I274" s="7">
        <v>1200</v>
      </c>
      <c r="J274" s="7">
        <v>1</v>
      </c>
      <c r="K274" s="7">
        <v>111</v>
      </c>
      <c r="L274" s="7">
        <v>589</v>
      </c>
      <c r="M274" s="7">
        <f t="shared" si="17"/>
        <v>589</v>
      </c>
      <c r="N274" s="7">
        <f t="shared" si="18"/>
        <v>500</v>
      </c>
      <c r="O274" s="10">
        <f t="shared" si="19"/>
        <v>0.41666666666666669</v>
      </c>
    </row>
    <row r="275" spans="1:15">
      <c r="A275" s="7" t="s">
        <v>624</v>
      </c>
      <c r="B275" s="7"/>
      <c r="C275" s="7" t="s">
        <v>625</v>
      </c>
      <c r="D275" s="7" t="s">
        <v>626</v>
      </c>
      <c r="E275" s="7">
        <v>489</v>
      </c>
      <c r="F275" s="8">
        <v>4.0999999999999986E-3</v>
      </c>
      <c r="G275" s="9">
        <f t="shared" si="16"/>
        <v>594</v>
      </c>
      <c r="H275" s="7">
        <v>2</v>
      </c>
      <c r="I275" s="7">
        <v>1188</v>
      </c>
      <c r="J275" s="7">
        <v>2</v>
      </c>
      <c r="K275" s="7">
        <v>66</v>
      </c>
      <c r="L275" s="7">
        <v>348</v>
      </c>
      <c r="M275" s="7">
        <f t="shared" si="17"/>
        <v>696</v>
      </c>
      <c r="N275" s="7">
        <f t="shared" si="18"/>
        <v>426</v>
      </c>
      <c r="O275" s="10">
        <f t="shared" si="19"/>
        <v>0.35858585858585856</v>
      </c>
    </row>
    <row r="276" spans="1:15">
      <c r="A276" s="7" t="s">
        <v>627</v>
      </c>
      <c r="B276" s="7"/>
      <c r="C276" s="7" t="s">
        <v>628</v>
      </c>
      <c r="D276" s="7" t="s">
        <v>626</v>
      </c>
      <c r="E276" s="7">
        <v>805</v>
      </c>
      <c r="F276" s="8">
        <v>2.5000000000000001E-3</v>
      </c>
      <c r="G276" s="9">
        <f t="shared" si="16"/>
        <v>594</v>
      </c>
      <c r="H276" s="7">
        <v>2</v>
      </c>
      <c r="I276" s="7">
        <v>1188</v>
      </c>
      <c r="J276" s="7">
        <v>2</v>
      </c>
      <c r="K276" s="7">
        <v>66</v>
      </c>
      <c r="L276" s="7">
        <v>348</v>
      </c>
      <c r="M276" s="7">
        <f t="shared" si="17"/>
        <v>696</v>
      </c>
      <c r="N276" s="7">
        <f t="shared" si="18"/>
        <v>426</v>
      </c>
      <c r="O276" s="10">
        <f t="shared" si="19"/>
        <v>0.35858585858585856</v>
      </c>
    </row>
    <row r="277" spans="1:15">
      <c r="A277" s="7" t="s">
        <v>629</v>
      </c>
      <c r="B277" s="7"/>
      <c r="C277" s="7" t="s">
        <v>630</v>
      </c>
      <c r="D277" s="7" t="s">
        <v>630</v>
      </c>
      <c r="E277" s="7">
        <v>655</v>
      </c>
      <c r="F277" s="8">
        <v>1.5E-3</v>
      </c>
      <c r="G277" s="9">
        <f t="shared" si="16"/>
        <v>1150</v>
      </c>
      <c r="H277" s="7">
        <v>1</v>
      </c>
      <c r="I277" s="7">
        <v>1150</v>
      </c>
      <c r="J277" s="7">
        <v>1</v>
      </c>
      <c r="K277" s="7">
        <v>107</v>
      </c>
      <c r="L277" s="7">
        <v>179</v>
      </c>
      <c r="M277" s="7">
        <f t="shared" si="17"/>
        <v>179</v>
      </c>
      <c r="N277" s="7">
        <f t="shared" si="18"/>
        <v>864</v>
      </c>
      <c r="O277" s="10">
        <f t="shared" si="19"/>
        <v>0.7513043478260869</v>
      </c>
    </row>
    <row r="278" spans="1:15">
      <c r="A278" s="7" t="s">
        <v>631</v>
      </c>
      <c r="B278" s="7"/>
      <c r="C278" s="7" t="s">
        <v>632</v>
      </c>
      <c r="D278" s="7" t="s">
        <v>632</v>
      </c>
      <c r="E278" s="7">
        <v>20</v>
      </c>
      <c r="F278" s="8">
        <v>0.05</v>
      </c>
      <c r="G278" s="9">
        <f t="shared" si="16"/>
        <v>1099</v>
      </c>
      <c r="H278" s="7">
        <v>1</v>
      </c>
      <c r="I278" s="7">
        <v>1099</v>
      </c>
      <c r="J278" s="7">
        <v>1</v>
      </c>
      <c r="K278" s="7">
        <f>SUM(I278*0.15)</f>
        <v>164.85</v>
      </c>
      <c r="L278" s="7">
        <v>475</v>
      </c>
      <c r="M278" s="7">
        <f t="shared" si="17"/>
        <v>475</v>
      </c>
      <c r="N278" s="7">
        <f t="shared" si="18"/>
        <v>459.15</v>
      </c>
      <c r="O278" s="10">
        <f t="shared" si="19"/>
        <v>0.41778889899909005</v>
      </c>
    </row>
    <row r="279" spans="1:15">
      <c r="A279" s="7" t="s">
        <v>633</v>
      </c>
      <c r="B279" s="7"/>
      <c r="C279" s="7" t="s">
        <v>634</v>
      </c>
      <c r="D279" s="7" t="s">
        <v>634</v>
      </c>
      <c r="E279" s="7">
        <v>431</v>
      </c>
      <c r="F279" s="8">
        <v>2.3E-3</v>
      </c>
      <c r="G279" s="9">
        <f t="shared" si="16"/>
        <v>1061</v>
      </c>
      <c r="H279" s="7">
        <v>1</v>
      </c>
      <c r="I279" s="7">
        <v>1061</v>
      </c>
      <c r="J279" s="7">
        <v>1</v>
      </c>
      <c r="K279" s="7">
        <v>98</v>
      </c>
      <c r="L279" s="7">
        <v>179</v>
      </c>
      <c r="M279" s="7">
        <f t="shared" si="17"/>
        <v>179</v>
      </c>
      <c r="N279" s="7">
        <f t="shared" si="18"/>
        <v>784</v>
      </c>
      <c r="O279" s="10">
        <f t="shared" si="19"/>
        <v>0.73892554194156457</v>
      </c>
    </row>
    <row r="280" spans="1:15">
      <c r="A280" s="7" t="s">
        <v>635</v>
      </c>
      <c r="B280" s="7"/>
      <c r="C280" s="7" t="s">
        <v>636</v>
      </c>
      <c r="D280" s="7" t="s">
        <v>636</v>
      </c>
      <c r="E280" s="7">
        <v>76</v>
      </c>
      <c r="F280" s="8">
        <v>1.32E-2</v>
      </c>
      <c r="G280" s="9">
        <f t="shared" si="16"/>
        <v>1000</v>
      </c>
      <c r="H280" s="7">
        <v>1</v>
      </c>
      <c r="I280" s="7">
        <v>1000</v>
      </c>
      <c r="J280" s="7">
        <v>1</v>
      </c>
      <c r="K280" s="7">
        <v>92</v>
      </c>
      <c r="L280" s="7">
        <v>383</v>
      </c>
      <c r="M280" s="7">
        <f t="shared" si="17"/>
        <v>383</v>
      </c>
      <c r="N280" s="7">
        <f t="shared" si="18"/>
        <v>525</v>
      </c>
      <c r="O280" s="10">
        <f t="shared" si="19"/>
        <v>0.52500000000000002</v>
      </c>
    </row>
    <row r="281" spans="1:15">
      <c r="A281" s="7" t="s">
        <v>637</v>
      </c>
      <c r="B281" s="7"/>
      <c r="C281" s="7" t="s">
        <v>638</v>
      </c>
      <c r="D281" s="7" t="s">
        <v>639</v>
      </c>
      <c r="E281" s="7">
        <v>10</v>
      </c>
      <c r="F281" s="8">
        <v>0.1</v>
      </c>
      <c r="G281" s="9">
        <f t="shared" si="16"/>
        <v>999</v>
      </c>
      <c r="H281" s="7">
        <v>1</v>
      </c>
      <c r="I281" s="7">
        <v>999</v>
      </c>
      <c r="J281" s="7">
        <v>1</v>
      </c>
      <c r="K281" s="7">
        <v>92</v>
      </c>
      <c r="L281" s="7">
        <v>418</v>
      </c>
      <c r="M281" s="7">
        <f t="shared" si="17"/>
        <v>418</v>
      </c>
      <c r="N281" s="7">
        <f t="shared" si="18"/>
        <v>489</v>
      </c>
      <c r="O281" s="10">
        <f t="shared" si="19"/>
        <v>0.4894894894894895</v>
      </c>
    </row>
    <row r="282" spans="1:15">
      <c r="A282" s="7" t="s">
        <v>640</v>
      </c>
      <c r="B282" s="7"/>
      <c r="C282" s="7" t="s">
        <v>641</v>
      </c>
      <c r="D282" s="7" t="s">
        <v>642</v>
      </c>
      <c r="E282" s="7">
        <v>2274</v>
      </c>
      <c r="F282" s="8">
        <v>4.0000000000000002E-4</v>
      </c>
      <c r="G282" s="9">
        <f t="shared" si="16"/>
        <v>980</v>
      </c>
      <c r="H282" s="7">
        <v>1</v>
      </c>
      <c r="I282" s="7">
        <v>980</v>
      </c>
      <c r="J282" s="7">
        <v>1</v>
      </c>
      <c r="K282" s="7">
        <v>166</v>
      </c>
      <c r="L282" s="7">
        <v>468</v>
      </c>
      <c r="M282" s="7">
        <f t="shared" si="17"/>
        <v>468</v>
      </c>
      <c r="N282" s="7">
        <f t="shared" si="18"/>
        <v>346</v>
      </c>
      <c r="O282" s="10">
        <f t="shared" si="19"/>
        <v>0.35306122448979593</v>
      </c>
    </row>
    <row r="283" spans="1:15">
      <c r="A283" s="7" t="s">
        <v>643</v>
      </c>
      <c r="B283" s="7"/>
      <c r="C283" s="7" t="s">
        <v>644</v>
      </c>
      <c r="D283" s="7" t="s">
        <v>644</v>
      </c>
      <c r="E283" s="7">
        <v>712</v>
      </c>
      <c r="F283" s="8">
        <v>1.4E-3</v>
      </c>
      <c r="G283" s="9">
        <f t="shared" si="16"/>
        <v>900</v>
      </c>
      <c r="H283" s="7">
        <v>1</v>
      </c>
      <c r="I283" s="7">
        <v>900</v>
      </c>
      <c r="J283" s="7">
        <v>1</v>
      </c>
      <c r="K283" s="7">
        <v>84</v>
      </c>
      <c r="L283" s="7">
        <v>484</v>
      </c>
      <c r="M283" s="7">
        <f t="shared" si="17"/>
        <v>484</v>
      </c>
      <c r="N283" s="7">
        <f t="shared" si="18"/>
        <v>332</v>
      </c>
      <c r="O283" s="10">
        <f t="shared" si="19"/>
        <v>0.36888888888888888</v>
      </c>
    </row>
    <row r="284" spans="1:15">
      <c r="A284" s="7" t="s">
        <v>645</v>
      </c>
      <c r="B284" s="7"/>
      <c r="C284" s="7" t="s">
        <v>646</v>
      </c>
      <c r="D284" s="7" t="s">
        <v>626</v>
      </c>
      <c r="E284" s="7">
        <v>525</v>
      </c>
      <c r="F284" s="8">
        <v>1.9E-3</v>
      </c>
      <c r="G284" s="9">
        <f t="shared" si="16"/>
        <v>590</v>
      </c>
      <c r="H284" s="7">
        <v>1</v>
      </c>
      <c r="I284" s="7">
        <v>590</v>
      </c>
      <c r="J284" s="7">
        <v>1</v>
      </c>
      <c r="K284" s="7">
        <v>33</v>
      </c>
      <c r="L284" s="7">
        <v>348</v>
      </c>
      <c r="M284" s="7">
        <f t="shared" si="17"/>
        <v>348</v>
      </c>
      <c r="N284" s="7">
        <f t="shared" si="18"/>
        <v>209</v>
      </c>
      <c r="O284" s="10">
        <f t="shared" si="19"/>
        <v>0.35423728813559324</v>
      </c>
    </row>
    <row r="285" spans="1:15">
      <c r="A285" s="7" t="s">
        <v>647</v>
      </c>
      <c r="B285" s="7"/>
      <c r="C285" s="7" t="s">
        <v>648</v>
      </c>
      <c r="D285" s="7" t="s">
        <v>649</v>
      </c>
      <c r="E285" s="7">
        <v>288</v>
      </c>
      <c r="F285" s="8">
        <v>3.5000000000000001E-3</v>
      </c>
      <c r="G285" s="9">
        <f t="shared" si="16"/>
        <v>507</v>
      </c>
      <c r="H285" s="7">
        <v>1</v>
      </c>
      <c r="I285" s="7">
        <v>507</v>
      </c>
      <c r="J285" s="7">
        <v>1</v>
      </c>
      <c r="K285" s="7">
        <v>33</v>
      </c>
      <c r="L285" s="7">
        <v>186</v>
      </c>
      <c r="M285" s="7">
        <f t="shared" si="17"/>
        <v>186</v>
      </c>
      <c r="N285" s="7">
        <f t="shared" si="18"/>
        <v>288</v>
      </c>
      <c r="O285" s="10">
        <f t="shared" si="19"/>
        <v>0.56804733727810652</v>
      </c>
    </row>
    <row r="286" spans="1:15">
      <c r="A286" s="7" t="s">
        <v>650</v>
      </c>
      <c r="B286" s="7"/>
      <c r="C286" s="7" t="s">
        <v>651</v>
      </c>
      <c r="D286" s="7" t="s">
        <v>649</v>
      </c>
      <c r="E286" s="7">
        <v>345</v>
      </c>
      <c r="F286" s="8">
        <v>2.8999999999999998E-3</v>
      </c>
      <c r="G286" s="9">
        <f t="shared" si="16"/>
        <v>495</v>
      </c>
      <c r="H286" s="7">
        <v>1</v>
      </c>
      <c r="I286" s="7">
        <v>495</v>
      </c>
      <c r="J286" s="7">
        <v>1</v>
      </c>
      <c r="K286" s="7">
        <v>33</v>
      </c>
      <c r="L286" s="7">
        <v>186</v>
      </c>
      <c r="M286" s="7">
        <f t="shared" si="17"/>
        <v>186</v>
      </c>
      <c r="N286" s="7">
        <f t="shared" si="18"/>
        <v>276</v>
      </c>
      <c r="O286" s="10">
        <f t="shared" si="19"/>
        <v>0.55757575757575761</v>
      </c>
    </row>
    <row r="287" spans="1:15">
      <c r="A287" s="7" t="s">
        <v>652</v>
      </c>
      <c r="B287" s="7"/>
      <c r="C287" s="7" t="s">
        <v>653</v>
      </c>
      <c r="D287" s="7" t="s">
        <v>649</v>
      </c>
      <c r="E287" s="7">
        <v>478</v>
      </c>
      <c r="F287" s="8">
        <v>2.0999999999999999E-3</v>
      </c>
      <c r="G287" s="9">
        <f t="shared" si="16"/>
        <v>480</v>
      </c>
      <c r="H287" s="7">
        <v>1</v>
      </c>
      <c r="I287" s="7">
        <v>480</v>
      </c>
      <c r="J287" s="7">
        <v>1</v>
      </c>
      <c r="K287" s="7">
        <v>33</v>
      </c>
      <c r="L287" s="7">
        <v>186</v>
      </c>
      <c r="M287" s="7">
        <f t="shared" si="17"/>
        <v>186</v>
      </c>
      <c r="N287" s="7">
        <f t="shared" si="18"/>
        <v>261</v>
      </c>
      <c r="O287" s="10">
        <f t="shared" si="19"/>
        <v>0.54374999999999996</v>
      </c>
    </row>
    <row r="288" spans="1:15">
      <c r="A288" s="7" t="s">
        <v>654</v>
      </c>
      <c r="B288" s="7"/>
      <c r="C288" s="7" t="s">
        <v>655</v>
      </c>
      <c r="D288" s="7" t="s">
        <v>649</v>
      </c>
      <c r="E288" s="7">
        <v>854</v>
      </c>
      <c r="F288" s="8">
        <v>1.1999999999999999E-3</v>
      </c>
      <c r="G288" s="9">
        <f t="shared" si="16"/>
        <v>465</v>
      </c>
      <c r="H288" s="7">
        <v>1</v>
      </c>
      <c r="I288" s="7">
        <v>465</v>
      </c>
      <c r="J288" s="7">
        <v>1</v>
      </c>
      <c r="K288" s="7">
        <v>33</v>
      </c>
      <c r="L288" s="7">
        <v>186</v>
      </c>
      <c r="M288" s="7">
        <f t="shared" si="17"/>
        <v>186</v>
      </c>
      <c r="N288" s="7">
        <f t="shared" si="18"/>
        <v>246</v>
      </c>
      <c r="O288" s="10">
        <f t="shared" si="19"/>
        <v>0.52903225806451615</v>
      </c>
    </row>
    <row r="289" spans="1:15">
      <c r="A289" s="7" t="s">
        <v>656</v>
      </c>
      <c r="B289" s="7"/>
      <c r="C289" s="7" t="s">
        <v>657</v>
      </c>
      <c r="D289" s="7" t="s">
        <v>657</v>
      </c>
      <c r="E289" s="7">
        <v>237</v>
      </c>
      <c r="F289" s="8">
        <v>0</v>
      </c>
      <c r="G289" s="9" t="str">
        <f t="shared" si="16"/>
        <v/>
      </c>
      <c r="H289" s="7">
        <v>0</v>
      </c>
      <c r="I289" s="7">
        <v>0</v>
      </c>
      <c r="J289" s="7">
        <v>0</v>
      </c>
      <c r="K289" s="7">
        <f t="shared" ref="K289:K329" si="20">SUM(I289*0.15)</f>
        <v>0</v>
      </c>
      <c r="L289" s="7">
        <v>1980</v>
      </c>
      <c r="M289" s="7">
        <f t="shared" si="17"/>
        <v>0</v>
      </c>
      <c r="N289" s="7">
        <f t="shared" si="18"/>
        <v>0</v>
      </c>
      <c r="O289" s="10" t="str">
        <f t="shared" si="19"/>
        <v/>
      </c>
    </row>
    <row r="290" spans="1:15">
      <c r="A290" s="7" t="s">
        <v>658</v>
      </c>
      <c r="B290" s="7"/>
      <c r="C290" s="7" t="s">
        <v>659</v>
      </c>
      <c r="D290" s="7" t="s">
        <v>660</v>
      </c>
      <c r="E290" s="7">
        <v>1359</v>
      </c>
      <c r="F290" s="8">
        <v>0</v>
      </c>
      <c r="G290" s="9" t="str">
        <f t="shared" si="16"/>
        <v/>
      </c>
      <c r="H290" s="7">
        <v>0</v>
      </c>
      <c r="I290" s="7">
        <v>0</v>
      </c>
      <c r="J290" s="7">
        <v>0</v>
      </c>
      <c r="K290" s="7">
        <f t="shared" si="20"/>
        <v>0</v>
      </c>
      <c r="L290" s="7">
        <v>549</v>
      </c>
      <c r="M290" s="7">
        <f t="shared" si="17"/>
        <v>0</v>
      </c>
      <c r="N290" s="7">
        <f t="shared" si="18"/>
        <v>0</v>
      </c>
      <c r="O290" s="10" t="str">
        <f t="shared" si="19"/>
        <v/>
      </c>
    </row>
    <row r="291" spans="1:15">
      <c r="A291" s="7" t="s">
        <v>661</v>
      </c>
      <c r="B291" s="7"/>
      <c r="C291" s="7" t="s">
        <v>662</v>
      </c>
      <c r="D291" s="7" t="s">
        <v>663</v>
      </c>
      <c r="E291" s="7">
        <v>74</v>
      </c>
      <c r="F291" s="8">
        <v>0</v>
      </c>
      <c r="G291" s="9" t="str">
        <f t="shared" si="16"/>
        <v/>
      </c>
      <c r="H291" s="7">
        <v>0</v>
      </c>
      <c r="I291" s="7">
        <v>0</v>
      </c>
      <c r="J291" s="7">
        <v>0</v>
      </c>
      <c r="K291" s="7">
        <f t="shared" si="20"/>
        <v>0</v>
      </c>
      <c r="L291" s="7">
        <v>869</v>
      </c>
      <c r="M291" s="7">
        <f t="shared" si="17"/>
        <v>0</v>
      </c>
      <c r="N291" s="7">
        <f t="shared" si="18"/>
        <v>0</v>
      </c>
      <c r="O291" s="10" t="str">
        <f t="shared" si="19"/>
        <v/>
      </c>
    </row>
    <row r="292" spans="1:15">
      <c r="A292" s="7" t="s">
        <v>664</v>
      </c>
      <c r="B292" s="7"/>
      <c r="C292" s="7" t="s">
        <v>665</v>
      </c>
      <c r="D292" s="7" t="s">
        <v>663</v>
      </c>
      <c r="E292" s="7">
        <v>210</v>
      </c>
      <c r="F292" s="8">
        <v>0</v>
      </c>
      <c r="G292" s="9" t="str">
        <f t="shared" si="16"/>
        <v/>
      </c>
      <c r="H292" s="7">
        <v>0</v>
      </c>
      <c r="I292" s="7">
        <v>0</v>
      </c>
      <c r="J292" s="7">
        <v>0</v>
      </c>
      <c r="K292" s="7">
        <f t="shared" si="20"/>
        <v>0</v>
      </c>
      <c r="L292" s="7">
        <v>693</v>
      </c>
      <c r="M292" s="7">
        <f t="shared" si="17"/>
        <v>0</v>
      </c>
      <c r="N292" s="7">
        <f t="shared" si="18"/>
        <v>0</v>
      </c>
      <c r="O292" s="10" t="str">
        <f t="shared" si="19"/>
        <v/>
      </c>
    </row>
    <row r="293" spans="1:15">
      <c r="A293" s="7" t="s">
        <v>666</v>
      </c>
      <c r="B293" s="7"/>
      <c r="C293" s="7" t="s">
        <v>667</v>
      </c>
      <c r="D293" s="7" t="s">
        <v>668</v>
      </c>
      <c r="E293" s="7">
        <v>306</v>
      </c>
      <c r="F293" s="8">
        <v>0</v>
      </c>
      <c r="G293" s="9" t="str">
        <f t="shared" si="16"/>
        <v/>
      </c>
      <c r="H293" s="7">
        <v>0</v>
      </c>
      <c r="I293" s="7">
        <v>0</v>
      </c>
      <c r="J293" s="7">
        <v>0</v>
      </c>
      <c r="K293" s="7">
        <f t="shared" si="20"/>
        <v>0</v>
      </c>
      <c r="L293" s="7">
        <v>469</v>
      </c>
      <c r="M293" s="7">
        <f t="shared" si="17"/>
        <v>0</v>
      </c>
      <c r="N293" s="7">
        <f t="shared" si="18"/>
        <v>0</v>
      </c>
      <c r="O293" s="10" t="str">
        <f t="shared" si="19"/>
        <v/>
      </c>
    </row>
    <row r="294" spans="1:15">
      <c r="A294" s="7" t="s">
        <v>669</v>
      </c>
      <c r="B294" s="7"/>
      <c r="C294" s="7" t="s">
        <v>670</v>
      </c>
      <c r="D294" s="7" t="s">
        <v>671</v>
      </c>
      <c r="E294" s="7">
        <v>202</v>
      </c>
      <c r="F294" s="8">
        <v>0</v>
      </c>
      <c r="G294" s="9" t="str">
        <f t="shared" si="16"/>
        <v/>
      </c>
      <c r="H294" s="7">
        <v>0</v>
      </c>
      <c r="I294" s="7">
        <v>0</v>
      </c>
      <c r="J294" s="7">
        <v>0</v>
      </c>
      <c r="K294" s="7">
        <f t="shared" si="20"/>
        <v>0</v>
      </c>
      <c r="L294" s="7">
        <v>770</v>
      </c>
      <c r="M294" s="7">
        <f t="shared" si="17"/>
        <v>0</v>
      </c>
      <c r="N294" s="7">
        <f t="shared" si="18"/>
        <v>0</v>
      </c>
      <c r="O294" s="10" t="str">
        <f t="shared" si="19"/>
        <v/>
      </c>
    </row>
    <row r="295" spans="1:15">
      <c r="A295" s="7" t="s">
        <v>672</v>
      </c>
      <c r="B295" s="7"/>
      <c r="C295" s="7" t="s">
        <v>673</v>
      </c>
      <c r="D295" s="7" t="s">
        <v>673</v>
      </c>
      <c r="E295" s="7">
        <v>1738</v>
      </c>
      <c r="F295" s="8">
        <v>0</v>
      </c>
      <c r="G295" s="9" t="str">
        <f t="shared" si="16"/>
        <v/>
      </c>
      <c r="H295" s="7">
        <v>0</v>
      </c>
      <c r="I295" s="7">
        <v>0</v>
      </c>
      <c r="J295" s="7">
        <v>0</v>
      </c>
      <c r="K295" s="7">
        <f t="shared" si="20"/>
        <v>0</v>
      </c>
      <c r="L295" s="7">
        <v>470</v>
      </c>
      <c r="M295" s="7">
        <f t="shared" si="17"/>
        <v>0</v>
      </c>
      <c r="N295" s="7">
        <f t="shared" si="18"/>
        <v>0</v>
      </c>
      <c r="O295" s="10" t="str">
        <f t="shared" si="19"/>
        <v/>
      </c>
    </row>
    <row r="296" spans="1:15">
      <c r="A296" s="7" t="s">
        <v>674</v>
      </c>
      <c r="B296" s="7"/>
      <c r="C296" s="7" t="s">
        <v>675</v>
      </c>
      <c r="D296" s="7" t="s">
        <v>675</v>
      </c>
      <c r="E296" s="7">
        <v>55</v>
      </c>
      <c r="F296" s="8">
        <v>0</v>
      </c>
      <c r="G296" s="9" t="str">
        <f t="shared" si="16"/>
        <v/>
      </c>
      <c r="H296" s="7">
        <v>0</v>
      </c>
      <c r="I296" s="7">
        <v>0</v>
      </c>
      <c r="J296" s="7">
        <v>0</v>
      </c>
      <c r="K296" s="7">
        <f t="shared" si="20"/>
        <v>0</v>
      </c>
      <c r="L296" s="7">
        <v>238</v>
      </c>
      <c r="M296" s="7">
        <f t="shared" si="17"/>
        <v>0</v>
      </c>
      <c r="N296" s="7">
        <f t="shared" si="18"/>
        <v>0</v>
      </c>
      <c r="O296" s="10" t="str">
        <f t="shared" si="19"/>
        <v/>
      </c>
    </row>
    <row r="297" spans="1:15">
      <c r="A297" s="7" t="s">
        <v>676</v>
      </c>
      <c r="B297" s="7"/>
      <c r="C297" s="7" t="s">
        <v>677</v>
      </c>
      <c r="D297" s="7" t="s">
        <v>678</v>
      </c>
      <c r="E297" s="7">
        <v>6</v>
      </c>
      <c r="F297" s="8">
        <v>0</v>
      </c>
      <c r="G297" s="9" t="str">
        <f t="shared" si="16"/>
        <v/>
      </c>
      <c r="H297" s="7">
        <v>0</v>
      </c>
      <c r="I297" s="7">
        <v>0</v>
      </c>
      <c r="J297" s="7">
        <v>0</v>
      </c>
      <c r="K297" s="7">
        <f t="shared" si="20"/>
        <v>0</v>
      </c>
      <c r="L297" s="7">
        <v>769</v>
      </c>
      <c r="M297" s="7">
        <f t="shared" si="17"/>
        <v>0</v>
      </c>
      <c r="N297" s="7">
        <f t="shared" si="18"/>
        <v>0</v>
      </c>
      <c r="O297" s="10" t="str">
        <f t="shared" si="19"/>
        <v/>
      </c>
    </row>
    <row r="298" spans="1:15">
      <c r="A298" s="7" t="s">
        <v>679</v>
      </c>
      <c r="B298" s="7"/>
      <c r="C298" s="7" t="s">
        <v>680</v>
      </c>
      <c r="D298" s="7" t="s">
        <v>680</v>
      </c>
      <c r="E298" s="7">
        <v>2</v>
      </c>
      <c r="F298" s="8">
        <v>0</v>
      </c>
      <c r="G298" s="9" t="str">
        <f t="shared" si="16"/>
        <v/>
      </c>
      <c r="H298" s="7">
        <v>0</v>
      </c>
      <c r="I298" s="7">
        <v>0</v>
      </c>
      <c r="J298" s="7">
        <v>0</v>
      </c>
      <c r="K298" s="7">
        <f t="shared" si="20"/>
        <v>0</v>
      </c>
      <c r="L298" s="7">
        <v>494</v>
      </c>
      <c r="M298" s="7">
        <f t="shared" si="17"/>
        <v>0</v>
      </c>
      <c r="N298" s="7">
        <f t="shared" si="18"/>
        <v>0</v>
      </c>
      <c r="O298" s="10" t="str">
        <f t="shared" si="19"/>
        <v/>
      </c>
    </row>
    <row r="299" spans="1:15">
      <c r="A299" s="7" t="s">
        <v>681</v>
      </c>
      <c r="B299" s="7"/>
      <c r="C299" s="7" t="s">
        <v>682</v>
      </c>
      <c r="D299" s="7" t="s">
        <v>682</v>
      </c>
      <c r="E299" s="7">
        <v>76</v>
      </c>
      <c r="F299" s="8">
        <v>0</v>
      </c>
      <c r="G299" s="9" t="str">
        <f t="shared" si="16"/>
        <v/>
      </c>
      <c r="H299" s="7">
        <v>0</v>
      </c>
      <c r="I299" s="7">
        <v>0</v>
      </c>
      <c r="J299" s="7">
        <v>0</v>
      </c>
      <c r="K299" s="7">
        <f t="shared" si="20"/>
        <v>0</v>
      </c>
      <c r="L299" s="7">
        <v>3999</v>
      </c>
      <c r="M299" s="7">
        <f t="shared" si="17"/>
        <v>0</v>
      </c>
      <c r="N299" s="7">
        <f t="shared" si="18"/>
        <v>0</v>
      </c>
      <c r="O299" s="10" t="str">
        <f t="shared" si="19"/>
        <v/>
      </c>
    </row>
    <row r="300" spans="1:15">
      <c r="A300" s="7" t="s">
        <v>683</v>
      </c>
      <c r="B300" s="7"/>
      <c r="C300" s="7" t="s">
        <v>684</v>
      </c>
      <c r="D300" s="7" t="s">
        <v>685</v>
      </c>
      <c r="E300" s="7">
        <v>43</v>
      </c>
      <c r="F300" s="8">
        <v>0</v>
      </c>
      <c r="G300" s="9" t="str">
        <f t="shared" si="16"/>
        <v/>
      </c>
      <c r="H300" s="7">
        <v>0</v>
      </c>
      <c r="I300" s="7">
        <v>0</v>
      </c>
      <c r="J300" s="7">
        <v>0</v>
      </c>
      <c r="K300" s="7">
        <f t="shared" si="20"/>
        <v>0</v>
      </c>
      <c r="L300" s="7">
        <v>550</v>
      </c>
      <c r="M300" s="7">
        <f t="shared" si="17"/>
        <v>0</v>
      </c>
      <c r="N300" s="7">
        <f t="shared" si="18"/>
        <v>0</v>
      </c>
      <c r="O300" s="10" t="str">
        <f t="shared" si="19"/>
        <v/>
      </c>
    </row>
    <row r="301" spans="1:15">
      <c r="A301" s="7" t="s">
        <v>686</v>
      </c>
      <c r="B301" s="7"/>
      <c r="C301" s="7" t="s">
        <v>687</v>
      </c>
      <c r="D301" s="7" t="s">
        <v>688</v>
      </c>
      <c r="E301" s="7">
        <v>44</v>
      </c>
      <c r="F301" s="8">
        <v>0</v>
      </c>
      <c r="G301" s="9" t="str">
        <f t="shared" si="16"/>
        <v/>
      </c>
      <c r="H301" s="7">
        <v>0</v>
      </c>
      <c r="I301" s="7">
        <v>0</v>
      </c>
      <c r="J301" s="7">
        <v>0</v>
      </c>
      <c r="K301" s="7">
        <f t="shared" si="20"/>
        <v>0</v>
      </c>
      <c r="L301" s="7">
        <v>590</v>
      </c>
      <c r="M301" s="7">
        <f t="shared" si="17"/>
        <v>0</v>
      </c>
      <c r="N301" s="7">
        <f t="shared" si="18"/>
        <v>0</v>
      </c>
      <c r="O301" s="10" t="str">
        <f t="shared" si="19"/>
        <v/>
      </c>
    </row>
    <row r="302" spans="1:15">
      <c r="A302" s="7" t="s">
        <v>689</v>
      </c>
      <c r="B302" s="7"/>
      <c r="C302" s="7" t="s">
        <v>690</v>
      </c>
      <c r="D302" s="7" t="s">
        <v>528</v>
      </c>
      <c r="E302" s="7">
        <v>206</v>
      </c>
      <c r="F302" s="8">
        <v>0</v>
      </c>
      <c r="G302" s="9" t="str">
        <f t="shared" si="16"/>
        <v/>
      </c>
      <c r="H302" s="7">
        <v>0</v>
      </c>
      <c r="I302" s="7">
        <v>0</v>
      </c>
      <c r="J302" s="7">
        <v>0</v>
      </c>
      <c r="K302" s="7">
        <f t="shared" si="20"/>
        <v>0</v>
      </c>
      <c r="L302" s="7">
        <v>434</v>
      </c>
      <c r="M302" s="7">
        <f t="shared" si="17"/>
        <v>0</v>
      </c>
      <c r="N302" s="7">
        <f t="shared" si="18"/>
        <v>0</v>
      </c>
      <c r="O302" s="10" t="str">
        <f t="shared" si="19"/>
        <v/>
      </c>
    </row>
    <row r="303" spans="1:15">
      <c r="A303" s="7" t="s">
        <v>691</v>
      </c>
      <c r="B303" s="7"/>
      <c r="C303" s="7" t="s">
        <v>692</v>
      </c>
      <c r="D303" s="7" t="s">
        <v>693</v>
      </c>
      <c r="E303" s="7">
        <v>286</v>
      </c>
      <c r="F303" s="8">
        <v>0</v>
      </c>
      <c r="G303" s="9" t="str">
        <f t="shared" si="16"/>
        <v/>
      </c>
      <c r="H303" s="7">
        <v>0</v>
      </c>
      <c r="I303" s="7">
        <v>0</v>
      </c>
      <c r="J303" s="7">
        <v>0</v>
      </c>
      <c r="K303" s="7">
        <f t="shared" si="20"/>
        <v>0</v>
      </c>
      <c r="L303" s="7">
        <v>723</v>
      </c>
      <c r="M303" s="7">
        <f t="shared" si="17"/>
        <v>0</v>
      </c>
      <c r="N303" s="7">
        <f t="shared" si="18"/>
        <v>0</v>
      </c>
      <c r="O303" s="10" t="str">
        <f t="shared" si="19"/>
        <v/>
      </c>
    </row>
    <row r="304" spans="1:15">
      <c r="A304" s="7" t="s">
        <v>694</v>
      </c>
      <c r="B304" s="7"/>
      <c r="C304" s="7" t="s">
        <v>695</v>
      </c>
      <c r="D304" s="7" t="s">
        <v>696</v>
      </c>
      <c r="E304" s="7">
        <v>18</v>
      </c>
      <c r="F304" s="8">
        <v>0</v>
      </c>
      <c r="G304" s="9" t="str">
        <f t="shared" si="16"/>
        <v/>
      </c>
      <c r="H304" s="7">
        <v>0</v>
      </c>
      <c r="I304" s="7">
        <v>0</v>
      </c>
      <c r="J304" s="7">
        <v>0</v>
      </c>
      <c r="K304" s="7">
        <f t="shared" si="20"/>
        <v>0</v>
      </c>
      <c r="L304" s="7">
        <v>660</v>
      </c>
      <c r="M304" s="7">
        <f t="shared" si="17"/>
        <v>0</v>
      </c>
      <c r="N304" s="7">
        <f t="shared" si="18"/>
        <v>0</v>
      </c>
      <c r="O304" s="10" t="str">
        <f t="shared" si="19"/>
        <v/>
      </c>
    </row>
    <row r="305" spans="1:15">
      <c r="A305" s="7" t="s">
        <v>697</v>
      </c>
      <c r="B305" s="7"/>
      <c r="C305" s="7" t="s">
        <v>698</v>
      </c>
      <c r="D305" s="7" t="s">
        <v>699</v>
      </c>
      <c r="E305" s="7">
        <v>34</v>
      </c>
      <c r="F305" s="8">
        <v>0</v>
      </c>
      <c r="G305" s="9" t="str">
        <f t="shared" si="16"/>
        <v/>
      </c>
      <c r="H305" s="7">
        <v>0</v>
      </c>
      <c r="I305" s="7">
        <v>0</v>
      </c>
      <c r="J305" s="7">
        <v>0</v>
      </c>
      <c r="K305" s="7">
        <f t="shared" si="20"/>
        <v>0</v>
      </c>
      <c r="L305" s="11">
        <v>0</v>
      </c>
      <c r="M305" s="7">
        <f t="shared" si="17"/>
        <v>0</v>
      </c>
      <c r="N305" s="7">
        <f t="shared" si="18"/>
        <v>0</v>
      </c>
      <c r="O305" s="10" t="str">
        <f t="shared" si="19"/>
        <v/>
      </c>
    </row>
    <row r="306" spans="1:15">
      <c r="A306" s="7" t="s">
        <v>700</v>
      </c>
      <c r="B306" s="7"/>
      <c r="C306" s="7" t="s">
        <v>701</v>
      </c>
      <c r="D306" s="7" t="s">
        <v>701</v>
      </c>
      <c r="E306" s="7">
        <v>1585</v>
      </c>
      <c r="F306" s="8">
        <v>0</v>
      </c>
      <c r="G306" s="9" t="str">
        <f t="shared" si="16"/>
        <v/>
      </c>
      <c r="H306" s="7">
        <v>0</v>
      </c>
      <c r="I306" s="7">
        <v>0</v>
      </c>
      <c r="J306" s="7">
        <v>0</v>
      </c>
      <c r="K306" s="7">
        <f t="shared" si="20"/>
        <v>0</v>
      </c>
      <c r="L306" s="7">
        <v>1623</v>
      </c>
      <c r="M306" s="7">
        <f t="shared" si="17"/>
        <v>0</v>
      </c>
      <c r="N306" s="7">
        <f t="shared" si="18"/>
        <v>0</v>
      </c>
      <c r="O306" s="10" t="str">
        <f t="shared" si="19"/>
        <v/>
      </c>
    </row>
    <row r="307" spans="1:15">
      <c r="A307" s="7" t="s">
        <v>700</v>
      </c>
      <c r="B307" s="7"/>
      <c r="C307" s="7" t="s">
        <v>701</v>
      </c>
      <c r="D307" s="7" t="s">
        <v>617</v>
      </c>
      <c r="E307" s="7">
        <v>4128</v>
      </c>
      <c r="F307" s="8">
        <v>0</v>
      </c>
      <c r="G307" s="9" t="str">
        <f t="shared" si="16"/>
        <v/>
      </c>
      <c r="H307" s="7">
        <v>0</v>
      </c>
      <c r="I307" s="7">
        <v>0</v>
      </c>
      <c r="J307" s="7">
        <v>0</v>
      </c>
      <c r="K307" s="7">
        <f t="shared" si="20"/>
        <v>0</v>
      </c>
      <c r="L307" s="7">
        <v>1623</v>
      </c>
      <c r="M307" s="7">
        <f t="shared" si="17"/>
        <v>0</v>
      </c>
      <c r="N307" s="7">
        <f t="shared" si="18"/>
        <v>0</v>
      </c>
      <c r="O307" s="10" t="str">
        <f t="shared" si="19"/>
        <v/>
      </c>
    </row>
    <row r="308" spans="1:15">
      <c r="A308" s="7" t="s">
        <v>702</v>
      </c>
      <c r="B308" s="7"/>
      <c r="C308" s="7" t="s">
        <v>703</v>
      </c>
      <c r="D308" s="7" t="s">
        <v>617</v>
      </c>
      <c r="E308" s="7">
        <v>2727</v>
      </c>
      <c r="F308" s="8">
        <v>0</v>
      </c>
      <c r="G308" s="9" t="str">
        <f t="shared" si="16"/>
        <v/>
      </c>
      <c r="H308" s="7">
        <v>0</v>
      </c>
      <c r="I308" s="7">
        <v>0</v>
      </c>
      <c r="J308" s="7">
        <v>0</v>
      </c>
      <c r="K308" s="7">
        <f t="shared" si="20"/>
        <v>0</v>
      </c>
      <c r="L308" s="7">
        <v>1210</v>
      </c>
      <c r="M308" s="7">
        <f t="shared" si="17"/>
        <v>0</v>
      </c>
      <c r="N308" s="7">
        <f t="shared" si="18"/>
        <v>0</v>
      </c>
      <c r="O308" s="10" t="str">
        <f t="shared" si="19"/>
        <v/>
      </c>
    </row>
    <row r="309" spans="1:15">
      <c r="A309" s="7" t="s">
        <v>704</v>
      </c>
      <c r="B309" s="7"/>
      <c r="C309" s="7" t="s">
        <v>705</v>
      </c>
      <c r="D309" s="7" t="s">
        <v>617</v>
      </c>
      <c r="E309" s="7">
        <v>1073</v>
      </c>
      <c r="F309" s="8">
        <v>0</v>
      </c>
      <c r="G309" s="9" t="str">
        <f t="shared" si="16"/>
        <v/>
      </c>
      <c r="H309" s="7">
        <v>0</v>
      </c>
      <c r="I309" s="7">
        <v>0</v>
      </c>
      <c r="J309" s="7">
        <v>0</v>
      </c>
      <c r="K309" s="7">
        <f t="shared" si="20"/>
        <v>0</v>
      </c>
      <c r="L309" s="7">
        <v>905</v>
      </c>
      <c r="M309" s="7">
        <f t="shared" si="17"/>
        <v>0</v>
      </c>
      <c r="N309" s="7">
        <f t="shared" si="18"/>
        <v>0</v>
      </c>
      <c r="O309" s="10" t="str">
        <f t="shared" si="19"/>
        <v/>
      </c>
    </row>
    <row r="310" spans="1:15">
      <c r="A310" s="7" t="s">
        <v>706</v>
      </c>
      <c r="B310" s="7"/>
      <c r="C310" s="7" t="s">
        <v>707</v>
      </c>
      <c r="D310" s="7" t="s">
        <v>617</v>
      </c>
      <c r="E310" s="7">
        <v>1610</v>
      </c>
      <c r="F310" s="8">
        <v>0</v>
      </c>
      <c r="G310" s="9" t="str">
        <f t="shared" si="16"/>
        <v/>
      </c>
      <c r="H310" s="7">
        <v>0</v>
      </c>
      <c r="I310" s="7">
        <v>0</v>
      </c>
      <c r="J310" s="7">
        <v>0</v>
      </c>
      <c r="K310" s="7">
        <f t="shared" si="20"/>
        <v>0</v>
      </c>
      <c r="L310" s="7">
        <v>1309</v>
      </c>
      <c r="M310" s="7">
        <f t="shared" si="17"/>
        <v>0</v>
      </c>
      <c r="N310" s="7">
        <f t="shared" si="18"/>
        <v>0</v>
      </c>
      <c r="O310" s="10" t="str">
        <f t="shared" si="19"/>
        <v/>
      </c>
    </row>
    <row r="311" spans="1:15">
      <c r="A311" s="7" t="s">
        <v>708</v>
      </c>
      <c r="B311" s="7"/>
      <c r="C311" s="7" t="s">
        <v>709</v>
      </c>
      <c r="D311" s="7" t="s">
        <v>709</v>
      </c>
      <c r="E311" s="7">
        <v>456</v>
      </c>
      <c r="F311" s="8">
        <v>0</v>
      </c>
      <c r="G311" s="9" t="str">
        <f t="shared" si="16"/>
        <v/>
      </c>
      <c r="H311" s="7">
        <v>0</v>
      </c>
      <c r="I311" s="7">
        <v>0</v>
      </c>
      <c r="J311" s="7">
        <v>0</v>
      </c>
      <c r="K311" s="7">
        <f t="shared" si="20"/>
        <v>0</v>
      </c>
      <c r="L311" s="7">
        <v>500</v>
      </c>
      <c r="M311" s="7">
        <f t="shared" si="17"/>
        <v>0</v>
      </c>
      <c r="N311" s="7">
        <f t="shared" si="18"/>
        <v>0</v>
      </c>
      <c r="O311" s="10" t="str">
        <f t="shared" si="19"/>
        <v/>
      </c>
    </row>
    <row r="312" spans="1:15">
      <c r="A312" s="7" t="s">
        <v>710</v>
      </c>
      <c r="B312" s="7"/>
      <c r="C312" s="7" t="s">
        <v>711</v>
      </c>
      <c r="D312" s="7" t="s">
        <v>371</v>
      </c>
      <c r="E312" s="7">
        <v>72</v>
      </c>
      <c r="F312" s="8">
        <v>0</v>
      </c>
      <c r="G312" s="9" t="str">
        <f t="shared" si="16"/>
        <v/>
      </c>
      <c r="H312" s="7">
        <v>0</v>
      </c>
      <c r="I312" s="7">
        <v>0</v>
      </c>
      <c r="J312" s="7">
        <v>0</v>
      </c>
      <c r="K312" s="7">
        <f t="shared" si="20"/>
        <v>0</v>
      </c>
      <c r="L312" s="7">
        <v>2191</v>
      </c>
      <c r="M312" s="7">
        <f t="shared" si="17"/>
        <v>0</v>
      </c>
      <c r="N312" s="7">
        <f t="shared" si="18"/>
        <v>0</v>
      </c>
      <c r="O312" s="10" t="str">
        <f t="shared" si="19"/>
        <v/>
      </c>
    </row>
    <row r="313" spans="1:15">
      <c r="A313" s="7" t="s">
        <v>712</v>
      </c>
      <c r="B313" s="7"/>
      <c r="C313" s="7" t="s">
        <v>713</v>
      </c>
      <c r="D313" s="7" t="s">
        <v>714</v>
      </c>
      <c r="E313" s="7">
        <v>117</v>
      </c>
      <c r="F313" s="8">
        <v>0</v>
      </c>
      <c r="G313" s="9" t="str">
        <f t="shared" si="16"/>
        <v/>
      </c>
      <c r="H313" s="7">
        <v>0</v>
      </c>
      <c r="I313" s="7">
        <v>0</v>
      </c>
      <c r="J313" s="7">
        <v>0</v>
      </c>
      <c r="K313" s="7">
        <f t="shared" si="20"/>
        <v>0</v>
      </c>
      <c r="L313" s="7">
        <v>2208</v>
      </c>
      <c r="M313" s="7">
        <f t="shared" si="17"/>
        <v>0</v>
      </c>
      <c r="N313" s="7">
        <f t="shared" si="18"/>
        <v>0</v>
      </c>
      <c r="O313" s="10" t="str">
        <f t="shared" si="19"/>
        <v/>
      </c>
    </row>
    <row r="314" spans="1:15">
      <c r="A314" s="7" t="s">
        <v>715</v>
      </c>
      <c r="B314" s="7"/>
      <c r="C314" s="7" t="s">
        <v>716</v>
      </c>
      <c r="D314" s="7" t="s">
        <v>716</v>
      </c>
      <c r="E314" s="7">
        <v>81</v>
      </c>
      <c r="F314" s="8">
        <v>0</v>
      </c>
      <c r="G314" s="9" t="str">
        <f t="shared" si="16"/>
        <v/>
      </c>
      <c r="H314" s="7">
        <v>0</v>
      </c>
      <c r="I314" s="7">
        <v>0</v>
      </c>
      <c r="J314" s="7">
        <v>0</v>
      </c>
      <c r="K314" s="7">
        <f t="shared" si="20"/>
        <v>0</v>
      </c>
      <c r="L314" s="7">
        <v>614</v>
      </c>
      <c r="M314" s="7">
        <f t="shared" si="17"/>
        <v>0</v>
      </c>
      <c r="N314" s="7">
        <f t="shared" si="18"/>
        <v>0</v>
      </c>
      <c r="O314" s="10" t="str">
        <f t="shared" si="19"/>
        <v/>
      </c>
    </row>
    <row r="315" spans="1:15">
      <c r="A315" s="7" t="s">
        <v>717</v>
      </c>
      <c r="B315" s="7"/>
      <c r="C315" s="7" t="s">
        <v>718</v>
      </c>
      <c r="D315" s="7" t="s">
        <v>718</v>
      </c>
      <c r="E315" s="7">
        <v>2</v>
      </c>
      <c r="F315" s="8">
        <v>0</v>
      </c>
      <c r="G315" s="9" t="str">
        <f t="shared" si="16"/>
        <v/>
      </c>
      <c r="H315" s="7">
        <v>0</v>
      </c>
      <c r="I315" s="7">
        <v>0</v>
      </c>
      <c r="J315" s="7">
        <v>0</v>
      </c>
      <c r="K315" s="7">
        <f t="shared" si="20"/>
        <v>0</v>
      </c>
      <c r="L315" s="7">
        <v>330</v>
      </c>
      <c r="M315" s="7">
        <f t="shared" si="17"/>
        <v>0</v>
      </c>
      <c r="N315" s="7">
        <f t="shared" si="18"/>
        <v>0</v>
      </c>
      <c r="O315" s="10" t="str">
        <f t="shared" si="19"/>
        <v/>
      </c>
    </row>
    <row r="316" spans="1:15">
      <c r="A316" s="7" t="s">
        <v>719</v>
      </c>
      <c r="B316" s="7"/>
      <c r="C316" s="7" t="s">
        <v>720</v>
      </c>
      <c r="D316" s="7" t="s">
        <v>720</v>
      </c>
      <c r="E316" s="7">
        <v>20</v>
      </c>
      <c r="F316" s="8">
        <v>0</v>
      </c>
      <c r="G316" s="9" t="str">
        <f t="shared" si="16"/>
        <v/>
      </c>
      <c r="H316" s="7">
        <v>0</v>
      </c>
      <c r="I316" s="7">
        <v>0</v>
      </c>
      <c r="J316" s="7">
        <v>0</v>
      </c>
      <c r="K316" s="7">
        <f t="shared" si="20"/>
        <v>0</v>
      </c>
      <c r="L316" s="7">
        <v>2191</v>
      </c>
      <c r="M316" s="7">
        <f t="shared" si="17"/>
        <v>0</v>
      </c>
      <c r="N316" s="7">
        <f t="shared" si="18"/>
        <v>0</v>
      </c>
      <c r="O316" s="10" t="str">
        <f t="shared" si="19"/>
        <v/>
      </c>
    </row>
    <row r="317" spans="1:15">
      <c r="A317" s="7" t="s">
        <v>721</v>
      </c>
      <c r="B317" s="7"/>
      <c r="C317" s="7" t="s">
        <v>722</v>
      </c>
      <c r="D317" s="7" t="s">
        <v>723</v>
      </c>
      <c r="E317" s="7">
        <v>458</v>
      </c>
      <c r="F317" s="8">
        <v>0</v>
      </c>
      <c r="G317" s="9" t="str">
        <f t="shared" si="16"/>
        <v/>
      </c>
      <c r="H317" s="7">
        <v>0</v>
      </c>
      <c r="I317" s="7">
        <v>0</v>
      </c>
      <c r="J317" s="7">
        <v>0</v>
      </c>
      <c r="K317" s="7">
        <f t="shared" si="20"/>
        <v>0</v>
      </c>
      <c r="L317" s="7">
        <v>878</v>
      </c>
      <c r="M317" s="7">
        <f t="shared" si="17"/>
        <v>0</v>
      </c>
      <c r="N317" s="7">
        <f t="shared" si="18"/>
        <v>0</v>
      </c>
      <c r="O317" s="10" t="str">
        <f t="shared" si="19"/>
        <v/>
      </c>
    </row>
    <row r="318" spans="1:15">
      <c r="A318" s="7" t="s">
        <v>724</v>
      </c>
      <c r="B318" s="7"/>
      <c r="C318" s="7" t="s">
        <v>725</v>
      </c>
      <c r="D318" s="7" t="s">
        <v>726</v>
      </c>
      <c r="E318" s="7">
        <v>3595</v>
      </c>
      <c r="F318" s="8">
        <v>0</v>
      </c>
      <c r="G318" s="9" t="str">
        <f t="shared" si="16"/>
        <v/>
      </c>
      <c r="H318" s="7">
        <v>0</v>
      </c>
      <c r="I318" s="7">
        <v>0</v>
      </c>
      <c r="J318" s="7">
        <v>0</v>
      </c>
      <c r="K318" s="7">
        <f t="shared" si="20"/>
        <v>0</v>
      </c>
      <c r="L318" s="7">
        <v>620</v>
      </c>
      <c r="M318" s="7">
        <f t="shared" si="17"/>
        <v>0</v>
      </c>
      <c r="N318" s="7">
        <f t="shared" si="18"/>
        <v>0</v>
      </c>
      <c r="O318" s="10" t="str">
        <f t="shared" si="19"/>
        <v/>
      </c>
    </row>
    <row r="319" spans="1:15">
      <c r="A319" s="7" t="s">
        <v>727</v>
      </c>
      <c r="B319" s="7"/>
      <c r="C319" s="7" t="s">
        <v>728</v>
      </c>
      <c r="D319" s="7" t="s">
        <v>729</v>
      </c>
      <c r="E319" s="7">
        <v>3058</v>
      </c>
      <c r="F319" s="8">
        <v>0</v>
      </c>
      <c r="G319" s="9" t="str">
        <f t="shared" si="16"/>
        <v/>
      </c>
      <c r="H319" s="7">
        <v>0</v>
      </c>
      <c r="I319" s="7">
        <v>0</v>
      </c>
      <c r="J319" s="7">
        <v>0</v>
      </c>
      <c r="K319" s="7">
        <f t="shared" si="20"/>
        <v>0</v>
      </c>
      <c r="L319" s="7">
        <v>417</v>
      </c>
      <c r="M319" s="7">
        <f t="shared" si="17"/>
        <v>0</v>
      </c>
      <c r="N319" s="7">
        <f t="shared" si="18"/>
        <v>0</v>
      </c>
      <c r="O319" s="10" t="str">
        <f t="shared" si="19"/>
        <v/>
      </c>
    </row>
    <row r="320" spans="1:15">
      <c r="A320" s="7" t="s">
        <v>730</v>
      </c>
      <c r="B320" s="7"/>
      <c r="C320" s="7" t="s">
        <v>731</v>
      </c>
      <c r="D320" s="7" t="s">
        <v>732</v>
      </c>
      <c r="E320" s="7">
        <v>15374</v>
      </c>
      <c r="F320" s="8">
        <v>0</v>
      </c>
      <c r="G320" s="9" t="str">
        <f t="shared" si="16"/>
        <v/>
      </c>
      <c r="H320" s="7">
        <v>0</v>
      </c>
      <c r="I320" s="7">
        <v>0</v>
      </c>
      <c r="J320" s="7">
        <v>0</v>
      </c>
      <c r="K320" s="7">
        <f t="shared" si="20"/>
        <v>0</v>
      </c>
      <c r="L320" s="7">
        <v>2790</v>
      </c>
      <c r="M320" s="7">
        <f t="shared" si="17"/>
        <v>0</v>
      </c>
      <c r="N320" s="7">
        <f t="shared" si="18"/>
        <v>0</v>
      </c>
      <c r="O320" s="10" t="str">
        <f t="shared" si="19"/>
        <v/>
      </c>
    </row>
    <row r="321" spans="1:15">
      <c r="A321" s="7" t="s">
        <v>733</v>
      </c>
      <c r="B321" s="7"/>
      <c r="C321" s="7" t="s">
        <v>734</v>
      </c>
      <c r="D321" s="7" t="s">
        <v>735</v>
      </c>
      <c r="E321" s="7">
        <v>745</v>
      </c>
      <c r="F321" s="8">
        <v>0</v>
      </c>
      <c r="G321" s="9" t="str">
        <f t="shared" si="16"/>
        <v/>
      </c>
      <c r="H321" s="7">
        <v>0</v>
      </c>
      <c r="I321" s="7">
        <v>0</v>
      </c>
      <c r="J321" s="7">
        <v>0</v>
      </c>
      <c r="K321" s="7">
        <f t="shared" si="20"/>
        <v>0</v>
      </c>
      <c r="L321" s="7">
        <v>1529</v>
      </c>
      <c r="M321" s="7">
        <f t="shared" si="17"/>
        <v>0</v>
      </c>
      <c r="N321" s="7">
        <f t="shared" si="18"/>
        <v>0</v>
      </c>
      <c r="O321" s="10" t="str">
        <f t="shared" si="19"/>
        <v/>
      </c>
    </row>
    <row r="322" spans="1:15">
      <c r="A322" s="7" t="s">
        <v>736</v>
      </c>
      <c r="B322" s="7"/>
      <c r="C322" s="7" t="s">
        <v>737</v>
      </c>
      <c r="D322" s="7" t="s">
        <v>738</v>
      </c>
      <c r="E322" s="7">
        <v>40</v>
      </c>
      <c r="F322" s="8">
        <v>0</v>
      </c>
      <c r="G322" s="9" t="str">
        <f t="shared" si="16"/>
        <v/>
      </c>
      <c r="H322" s="7">
        <v>0</v>
      </c>
      <c r="I322" s="7">
        <v>0</v>
      </c>
      <c r="J322" s="7">
        <v>0</v>
      </c>
      <c r="K322" s="7">
        <f t="shared" si="20"/>
        <v>0</v>
      </c>
      <c r="L322" s="7">
        <v>704</v>
      </c>
      <c r="M322" s="7">
        <f t="shared" si="17"/>
        <v>0</v>
      </c>
      <c r="N322" s="7">
        <f t="shared" si="18"/>
        <v>0</v>
      </c>
      <c r="O322" s="10" t="str">
        <f t="shared" si="19"/>
        <v/>
      </c>
    </row>
    <row r="323" spans="1:15">
      <c r="A323" s="7" t="s">
        <v>739</v>
      </c>
      <c r="B323" s="7"/>
      <c r="C323" s="7" t="s">
        <v>740</v>
      </c>
      <c r="D323" s="7" t="s">
        <v>740</v>
      </c>
      <c r="E323" s="7">
        <v>2</v>
      </c>
      <c r="F323" s="8">
        <v>0</v>
      </c>
      <c r="G323" s="9" t="str">
        <f t="shared" si="16"/>
        <v/>
      </c>
      <c r="H323" s="7">
        <v>0</v>
      </c>
      <c r="I323" s="7">
        <v>0</v>
      </c>
      <c r="J323" s="7">
        <v>0</v>
      </c>
      <c r="K323" s="7">
        <f t="shared" si="20"/>
        <v>0</v>
      </c>
      <c r="L323" s="7">
        <v>272</v>
      </c>
      <c r="M323" s="7">
        <f t="shared" si="17"/>
        <v>0</v>
      </c>
      <c r="N323" s="7">
        <f t="shared" si="18"/>
        <v>0</v>
      </c>
      <c r="O323" s="10" t="str">
        <f t="shared" si="19"/>
        <v/>
      </c>
    </row>
    <row r="324" spans="1:15">
      <c r="A324" s="7" t="s">
        <v>741</v>
      </c>
      <c r="B324" s="7"/>
      <c r="C324" s="7" t="s">
        <v>742</v>
      </c>
      <c r="D324" s="7" t="s">
        <v>742</v>
      </c>
      <c r="E324" s="7">
        <v>200</v>
      </c>
      <c r="F324" s="8">
        <v>0</v>
      </c>
      <c r="G324" s="9" t="str">
        <f t="shared" si="16"/>
        <v/>
      </c>
      <c r="H324" s="7">
        <v>0</v>
      </c>
      <c r="I324" s="7">
        <v>0</v>
      </c>
      <c r="J324" s="7">
        <v>0</v>
      </c>
      <c r="K324" s="7">
        <f t="shared" si="20"/>
        <v>0</v>
      </c>
      <c r="L324" s="7">
        <v>918</v>
      </c>
      <c r="M324" s="7">
        <f t="shared" si="17"/>
        <v>0</v>
      </c>
      <c r="N324" s="7">
        <f t="shared" si="18"/>
        <v>0</v>
      </c>
      <c r="O324" s="10" t="str">
        <f t="shared" si="19"/>
        <v/>
      </c>
    </row>
    <row r="325" spans="1:15">
      <c r="A325" s="7" t="s">
        <v>743</v>
      </c>
      <c r="B325" s="7"/>
      <c r="C325" s="7" t="s">
        <v>744</v>
      </c>
      <c r="D325" s="7" t="s">
        <v>744</v>
      </c>
      <c r="E325" s="7">
        <v>755</v>
      </c>
      <c r="F325" s="8">
        <v>0</v>
      </c>
      <c r="G325" s="9" t="str">
        <f t="shared" si="16"/>
        <v/>
      </c>
      <c r="H325" s="7">
        <v>0</v>
      </c>
      <c r="I325" s="7">
        <v>0</v>
      </c>
      <c r="J325" s="7">
        <v>0</v>
      </c>
      <c r="K325" s="7">
        <f t="shared" si="20"/>
        <v>0</v>
      </c>
      <c r="L325" s="7">
        <v>1778</v>
      </c>
      <c r="M325" s="7">
        <f t="shared" si="17"/>
        <v>0</v>
      </c>
      <c r="N325" s="7">
        <f t="shared" si="18"/>
        <v>0</v>
      </c>
      <c r="O325" s="10" t="str">
        <f t="shared" si="19"/>
        <v/>
      </c>
    </row>
    <row r="326" spans="1:15">
      <c r="A326" s="7" t="s">
        <v>745</v>
      </c>
      <c r="B326" s="7"/>
      <c r="C326" s="7" t="s">
        <v>746</v>
      </c>
      <c r="D326" s="7" t="s">
        <v>746</v>
      </c>
      <c r="E326" s="7">
        <v>100</v>
      </c>
      <c r="F326" s="8">
        <v>0</v>
      </c>
      <c r="G326" s="9" t="str">
        <f t="shared" si="16"/>
        <v/>
      </c>
      <c r="H326" s="7">
        <v>0</v>
      </c>
      <c r="I326" s="7">
        <v>0</v>
      </c>
      <c r="J326" s="7">
        <v>0</v>
      </c>
      <c r="K326" s="7">
        <f t="shared" si="20"/>
        <v>0</v>
      </c>
      <c r="L326" s="7">
        <v>913</v>
      </c>
      <c r="M326" s="7">
        <f t="shared" si="17"/>
        <v>0</v>
      </c>
      <c r="N326" s="7">
        <f t="shared" si="18"/>
        <v>0</v>
      </c>
      <c r="O326" s="10" t="str">
        <f t="shared" si="19"/>
        <v/>
      </c>
    </row>
    <row r="327" spans="1:15">
      <c r="A327" s="7" t="s">
        <v>747</v>
      </c>
      <c r="B327" s="7"/>
      <c r="C327" s="7" t="s">
        <v>748</v>
      </c>
      <c r="D327" s="7" t="s">
        <v>748</v>
      </c>
      <c r="E327" s="7">
        <v>118</v>
      </c>
      <c r="F327" s="8">
        <v>0</v>
      </c>
      <c r="G327" s="9" t="str">
        <f t="shared" si="16"/>
        <v/>
      </c>
      <c r="H327" s="7">
        <v>0</v>
      </c>
      <c r="I327" s="7">
        <v>0</v>
      </c>
      <c r="J327" s="7">
        <v>0</v>
      </c>
      <c r="K327" s="7">
        <f t="shared" si="20"/>
        <v>0</v>
      </c>
      <c r="L327" s="7">
        <v>2739</v>
      </c>
      <c r="M327" s="7">
        <f t="shared" si="17"/>
        <v>0</v>
      </c>
      <c r="N327" s="7">
        <f t="shared" si="18"/>
        <v>0</v>
      </c>
      <c r="O327" s="10" t="str">
        <f t="shared" si="19"/>
        <v/>
      </c>
    </row>
    <row r="328" spans="1:15">
      <c r="A328" s="7" t="s">
        <v>749</v>
      </c>
      <c r="B328" s="7"/>
      <c r="C328" s="7" t="s">
        <v>750</v>
      </c>
      <c r="D328" s="7" t="s">
        <v>750</v>
      </c>
      <c r="E328" s="7">
        <v>213</v>
      </c>
      <c r="F328" s="8">
        <v>0</v>
      </c>
      <c r="G328" s="9" t="str">
        <f t="shared" ref="G328:G391" si="21">IF(H328=0,"",I328/H328)</f>
        <v/>
      </c>
      <c r="H328" s="7">
        <v>0</v>
      </c>
      <c r="I328" s="7">
        <v>0</v>
      </c>
      <c r="J328" s="7">
        <v>0</v>
      </c>
      <c r="K328" s="7">
        <f t="shared" si="20"/>
        <v>0</v>
      </c>
      <c r="L328" s="7">
        <v>298</v>
      </c>
      <c r="M328" s="7">
        <f t="shared" ref="M328:M391" si="22">SUM(H328*L328)</f>
        <v>0</v>
      </c>
      <c r="N328" s="7">
        <f t="shared" ref="N328:N391" si="23">SUM(I328-K328-M328)</f>
        <v>0</v>
      </c>
      <c r="O328" s="10" t="str">
        <f t="shared" ref="O328:O391" si="24">IF(I328=0,"",N328/I328)</f>
        <v/>
      </c>
    </row>
    <row r="329" spans="1:15">
      <c r="A329" s="7" t="s">
        <v>751</v>
      </c>
      <c r="B329" s="7"/>
      <c r="C329" s="7" t="s">
        <v>752</v>
      </c>
      <c r="D329" s="7" t="s">
        <v>752</v>
      </c>
      <c r="E329" s="7">
        <v>70</v>
      </c>
      <c r="F329" s="8">
        <v>0</v>
      </c>
      <c r="G329" s="9" t="str">
        <f t="shared" si="21"/>
        <v/>
      </c>
      <c r="H329" s="7">
        <v>0</v>
      </c>
      <c r="I329" s="7">
        <v>0</v>
      </c>
      <c r="J329" s="7">
        <v>0</v>
      </c>
      <c r="K329" s="7">
        <f t="shared" si="20"/>
        <v>0</v>
      </c>
      <c r="L329" s="7">
        <v>2816</v>
      </c>
      <c r="M329" s="7">
        <f t="shared" si="22"/>
        <v>0</v>
      </c>
      <c r="N329" s="7">
        <f t="shared" si="23"/>
        <v>0</v>
      </c>
      <c r="O329" s="10" t="str">
        <f t="shared" si="24"/>
        <v/>
      </c>
    </row>
    <row r="330" spans="1:15">
      <c r="A330" s="7" t="s">
        <v>238</v>
      </c>
      <c r="B330" s="7"/>
      <c r="C330" s="7" t="s">
        <v>239</v>
      </c>
      <c r="D330" s="7" t="s">
        <v>239</v>
      </c>
      <c r="E330" s="7">
        <v>458</v>
      </c>
      <c r="F330" s="8">
        <v>0</v>
      </c>
      <c r="G330" s="9" t="str">
        <f t="shared" si="21"/>
        <v/>
      </c>
      <c r="H330" s="7">
        <v>0</v>
      </c>
      <c r="I330" s="7">
        <v>0</v>
      </c>
      <c r="J330" s="7">
        <v>0</v>
      </c>
      <c r="K330" s="7">
        <v>0</v>
      </c>
      <c r="L330" s="7">
        <v>2699</v>
      </c>
      <c r="M330" s="7">
        <f t="shared" si="22"/>
        <v>0</v>
      </c>
      <c r="N330" s="7">
        <f t="shared" si="23"/>
        <v>0</v>
      </c>
      <c r="O330" s="10" t="str">
        <f t="shared" si="24"/>
        <v/>
      </c>
    </row>
    <row r="331" spans="1:15">
      <c r="A331" s="7" t="s">
        <v>753</v>
      </c>
      <c r="B331" s="7"/>
      <c r="C331" s="7" t="s">
        <v>754</v>
      </c>
      <c r="D331" s="7" t="s">
        <v>755</v>
      </c>
      <c r="E331" s="7">
        <v>223</v>
      </c>
      <c r="F331" s="8">
        <v>0</v>
      </c>
      <c r="G331" s="9" t="str">
        <f t="shared" si="21"/>
        <v/>
      </c>
      <c r="H331" s="7">
        <v>0</v>
      </c>
      <c r="I331" s="7">
        <v>0</v>
      </c>
      <c r="J331" s="7">
        <v>0</v>
      </c>
      <c r="K331" s="7">
        <f>SUM(I331*0.15)</f>
        <v>0</v>
      </c>
      <c r="L331" s="7">
        <v>1010</v>
      </c>
      <c r="M331" s="7">
        <f t="shared" si="22"/>
        <v>0</v>
      </c>
      <c r="N331" s="7">
        <f t="shared" si="23"/>
        <v>0</v>
      </c>
      <c r="O331" s="10" t="str">
        <f t="shared" si="24"/>
        <v/>
      </c>
    </row>
    <row r="332" spans="1:15">
      <c r="A332" s="7" t="s">
        <v>756</v>
      </c>
      <c r="B332" s="7"/>
      <c r="C332" s="7" t="s">
        <v>757</v>
      </c>
      <c r="D332" s="7" t="s">
        <v>758</v>
      </c>
      <c r="E332" s="7">
        <v>0</v>
      </c>
      <c r="F332" s="8">
        <v>0</v>
      </c>
      <c r="G332" s="9" t="str">
        <f t="shared" si="21"/>
        <v/>
      </c>
      <c r="H332" s="7">
        <v>0</v>
      </c>
      <c r="I332" s="7">
        <v>0</v>
      </c>
      <c r="J332" s="7">
        <v>0</v>
      </c>
      <c r="K332" s="7">
        <v>541</v>
      </c>
      <c r="L332" s="7">
        <v>471</v>
      </c>
      <c r="M332" s="7">
        <f t="shared" si="22"/>
        <v>0</v>
      </c>
      <c r="N332" s="7">
        <f t="shared" si="23"/>
        <v>-541</v>
      </c>
      <c r="O332" s="10" t="str">
        <f t="shared" si="24"/>
        <v/>
      </c>
    </row>
    <row r="333" spans="1:15">
      <c r="A333" s="7" t="s">
        <v>759</v>
      </c>
      <c r="B333" s="7"/>
      <c r="C333" s="7" t="s">
        <v>760</v>
      </c>
      <c r="D333" s="7" t="s">
        <v>761</v>
      </c>
      <c r="E333" s="7">
        <v>2109</v>
      </c>
      <c r="F333" s="8">
        <v>0</v>
      </c>
      <c r="G333" s="9" t="str">
        <f t="shared" si="21"/>
        <v/>
      </c>
      <c r="H333" s="7">
        <v>0</v>
      </c>
      <c r="I333" s="7">
        <v>0</v>
      </c>
      <c r="J333" s="7">
        <v>0</v>
      </c>
      <c r="K333" s="7">
        <f t="shared" ref="K333:K364" si="25">SUM(I333*0.15)</f>
        <v>0</v>
      </c>
      <c r="L333" s="7">
        <v>994</v>
      </c>
      <c r="M333" s="7">
        <f t="shared" si="22"/>
        <v>0</v>
      </c>
      <c r="N333" s="7">
        <f t="shared" si="23"/>
        <v>0</v>
      </c>
      <c r="O333" s="10" t="str">
        <f t="shared" si="24"/>
        <v/>
      </c>
    </row>
    <row r="334" spans="1:15">
      <c r="A334" s="7" t="s">
        <v>762</v>
      </c>
      <c r="B334" s="7"/>
      <c r="C334" s="7" t="s">
        <v>763</v>
      </c>
      <c r="D334" s="7" t="s">
        <v>764</v>
      </c>
      <c r="E334" s="7">
        <v>2373</v>
      </c>
      <c r="F334" s="8">
        <v>0</v>
      </c>
      <c r="G334" s="9" t="str">
        <f t="shared" si="21"/>
        <v/>
      </c>
      <c r="H334" s="7">
        <v>0</v>
      </c>
      <c r="I334" s="7">
        <v>0</v>
      </c>
      <c r="J334" s="7">
        <v>0</v>
      </c>
      <c r="K334" s="7">
        <f t="shared" si="25"/>
        <v>0</v>
      </c>
      <c r="L334" s="7">
        <v>3680</v>
      </c>
      <c r="M334" s="7">
        <f t="shared" si="22"/>
        <v>0</v>
      </c>
      <c r="N334" s="7">
        <f t="shared" si="23"/>
        <v>0</v>
      </c>
      <c r="O334" s="10" t="str">
        <f t="shared" si="24"/>
        <v/>
      </c>
    </row>
    <row r="335" spans="1:15">
      <c r="A335" s="7" t="s">
        <v>765</v>
      </c>
      <c r="B335" s="7"/>
      <c r="C335" s="7" t="s">
        <v>766</v>
      </c>
      <c r="D335" s="7" t="s">
        <v>767</v>
      </c>
      <c r="E335" s="7">
        <v>6</v>
      </c>
      <c r="F335" s="8">
        <v>0</v>
      </c>
      <c r="G335" s="9" t="str">
        <f t="shared" si="21"/>
        <v/>
      </c>
      <c r="H335" s="7">
        <v>0</v>
      </c>
      <c r="I335" s="7">
        <v>0</v>
      </c>
      <c r="J335" s="7">
        <v>0</v>
      </c>
      <c r="K335" s="7">
        <f t="shared" si="25"/>
        <v>0</v>
      </c>
      <c r="L335" s="7">
        <v>196</v>
      </c>
      <c r="M335" s="7">
        <f t="shared" si="22"/>
        <v>0</v>
      </c>
      <c r="N335" s="7">
        <f t="shared" si="23"/>
        <v>0</v>
      </c>
      <c r="O335" s="10" t="str">
        <f t="shared" si="24"/>
        <v/>
      </c>
    </row>
    <row r="336" spans="1:15">
      <c r="A336" s="7" t="s">
        <v>768</v>
      </c>
      <c r="B336" s="7"/>
      <c r="C336" s="7" t="s">
        <v>769</v>
      </c>
      <c r="D336" s="7" t="s">
        <v>767</v>
      </c>
      <c r="E336" s="7">
        <v>3</v>
      </c>
      <c r="F336" s="8">
        <v>0</v>
      </c>
      <c r="G336" s="9" t="str">
        <f t="shared" si="21"/>
        <v/>
      </c>
      <c r="H336" s="7">
        <v>0</v>
      </c>
      <c r="I336" s="7">
        <v>0</v>
      </c>
      <c r="J336" s="7">
        <v>0</v>
      </c>
      <c r="K336" s="7">
        <f t="shared" si="25"/>
        <v>0</v>
      </c>
      <c r="L336" s="7">
        <v>196</v>
      </c>
      <c r="M336" s="7">
        <f t="shared" si="22"/>
        <v>0</v>
      </c>
      <c r="N336" s="7">
        <f t="shared" si="23"/>
        <v>0</v>
      </c>
      <c r="O336" s="10" t="str">
        <f t="shared" si="24"/>
        <v/>
      </c>
    </row>
    <row r="337" spans="1:15">
      <c r="A337" s="7" t="s">
        <v>770</v>
      </c>
      <c r="B337" s="7"/>
      <c r="C337" s="7" t="s">
        <v>771</v>
      </c>
      <c r="D337" s="7" t="s">
        <v>771</v>
      </c>
      <c r="E337" s="7">
        <v>8</v>
      </c>
      <c r="F337" s="8">
        <v>0</v>
      </c>
      <c r="G337" s="9" t="str">
        <f t="shared" si="21"/>
        <v/>
      </c>
      <c r="H337" s="7">
        <v>0</v>
      </c>
      <c r="I337" s="7">
        <v>0</v>
      </c>
      <c r="J337" s="7">
        <v>0</v>
      </c>
      <c r="K337" s="7">
        <f t="shared" si="25"/>
        <v>0</v>
      </c>
      <c r="L337" s="7">
        <v>300</v>
      </c>
      <c r="M337" s="7">
        <f t="shared" si="22"/>
        <v>0</v>
      </c>
      <c r="N337" s="7">
        <f t="shared" si="23"/>
        <v>0</v>
      </c>
      <c r="O337" s="10" t="str">
        <f t="shared" si="24"/>
        <v/>
      </c>
    </row>
    <row r="338" spans="1:15">
      <c r="A338" s="7" t="s">
        <v>772</v>
      </c>
      <c r="B338" s="7"/>
      <c r="C338" s="7" t="s">
        <v>773</v>
      </c>
      <c r="D338" s="7" t="s">
        <v>774</v>
      </c>
      <c r="E338" s="7">
        <v>629</v>
      </c>
      <c r="F338" s="8">
        <v>0</v>
      </c>
      <c r="G338" s="9" t="str">
        <f t="shared" si="21"/>
        <v/>
      </c>
      <c r="H338" s="7">
        <v>0</v>
      </c>
      <c r="I338" s="7">
        <v>0</v>
      </c>
      <c r="J338" s="7">
        <v>0</v>
      </c>
      <c r="K338" s="7">
        <f t="shared" si="25"/>
        <v>0</v>
      </c>
      <c r="L338" s="7">
        <v>541</v>
      </c>
      <c r="M338" s="7">
        <f t="shared" si="22"/>
        <v>0</v>
      </c>
      <c r="N338" s="7">
        <f t="shared" si="23"/>
        <v>0</v>
      </c>
      <c r="O338" s="10" t="str">
        <f t="shared" si="24"/>
        <v/>
      </c>
    </row>
    <row r="339" spans="1:15">
      <c r="A339" s="7" t="s">
        <v>775</v>
      </c>
      <c r="B339" s="7"/>
      <c r="C339" s="7" t="s">
        <v>776</v>
      </c>
      <c r="D339" s="7" t="s">
        <v>777</v>
      </c>
      <c r="E339" s="7">
        <v>6413</v>
      </c>
      <c r="F339" s="8">
        <v>0</v>
      </c>
      <c r="G339" s="9" t="str">
        <f t="shared" si="21"/>
        <v/>
      </c>
      <c r="H339" s="7">
        <v>0</v>
      </c>
      <c r="I339" s="7">
        <v>0</v>
      </c>
      <c r="J339" s="7">
        <v>0</v>
      </c>
      <c r="K339" s="7">
        <f t="shared" si="25"/>
        <v>0</v>
      </c>
      <c r="L339" s="7">
        <v>541</v>
      </c>
      <c r="M339" s="7">
        <f t="shared" si="22"/>
        <v>0</v>
      </c>
      <c r="N339" s="7">
        <f t="shared" si="23"/>
        <v>0</v>
      </c>
      <c r="O339" s="10" t="str">
        <f t="shared" si="24"/>
        <v/>
      </c>
    </row>
    <row r="340" spans="1:15">
      <c r="A340" s="7" t="s">
        <v>778</v>
      </c>
      <c r="B340" s="7"/>
      <c r="C340" s="7" t="s">
        <v>779</v>
      </c>
      <c r="D340" s="7" t="s">
        <v>780</v>
      </c>
      <c r="E340" s="7">
        <v>330</v>
      </c>
      <c r="F340" s="8">
        <v>0</v>
      </c>
      <c r="G340" s="9" t="str">
        <f t="shared" si="21"/>
        <v/>
      </c>
      <c r="H340" s="7">
        <v>0</v>
      </c>
      <c r="I340" s="7">
        <v>0</v>
      </c>
      <c r="J340" s="7">
        <v>0</v>
      </c>
      <c r="K340" s="7">
        <f t="shared" si="25"/>
        <v>0</v>
      </c>
      <c r="L340" s="7">
        <v>437</v>
      </c>
      <c r="M340" s="7">
        <f t="shared" si="22"/>
        <v>0</v>
      </c>
      <c r="N340" s="7">
        <f t="shared" si="23"/>
        <v>0</v>
      </c>
      <c r="O340" s="10" t="str">
        <f t="shared" si="24"/>
        <v/>
      </c>
    </row>
    <row r="341" spans="1:15">
      <c r="A341" s="7" t="s">
        <v>781</v>
      </c>
      <c r="B341" s="7"/>
      <c r="C341" s="7" t="s">
        <v>782</v>
      </c>
      <c r="D341" s="7" t="s">
        <v>783</v>
      </c>
      <c r="E341" s="7">
        <v>173</v>
      </c>
      <c r="F341" s="8">
        <v>0</v>
      </c>
      <c r="G341" s="9" t="str">
        <f t="shared" si="21"/>
        <v/>
      </c>
      <c r="H341" s="7">
        <v>0</v>
      </c>
      <c r="I341" s="7">
        <v>0</v>
      </c>
      <c r="J341" s="7">
        <v>0</v>
      </c>
      <c r="K341" s="7">
        <f t="shared" si="25"/>
        <v>0</v>
      </c>
      <c r="L341" s="7">
        <v>1513</v>
      </c>
      <c r="M341" s="7">
        <f t="shared" si="22"/>
        <v>0</v>
      </c>
      <c r="N341" s="7">
        <f t="shared" si="23"/>
        <v>0</v>
      </c>
      <c r="O341" s="10" t="str">
        <f t="shared" si="24"/>
        <v/>
      </c>
    </row>
    <row r="342" spans="1:15">
      <c r="A342" s="7" t="s">
        <v>784</v>
      </c>
      <c r="B342" s="7"/>
      <c r="C342" s="7" t="s">
        <v>785</v>
      </c>
      <c r="D342" s="7" t="s">
        <v>785</v>
      </c>
      <c r="E342" s="7">
        <v>22</v>
      </c>
      <c r="F342" s="8">
        <v>0</v>
      </c>
      <c r="G342" s="9" t="str">
        <f t="shared" si="21"/>
        <v/>
      </c>
      <c r="H342" s="7">
        <v>0</v>
      </c>
      <c r="I342" s="7">
        <v>0</v>
      </c>
      <c r="J342" s="7">
        <v>0</v>
      </c>
      <c r="K342" s="7">
        <f t="shared" si="25"/>
        <v>0</v>
      </c>
      <c r="L342" s="11">
        <v>792</v>
      </c>
      <c r="M342" s="7">
        <f t="shared" si="22"/>
        <v>0</v>
      </c>
      <c r="N342" s="7">
        <f t="shared" si="23"/>
        <v>0</v>
      </c>
      <c r="O342" s="10" t="str">
        <f t="shared" si="24"/>
        <v/>
      </c>
    </row>
    <row r="343" spans="1:15">
      <c r="A343" s="7" t="s">
        <v>786</v>
      </c>
      <c r="B343" s="7"/>
      <c r="C343" s="7" t="s">
        <v>787</v>
      </c>
      <c r="D343" s="7" t="s">
        <v>788</v>
      </c>
      <c r="E343" s="7">
        <v>834</v>
      </c>
      <c r="F343" s="8">
        <v>0</v>
      </c>
      <c r="G343" s="9" t="str">
        <f t="shared" si="21"/>
        <v/>
      </c>
      <c r="H343" s="7">
        <v>0</v>
      </c>
      <c r="I343" s="7">
        <v>0</v>
      </c>
      <c r="J343" s="7">
        <v>0</v>
      </c>
      <c r="K343" s="7">
        <f t="shared" si="25"/>
        <v>0</v>
      </c>
      <c r="L343" s="7">
        <v>1089</v>
      </c>
      <c r="M343" s="7">
        <f t="shared" si="22"/>
        <v>0</v>
      </c>
      <c r="N343" s="7">
        <f t="shared" si="23"/>
        <v>0</v>
      </c>
      <c r="O343" s="10" t="str">
        <f t="shared" si="24"/>
        <v/>
      </c>
    </row>
    <row r="344" spans="1:15">
      <c r="A344" s="7" t="s">
        <v>789</v>
      </c>
      <c r="B344" s="7"/>
      <c r="C344" s="7" t="s">
        <v>790</v>
      </c>
      <c r="D344" s="7" t="s">
        <v>790</v>
      </c>
      <c r="E344" s="7">
        <v>1644</v>
      </c>
      <c r="F344" s="8">
        <v>0</v>
      </c>
      <c r="G344" s="9" t="str">
        <f t="shared" si="21"/>
        <v/>
      </c>
      <c r="H344" s="7">
        <v>0</v>
      </c>
      <c r="I344" s="7">
        <v>0</v>
      </c>
      <c r="J344" s="7">
        <v>0</v>
      </c>
      <c r="K344" s="7">
        <f t="shared" si="25"/>
        <v>0</v>
      </c>
      <c r="L344" s="7">
        <v>1036</v>
      </c>
      <c r="M344" s="7">
        <f t="shared" si="22"/>
        <v>0</v>
      </c>
      <c r="N344" s="7">
        <f t="shared" si="23"/>
        <v>0</v>
      </c>
      <c r="O344" s="10" t="str">
        <f t="shared" si="24"/>
        <v/>
      </c>
    </row>
    <row r="345" spans="1:15">
      <c r="A345" s="7" t="s">
        <v>791</v>
      </c>
      <c r="B345" s="7"/>
      <c r="C345" s="7" t="s">
        <v>792</v>
      </c>
      <c r="D345" s="7" t="s">
        <v>793</v>
      </c>
      <c r="E345" s="7">
        <v>2179</v>
      </c>
      <c r="F345" s="8">
        <v>0</v>
      </c>
      <c r="G345" s="9" t="str">
        <f t="shared" si="21"/>
        <v/>
      </c>
      <c r="H345" s="7">
        <v>0</v>
      </c>
      <c r="I345" s="7">
        <v>0</v>
      </c>
      <c r="J345" s="7">
        <v>0</v>
      </c>
      <c r="K345" s="7">
        <f t="shared" si="25"/>
        <v>0</v>
      </c>
      <c r="L345" s="7">
        <v>878</v>
      </c>
      <c r="M345" s="7">
        <f t="shared" si="22"/>
        <v>0</v>
      </c>
      <c r="N345" s="7">
        <f t="shared" si="23"/>
        <v>0</v>
      </c>
      <c r="O345" s="10" t="str">
        <f t="shared" si="24"/>
        <v/>
      </c>
    </row>
    <row r="346" spans="1:15">
      <c r="A346" s="7" t="s">
        <v>794</v>
      </c>
      <c r="B346" s="7"/>
      <c r="C346" s="7" t="s">
        <v>795</v>
      </c>
      <c r="D346" s="7" t="s">
        <v>796</v>
      </c>
      <c r="E346" s="7">
        <v>62</v>
      </c>
      <c r="F346" s="8">
        <v>0</v>
      </c>
      <c r="G346" s="9" t="str">
        <f t="shared" si="21"/>
        <v/>
      </c>
      <c r="H346" s="7">
        <v>0</v>
      </c>
      <c r="I346" s="7">
        <v>0</v>
      </c>
      <c r="J346" s="7">
        <v>0</v>
      </c>
      <c r="K346" s="7">
        <f t="shared" si="25"/>
        <v>0</v>
      </c>
      <c r="L346" s="7">
        <v>5293</v>
      </c>
      <c r="M346" s="7">
        <f t="shared" si="22"/>
        <v>0</v>
      </c>
      <c r="N346" s="7">
        <f t="shared" si="23"/>
        <v>0</v>
      </c>
      <c r="O346" s="10" t="str">
        <f t="shared" si="24"/>
        <v/>
      </c>
    </row>
    <row r="347" spans="1:15">
      <c r="A347" s="7" t="s">
        <v>797</v>
      </c>
      <c r="B347" s="7"/>
      <c r="C347" s="7" t="s">
        <v>798</v>
      </c>
      <c r="D347" s="7" t="s">
        <v>764</v>
      </c>
      <c r="E347" s="7">
        <v>495</v>
      </c>
      <c r="F347" s="8">
        <v>0</v>
      </c>
      <c r="G347" s="9" t="str">
        <f t="shared" si="21"/>
        <v/>
      </c>
      <c r="H347" s="7">
        <v>0</v>
      </c>
      <c r="I347" s="7">
        <v>0</v>
      </c>
      <c r="J347" s="7">
        <v>0</v>
      </c>
      <c r="K347" s="7">
        <f t="shared" si="25"/>
        <v>0</v>
      </c>
      <c r="L347" s="7">
        <v>4680</v>
      </c>
      <c r="M347" s="7">
        <f t="shared" si="22"/>
        <v>0</v>
      </c>
      <c r="N347" s="7">
        <f t="shared" si="23"/>
        <v>0</v>
      </c>
      <c r="O347" s="10" t="str">
        <f t="shared" si="24"/>
        <v/>
      </c>
    </row>
    <row r="348" spans="1:15">
      <c r="A348" s="7" t="s">
        <v>799</v>
      </c>
      <c r="B348" s="7"/>
      <c r="C348" s="7" t="s">
        <v>800</v>
      </c>
      <c r="D348" s="7" t="s">
        <v>800</v>
      </c>
      <c r="E348" s="7">
        <v>568</v>
      </c>
      <c r="F348" s="8">
        <v>0</v>
      </c>
      <c r="G348" s="9" t="str">
        <f t="shared" si="21"/>
        <v/>
      </c>
      <c r="H348" s="7">
        <v>0</v>
      </c>
      <c r="I348" s="7">
        <v>0</v>
      </c>
      <c r="J348" s="7">
        <v>0</v>
      </c>
      <c r="K348" s="7">
        <f t="shared" si="25"/>
        <v>0</v>
      </c>
      <c r="L348" s="11">
        <v>0</v>
      </c>
      <c r="M348" s="7">
        <f t="shared" si="22"/>
        <v>0</v>
      </c>
      <c r="N348" s="7">
        <f t="shared" si="23"/>
        <v>0</v>
      </c>
      <c r="O348" s="10" t="str">
        <f t="shared" si="24"/>
        <v/>
      </c>
    </row>
    <row r="349" spans="1:15">
      <c r="A349" s="7" t="s">
        <v>801</v>
      </c>
      <c r="B349" s="7"/>
      <c r="C349" s="7" t="s">
        <v>802</v>
      </c>
      <c r="D349" s="7" t="s">
        <v>802</v>
      </c>
      <c r="E349" s="7">
        <v>1428</v>
      </c>
      <c r="F349" s="8">
        <v>0</v>
      </c>
      <c r="G349" s="9" t="str">
        <f t="shared" si="21"/>
        <v/>
      </c>
      <c r="H349" s="7">
        <v>0</v>
      </c>
      <c r="I349" s="7">
        <v>0</v>
      </c>
      <c r="J349" s="7">
        <v>0</v>
      </c>
      <c r="K349" s="7">
        <f t="shared" si="25"/>
        <v>0</v>
      </c>
      <c r="L349" s="7">
        <v>990</v>
      </c>
      <c r="M349" s="7">
        <f t="shared" si="22"/>
        <v>0</v>
      </c>
      <c r="N349" s="7">
        <f t="shared" si="23"/>
        <v>0</v>
      </c>
      <c r="O349" s="10" t="str">
        <f t="shared" si="24"/>
        <v/>
      </c>
    </row>
    <row r="350" spans="1:15">
      <c r="A350" s="7" t="s">
        <v>803</v>
      </c>
      <c r="B350" s="7"/>
      <c r="C350" s="7" t="s">
        <v>380</v>
      </c>
      <c r="D350" s="7" t="s">
        <v>380</v>
      </c>
      <c r="E350" s="7">
        <v>1</v>
      </c>
      <c r="F350" s="8">
        <v>0</v>
      </c>
      <c r="G350" s="9" t="str">
        <f t="shared" si="21"/>
        <v/>
      </c>
      <c r="H350" s="7">
        <v>0</v>
      </c>
      <c r="I350" s="7">
        <v>0</v>
      </c>
      <c r="J350" s="7">
        <v>0</v>
      </c>
      <c r="K350" s="7">
        <f t="shared" si="25"/>
        <v>0</v>
      </c>
      <c r="L350" s="11">
        <v>0</v>
      </c>
      <c r="M350" s="7">
        <f t="shared" si="22"/>
        <v>0</v>
      </c>
      <c r="N350" s="7">
        <f t="shared" si="23"/>
        <v>0</v>
      </c>
      <c r="O350" s="10" t="str">
        <f t="shared" si="24"/>
        <v/>
      </c>
    </row>
    <row r="351" spans="1:15">
      <c r="A351" s="7" t="s">
        <v>804</v>
      </c>
      <c r="B351" s="7"/>
      <c r="C351" s="7" t="s">
        <v>805</v>
      </c>
      <c r="D351" s="7" t="s">
        <v>805</v>
      </c>
      <c r="E351" s="7">
        <v>264</v>
      </c>
      <c r="F351" s="8">
        <v>0</v>
      </c>
      <c r="G351" s="9" t="str">
        <f t="shared" si="21"/>
        <v/>
      </c>
      <c r="H351" s="7">
        <v>0</v>
      </c>
      <c r="I351" s="7">
        <v>0</v>
      </c>
      <c r="J351" s="7">
        <v>0</v>
      </c>
      <c r="K351" s="7">
        <f t="shared" si="25"/>
        <v>0</v>
      </c>
      <c r="L351" s="7">
        <v>930</v>
      </c>
      <c r="M351" s="7">
        <f t="shared" si="22"/>
        <v>0</v>
      </c>
      <c r="N351" s="7">
        <f t="shared" si="23"/>
        <v>0</v>
      </c>
      <c r="O351" s="10" t="str">
        <f t="shared" si="24"/>
        <v/>
      </c>
    </row>
    <row r="352" spans="1:15">
      <c r="A352" s="7" t="s">
        <v>806</v>
      </c>
      <c r="B352" s="7"/>
      <c r="C352" s="7" t="s">
        <v>807</v>
      </c>
      <c r="D352" s="7" t="s">
        <v>808</v>
      </c>
      <c r="E352" s="7">
        <v>1785</v>
      </c>
      <c r="F352" s="8">
        <v>0</v>
      </c>
      <c r="G352" s="9" t="str">
        <f t="shared" si="21"/>
        <v/>
      </c>
      <c r="H352" s="7">
        <v>0</v>
      </c>
      <c r="I352" s="7">
        <v>0</v>
      </c>
      <c r="J352" s="7">
        <v>0</v>
      </c>
      <c r="K352" s="7">
        <f t="shared" si="25"/>
        <v>0</v>
      </c>
      <c r="L352" s="7">
        <v>915</v>
      </c>
      <c r="M352" s="7">
        <f t="shared" si="22"/>
        <v>0</v>
      </c>
      <c r="N352" s="7">
        <f t="shared" si="23"/>
        <v>0</v>
      </c>
      <c r="O352" s="10" t="str">
        <f t="shared" si="24"/>
        <v/>
      </c>
    </row>
    <row r="353" spans="1:15">
      <c r="A353" s="7" t="s">
        <v>809</v>
      </c>
      <c r="B353" s="7"/>
      <c r="C353" s="7" t="s">
        <v>810</v>
      </c>
      <c r="D353" s="7" t="s">
        <v>811</v>
      </c>
      <c r="E353" s="7">
        <v>251</v>
      </c>
      <c r="F353" s="8">
        <v>0</v>
      </c>
      <c r="G353" s="9" t="str">
        <f t="shared" si="21"/>
        <v/>
      </c>
      <c r="H353" s="7">
        <v>0</v>
      </c>
      <c r="I353" s="7">
        <v>0</v>
      </c>
      <c r="J353" s="7">
        <v>0</v>
      </c>
      <c r="K353" s="7">
        <f t="shared" si="25"/>
        <v>0</v>
      </c>
      <c r="L353" s="7">
        <v>658</v>
      </c>
      <c r="M353" s="7">
        <f t="shared" si="22"/>
        <v>0</v>
      </c>
      <c r="N353" s="7">
        <f t="shared" si="23"/>
        <v>0</v>
      </c>
      <c r="O353" s="10" t="str">
        <f t="shared" si="24"/>
        <v/>
      </c>
    </row>
    <row r="354" spans="1:15">
      <c r="A354" s="7" t="s">
        <v>812</v>
      </c>
      <c r="B354" s="7"/>
      <c r="C354" s="7" t="s">
        <v>813</v>
      </c>
      <c r="D354" s="7" t="s">
        <v>811</v>
      </c>
      <c r="E354" s="7">
        <v>132</v>
      </c>
      <c r="F354" s="8">
        <v>0</v>
      </c>
      <c r="G354" s="9" t="str">
        <f t="shared" si="21"/>
        <v/>
      </c>
      <c r="H354" s="7">
        <v>0</v>
      </c>
      <c r="I354" s="7">
        <v>0</v>
      </c>
      <c r="J354" s="7">
        <v>0</v>
      </c>
      <c r="K354" s="7">
        <f t="shared" si="25"/>
        <v>0</v>
      </c>
      <c r="L354" s="7">
        <v>1316</v>
      </c>
      <c r="M354" s="7">
        <f t="shared" si="22"/>
        <v>0</v>
      </c>
      <c r="N354" s="7">
        <f t="shared" si="23"/>
        <v>0</v>
      </c>
      <c r="O354" s="10" t="str">
        <f t="shared" si="24"/>
        <v/>
      </c>
    </row>
    <row r="355" spans="1:15">
      <c r="A355" s="7" t="s">
        <v>814</v>
      </c>
      <c r="B355" s="7"/>
      <c r="C355" s="7" t="s">
        <v>815</v>
      </c>
      <c r="D355" s="7" t="s">
        <v>815</v>
      </c>
      <c r="E355" s="7">
        <v>31</v>
      </c>
      <c r="F355" s="8">
        <v>0</v>
      </c>
      <c r="G355" s="9" t="str">
        <f t="shared" si="21"/>
        <v/>
      </c>
      <c r="H355" s="7">
        <v>0</v>
      </c>
      <c r="I355" s="7">
        <v>0</v>
      </c>
      <c r="J355" s="7">
        <v>0</v>
      </c>
      <c r="K355" s="7">
        <f t="shared" si="25"/>
        <v>0</v>
      </c>
      <c r="L355" s="7">
        <v>660</v>
      </c>
      <c r="M355" s="7">
        <f t="shared" si="22"/>
        <v>0</v>
      </c>
      <c r="N355" s="7">
        <f t="shared" si="23"/>
        <v>0</v>
      </c>
      <c r="O355" s="10" t="str">
        <f t="shared" si="24"/>
        <v/>
      </c>
    </row>
    <row r="356" spans="1:15">
      <c r="A356" s="7" t="s">
        <v>816</v>
      </c>
      <c r="B356" s="7"/>
      <c r="C356" s="7" t="s">
        <v>817</v>
      </c>
      <c r="D356" s="7" t="s">
        <v>818</v>
      </c>
      <c r="E356" s="7">
        <v>219</v>
      </c>
      <c r="F356" s="8">
        <v>0</v>
      </c>
      <c r="G356" s="9" t="str">
        <f t="shared" si="21"/>
        <v/>
      </c>
      <c r="H356" s="7">
        <v>0</v>
      </c>
      <c r="I356" s="7">
        <v>0</v>
      </c>
      <c r="J356" s="7">
        <v>0</v>
      </c>
      <c r="K356" s="7">
        <f t="shared" si="25"/>
        <v>0</v>
      </c>
      <c r="L356" s="7">
        <v>878</v>
      </c>
      <c r="M356" s="7">
        <f t="shared" si="22"/>
        <v>0</v>
      </c>
      <c r="N356" s="7">
        <f t="shared" si="23"/>
        <v>0</v>
      </c>
      <c r="O356" s="10" t="str">
        <f t="shared" si="24"/>
        <v/>
      </c>
    </row>
    <row r="357" spans="1:15">
      <c r="A357" s="7" t="s">
        <v>819</v>
      </c>
      <c r="B357" s="7"/>
      <c r="C357" s="7" t="s">
        <v>820</v>
      </c>
      <c r="D357" s="7" t="s">
        <v>820</v>
      </c>
      <c r="E357" s="7">
        <v>323</v>
      </c>
      <c r="F357" s="8">
        <v>0</v>
      </c>
      <c r="G357" s="9" t="str">
        <f t="shared" si="21"/>
        <v/>
      </c>
      <c r="H357" s="7">
        <v>0</v>
      </c>
      <c r="I357" s="7">
        <v>0</v>
      </c>
      <c r="J357" s="7">
        <v>0</v>
      </c>
      <c r="K357" s="7">
        <f t="shared" si="25"/>
        <v>0</v>
      </c>
      <c r="L357" s="7">
        <v>1740</v>
      </c>
      <c r="M357" s="7">
        <f t="shared" si="22"/>
        <v>0</v>
      </c>
      <c r="N357" s="7">
        <f t="shared" si="23"/>
        <v>0</v>
      </c>
      <c r="O357" s="10" t="str">
        <f t="shared" si="24"/>
        <v/>
      </c>
    </row>
    <row r="358" spans="1:15">
      <c r="A358" s="7" t="s">
        <v>821</v>
      </c>
      <c r="B358" s="7"/>
      <c r="C358" s="7" t="s">
        <v>822</v>
      </c>
      <c r="D358" s="7" t="s">
        <v>292</v>
      </c>
      <c r="E358" s="7">
        <v>235</v>
      </c>
      <c r="F358" s="8">
        <v>0</v>
      </c>
      <c r="G358" s="9" t="str">
        <f t="shared" si="21"/>
        <v/>
      </c>
      <c r="H358" s="7">
        <v>0</v>
      </c>
      <c r="I358" s="7">
        <v>0</v>
      </c>
      <c r="J358" s="7">
        <v>0</v>
      </c>
      <c r="K358" s="7">
        <f t="shared" si="25"/>
        <v>0</v>
      </c>
      <c r="L358" s="7">
        <v>8000</v>
      </c>
      <c r="M358" s="7">
        <f t="shared" si="22"/>
        <v>0</v>
      </c>
      <c r="N358" s="7">
        <f t="shared" si="23"/>
        <v>0</v>
      </c>
      <c r="O358" s="10" t="str">
        <f t="shared" si="24"/>
        <v/>
      </c>
    </row>
    <row r="359" spans="1:15">
      <c r="A359" s="7" t="s">
        <v>823</v>
      </c>
      <c r="B359" s="7"/>
      <c r="C359" s="7" t="s">
        <v>824</v>
      </c>
      <c r="D359" s="7" t="s">
        <v>824</v>
      </c>
      <c r="E359" s="7">
        <v>2</v>
      </c>
      <c r="F359" s="8">
        <v>0</v>
      </c>
      <c r="G359" s="9" t="str">
        <f t="shared" si="21"/>
        <v/>
      </c>
      <c r="H359" s="7">
        <v>0</v>
      </c>
      <c r="I359" s="7">
        <v>0</v>
      </c>
      <c r="J359" s="7">
        <v>0</v>
      </c>
      <c r="K359" s="7">
        <f t="shared" si="25"/>
        <v>0</v>
      </c>
      <c r="L359" s="7">
        <v>800</v>
      </c>
      <c r="M359" s="7">
        <f t="shared" si="22"/>
        <v>0</v>
      </c>
      <c r="N359" s="7">
        <f t="shared" si="23"/>
        <v>0</v>
      </c>
      <c r="O359" s="10" t="str">
        <f t="shared" si="24"/>
        <v/>
      </c>
    </row>
    <row r="360" spans="1:15">
      <c r="A360" s="7" t="s">
        <v>825</v>
      </c>
      <c r="B360" s="7"/>
      <c r="C360" s="7" t="s">
        <v>826</v>
      </c>
      <c r="D360" s="7" t="s">
        <v>826</v>
      </c>
      <c r="E360" s="7">
        <v>56</v>
      </c>
      <c r="F360" s="8">
        <v>0</v>
      </c>
      <c r="G360" s="9" t="str">
        <f t="shared" si="21"/>
        <v/>
      </c>
      <c r="H360" s="7">
        <v>0</v>
      </c>
      <c r="I360" s="7">
        <v>0</v>
      </c>
      <c r="J360" s="7">
        <v>0</v>
      </c>
      <c r="K360" s="7">
        <f t="shared" si="25"/>
        <v>0</v>
      </c>
      <c r="L360" s="7">
        <v>495</v>
      </c>
      <c r="M360" s="7">
        <f t="shared" si="22"/>
        <v>0</v>
      </c>
      <c r="N360" s="7">
        <f t="shared" si="23"/>
        <v>0</v>
      </c>
      <c r="O360" s="10" t="str">
        <f t="shared" si="24"/>
        <v/>
      </c>
    </row>
    <row r="361" spans="1:15">
      <c r="A361" s="7" t="s">
        <v>827</v>
      </c>
      <c r="B361" s="7"/>
      <c r="C361" s="7" t="s">
        <v>828</v>
      </c>
      <c r="D361" s="7" t="s">
        <v>828</v>
      </c>
      <c r="E361" s="7">
        <v>1</v>
      </c>
      <c r="F361" s="8">
        <v>0</v>
      </c>
      <c r="G361" s="9" t="str">
        <f t="shared" si="21"/>
        <v/>
      </c>
      <c r="H361" s="7">
        <v>0</v>
      </c>
      <c r="I361" s="7">
        <v>0</v>
      </c>
      <c r="J361" s="7">
        <v>0</v>
      </c>
      <c r="K361" s="7">
        <f t="shared" si="25"/>
        <v>0</v>
      </c>
      <c r="L361" s="7">
        <v>10679</v>
      </c>
      <c r="M361" s="7">
        <f t="shared" si="22"/>
        <v>0</v>
      </c>
      <c r="N361" s="7">
        <f t="shared" si="23"/>
        <v>0</v>
      </c>
      <c r="O361" s="10" t="str">
        <f t="shared" si="24"/>
        <v/>
      </c>
    </row>
    <row r="362" spans="1:15">
      <c r="A362" s="7" t="s">
        <v>829</v>
      </c>
      <c r="B362" s="7"/>
      <c r="C362" s="7" t="s">
        <v>830</v>
      </c>
      <c r="D362" s="7" t="s">
        <v>830</v>
      </c>
      <c r="E362" s="7">
        <v>5</v>
      </c>
      <c r="F362" s="8">
        <v>0</v>
      </c>
      <c r="G362" s="9" t="str">
        <f t="shared" si="21"/>
        <v/>
      </c>
      <c r="H362" s="7">
        <v>0</v>
      </c>
      <c r="I362" s="7">
        <v>0</v>
      </c>
      <c r="J362" s="7">
        <v>0</v>
      </c>
      <c r="K362" s="7">
        <f t="shared" si="25"/>
        <v>0</v>
      </c>
      <c r="L362" s="7">
        <v>1650</v>
      </c>
      <c r="M362" s="7">
        <f t="shared" si="22"/>
        <v>0</v>
      </c>
      <c r="N362" s="7">
        <f t="shared" si="23"/>
        <v>0</v>
      </c>
      <c r="O362" s="10" t="str">
        <f t="shared" si="24"/>
        <v/>
      </c>
    </row>
    <row r="363" spans="1:15">
      <c r="A363" s="7" t="s">
        <v>831</v>
      </c>
      <c r="B363" s="7"/>
      <c r="C363" s="7" t="s">
        <v>832</v>
      </c>
      <c r="D363" s="7" t="s">
        <v>832</v>
      </c>
      <c r="E363" s="7">
        <v>1</v>
      </c>
      <c r="F363" s="8">
        <v>0</v>
      </c>
      <c r="G363" s="9" t="str">
        <f t="shared" si="21"/>
        <v/>
      </c>
      <c r="H363" s="7">
        <v>0</v>
      </c>
      <c r="I363" s="7">
        <v>0</v>
      </c>
      <c r="J363" s="7">
        <v>0</v>
      </c>
      <c r="K363" s="7">
        <f t="shared" si="25"/>
        <v>0</v>
      </c>
      <c r="L363" s="7">
        <v>1650</v>
      </c>
      <c r="M363" s="7">
        <f t="shared" si="22"/>
        <v>0</v>
      </c>
      <c r="N363" s="7">
        <f t="shared" si="23"/>
        <v>0</v>
      </c>
      <c r="O363" s="10" t="str">
        <f t="shared" si="24"/>
        <v/>
      </c>
    </row>
    <row r="364" spans="1:15">
      <c r="A364" s="7" t="s">
        <v>833</v>
      </c>
      <c r="B364" s="7"/>
      <c r="C364" s="7" t="s">
        <v>834</v>
      </c>
      <c r="D364" s="7" t="s">
        <v>834</v>
      </c>
      <c r="E364" s="7">
        <v>1</v>
      </c>
      <c r="F364" s="8">
        <v>0</v>
      </c>
      <c r="G364" s="9" t="str">
        <f t="shared" si="21"/>
        <v/>
      </c>
      <c r="H364" s="7">
        <v>0</v>
      </c>
      <c r="I364" s="7">
        <v>0</v>
      </c>
      <c r="J364" s="7">
        <v>0</v>
      </c>
      <c r="K364" s="7">
        <f t="shared" si="25"/>
        <v>0</v>
      </c>
      <c r="L364" s="7">
        <v>1650</v>
      </c>
      <c r="M364" s="7">
        <f t="shared" si="22"/>
        <v>0</v>
      </c>
      <c r="N364" s="7">
        <f t="shared" si="23"/>
        <v>0</v>
      </c>
      <c r="O364" s="10" t="str">
        <f t="shared" si="24"/>
        <v/>
      </c>
    </row>
    <row r="365" spans="1:15">
      <c r="A365" s="7" t="s">
        <v>835</v>
      </c>
      <c r="B365" s="7"/>
      <c r="C365" s="7" t="s">
        <v>836</v>
      </c>
      <c r="D365" s="7" t="s">
        <v>836</v>
      </c>
      <c r="E365" s="7">
        <v>191</v>
      </c>
      <c r="F365" s="8">
        <v>0</v>
      </c>
      <c r="G365" s="9" t="str">
        <f t="shared" si="21"/>
        <v/>
      </c>
      <c r="H365" s="7">
        <v>0</v>
      </c>
      <c r="I365" s="7">
        <v>0</v>
      </c>
      <c r="J365" s="7">
        <v>0</v>
      </c>
      <c r="K365" s="7">
        <f t="shared" ref="K365:K396" si="26">SUM(I365*0.15)</f>
        <v>0</v>
      </c>
      <c r="L365" s="7">
        <v>850</v>
      </c>
      <c r="M365" s="7">
        <f t="shared" si="22"/>
        <v>0</v>
      </c>
      <c r="N365" s="7">
        <f t="shared" si="23"/>
        <v>0</v>
      </c>
      <c r="O365" s="10" t="str">
        <f t="shared" si="24"/>
        <v/>
      </c>
    </row>
    <row r="366" spans="1:15">
      <c r="A366" s="7" t="s">
        <v>837</v>
      </c>
      <c r="B366" s="7"/>
      <c r="C366" s="7" t="s">
        <v>838</v>
      </c>
      <c r="D366" s="7" t="s">
        <v>839</v>
      </c>
      <c r="E366" s="7">
        <v>1304</v>
      </c>
      <c r="F366" s="8">
        <v>0</v>
      </c>
      <c r="G366" s="9" t="str">
        <f t="shared" si="21"/>
        <v/>
      </c>
      <c r="H366" s="7">
        <v>0</v>
      </c>
      <c r="I366" s="7">
        <v>0</v>
      </c>
      <c r="J366" s="7">
        <v>0</v>
      </c>
      <c r="K366" s="7">
        <f t="shared" si="26"/>
        <v>0</v>
      </c>
      <c r="L366" s="7">
        <v>1056</v>
      </c>
      <c r="M366" s="7">
        <f t="shared" si="22"/>
        <v>0</v>
      </c>
      <c r="N366" s="7">
        <f t="shared" si="23"/>
        <v>0</v>
      </c>
      <c r="O366" s="10" t="str">
        <f t="shared" si="24"/>
        <v/>
      </c>
    </row>
    <row r="367" spans="1:15">
      <c r="A367" s="7" t="s">
        <v>840</v>
      </c>
      <c r="B367" s="7"/>
      <c r="C367" s="7" t="s">
        <v>841</v>
      </c>
      <c r="D367" s="7" t="s">
        <v>841</v>
      </c>
      <c r="E367" s="7">
        <v>10</v>
      </c>
      <c r="F367" s="8">
        <v>0</v>
      </c>
      <c r="G367" s="9" t="str">
        <f t="shared" si="21"/>
        <v/>
      </c>
      <c r="H367" s="7">
        <v>0</v>
      </c>
      <c r="I367" s="7">
        <v>0</v>
      </c>
      <c r="J367" s="7">
        <v>0</v>
      </c>
      <c r="K367" s="7">
        <f t="shared" si="26"/>
        <v>0</v>
      </c>
      <c r="L367" s="7">
        <v>1663</v>
      </c>
      <c r="M367" s="7">
        <f t="shared" si="22"/>
        <v>0</v>
      </c>
      <c r="N367" s="7">
        <f t="shared" si="23"/>
        <v>0</v>
      </c>
      <c r="O367" s="10" t="str">
        <f t="shared" si="24"/>
        <v/>
      </c>
    </row>
    <row r="368" spans="1:15">
      <c r="A368" s="7" t="s">
        <v>842</v>
      </c>
      <c r="B368" s="7"/>
      <c r="C368" s="7" t="s">
        <v>843</v>
      </c>
      <c r="D368" s="7" t="s">
        <v>844</v>
      </c>
      <c r="E368" s="7">
        <v>128</v>
      </c>
      <c r="F368" s="8">
        <v>0</v>
      </c>
      <c r="G368" s="9" t="str">
        <f t="shared" si="21"/>
        <v/>
      </c>
      <c r="H368" s="7">
        <v>0</v>
      </c>
      <c r="I368" s="7">
        <v>0</v>
      </c>
      <c r="J368" s="7">
        <v>0</v>
      </c>
      <c r="K368" s="7">
        <f t="shared" si="26"/>
        <v>0</v>
      </c>
      <c r="L368" s="7">
        <v>598</v>
      </c>
      <c r="M368" s="7">
        <f t="shared" si="22"/>
        <v>0</v>
      </c>
      <c r="N368" s="7">
        <f t="shared" si="23"/>
        <v>0</v>
      </c>
      <c r="O368" s="10" t="str">
        <f t="shared" si="24"/>
        <v/>
      </c>
    </row>
    <row r="369" spans="1:15">
      <c r="A369" s="7" t="s">
        <v>845</v>
      </c>
      <c r="B369" s="7"/>
      <c r="C369" s="7" t="s">
        <v>846</v>
      </c>
      <c r="D369" s="7" t="s">
        <v>846</v>
      </c>
      <c r="E369" s="7">
        <v>111</v>
      </c>
      <c r="F369" s="8">
        <v>0</v>
      </c>
      <c r="G369" s="9" t="str">
        <f t="shared" si="21"/>
        <v/>
      </c>
      <c r="H369" s="7">
        <v>0</v>
      </c>
      <c r="I369" s="7">
        <v>0</v>
      </c>
      <c r="J369" s="7">
        <v>0</v>
      </c>
      <c r="K369" s="7">
        <f t="shared" si="26"/>
        <v>0</v>
      </c>
      <c r="L369" s="7">
        <v>1460</v>
      </c>
      <c r="M369" s="7">
        <f t="shared" si="22"/>
        <v>0</v>
      </c>
      <c r="N369" s="7">
        <f t="shared" si="23"/>
        <v>0</v>
      </c>
      <c r="O369" s="10" t="str">
        <f t="shared" si="24"/>
        <v/>
      </c>
    </row>
    <row r="370" spans="1:15">
      <c r="A370" s="7" t="s">
        <v>847</v>
      </c>
      <c r="B370" s="7"/>
      <c r="C370" s="7" t="s">
        <v>848</v>
      </c>
      <c r="D370" s="7" t="s">
        <v>848</v>
      </c>
      <c r="E370" s="7">
        <v>66</v>
      </c>
      <c r="F370" s="8">
        <v>0</v>
      </c>
      <c r="G370" s="9" t="str">
        <f t="shared" si="21"/>
        <v/>
      </c>
      <c r="H370" s="7">
        <v>0</v>
      </c>
      <c r="I370" s="7">
        <v>0</v>
      </c>
      <c r="J370" s="7">
        <v>0</v>
      </c>
      <c r="K370" s="7">
        <f t="shared" si="26"/>
        <v>0</v>
      </c>
      <c r="L370" s="7">
        <v>1826</v>
      </c>
      <c r="M370" s="7">
        <f t="shared" si="22"/>
        <v>0</v>
      </c>
      <c r="N370" s="7">
        <f t="shared" si="23"/>
        <v>0</v>
      </c>
      <c r="O370" s="10" t="str">
        <f t="shared" si="24"/>
        <v/>
      </c>
    </row>
    <row r="371" spans="1:15">
      <c r="A371" s="7" t="s">
        <v>849</v>
      </c>
      <c r="B371" s="7"/>
      <c r="C371" s="7" t="s">
        <v>850</v>
      </c>
      <c r="D371" s="7" t="s">
        <v>851</v>
      </c>
      <c r="E371" s="7">
        <v>579</v>
      </c>
      <c r="F371" s="8">
        <v>0</v>
      </c>
      <c r="G371" s="9" t="str">
        <f t="shared" si="21"/>
        <v/>
      </c>
      <c r="H371" s="7">
        <v>0</v>
      </c>
      <c r="I371" s="7">
        <v>0</v>
      </c>
      <c r="J371" s="7">
        <v>0</v>
      </c>
      <c r="K371" s="7">
        <f t="shared" si="26"/>
        <v>0</v>
      </c>
      <c r="L371" s="7">
        <v>584</v>
      </c>
      <c r="M371" s="7">
        <f t="shared" si="22"/>
        <v>0</v>
      </c>
      <c r="N371" s="7">
        <f t="shared" si="23"/>
        <v>0</v>
      </c>
      <c r="O371" s="10" t="str">
        <f t="shared" si="24"/>
        <v/>
      </c>
    </row>
    <row r="372" spans="1:15">
      <c r="A372" s="7" t="s">
        <v>852</v>
      </c>
      <c r="B372" s="7"/>
      <c r="C372" s="7" t="s">
        <v>853</v>
      </c>
      <c r="D372" s="7" t="s">
        <v>851</v>
      </c>
      <c r="E372" s="7">
        <v>523</v>
      </c>
      <c r="F372" s="8">
        <v>0</v>
      </c>
      <c r="G372" s="9" t="str">
        <f t="shared" si="21"/>
        <v/>
      </c>
      <c r="H372" s="7">
        <v>0</v>
      </c>
      <c r="I372" s="7">
        <v>0</v>
      </c>
      <c r="J372" s="7">
        <v>0</v>
      </c>
      <c r="K372" s="7">
        <f t="shared" si="26"/>
        <v>0</v>
      </c>
      <c r="L372" s="7">
        <v>980</v>
      </c>
      <c r="M372" s="7">
        <f t="shared" si="22"/>
        <v>0</v>
      </c>
      <c r="N372" s="7">
        <f t="shared" si="23"/>
        <v>0</v>
      </c>
      <c r="O372" s="10" t="str">
        <f t="shared" si="24"/>
        <v/>
      </c>
    </row>
    <row r="373" spans="1:15">
      <c r="A373" s="7" t="s">
        <v>854</v>
      </c>
      <c r="B373" s="7"/>
      <c r="C373" s="7" t="s">
        <v>855</v>
      </c>
      <c r="D373" s="7" t="s">
        <v>856</v>
      </c>
      <c r="E373" s="7">
        <v>170</v>
      </c>
      <c r="F373" s="8">
        <v>0</v>
      </c>
      <c r="G373" s="9" t="str">
        <f t="shared" si="21"/>
        <v/>
      </c>
      <c r="H373" s="7">
        <v>0</v>
      </c>
      <c r="I373" s="7">
        <v>0</v>
      </c>
      <c r="J373" s="7">
        <v>0</v>
      </c>
      <c r="K373" s="7">
        <f t="shared" si="26"/>
        <v>0</v>
      </c>
      <c r="L373" s="7">
        <v>827</v>
      </c>
      <c r="M373" s="7">
        <f t="shared" si="22"/>
        <v>0</v>
      </c>
      <c r="N373" s="7">
        <f t="shared" si="23"/>
        <v>0</v>
      </c>
      <c r="O373" s="10" t="str">
        <f t="shared" si="24"/>
        <v/>
      </c>
    </row>
    <row r="374" spans="1:15">
      <c r="A374" s="7" t="s">
        <v>857</v>
      </c>
      <c r="B374" s="7"/>
      <c r="C374" s="7" t="s">
        <v>858</v>
      </c>
      <c r="D374" s="7" t="s">
        <v>858</v>
      </c>
      <c r="E374" s="7">
        <v>12</v>
      </c>
      <c r="F374" s="8">
        <v>0</v>
      </c>
      <c r="G374" s="9" t="str">
        <f t="shared" si="21"/>
        <v/>
      </c>
      <c r="H374" s="7">
        <v>0</v>
      </c>
      <c r="I374" s="7">
        <v>0</v>
      </c>
      <c r="J374" s="7">
        <v>0</v>
      </c>
      <c r="K374" s="7">
        <f t="shared" si="26"/>
        <v>0</v>
      </c>
      <c r="L374" s="7">
        <v>4889</v>
      </c>
      <c r="M374" s="7">
        <f t="shared" si="22"/>
        <v>0</v>
      </c>
      <c r="N374" s="7">
        <f t="shared" si="23"/>
        <v>0</v>
      </c>
      <c r="O374" s="10" t="str">
        <f t="shared" si="24"/>
        <v/>
      </c>
    </row>
    <row r="375" spans="1:15">
      <c r="A375" s="7" t="s">
        <v>859</v>
      </c>
      <c r="B375" s="7"/>
      <c r="C375" s="7" t="s">
        <v>860</v>
      </c>
      <c r="D375" s="7" t="s">
        <v>860</v>
      </c>
      <c r="E375" s="7">
        <v>51</v>
      </c>
      <c r="F375" s="8">
        <v>0</v>
      </c>
      <c r="G375" s="9" t="str">
        <f t="shared" si="21"/>
        <v/>
      </c>
      <c r="H375" s="7">
        <v>0</v>
      </c>
      <c r="I375" s="7">
        <v>0</v>
      </c>
      <c r="J375" s="7">
        <v>0</v>
      </c>
      <c r="K375" s="7">
        <f t="shared" si="26"/>
        <v>0</v>
      </c>
      <c r="L375" s="7">
        <v>1280</v>
      </c>
      <c r="M375" s="7">
        <f t="shared" si="22"/>
        <v>0</v>
      </c>
      <c r="N375" s="7">
        <f t="shared" si="23"/>
        <v>0</v>
      </c>
      <c r="O375" s="10" t="str">
        <f t="shared" si="24"/>
        <v/>
      </c>
    </row>
    <row r="376" spans="1:15">
      <c r="A376" s="7" t="s">
        <v>861</v>
      </c>
      <c r="B376" s="7"/>
      <c r="C376" s="7" t="s">
        <v>862</v>
      </c>
      <c r="D376" s="7" t="s">
        <v>863</v>
      </c>
      <c r="E376" s="7">
        <v>859</v>
      </c>
      <c r="F376" s="8">
        <v>0</v>
      </c>
      <c r="G376" s="9" t="str">
        <f t="shared" si="21"/>
        <v/>
      </c>
      <c r="H376" s="7">
        <v>0</v>
      </c>
      <c r="I376" s="7">
        <v>0</v>
      </c>
      <c r="J376" s="7">
        <v>0</v>
      </c>
      <c r="K376" s="7">
        <f t="shared" si="26"/>
        <v>0</v>
      </c>
      <c r="L376" s="11">
        <v>0</v>
      </c>
      <c r="M376" s="7">
        <f t="shared" si="22"/>
        <v>0</v>
      </c>
      <c r="N376" s="7">
        <f t="shared" si="23"/>
        <v>0</v>
      </c>
      <c r="O376" s="10" t="str">
        <f t="shared" si="24"/>
        <v/>
      </c>
    </row>
    <row r="377" spans="1:15">
      <c r="A377" s="7" t="s">
        <v>864</v>
      </c>
      <c r="B377" s="7"/>
      <c r="C377" s="7" t="s">
        <v>865</v>
      </c>
      <c r="D377" s="7" t="s">
        <v>866</v>
      </c>
      <c r="E377" s="7">
        <v>310</v>
      </c>
      <c r="F377" s="8">
        <v>0</v>
      </c>
      <c r="G377" s="9" t="str">
        <f t="shared" si="21"/>
        <v/>
      </c>
      <c r="H377" s="7">
        <v>0</v>
      </c>
      <c r="I377" s="7">
        <v>0</v>
      </c>
      <c r="J377" s="7">
        <v>0</v>
      </c>
      <c r="K377" s="7">
        <f t="shared" si="26"/>
        <v>0</v>
      </c>
      <c r="L377" s="11">
        <v>0</v>
      </c>
      <c r="M377" s="7">
        <f t="shared" si="22"/>
        <v>0</v>
      </c>
      <c r="N377" s="7">
        <f t="shared" si="23"/>
        <v>0</v>
      </c>
      <c r="O377" s="10" t="str">
        <f t="shared" si="24"/>
        <v/>
      </c>
    </row>
    <row r="378" spans="1:15">
      <c r="A378" s="7" t="s">
        <v>867</v>
      </c>
      <c r="B378" s="7"/>
      <c r="C378" s="7" t="s">
        <v>660</v>
      </c>
      <c r="D378" s="7" t="s">
        <v>660</v>
      </c>
      <c r="E378" s="7">
        <v>1</v>
      </c>
      <c r="F378" s="8">
        <v>0</v>
      </c>
      <c r="G378" s="9" t="str">
        <f t="shared" si="21"/>
        <v/>
      </c>
      <c r="H378" s="7">
        <v>0</v>
      </c>
      <c r="I378" s="7">
        <v>0</v>
      </c>
      <c r="J378" s="7">
        <v>0</v>
      </c>
      <c r="K378" s="7">
        <f t="shared" si="26"/>
        <v>0</v>
      </c>
      <c r="L378" s="11">
        <v>0</v>
      </c>
      <c r="M378" s="7">
        <f t="shared" si="22"/>
        <v>0</v>
      </c>
      <c r="N378" s="7">
        <f t="shared" si="23"/>
        <v>0</v>
      </c>
      <c r="O378" s="10" t="str">
        <f t="shared" si="24"/>
        <v/>
      </c>
    </row>
    <row r="379" spans="1:15">
      <c r="A379" s="7" t="s">
        <v>868</v>
      </c>
      <c r="B379" s="7"/>
      <c r="C379" s="7" t="s">
        <v>869</v>
      </c>
      <c r="D379" s="7" t="s">
        <v>870</v>
      </c>
      <c r="E379" s="7">
        <v>93</v>
      </c>
      <c r="F379" s="8">
        <v>0</v>
      </c>
      <c r="G379" s="9" t="str">
        <f t="shared" si="21"/>
        <v/>
      </c>
      <c r="H379" s="7">
        <v>0</v>
      </c>
      <c r="I379" s="7">
        <v>0</v>
      </c>
      <c r="J379" s="7">
        <v>0</v>
      </c>
      <c r="K379" s="7">
        <f t="shared" si="26"/>
        <v>0</v>
      </c>
      <c r="L379" s="11">
        <v>0</v>
      </c>
      <c r="M379" s="7">
        <f t="shared" si="22"/>
        <v>0</v>
      </c>
      <c r="N379" s="7">
        <f t="shared" si="23"/>
        <v>0</v>
      </c>
      <c r="O379" s="10" t="str">
        <f t="shared" si="24"/>
        <v/>
      </c>
    </row>
    <row r="380" spans="1:15">
      <c r="A380" s="7" t="s">
        <v>871</v>
      </c>
      <c r="B380" s="7"/>
      <c r="C380" s="7" t="s">
        <v>872</v>
      </c>
      <c r="D380" s="7" t="s">
        <v>873</v>
      </c>
      <c r="E380" s="7">
        <v>354</v>
      </c>
      <c r="F380" s="8">
        <v>0</v>
      </c>
      <c r="G380" s="9" t="str">
        <f t="shared" si="21"/>
        <v/>
      </c>
      <c r="H380" s="7">
        <v>0</v>
      </c>
      <c r="I380" s="7">
        <v>0</v>
      </c>
      <c r="J380" s="7">
        <v>0</v>
      </c>
      <c r="K380" s="7">
        <f t="shared" si="26"/>
        <v>0</v>
      </c>
      <c r="L380" s="7">
        <v>980</v>
      </c>
      <c r="M380" s="7">
        <f t="shared" si="22"/>
        <v>0</v>
      </c>
      <c r="N380" s="7">
        <f t="shared" si="23"/>
        <v>0</v>
      </c>
      <c r="O380" s="10" t="str">
        <f t="shared" si="24"/>
        <v/>
      </c>
    </row>
    <row r="381" spans="1:15">
      <c r="A381" s="7" t="s">
        <v>874</v>
      </c>
      <c r="B381" s="7"/>
      <c r="C381" s="7" t="s">
        <v>875</v>
      </c>
      <c r="D381" s="7" t="s">
        <v>876</v>
      </c>
      <c r="E381" s="7">
        <v>984</v>
      </c>
      <c r="F381" s="8">
        <v>0</v>
      </c>
      <c r="G381" s="9" t="str">
        <f t="shared" si="21"/>
        <v/>
      </c>
      <c r="H381" s="7">
        <v>0</v>
      </c>
      <c r="I381" s="7">
        <v>0</v>
      </c>
      <c r="J381" s="7">
        <v>0</v>
      </c>
      <c r="K381" s="7">
        <f t="shared" si="26"/>
        <v>0</v>
      </c>
      <c r="L381" s="7">
        <v>2283</v>
      </c>
      <c r="M381" s="7">
        <f t="shared" si="22"/>
        <v>0</v>
      </c>
      <c r="N381" s="7">
        <f t="shared" si="23"/>
        <v>0</v>
      </c>
      <c r="O381" s="10" t="str">
        <f t="shared" si="24"/>
        <v/>
      </c>
    </row>
    <row r="382" spans="1:15">
      <c r="A382" s="7" t="s">
        <v>877</v>
      </c>
      <c r="B382" s="7"/>
      <c r="C382" s="7" t="s">
        <v>878</v>
      </c>
      <c r="D382" s="7" t="s">
        <v>878</v>
      </c>
      <c r="E382" s="7">
        <v>110</v>
      </c>
      <c r="F382" s="8">
        <v>0</v>
      </c>
      <c r="G382" s="9" t="str">
        <f t="shared" si="21"/>
        <v/>
      </c>
      <c r="H382" s="7">
        <v>0</v>
      </c>
      <c r="I382" s="7">
        <v>0</v>
      </c>
      <c r="J382" s="7">
        <v>0</v>
      </c>
      <c r="K382" s="7">
        <f t="shared" si="26"/>
        <v>0</v>
      </c>
      <c r="L382" s="11">
        <v>0</v>
      </c>
      <c r="M382" s="7">
        <f t="shared" si="22"/>
        <v>0</v>
      </c>
      <c r="N382" s="7">
        <f t="shared" si="23"/>
        <v>0</v>
      </c>
      <c r="O382" s="10" t="str">
        <f t="shared" si="24"/>
        <v/>
      </c>
    </row>
    <row r="383" spans="1:15">
      <c r="A383" s="7" t="s">
        <v>879</v>
      </c>
      <c r="B383" s="7"/>
      <c r="C383" s="7" t="s">
        <v>880</v>
      </c>
      <c r="D383" s="7" t="s">
        <v>880</v>
      </c>
      <c r="E383" s="7">
        <v>1</v>
      </c>
      <c r="F383" s="8">
        <v>0</v>
      </c>
      <c r="G383" s="9" t="str">
        <f t="shared" si="21"/>
        <v/>
      </c>
      <c r="H383" s="7">
        <v>0</v>
      </c>
      <c r="I383" s="7">
        <v>0</v>
      </c>
      <c r="J383" s="7">
        <v>0</v>
      </c>
      <c r="K383" s="7">
        <f t="shared" si="26"/>
        <v>0</v>
      </c>
      <c r="L383" s="7">
        <v>2750</v>
      </c>
      <c r="M383" s="7">
        <f t="shared" si="22"/>
        <v>0</v>
      </c>
      <c r="N383" s="7">
        <f t="shared" si="23"/>
        <v>0</v>
      </c>
      <c r="O383" s="10" t="str">
        <f t="shared" si="24"/>
        <v/>
      </c>
    </row>
    <row r="384" spans="1:15">
      <c r="A384" s="7" t="s">
        <v>881</v>
      </c>
      <c r="B384" s="7"/>
      <c r="C384" s="7" t="s">
        <v>882</v>
      </c>
      <c r="D384" s="7" t="s">
        <v>883</v>
      </c>
      <c r="E384" s="7">
        <v>332</v>
      </c>
      <c r="F384" s="8">
        <v>0</v>
      </c>
      <c r="G384" s="9" t="str">
        <f t="shared" si="21"/>
        <v/>
      </c>
      <c r="H384" s="7">
        <v>0</v>
      </c>
      <c r="I384" s="7">
        <v>0</v>
      </c>
      <c r="J384" s="7">
        <v>0</v>
      </c>
      <c r="K384" s="7">
        <f t="shared" si="26"/>
        <v>0</v>
      </c>
      <c r="L384" s="7">
        <v>878</v>
      </c>
      <c r="M384" s="7">
        <f t="shared" si="22"/>
        <v>0</v>
      </c>
      <c r="N384" s="7">
        <f t="shared" si="23"/>
        <v>0</v>
      </c>
      <c r="O384" s="10" t="str">
        <f t="shared" si="24"/>
        <v/>
      </c>
    </row>
    <row r="385" spans="1:15">
      <c r="A385" s="7" t="s">
        <v>884</v>
      </c>
      <c r="B385" s="7"/>
      <c r="C385" s="7" t="s">
        <v>885</v>
      </c>
      <c r="D385" s="7" t="s">
        <v>885</v>
      </c>
      <c r="E385" s="7">
        <v>265</v>
      </c>
      <c r="F385" s="8">
        <v>0</v>
      </c>
      <c r="G385" s="9" t="str">
        <f t="shared" si="21"/>
        <v/>
      </c>
      <c r="H385" s="7">
        <v>0</v>
      </c>
      <c r="I385" s="7">
        <v>0</v>
      </c>
      <c r="J385" s="7">
        <v>0</v>
      </c>
      <c r="K385" s="7">
        <f t="shared" si="26"/>
        <v>0</v>
      </c>
      <c r="L385" s="7">
        <v>1340</v>
      </c>
      <c r="M385" s="7">
        <f t="shared" si="22"/>
        <v>0</v>
      </c>
      <c r="N385" s="7">
        <f t="shared" si="23"/>
        <v>0</v>
      </c>
      <c r="O385" s="10" t="str">
        <f t="shared" si="24"/>
        <v/>
      </c>
    </row>
    <row r="386" spans="1:15">
      <c r="A386" s="7" t="s">
        <v>886</v>
      </c>
      <c r="B386" s="7"/>
      <c r="C386" s="7" t="s">
        <v>887</v>
      </c>
      <c r="D386" s="7" t="s">
        <v>888</v>
      </c>
      <c r="E386" s="7">
        <v>327</v>
      </c>
      <c r="F386" s="8">
        <v>0</v>
      </c>
      <c r="G386" s="9" t="str">
        <f t="shared" si="21"/>
        <v/>
      </c>
      <c r="H386" s="7">
        <v>0</v>
      </c>
      <c r="I386" s="7">
        <v>0</v>
      </c>
      <c r="J386" s="7">
        <v>0</v>
      </c>
      <c r="K386" s="7">
        <f t="shared" si="26"/>
        <v>0</v>
      </c>
      <c r="L386" s="7">
        <v>3900</v>
      </c>
      <c r="M386" s="7">
        <f t="shared" si="22"/>
        <v>0</v>
      </c>
      <c r="N386" s="7">
        <f t="shared" si="23"/>
        <v>0</v>
      </c>
      <c r="O386" s="10" t="str">
        <f t="shared" si="24"/>
        <v/>
      </c>
    </row>
    <row r="387" spans="1:15">
      <c r="A387" s="7" t="s">
        <v>889</v>
      </c>
      <c r="B387" s="7"/>
      <c r="C387" s="7" t="s">
        <v>890</v>
      </c>
      <c r="D387" s="7" t="s">
        <v>891</v>
      </c>
      <c r="E387" s="7">
        <v>1073</v>
      </c>
      <c r="F387" s="8">
        <v>0</v>
      </c>
      <c r="G387" s="9" t="str">
        <f t="shared" si="21"/>
        <v/>
      </c>
      <c r="H387" s="7">
        <v>0</v>
      </c>
      <c r="I387" s="7">
        <v>0</v>
      </c>
      <c r="J387" s="7">
        <v>0</v>
      </c>
      <c r="K387" s="7">
        <f t="shared" si="26"/>
        <v>0</v>
      </c>
      <c r="L387" s="7">
        <v>859</v>
      </c>
      <c r="M387" s="7">
        <f t="shared" si="22"/>
        <v>0</v>
      </c>
      <c r="N387" s="7">
        <f t="shared" si="23"/>
        <v>0</v>
      </c>
      <c r="O387" s="10" t="str">
        <f t="shared" si="24"/>
        <v/>
      </c>
    </row>
    <row r="388" spans="1:15">
      <c r="A388" s="7" t="s">
        <v>892</v>
      </c>
      <c r="B388" s="7"/>
      <c r="C388" s="7" t="s">
        <v>893</v>
      </c>
      <c r="D388" s="7" t="s">
        <v>893</v>
      </c>
      <c r="E388" s="7">
        <v>2603</v>
      </c>
      <c r="F388" s="8">
        <v>0</v>
      </c>
      <c r="G388" s="9" t="str">
        <f t="shared" si="21"/>
        <v/>
      </c>
      <c r="H388" s="7">
        <v>0</v>
      </c>
      <c r="I388" s="7">
        <v>0</v>
      </c>
      <c r="J388" s="7">
        <v>0</v>
      </c>
      <c r="K388" s="7">
        <f t="shared" si="26"/>
        <v>0</v>
      </c>
      <c r="L388" s="7">
        <v>754</v>
      </c>
      <c r="M388" s="7">
        <f t="shared" si="22"/>
        <v>0</v>
      </c>
      <c r="N388" s="7">
        <f t="shared" si="23"/>
        <v>0</v>
      </c>
      <c r="O388" s="10" t="str">
        <f t="shared" si="24"/>
        <v/>
      </c>
    </row>
    <row r="389" spans="1:15">
      <c r="A389" s="7" t="s">
        <v>894</v>
      </c>
      <c r="B389" s="7"/>
      <c r="C389" s="7" t="s">
        <v>895</v>
      </c>
      <c r="D389" s="7" t="s">
        <v>891</v>
      </c>
      <c r="E389" s="7">
        <v>1599</v>
      </c>
      <c r="F389" s="8">
        <v>0</v>
      </c>
      <c r="G389" s="9" t="str">
        <f t="shared" si="21"/>
        <v/>
      </c>
      <c r="H389" s="7">
        <v>0</v>
      </c>
      <c r="I389" s="7">
        <v>0</v>
      </c>
      <c r="J389" s="7">
        <v>0</v>
      </c>
      <c r="K389" s="7">
        <f t="shared" si="26"/>
        <v>0</v>
      </c>
      <c r="L389" s="7">
        <v>1055</v>
      </c>
      <c r="M389" s="7">
        <f t="shared" si="22"/>
        <v>0</v>
      </c>
      <c r="N389" s="7">
        <f t="shared" si="23"/>
        <v>0</v>
      </c>
      <c r="O389" s="10" t="str">
        <f t="shared" si="24"/>
        <v/>
      </c>
    </row>
    <row r="390" spans="1:15">
      <c r="A390" s="7" t="s">
        <v>896</v>
      </c>
      <c r="B390" s="7"/>
      <c r="C390" s="7" t="s">
        <v>897</v>
      </c>
      <c r="D390" s="7" t="s">
        <v>897</v>
      </c>
      <c r="E390" s="7">
        <v>215</v>
      </c>
      <c r="F390" s="8">
        <v>0</v>
      </c>
      <c r="G390" s="9" t="str">
        <f t="shared" si="21"/>
        <v/>
      </c>
      <c r="H390" s="7">
        <v>0</v>
      </c>
      <c r="I390" s="7">
        <v>0</v>
      </c>
      <c r="J390" s="7">
        <v>0</v>
      </c>
      <c r="K390" s="7">
        <f t="shared" si="26"/>
        <v>0</v>
      </c>
      <c r="L390" s="7">
        <v>704</v>
      </c>
      <c r="M390" s="7">
        <f t="shared" si="22"/>
        <v>0</v>
      </c>
      <c r="N390" s="7">
        <f t="shared" si="23"/>
        <v>0</v>
      </c>
      <c r="O390" s="10" t="str">
        <f t="shared" si="24"/>
        <v/>
      </c>
    </row>
    <row r="391" spans="1:15">
      <c r="A391" s="7" t="s">
        <v>898</v>
      </c>
      <c r="B391" s="7"/>
      <c r="C391" s="7" t="s">
        <v>899</v>
      </c>
      <c r="D391" s="7" t="s">
        <v>900</v>
      </c>
      <c r="E391" s="7">
        <v>182</v>
      </c>
      <c r="F391" s="8">
        <v>0</v>
      </c>
      <c r="G391" s="9" t="str">
        <f t="shared" si="21"/>
        <v/>
      </c>
      <c r="H391" s="7">
        <v>0</v>
      </c>
      <c r="I391" s="7">
        <v>0</v>
      </c>
      <c r="J391" s="7">
        <v>0</v>
      </c>
      <c r="K391" s="7">
        <f t="shared" si="26"/>
        <v>0</v>
      </c>
      <c r="L391" s="11"/>
      <c r="M391" s="7">
        <f t="shared" si="22"/>
        <v>0</v>
      </c>
      <c r="N391" s="7">
        <f t="shared" si="23"/>
        <v>0</v>
      </c>
      <c r="O391" s="10" t="str">
        <f t="shared" si="24"/>
        <v/>
      </c>
    </row>
    <row r="392" spans="1:15">
      <c r="A392" s="7" t="s">
        <v>901</v>
      </c>
      <c r="B392" s="7"/>
      <c r="C392" s="7" t="s">
        <v>902</v>
      </c>
      <c r="D392" s="7" t="s">
        <v>902</v>
      </c>
      <c r="E392" s="7">
        <v>44</v>
      </c>
      <c r="F392" s="8">
        <v>0</v>
      </c>
      <c r="G392" s="9" t="str">
        <f t="shared" ref="G392:G455" si="27">IF(H392=0,"",I392/H392)</f>
        <v/>
      </c>
      <c r="H392" s="7">
        <v>0</v>
      </c>
      <c r="I392" s="7">
        <v>0</v>
      </c>
      <c r="J392" s="7">
        <v>0</v>
      </c>
      <c r="K392" s="7">
        <f t="shared" si="26"/>
        <v>0</v>
      </c>
      <c r="L392" s="7">
        <v>422</v>
      </c>
      <c r="M392" s="7">
        <f t="shared" ref="M392:M455" si="28">SUM(H392*L392)</f>
        <v>0</v>
      </c>
      <c r="N392" s="7">
        <f t="shared" ref="N392:N455" si="29">SUM(I392-K392-M392)</f>
        <v>0</v>
      </c>
      <c r="O392" s="10" t="str">
        <f t="shared" ref="O392:O455" si="30">IF(I392=0,"",N392/I392)</f>
        <v/>
      </c>
    </row>
    <row r="393" spans="1:15">
      <c r="A393" s="7" t="s">
        <v>903</v>
      </c>
      <c r="B393" s="7"/>
      <c r="C393" s="7" t="s">
        <v>904</v>
      </c>
      <c r="D393" s="7" t="s">
        <v>904</v>
      </c>
      <c r="E393" s="7">
        <v>21</v>
      </c>
      <c r="F393" s="8">
        <v>0</v>
      </c>
      <c r="G393" s="9" t="str">
        <f t="shared" si="27"/>
        <v/>
      </c>
      <c r="H393" s="7">
        <v>0</v>
      </c>
      <c r="I393" s="7">
        <v>0</v>
      </c>
      <c r="J393" s="7">
        <v>0</v>
      </c>
      <c r="K393" s="7">
        <f t="shared" si="26"/>
        <v>0</v>
      </c>
      <c r="L393" s="7">
        <v>4980</v>
      </c>
      <c r="M393" s="7">
        <f t="shared" si="28"/>
        <v>0</v>
      </c>
      <c r="N393" s="7">
        <f t="shared" si="29"/>
        <v>0</v>
      </c>
      <c r="O393" s="10" t="str">
        <f t="shared" si="30"/>
        <v/>
      </c>
    </row>
    <row r="394" spans="1:15">
      <c r="A394" s="7" t="s">
        <v>905</v>
      </c>
      <c r="B394" s="7"/>
      <c r="C394" s="7" t="s">
        <v>906</v>
      </c>
      <c r="D394" s="7" t="s">
        <v>907</v>
      </c>
      <c r="E394" s="7">
        <v>1288</v>
      </c>
      <c r="F394" s="8">
        <v>0</v>
      </c>
      <c r="G394" s="9" t="str">
        <f t="shared" si="27"/>
        <v/>
      </c>
      <c r="H394" s="7">
        <v>0</v>
      </c>
      <c r="I394" s="7">
        <v>0</v>
      </c>
      <c r="J394" s="7">
        <v>0</v>
      </c>
      <c r="K394" s="7">
        <f t="shared" si="26"/>
        <v>0</v>
      </c>
      <c r="L394" s="7">
        <v>435</v>
      </c>
      <c r="M394" s="7">
        <f t="shared" si="28"/>
        <v>0</v>
      </c>
      <c r="N394" s="7">
        <f t="shared" si="29"/>
        <v>0</v>
      </c>
      <c r="O394" s="10" t="str">
        <f t="shared" si="30"/>
        <v/>
      </c>
    </row>
    <row r="395" spans="1:15">
      <c r="A395" s="7" t="s">
        <v>908</v>
      </c>
      <c r="B395" s="7"/>
      <c r="C395" s="7" t="s">
        <v>909</v>
      </c>
      <c r="D395" s="7" t="s">
        <v>909</v>
      </c>
      <c r="E395" s="7">
        <v>131</v>
      </c>
      <c r="F395" s="8">
        <v>0</v>
      </c>
      <c r="G395" s="9" t="str">
        <f t="shared" si="27"/>
        <v/>
      </c>
      <c r="H395" s="7">
        <v>0</v>
      </c>
      <c r="I395" s="7">
        <v>0</v>
      </c>
      <c r="J395" s="7">
        <v>0</v>
      </c>
      <c r="K395" s="7">
        <f t="shared" si="26"/>
        <v>0</v>
      </c>
      <c r="L395" s="7">
        <v>347</v>
      </c>
      <c r="M395" s="7">
        <f t="shared" si="28"/>
        <v>0</v>
      </c>
      <c r="N395" s="7">
        <f t="shared" si="29"/>
        <v>0</v>
      </c>
      <c r="O395" s="10" t="str">
        <f t="shared" si="30"/>
        <v/>
      </c>
    </row>
    <row r="396" spans="1:15">
      <c r="A396" s="7" t="s">
        <v>910</v>
      </c>
      <c r="B396" s="7"/>
      <c r="C396" s="7" t="s">
        <v>911</v>
      </c>
      <c r="D396" s="7" t="s">
        <v>912</v>
      </c>
      <c r="E396" s="7">
        <v>36859</v>
      </c>
      <c r="F396" s="8">
        <v>0</v>
      </c>
      <c r="G396" s="9" t="str">
        <f t="shared" si="27"/>
        <v/>
      </c>
      <c r="H396" s="7">
        <v>0</v>
      </c>
      <c r="I396" s="7">
        <v>0</v>
      </c>
      <c r="J396" s="7">
        <v>0</v>
      </c>
      <c r="K396" s="7">
        <f t="shared" si="26"/>
        <v>0</v>
      </c>
      <c r="L396" s="7">
        <v>6980</v>
      </c>
      <c r="M396" s="7">
        <f t="shared" si="28"/>
        <v>0</v>
      </c>
      <c r="N396" s="7">
        <f t="shared" si="29"/>
        <v>0</v>
      </c>
      <c r="O396" s="10" t="str">
        <f t="shared" si="30"/>
        <v/>
      </c>
    </row>
    <row r="397" spans="1:15">
      <c r="A397" s="7" t="s">
        <v>913</v>
      </c>
      <c r="B397" s="7"/>
      <c r="C397" s="7" t="s">
        <v>914</v>
      </c>
      <c r="D397" s="7" t="s">
        <v>915</v>
      </c>
      <c r="E397" s="7">
        <v>927</v>
      </c>
      <c r="F397" s="8">
        <v>0</v>
      </c>
      <c r="G397" s="9" t="str">
        <f t="shared" si="27"/>
        <v/>
      </c>
      <c r="H397" s="7">
        <v>0</v>
      </c>
      <c r="I397" s="7">
        <v>0</v>
      </c>
      <c r="J397" s="7">
        <v>0</v>
      </c>
      <c r="K397" s="7">
        <f t="shared" ref="K397:K405" si="31">SUM(I397*0.15)</f>
        <v>0</v>
      </c>
      <c r="L397" s="7">
        <v>2300</v>
      </c>
      <c r="M397" s="7">
        <f t="shared" si="28"/>
        <v>0</v>
      </c>
      <c r="N397" s="7">
        <f t="shared" si="29"/>
        <v>0</v>
      </c>
      <c r="O397" s="10" t="str">
        <f t="shared" si="30"/>
        <v/>
      </c>
    </row>
    <row r="398" spans="1:15">
      <c r="A398" s="7" t="s">
        <v>916</v>
      </c>
      <c r="B398" s="7"/>
      <c r="C398" s="7" t="s">
        <v>917</v>
      </c>
      <c r="D398" s="7" t="s">
        <v>918</v>
      </c>
      <c r="E398" s="7">
        <v>569</v>
      </c>
      <c r="F398" s="8">
        <v>0</v>
      </c>
      <c r="G398" s="9" t="str">
        <f t="shared" si="27"/>
        <v/>
      </c>
      <c r="H398" s="7">
        <v>0</v>
      </c>
      <c r="I398" s="7">
        <v>0</v>
      </c>
      <c r="J398" s="7">
        <v>0</v>
      </c>
      <c r="K398" s="7">
        <f t="shared" si="31"/>
        <v>0</v>
      </c>
      <c r="L398" s="7">
        <v>13050</v>
      </c>
      <c r="M398" s="7">
        <f t="shared" si="28"/>
        <v>0</v>
      </c>
      <c r="N398" s="7">
        <f t="shared" si="29"/>
        <v>0</v>
      </c>
      <c r="O398" s="10" t="str">
        <f t="shared" si="30"/>
        <v/>
      </c>
    </row>
    <row r="399" spans="1:15">
      <c r="A399" s="7" t="s">
        <v>919</v>
      </c>
      <c r="B399" s="7"/>
      <c r="C399" s="7" t="s">
        <v>920</v>
      </c>
      <c r="D399" s="7" t="s">
        <v>920</v>
      </c>
      <c r="E399" s="7">
        <v>65</v>
      </c>
      <c r="F399" s="8">
        <v>0</v>
      </c>
      <c r="G399" s="9" t="str">
        <f t="shared" si="27"/>
        <v/>
      </c>
      <c r="H399" s="7">
        <v>0</v>
      </c>
      <c r="I399" s="7">
        <v>0</v>
      </c>
      <c r="J399" s="7">
        <v>0</v>
      </c>
      <c r="K399" s="7">
        <f t="shared" si="31"/>
        <v>0</v>
      </c>
      <c r="L399" s="7">
        <v>513</v>
      </c>
      <c r="M399" s="7">
        <f t="shared" si="28"/>
        <v>0</v>
      </c>
      <c r="N399" s="7">
        <f t="shared" si="29"/>
        <v>0</v>
      </c>
      <c r="O399" s="10" t="str">
        <f t="shared" si="30"/>
        <v/>
      </c>
    </row>
    <row r="400" spans="1:15">
      <c r="A400" s="7" t="s">
        <v>921</v>
      </c>
      <c r="B400" s="7"/>
      <c r="C400" s="7" t="s">
        <v>777</v>
      </c>
      <c r="D400" s="7" t="s">
        <v>777</v>
      </c>
      <c r="E400" s="7">
        <v>1</v>
      </c>
      <c r="F400" s="8">
        <v>0</v>
      </c>
      <c r="G400" s="9" t="str">
        <f t="shared" si="27"/>
        <v/>
      </c>
      <c r="H400" s="7">
        <v>0</v>
      </c>
      <c r="I400" s="7">
        <v>0</v>
      </c>
      <c r="J400" s="7">
        <v>0</v>
      </c>
      <c r="K400" s="7">
        <f t="shared" si="31"/>
        <v>0</v>
      </c>
      <c r="L400" s="11">
        <v>0</v>
      </c>
      <c r="M400" s="7">
        <f t="shared" si="28"/>
        <v>0</v>
      </c>
      <c r="N400" s="7">
        <f t="shared" si="29"/>
        <v>0</v>
      </c>
      <c r="O400" s="10" t="str">
        <f t="shared" si="30"/>
        <v/>
      </c>
    </row>
    <row r="401" spans="1:15">
      <c r="A401" s="7" t="s">
        <v>922</v>
      </c>
      <c r="B401" s="7"/>
      <c r="C401" s="7" t="s">
        <v>923</v>
      </c>
      <c r="D401" s="7" t="s">
        <v>924</v>
      </c>
      <c r="E401" s="7">
        <v>3300</v>
      </c>
      <c r="F401" s="8">
        <v>0</v>
      </c>
      <c r="G401" s="9" t="str">
        <f t="shared" si="27"/>
        <v/>
      </c>
      <c r="H401" s="7">
        <v>0</v>
      </c>
      <c r="I401" s="7">
        <v>0</v>
      </c>
      <c r="J401" s="7">
        <v>0</v>
      </c>
      <c r="K401" s="7">
        <f t="shared" si="31"/>
        <v>0</v>
      </c>
      <c r="L401" s="7">
        <v>18800</v>
      </c>
      <c r="M401" s="7">
        <f t="shared" si="28"/>
        <v>0</v>
      </c>
      <c r="N401" s="7">
        <f t="shared" si="29"/>
        <v>0</v>
      </c>
      <c r="O401" s="10" t="str">
        <f t="shared" si="30"/>
        <v/>
      </c>
    </row>
    <row r="402" spans="1:15">
      <c r="A402" s="7" t="s">
        <v>925</v>
      </c>
      <c r="B402" s="7"/>
      <c r="C402" s="7" t="s">
        <v>926</v>
      </c>
      <c r="D402" s="7" t="s">
        <v>926</v>
      </c>
      <c r="E402" s="7">
        <v>6608</v>
      </c>
      <c r="F402" s="8">
        <v>0</v>
      </c>
      <c r="G402" s="9" t="str">
        <f t="shared" si="27"/>
        <v/>
      </c>
      <c r="H402" s="7">
        <v>0</v>
      </c>
      <c r="I402" s="7">
        <v>0</v>
      </c>
      <c r="J402" s="7">
        <v>0</v>
      </c>
      <c r="K402" s="7">
        <f t="shared" si="31"/>
        <v>0</v>
      </c>
      <c r="L402" s="7">
        <v>13783</v>
      </c>
      <c r="M402" s="7">
        <f t="shared" si="28"/>
        <v>0</v>
      </c>
      <c r="N402" s="7">
        <f t="shared" si="29"/>
        <v>0</v>
      </c>
      <c r="O402" s="10" t="str">
        <f t="shared" si="30"/>
        <v/>
      </c>
    </row>
    <row r="403" spans="1:15">
      <c r="A403" s="7" t="s">
        <v>927</v>
      </c>
      <c r="B403" s="7"/>
      <c r="C403" s="7" t="s">
        <v>928</v>
      </c>
      <c r="D403" s="7" t="s">
        <v>928</v>
      </c>
      <c r="E403" s="7">
        <v>451</v>
      </c>
      <c r="F403" s="8">
        <v>0</v>
      </c>
      <c r="G403" s="9" t="str">
        <f t="shared" si="27"/>
        <v/>
      </c>
      <c r="H403" s="7">
        <v>0</v>
      </c>
      <c r="I403" s="7">
        <v>0</v>
      </c>
      <c r="J403" s="7">
        <v>0</v>
      </c>
      <c r="K403" s="7">
        <f t="shared" si="31"/>
        <v>0</v>
      </c>
      <c r="L403" s="7">
        <v>219</v>
      </c>
      <c r="M403" s="7">
        <f t="shared" si="28"/>
        <v>0</v>
      </c>
      <c r="N403" s="7">
        <f t="shared" si="29"/>
        <v>0</v>
      </c>
      <c r="O403" s="10" t="str">
        <f t="shared" si="30"/>
        <v/>
      </c>
    </row>
    <row r="404" spans="1:15">
      <c r="A404" s="7" t="s">
        <v>929</v>
      </c>
      <c r="B404" s="7"/>
      <c r="C404" s="7" t="s">
        <v>930</v>
      </c>
      <c r="D404" s="7" t="s">
        <v>930</v>
      </c>
      <c r="E404" s="7">
        <v>594</v>
      </c>
      <c r="F404" s="8">
        <v>0</v>
      </c>
      <c r="G404" s="9" t="str">
        <f t="shared" si="27"/>
        <v/>
      </c>
      <c r="H404" s="7">
        <v>0</v>
      </c>
      <c r="I404" s="7">
        <v>0</v>
      </c>
      <c r="J404" s="7">
        <v>0</v>
      </c>
      <c r="K404" s="7">
        <f t="shared" si="31"/>
        <v>0</v>
      </c>
      <c r="L404" s="7">
        <v>6630</v>
      </c>
      <c r="M404" s="7">
        <f t="shared" si="28"/>
        <v>0</v>
      </c>
      <c r="N404" s="7">
        <f t="shared" si="29"/>
        <v>0</v>
      </c>
      <c r="O404" s="10" t="str">
        <f t="shared" si="30"/>
        <v/>
      </c>
    </row>
    <row r="405" spans="1:15">
      <c r="A405" s="7" t="s">
        <v>931</v>
      </c>
      <c r="B405" s="7"/>
      <c r="C405" s="7" t="s">
        <v>932</v>
      </c>
      <c r="D405" s="7" t="s">
        <v>933</v>
      </c>
      <c r="E405" s="7">
        <v>517</v>
      </c>
      <c r="F405" s="8">
        <v>0</v>
      </c>
      <c r="G405" s="9" t="str">
        <f t="shared" si="27"/>
        <v/>
      </c>
      <c r="H405" s="7">
        <v>0</v>
      </c>
      <c r="I405" s="7">
        <v>0</v>
      </c>
      <c r="J405" s="7">
        <v>0</v>
      </c>
      <c r="K405" s="7">
        <f t="shared" si="31"/>
        <v>0</v>
      </c>
      <c r="L405" s="7">
        <v>768</v>
      </c>
      <c r="M405" s="7">
        <f t="shared" si="28"/>
        <v>0</v>
      </c>
      <c r="N405" s="7">
        <f t="shared" si="29"/>
        <v>0</v>
      </c>
      <c r="O405" s="10" t="str">
        <f t="shared" si="30"/>
        <v/>
      </c>
    </row>
    <row r="406" spans="1:15">
      <c r="A406" s="7" t="s">
        <v>495</v>
      </c>
      <c r="B406" s="7"/>
      <c r="C406" s="7" t="s">
        <v>496</v>
      </c>
      <c r="D406" s="7" t="s">
        <v>496</v>
      </c>
      <c r="E406" s="7">
        <v>16</v>
      </c>
      <c r="F406" s="8">
        <v>0</v>
      </c>
      <c r="G406" s="9" t="str">
        <f t="shared" si="27"/>
        <v/>
      </c>
      <c r="H406" s="7">
        <v>0</v>
      </c>
      <c r="I406" s="7">
        <v>0</v>
      </c>
      <c r="J406" s="7">
        <v>0</v>
      </c>
      <c r="K406" s="7">
        <v>0</v>
      </c>
      <c r="L406" s="7">
        <v>1130</v>
      </c>
      <c r="M406" s="7">
        <f t="shared" si="28"/>
        <v>0</v>
      </c>
      <c r="N406" s="7">
        <f t="shared" si="29"/>
        <v>0</v>
      </c>
      <c r="O406" s="10" t="str">
        <f t="shared" si="30"/>
        <v/>
      </c>
    </row>
    <row r="407" spans="1:15">
      <c r="A407" s="7" t="s">
        <v>934</v>
      </c>
      <c r="B407" s="7"/>
      <c r="C407" s="7" t="s">
        <v>935</v>
      </c>
      <c r="D407" s="7" t="s">
        <v>936</v>
      </c>
      <c r="E407" s="7">
        <v>3856</v>
      </c>
      <c r="F407" s="8">
        <v>0</v>
      </c>
      <c r="G407" s="9" t="str">
        <f t="shared" si="27"/>
        <v/>
      </c>
      <c r="H407" s="7">
        <v>0</v>
      </c>
      <c r="I407" s="7">
        <v>0</v>
      </c>
      <c r="J407" s="7">
        <v>0</v>
      </c>
      <c r="K407" s="7">
        <f t="shared" ref="K407:K470" si="32">SUM(I407*0.15)</f>
        <v>0</v>
      </c>
      <c r="L407" s="7">
        <v>384</v>
      </c>
      <c r="M407" s="7">
        <f t="shared" si="28"/>
        <v>0</v>
      </c>
      <c r="N407" s="7">
        <f t="shared" si="29"/>
        <v>0</v>
      </c>
      <c r="O407" s="10" t="str">
        <f t="shared" si="30"/>
        <v/>
      </c>
    </row>
    <row r="408" spans="1:15">
      <c r="A408" s="7" t="s">
        <v>937</v>
      </c>
      <c r="B408" s="7"/>
      <c r="C408" s="7" t="s">
        <v>938</v>
      </c>
      <c r="D408" s="7" t="s">
        <v>939</v>
      </c>
      <c r="E408" s="7">
        <v>41</v>
      </c>
      <c r="F408" s="8">
        <v>0</v>
      </c>
      <c r="G408" s="9" t="str">
        <f t="shared" si="27"/>
        <v/>
      </c>
      <c r="H408" s="7">
        <v>0</v>
      </c>
      <c r="I408" s="7">
        <v>0</v>
      </c>
      <c r="J408" s="7">
        <v>0</v>
      </c>
      <c r="K408" s="7">
        <f t="shared" si="32"/>
        <v>0</v>
      </c>
      <c r="L408" s="7">
        <v>2772</v>
      </c>
      <c r="M408" s="7">
        <f t="shared" si="28"/>
        <v>0</v>
      </c>
      <c r="N408" s="7">
        <f t="shared" si="29"/>
        <v>0</v>
      </c>
      <c r="O408" s="10" t="str">
        <f t="shared" si="30"/>
        <v/>
      </c>
    </row>
    <row r="409" spans="1:15">
      <c r="A409" s="7" t="s">
        <v>940</v>
      </c>
      <c r="B409" s="7"/>
      <c r="C409" s="7" t="s">
        <v>941</v>
      </c>
      <c r="D409" s="7" t="s">
        <v>942</v>
      </c>
      <c r="E409" s="7">
        <v>5944</v>
      </c>
      <c r="F409" s="8">
        <v>0</v>
      </c>
      <c r="G409" s="9" t="str">
        <f t="shared" si="27"/>
        <v/>
      </c>
      <c r="H409" s="7">
        <v>0</v>
      </c>
      <c r="I409" s="7">
        <v>0</v>
      </c>
      <c r="J409" s="7">
        <v>0</v>
      </c>
      <c r="K409" s="7">
        <f t="shared" si="32"/>
        <v>0</v>
      </c>
      <c r="L409" s="7">
        <v>299</v>
      </c>
      <c r="M409" s="7">
        <f t="shared" si="28"/>
        <v>0</v>
      </c>
      <c r="N409" s="7">
        <f t="shared" si="29"/>
        <v>0</v>
      </c>
      <c r="O409" s="10" t="str">
        <f t="shared" si="30"/>
        <v/>
      </c>
    </row>
    <row r="410" spans="1:15">
      <c r="A410" s="7" t="s">
        <v>943</v>
      </c>
      <c r="B410" s="7"/>
      <c r="C410" s="7" t="s">
        <v>944</v>
      </c>
      <c r="D410" s="7" t="s">
        <v>945</v>
      </c>
      <c r="E410" s="7">
        <v>766</v>
      </c>
      <c r="F410" s="8">
        <v>0</v>
      </c>
      <c r="G410" s="9" t="str">
        <f t="shared" si="27"/>
        <v/>
      </c>
      <c r="H410" s="7">
        <v>0</v>
      </c>
      <c r="I410" s="7">
        <v>0</v>
      </c>
      <c r="J410" s="7">
        <v>0</v>
      </c>
      <c r="K410" s="7">
        <f t="shared" si="32"/>
        <v>0</v>
      </c>
      <c r="L410" s="7">
        <v>1216</v>
      </c>
      <c r="M410" s="7">
        <f t="shared" si="28"/>
        <v>0</v>
      </c>
      <c r="N410" s="7">
        <f t="shared" si="29"/>
        <v>0</v>
      </c>
      <c r="O410" s="10" t="str">
        <f t="shared" si="30"/>
        <v/>
      </c>
    </row>
    <row r="411" spans="1:15">
      <c r="A411" s="7" t="s">
        <v>946</v>
      </c>
      <c r="B411" s="7"/>
      <c r="C411" s="7" t="s">
        <v>947</v>
      </c>
      <c r="D411" s="7" t="s">
        <v>947</v>
      </c>
      <c r="E411" s="7">
        <v>55</v>
      </c>
      <c r="F411" s="8">
        <v>0</v>
      </c>
      <c r="G411" s="9" t="str">
        <f t="shared" si="27"/>
        <v/>
      </c>
      <c r="H411" s="7">
        <v>0</v>
      </c>
      <c r="I411" s="7">
        <v>0</v>
      </c>
      <c r="J411" s="7">
        <v>0</v>
      </c>
      <c r="K411" s="7">
        <f t="shared" si="32"/>
        <v>0</v>
      </c>
      <c r="L411" s="7">
        <v>438</v>
      </c>
      <c r="M411" s="7">
        <f t="shared" si="28"/>
        <v>0</v>
      </c>
      <c r="N411" s="7">
        <f t="shared" si="29"/>
        <v>0</v>
      </c>
      <c r="O411" s="10" t="str">
        <f t="shared" si="30"/>
        <v/>
      </c>
    </row>
    <row r="412" spans="1:15">
      <c r="A412" s="7" t="s">
        <v>948</v>
      </c>
      <c r="B412" s="7"/>
      <c r="C412" s="7" t="s">
        <v>949</v>
      </c>
      <c r="D412" s="7" t="s">
        <v>950</v>
      </c>
      <c r="E412" s="7">
        <v>318</v>
      </c>
      <c r="F412" s="8">
        <v>0</v>
      </c>
      <c r="G412" s="9" t="str">
        <f t="shared" si="27"/>
        <v/>
      </c>
      <c r="H412" s="7">
        <v>0</v>
      </c>
      <c r="I412" s="7">
        <v>0</v>
      </c>
      <c r="J412" s="7">
        <v>0</v>
      </c>
      <c r="K412" s="7">
        <f t="shared" si="32"/>
        <v>0</v>
      </c>
      <c r="L412" s="7">
        <v>1980</v>
      </c>
      <c r="M412" s="7">
        <f t="shared" si="28"/>
        <v>0</v>
      </c>
      <c r="N412" s="7">
        <f t="shared" si="29"/>
        <v>0</v>
      </c>
      <c r="O412" s="10" t="str">
        <f t="shared" si="30"/>
        <v/>
      </c>
    </row>
    <row r="413" spans="1:15">
      <c r="A413" s="7" t="s">
        <v>951</v>
      </c>
      <c r="B413" s="7"/>
      <c r="C413" s="7" t="s">
        <v>952</v>
      </c>
      <c r="D413" s="7" t="s">
        <v>952</v>
      </c>
      <c r="E413" s="7">
        <v>17</v>
      </c>
      <c r="F413" s="8">
        <v>0</v>
      </c>
      <c r="G413" s="9" t="str">
        <f t="shared" si="27"/>
        <v/>
      </c>
      <c r="H413" s="7">
        <v>0</v>
      </c>
      <c r="I413" s="7">
        <v>0</v>
      </c>
      <c r="J413" s="7">
        <v>0</v>
      </c>
      <c r="K413" s="7">
        <f t="shared" si="32"/>
        <v>0</v>
      </c>
      <c r="L413" s="7">
        <v>774</v>
      </c>
      <c r="M413" s="7">
        <f t="shared" si="28"/>
        <v>0</v>
      </c>
      <c r="N413" s="7">
        <f t="shared" si="29"/>
        <v>0</v>
      </c>
      <c r="O413" s="10" t="str">
        <f t="shared" si="30"/>
        <v/>
      </c>
    </row>
    <row r="414" spans="1:15">
      <c r="A414" s="7" t="s">
        <v>953</v>
      </c>
      <c r="B414" s="7"/>
      <c r="C414" s="7" t="s">
        <v>954</v>
      </c>
      <c r="D414" s="7" t="s">
        <v>954</v>
      </c>
      <c r="E414" s="7">
        <v>25</v>
      </c>
      <c r="F414" s="8">
        <v>0</v>
      </c>
      <c r="G414" s="9" t="str">
        <f t="shared" si="27"/>
        <v/>
      </c>
      <c r="H414" s="7">
        <v>0</v>
      </c>
      <c r="I414" s="7">
        <v>0</v>
      </c>
      <c r="J414" s="7">
        <v>0</v>
      </c>
      <c r="K414" s="7">
        <f t="shared" si="32"/>
        <v>0</v>
      </c>
      <c r="L414" s="7">
        <v>774</v>
      </c>
      <c r="M414" s="7">
        <f t="shared" si="28"/>
        <v>0</v>
      </c>
      <c r="N414" s="7">
        <f t="shared" si="29"/>
        <v>0</v>
      </c>
      <c r="O414" s="10" t="str">
        <f t="shared" si="30"/>
        <v/>
      </c>
    </row>
    <row r="415" spans="1:15">
      <c r="A415" s="7" t="s">
        <v>955</v>
      </c>
      <c r="B415" s="7"/>
      <c r="C415" s="7" t="s">
        <v>956</v>
      </c>
      <c r="D415" s="7" t="s">
        <v>957</v>
      </c>
      <c r="E415" s="7">
        <v>1529</v>
      </c>
      <c r="F415" s="8">
        <v>0</v>
      </c>
      <c r="G415" s="9" t="str">
        <f t="shared" si="27"/>
        <v/>
      </c>
      <c r="H415" s="7">
        <v>0</v>
      </c>
      <c r="I415" s="7">
        <v>0</v>
      </c>
      <c r="J415" s="7">
        <v>0</v>
      </c>
      <c r="K415" s="7">
        <f t="shared" si="32"/>
        <v>0</v>
      </c>
      <c r="L415" s="7">
        <v>990</v>
      </c>
      <c r="M415" s="7">
        <f t="shared" si="28"/>
        <v>0</v>
      </c>
      <c r="N415" s="7">
        <f t="shared" si="29"/>
        <v>0</v>
      </c>
      <c r="O415" s="10" t="str">
        <f t="shared" si="30"/>
        <v/>
      </c>
    </row>
    <row r="416" spans="1:15">
      <c r="A416" s="7" t="s">
        <v>922</v>
      </c>
      <c r="B416" s="7"/>
      <c r="C416" s="7" t="s">
        <v>958</v>
      </c>
      <c r="D416" s="7" t="s">
        <v>924</v>
      </c>
      <c r="E416" s="7">
        <v>21695</v>
      </c>
      <c r="F416" s="8">
        <v>0</v>
      </c>
      <c r="G416" s="9" t="str">
        <f t="shared" si="27"/>
        <v/>
      </c>
      <c r="H416" s="7">
        <v>0</v>
      </c>
      <c r="I416" s="7">
        <v>0</v>
      </c>
      <c r="J416" s="7">
        <v>0</v>
      </c>
      <c r="K416" s="7">
        <f t="shared" si="32"/>
        <v>0</v>
      </c>
      <c r="L416" s="7">
        <v>21800</v>
      </c>
      <c r="M416" s="7">
        <f t="shared" si="28"/>
        <v>0</v>
      </c>
      <c r="N416" s="7">
        <f t="shared" si="29"/>
        <v>0</v>
      </c>
      <c r="O416" s="10" t="str">
        <f t="shared" si="30"/>
        <v/>
      </c>
    </row>
    <row r="417" spans="1:15">
      <c r="A417" s="7" t="s">
        <v>959</v>
      </c>
      <c r="B417" s="7"/>
      <c r="C417" s="7" t="s">
        <v>960</v>
      </c>
      <c r="D417" s="7" t="s">
        <v>961</v>
      </c>
      <c r="E417" s="7">
        <v>481</v>
      </c>
      <c r="F417" s="8">
        <v>0</v>
      </c>
      <c r="G417" s="9" t="str">
        <f t="shared" si="27"/>
        <v/>
      </c>
      <c r="H417" s="7">
        <v>0</v>
      </c>
      <c r="I417" s="7">
        <v>0</v>
      </c>
      <c r="J417" s="7">
        <v>0</v>
      </c>
      <c r="K417" s="7">
        <f t="shared" si="32"/>
        <v>0</v>
      </c>
      <c r="L417" s="7">
        <v>23979</v>
      </c>
      <c r="M417" s="7">
        <f t="shared" si="28"/>
        <v>0</v>
      </c>
      <c r="N417" s="7">
        <f t="shared" si="29"/>
        <v>0</v>
      </c>
      <c r="O417" s="10" t="str">
        <f t="shared" si="30"/>
        <v/>
      </c>
    </row>
    <row r="418" spans="1:15">
      <c r="A418" s="7" t="s">
        <v>962</v>
      </c>
      <c r="B418" s="7"/>
      <c r="C418" s="7" t="s">
        <v>963</v>
      </c>
      <c r="D418" s="7" t="s">
        <v>963</v>
      </c>
      <c r="E418" s="7">
        <v>252</v>
      </c>
      <c r="F418" s="8">
        <v>0</v>
      </c>
      <c r="G418" s="9" t="str">
        <f t="shared" si="27"/>
        <v/>
      </c>
      <c r="H418" s="7">
        <v>0</v>
      </c>
      <c r="I418" s="7">
        <v>0</v>
      </c>
      <c r="J418" s="7">
        <v>0</v>
      </c>
      <c r="K418" s="7">
        <f t="shared" si="32"/>
        <v>0</v>
      </c>
      <c r="L418" s="7">
        <v>360</v>
      </c>
      <c r="M418" s="7">
        <f t="shared" si="28"/>
        <v>0</v>
      </c>
      <c r="N418" s="7">
        <f t="shared" si="29"/>
        <v>0</v>
      </c>
      <c r="O418" s="10" t="str">
        <f t="shared" si="30"/>
        <v/>
      </c>
    </row>
    <row r="419" spans="1:15">
      <c r="A419" s="7" t="s">
        <v>964</v>
      </c>
      <c r="B419" s="7"/>
      <c r="C419" s="7" t="s">
        <v>965</v>
      </c>
      <c r="D419" s="7" t="s">
        <v>966</v>
      </c>
      <c r="E419" s="7">
        <v>6009</v>
      </c>
      <c r="F419" s="8">
        <v>0</v>
      </c>
      <c r="G419" s="9" t="str">
        <f t="shared" si="27"/>
        <v/>
      </c>
      <c r="H419" s="7">
        <v>0</v>
      </c>
      <c r="I419" s="7">
        <v>0</v>
      </c>
      <c r="J419" s="7">
        <v>0</v>
      </c>
      <c r="K419" s="7">
        <f t="shared" si="32"/>
        <v>0</v>
      </c>
      <c r="L419" s="7">
        <v>1576</v>
      </c>
      <c r="M419" s="7">
        <f t="shared" si="28"/>
        <v>0</v>
      </c>
      <c r="N419" s="7">
        <f t="shared" si="29"/>
        <v>0</v>
      </c>
      <c r="O419" s="10" t="str">
        <f t="shared" si="30"/>
        <v/>
      </c>
    </row>
    <row r="420" spans="1:15">
      <c r="A420" s="7" t="s">
        <v>967</v>
      </c>
      <c r="B420" s="7"/>
      <c r="C420" s="7" t="s">
        <v>968</v>
      </c>
      <c r="D420" s="7" t="s">
        <v>912</v>
      </c>
      <c r="E420" s="7">
        <v>2798</v>
      </c>
      <c r="F420" s="8">
        <v>0</v>
      </c>
      <c r="G420" s="9" t="str">
        <f t="shared" si="27"/>
        <v/>
      </c>
      <c r="H420" s="7">
        <v>0</v>
      </c>
      <c r="I420" s="7">
        <v>0</v>
      </c>
      <c r="J420" s="7">
        <v>0</v>
      </c>
      <c r="K420" s="7">
        <f t="shared" si="32"/>
        <v>0</v>
      </c>
      <c r="L420" s="7">
        <v>8480</v>
      </c>
      <c r="M420" s="7">
        <f t="shared" si="28"/>
        <v>0</v>
      </c>
      <c r="N420" s="7">
        <f t="shared" si="29"/>
        <v>0</v>
      </c>
      <c r="O420" s="10" t="str">
        <f t="shared" si="30"/>
        <v/>
      </c>
    </row>
    <row r="421" spans="1:15">
      <c r="A421" s="7" t="s">
        <v>969</v>
      </c>
      <c r="B421" s="7"/>
      <c r="C421" s="7" t="s">
        <v>961</v>
      </c>
      <c r="D421" s="7" t="s">
        <v>961</v>
      </c>
      <c r="E421" s="7">
        <v>38</v>
      </c>
      <c r="F421" s="8">
        <v>0</v>
      </c>
      <c r="G421" s="9" t="str">
        <f t="shared" si="27"/>
        <v/>
      </c>
      <c r="H421" s="7">
        <v>0</v>
      </c>
      <c r="I421" s="7">
        <v>0</v>
      </c>
      <c r="J421" s="7">
        <v>0</v>
      </c>
      <c r="K421" s="7">
        <f t="shared" si="32"/>
        <v>0</v>
      </c>
      <c r="L421" s="11"/>
      <c r="M421" s="7">
        <f t="shared" si="28"/>
        <v>0</v>
      </c>
      <c r="N421" s="7">
        <f t="shared" si="29"/>
        <v>0</v>
      </c>
      <c r="O421" s="10" t="str">
        <f t="shared" si="30"/>
        <v/>
      </c>
    </row>
    <row r="422" spans="1:15">
      <c r="A422" s="7" t="s">
        <v>970</v>
      </c>
      <c r="B422" s="7"/>
      <c r="C422" s="7" t="s">
        <v>971</v>
      </c>
      <c r="D422" s="7" t="s">
        <v>971</v>
      </c>
      <c r="E422" s="7">
        <v>684</v>
      </c>
      <c r="F422" s="8">
        <v>0</v>
      </c>
      <c r="G422" s="9" t="str">
        <f t="shared" si="27"/>
        <v/>
      </c>
      <c r="H422" s="7">
        <v>0</v>
      </c>
      <c r="I422" s="7">
        <v>0</v>
      </c>
      <c r="J422" s="7">
        <v>0</v>
      </c>
      <c r="K422" s="7">
        <f t="shared" si="32"/>
        <v>0</v>
      </c>
      <c r="L422" s="7">
        <v>660</v>
      </c>
      <c r="M422" s="7">
        <f t="shared" si="28"/>
        <v>0</v>
      </c>
      <c r="N422" s="7">
        <f t="shared" si="29"/>
        <v>0</v>
      </c>
      <c r="O422" s="10" t="str">
        <f t="shared" si="30"/>
        <v/>
      </c>
    </row>
    <row r="423" spans="1:15">
      <c r="A423" s="7" t="s">
        <v>972</v>
      </c>
      <c r="B423" s="7"/>
      <c r="C423" s="7" t="s">
        <v>973</v>
      </c>
      <c r="D423" s="7" t="s">
        <v>973</v>
      </c>
      <c r="E423" s="7">
        <v>571</v>
      </c>
      <c r="F423" s="8">
        <v>0</v>
      </c>
      <c r="G423" s="9" t="str">
        <f t="shared" si="27"/>
        <v/>
      </c>
      <c r="H423" s="7">
        <v>0</v>
      </c>
      <c r="I423" s="7">
        <v>0</v>
      </c>
      <c r="J423" s="7">
        <v>0</v>
      </c>
      <c r="K423" s="7">
        <f t="shared" si="32"/>
        <v>0</v>
      </c>
      <c r="L423" s="7">
        <v>660</v>
      </c>
      <c r="M423" s="7">
        <f t="shared" si="28"/>
        <v>0</v>
      </c>
      <c r="N423" s="7">
        <f t="shared" si="29"/>
        <v>0</v>
      </c>
      <c r="O423" s="10" t="str">
        <f t="shared" si="30"/>
        <v/>
      </c>
    </row>
    <row r="424" spans="1:15">
      <c r="A424" s="7" t="s">
        <v>974</v>
      </c>
      <c r="B424" s="7"/>
      <c r="C424" s="7" t="s">
        <v>975</v>
      </c>
      <c r="D424" s="7" t="s">
        <v>976</v>
      </c>
      <c r="E424" s="7">
        <v>89</v>
      </c>
      <c r="F424" s="8">
        <v>0</v>
      </c>
      <c r="G424" s="9" t="str">
        <f t="shared" si="27"/>
        <v/>
      </c>
      <c r="H424" s="7">
        <v>0</v>
      </c>
      <c r="I424" s="7">
        <v>0</v>
      </c>
      <c r="J424" s="7">
        <v>0</v>
      </c>
      <c r="K424" s="7">
        <f t="shared" si="32"/>
        <v>0</v>
      </c>
      <c r="L424" s="7">
        <v>498</v>
      </c>
      <c r="M424" s="7">
        <f t="shared" si="28"/>
        <v>0</v>
      </c>
      <c r="N424" s="7">
        <f t="shared" si="29"/>
        <v>0</v>
      </c>
      <c r="O424" s="10" t="str">
        <f t="shared" si="30"/>
        <v/>
      </c>
    </row>
    <row r="425" spans="1:15">
      <c r="A425" s="7" t="s">
        <v>977</v>
      </c>
      <c r="B425" s="7"/>
      <c r="C425" s="7" t="s">
        <v>978</v>
      </c>
      <c r="D425" s="7" t="s">
        <v>976</v>
      </c>
      <c r="E425" s="7">
        <v>214</v>
      </c>
      <c r="F425" s="8">
        <v>0</v>
      </c>
      <c r="G425" s="9" t="str">
        <f t="shared" si="27"/>
        <v/>
      </c>
      <c r="H425" s="7">
        <v>0</v>
      </c>
      <c r="I425" s="7">
        <v>0</v>
      </c>
      <c r="J425" s="7">
        <v>0</v>
      </c>
      <c r="K425" s="7">
        <f t="shared" si="32"/>
        <v>0</v>
      </c>
      <c r="L425" s="7">
        <v>438</v>
      </c>
      <c r="M425" s="7">
        <f t="shared" si="28"/>
        <v>0</v>
      </c>
      <c r="N425" s="7">
        <f t="shared" si="29"/>
        <v>0</v>
      </c>
      <c r="O425" s="10" t="str">
        <f t="shared" si="30"/>
        <v/>
      </c>
    </row>
    <row r="426" spans="1:15">
      <c r="A426" s="7" t="s">
        <v>979</v>
      </c>
      <c r="B426" s="7"/>
      <c r="C426" s="7" t="s">
        <v>399</v>
      </c>
      <c r="D426" s="7" t="s">
        <v>399</v>
      </c>
      <c r="E426" s="7">
        <v>1</v>
      </c>
      <c r="F426" s="8">
        <v>0</v>
      </c>
      <c r="G426" s="9" t="str">
        <f t="shared" si="27"/>
        <v/>
      </c>
      <c r="H426" s="7">
        <v>0</v>
      </c>
      <c r="I426" s="7">
        <v>0</v>
      </c>
      <c r="J426" s="7">
        <v>0</v>
      </c>
      <c r="K426" s="7">
        <f t="shared" si="32"/>
        <v>0</v>
      </c>
      <c r="L426" s="11"/>
      <c r="M426" s="7">
        <f t="shared" si="28"/>
        <v>0</v>
      </c>
      <c r="N426" s="7">
        <f t="shared" si="29"/>
        <v>0</v>
      </c>
      <c r="O426" s="10" t="str">
        <f t="shared" si="30"/>
        <v/>
      </c>
    </row>
    <row r="427" spans="1:15">
      <c r="A427" s="7" t="s">
        <v>980</v>
      </c>
      <c r="B427" s="7"/>
      <c r="C427" s="7" t="s">
        <v>981</v>
      </c>
      <c r="D427" s="7" t="s">
        <v>982</v>
      </c>
      <c r="E427" s="7">
        <v>111984</v>
      </c>
      <c r="F427" s="8">
        <v>0</v>
      </c>
      <c r="G427" s="9" t="str">
        <f t="shared" si="27"/>
        <v/>
      </c>
      <c r="H427" s="7">
        <v>0</v>
      </c>
      <c r="I427" s="7">
        <v>0</v>
      </c>
      <c r="J427" s="7">
        <v>0</v>
      </c>
      <c r="K427" s="7">
        <f t="shared" si="32"/>
        <v>0</v>
      </c>
      <c r="L427" s="7">
        <v>8480</v>
      </c>
      <c r="M427" s="7">
        <f t="shared" si="28"/>
        <v>0</v>
      </c>
      <c r="N427" s="7">
        <f t="shared" si="29"/>
        <v>0</v>
      </c>
      <c r="O427" s="10" t="str">
        <f t="shared" si="30"/>
        <v/>
      </c>
    </row>
    <row r="428" spans="1:15">
      <c r="A428" s="7" t="s">
        <v>980</v>
      </c>
      <c r="B428" s="7"/>
      <c r="C428" s="7" t="s">
        <v>981</v>
      </c>
      <c r="D428" s="7" t="s">
        <v>981</v>
      </c>
      <c r="E428" s="7">
        <v>291654</v>
      </c>
      <c r="F428" s="8">
        <v>0</v>
      </c>
      <c r="G428" s="9" t="str">
        <f t="shared" si="27"/>
        <v/>
      </c>
      <c r="H428" s="7">
        <v>0</v>
      </c>
      <c r="I428" s="7">
        <v>0</v>
      </c>
      <c r="J428" s="7">
        <v>0</v>
      </c>
      <c r="K428" s="7">
        <f t="shared" si="32"/>
        <v>0</v>
      </c>
      <c r="L428" s="7">
        <v>8480</v>
      </c>
      <c r="M428" s="7">
        <f t="shared" si="28"/>
        <v>0</v>
      </c>
      <c r="N428" s="7">
        <f t="shared" si="29"/>
        <v>0</v>
      </c>
      <c r="O428" s="10" t="str">
        <f t="shared" si="30"/>
        <v/>
      </c>
    </row>
    <row r="429" spans="1:15">
      <c r="A429" s="7" t="s">
        <v>980</v>
      </c>
      <c r="B429" s="7"/>
      <c r="C429" s="7" t="s">
        <v>981</v>
      </c>
      <c r="D429" s="7" t="s">
        <v>983</v>
      </c>
      <c r="E429" s="7">
        <v>116883</v>
      </c>
      <c r="F429" s="8">
        <v>0</v>
      </c>
      <c r="G429" s="9" t="str">
        <f t="shared" si="27"/>
        <v/>
      </c>
      <c r="H429" s="7">
        <v>0</v>
      </c>
      <c r="I429" s="7">
        <v>0</v>
      </c>
      <c r="J429" s="7">
        <v>0</v>
      </c>
      <c r="K429" s="7">
        <f t="shared" si="32"/>
        <v>0</v>
      </c>
      <c r="L429" s="7">
        <v>8480</v>
      </c>
      <c r="M429" s="7">
        <f t="shared" si="28"/>
        <v>0</v>
      </c>
      <c r="N429" s="7">
        <f t="shared" si="29"/>
        <v>0</v>
      </c>
      <c r="O429" s="10" t="str">
        <f t="shared" si="30"/>
        <v/>
      </c>
    </row>
    <row r="430" spans="1:15">
      <c r="A430" s="7" t="s">
        <v>984</v>
      </c>
      <c r="B430" s="7"/>
      <c r="C430" s="7" t="s">
        <v>985</v>
      </c>
      <c r="D430" s="7" t="s">
        <v>986</v>
      </c>
      <c r="E430" s="7">
        <v>62</v>
      </c>
      <c r="F430" s="8">
        <v>0</v>
      </c>
      <c r="G430" s="9" t="str">
        <f t="shared" si="27"/>
        <v/>
      </c>
      <c r="H430" s="7">
        <v>0</v>
      </c>
      <c r="I430" s="7">
        <v>0</v>
      </c>
      <c r="J430" s="7">
        <v>0</v>
      </c>
      <c r="K430" s="7">
        <f t="shared" si="32"/>
        <v>0</v>
      </c>
      <c r="L430" s="7">
        <v>5478</v>
      </c>
      <c r="M430" s="7">
        <f t="shared" si="28"/>
        <v>0</v>
      </c>
      <c r="N430" s="7">
        <f t="shared" si="29"/>
        <v>0</v>
      </c>
      <c r="O430" s="10" t="str">
        <f t="shared" si="30"/>
        <v/>
      </c>
    </row>
    <row r="431" spans="1:15">
      <c r="A431" s="7" t="s">
        <v>987</v>
      </c>
      <c r="B431" s="7"/>
      <c r="C431" s="7" t="s">
        <v>988</v>
      </c>
      <c r="D431" s="7" t="s">
        <v>989</v>
      </c>
      <c r="E431" s="7">
        <v>157</v>
      </c>
      <c r="F431" s="8">
        <v>0</v>
      </c>
      <c r="G431" s="9" t="str">
        <f t="shared" si="27"/>
        <v/>
      </c>
      <c r="H431" s="7">
        <v>0</v>
      </c>
      <c r="I431" s="7">
        <v>0</v>
      </c>
      <c r="J431" s="7">
        <v>0</v>
      </c>
      <c r="K431" s="7">
        <f t="shared" si="32"/>
        <v>0</v>
      </c>
      <c r="L431" s="7">
        <v>5478</v>
      </c>
      <c r="M431" s="7">
        <f t="shared" si="28"/>
        <v>0</v>
      </c>
      <c r="N431" s="7">
        <f t="shared" si="29"/>
        <v>0</v>
      </c>
      <c r="O431" s="10" t="str">
        <f t="shared" si="30"/>
        <v/>
      </c>
    </row>
    <row r="432" spans="1:15">
      <c r="A432" s="7" t="s">
        <v>990</v>
      </c>
      <c r="B432" s="7"/>
      <c r="C432" s="7" t="s">
        <v>991</v>
      </c>
      <c r="D432" s="7" t="s">
        <v>989</v>
      </c>
      <c r="E432" s="7">
        <v>78</v>
      </c>
      <c r="F432" s="8">
        <v>0</v>
      </c>
      <c r="G432" s="9" t="str">
        <f t="shared" si="27"/>
        <v/>
      </c>
      <c r="H432" s="7">
        <v>0</v>
      </c>
      <c r="I432" s="7">
        <v>0</v>
      </c>
      <c r="J432" s="7">
        <v>0</v>
      </c>
      <c r="K432" s="7">
        <f t="shared" si="32"/>
        <v>0</v>
      </c>
      <c r="L432" s="7">
        <v>5478</v>
      </c>
      <c r="M432" s="7">
        <f t="shared" si="28"/>
        <v>0</v>
      </c>
      <c r="N432" s="7">
        <f t="shared" si="29"/>
        <v>0</v>
      </c>
      <c r="O432" s="10" t="str">
        <f t="shared" si="30"/>
        <v/>
      </c>
    </row>
    <row r="433" spans="1:15">
      <c r="A433" s="7" t="s">
        <v>992</v>
      </c>
      <c r="B433" s="7"/>
      <c r="C433" s="7" t="s">
        <v>993</v>
      </c>
      <c r="D433" s="7" t="s">
        <v>993</v>
      </c>
      <c r="E433" s="7">
        <v>3</v>
      </c>
      <c r="F433" s="8">
        <v>0</v>
      </c>
      <c r="G433" s="9" t="str">
        <f t="shared" si="27"/>
        <v/>
      </c>
      <c r="H433" s="7">
        <v>0</v>
      </c>
      <c r="I433" s="7">
        <v>0</v>
      </c>
      <c r="J433" s="7">
        <v>0</v>
      </c>
      <c r="K433" s="7">
        <f t="shared" si="32"/>
        <v>0</v>
      </c>
      <c r="L433" s="7">
        <v>659</v>
      </c>
      <c r="M433" s="7">
        <f t="shared" si="28"/>
        <v>0</v>
      </c>
      <c r="N433" s="7">
        <f t="shared" si="29"/>
        <v>0</v>
      </c>
      <c r="O433" s="10" t="str">
        <f t="shared" si="30"/>
        <v/>
      </c>
    </row>
    <row r="434" spans="1:15">
      <c r="A434" s="7" t="s">
        <v>994</v>
      </c>
      <c r="B434" s="7"/>
      <c r="C434" s="7" t="s">
        <v>995</v>
      </c>
      <c r="D434" s="7" t="s">
        <v>996</v>
      </c>
      <c r="E434" s="7">
        <v>721</v>
      </c>
      <c r="F434" s="8">
        <v>0</v>
      </c>
      <c r="G434" s="9" t="str">
        <f t="shared" si="27"/>
        <v/>
      </c>
      <c r="H434" s="7">
        <v>0</v>
      </c>
      <c r="I434" s="7">
        <v>0</v>
      </c>
      <c r="J434" s="7">
        <v>0</v>
      </c>
      <c r="K434" s="7">
        <f t="shared" si="32"/>
        <v>0</v>
      </c>
      <c r="L434" s="7">
        <v>25800</v>
      </c>
      <c r="M434" s="7">
        <f t="shared" si="28"/>
        <v>0</v>
      </c>
      <c r="N434" s="7">
        <f t="shared" si="29"/>
        <v>0</v>
      </c>
      <c r="O434" s="10" t="str">
        <f t="shared" si="30"/>
        <v/>
      </c>
    </row>
    <row r="435" spans="1:15">
      <c r="A435" s="7" t="s">
        <v>997</v>
      </c>
      <c r="B435" s="7"/>
      <c r="C435" s="7" t="s">
        <v>998</v>
      </c>
      <c r="D435" s="7" t="s">
        <v>996</v>
      </c>
      <c r="E435" s="7">
        <v>1804</v>
      </c>
      <c r="F435" s="8">
        <v>0</v>
      </c>
      <c r="G435" s="9" t="str">
        <f t="shared" si="27"/>
        <v/>
      </c>
      <c r="H435" s="7">
        <v>0</v>
      </c>
      <c r="I435" s="7">
        <v>0</v>
      </c>
      <c r="J435" s="7">
        <v>0</v>
      </c>
      <c r="K435" s="7">
        <f t="shared" si="32"/>
        <v>0</v>
      </c>
      <c r="L435" s="7">
        <v>22800</v>
      </c>
      <c r="M435" s="7">
        <f t="shared" si="28"/>
        <v>0</v>
      </c>
      <c r="N435" s="7">
        <f t="shared" si="29"/>
        <v>0</v>
      </c>
      <c r="O435" s="10" t="str">
        <f t="shared" si="30"/>
        <v/>
      </c>
    </row>
    <row r="436" spans="1:15">
      <c r="A436" s="7" t="s">
        <v>999</v>
      </c>
      <c r="B436" s="7"/>
      <c r="C436" s="7" t="s">
        <v>1000</v>
      </c>
      <c r="D436" s="7" t="s">
        <v>298</v>
      </c>
      <c r="E436" s="7">
        <v>14</v>
      </c>
      <c r="F436" s="8">
        <v>0</v>
      </c>
      <c r="G436" s="9" t="str">
        <f t="shared" si="27"/>
        <v/>
      </c>
      <c r="H436" s="7">
        <v>0</v>
      </c>
      <c r="I436" s="7">
        <v>0</v>
      </c>
      <c r="J436" s="7">
        <v>0</v>
      </c>
      <c r="K436" s="7">
        <f t="shared" si="32"/>
        <v>0</v>
      </c>
      <c r="L436" s="7">
        <v>1848</v>
      </c>
      <c r="M436" s="7">
        <f t="shared" si="28"/>
        <v>0</v>
      </c>
      <c r="N436" s="7">
        <f t="shared" si="29"/>
        <v>0</v>
      </c>
      <c r="O436" s="10" t="str">
        <f t="shared" si="30"/>
        <v/>
      </c>
    </row>
    <row r="437" spans="1:15">
      <c r="A437" s="7" t="s">
        <v>1001</v>
      </c>
      <c r="B437" s="7"/>
      <c r="C437" s="7" t="s">
        <v>989</v>
      </c>
      <c r="D437" s="7" t="s">
        <v>989</v>
      </c>
      <c r="E437" s="7">
        <v>5</v>
      </c>
      <c r="F437" s="8">
        <v>0</v>
      </c>
      <c r="G437" s="9" t="str">
        <f t="shared" si="27"/>
        <v/>
      </c>
      <c r="H437" s="7">
        <v>0</v>
      </c>
      <c r="I437" s="7">
        <v>0</v>
      </c>
      <c r="J437" s="7">
        <v>0</v>
      </c>
      <c r="K437" s="7">
        <f t="shared" si="32"/>
        <v>0</v>
      </c>
      <c r="L437" s="11">
        <v>0</v>
      </c>
      <c r="M437" s="7">
        <f t="shared" si="28"/>
        <v>0</v>
      </c>
      <c r="N437" s="7">
        <f t="shared" si="29"/>
        <v>0</v>
      </c>
      <c r="O437" s="10" t="str">
        <f t="shared" si="30"/>
        <v/>
      </c>
    </row>
    <row r="438" spans="1:15">
      <c r="A438" s="7" t="s">
        <v>1002</v>
      </c>
      <c r="B438" s="7"/>
      <c r="C438" s="7" t="s">
        <v>1003</v>
      </c>
      <c r="D438" s="7" t="s">
        <v>1004</v>
      </c>
      <c r="E438" s="7">
        <v>436</v>
      </c>
      <c r="F438" s="8">
        <v>0</v>
      </c>
      <c r="G438" s="9" t="str">
        <f t="shared" si="27"/>
        <v/>
      </c>
      <c r="H438" s="7">
        <v>0</v>
      </c>
      <c r="I438" s="7">
        <v>0</v>
      </c>
      <c r="J438" s="7">
        <v>0</v>
      </c>
      <c r="K438" s="7">
        <f t="shared" si="32"/>
        <v>0</v>
      </c>
      <c r="L438" s="7">
        <v>473</v>
      </c>
      <c r="M438" s="7">
        <f t="shared" si="28"/>
        <v>0</v>
      </c>
      <c r="N438" s="7">
        <f t="shared" si="29"/>
        <v>0</v>
      </c>
      <c r="O438" s="10" t="str">
        <f t="shared" si="30"/>
        <v/>
      </c>
    </row>
    <row r="439" spans="1:15">
      <c r="A439" s="7" t="s">
        <v>1005</v>
      </c>
      <c r="B439" s="7"/>
      <c r="C439" s="7" t="s">
        <v>1006</v>
      </c>
      <c r="D439" s="7" t="s">
        <v>1006</v>
      </c>
      <c r="E439" s="7">
        <v>8</v>
      </c>
      <c r="F439" s="8">
        <v>0</v>
      </c>
      <c r="G439" s="9" t="str">
        <f t="shared" si="27"/>
        <v/>
      </c>
      <c r="H439" s="7">
        <v>0</v>
      </c>
      <c r="I439" s="7">
        <v>0</v>
      </c>
      <c r="J439" s="7">
        <v>0</v>
      </c>
      <c r="K439" s="7">
        <f t="shared" si="32"/>
        <v>0</v>
      </c>
      <c r="L439" s="7">
        <v>385</v>
      </c>
      <c r="M439" s="7">
        <f t="shared" si="28"/>
        <v>0</v>
      </c>
      <c r="N439" s="7">
        <f t="shared" si="29"/>
        <v>0</v>
      </c>
      <c r="O439" s="10" t="str">
        <f t="shared" si="30"/>
        <v/>
      </c>
    </row>
    <row r="440" spans="1:15">
      <c r="A440" s="7" t="s">
        <v>1007</v>
      </c>
      <c r="B440" s="7"/>
      <c r="C440" s="7" t="s">
        <v>1008</v>
      </c>
      <c r="D440" s="7" t="s">
        <v>1008</v>
      </c>
      <c r="E440" s="7">
        <v>283</v>
      </c>
      <c r="F440" s="8">
        <v>0</v>
      </c>
      <c r="G440" s="9" t="str">
        <f t="shared" si="27"/>
        <v/>
      </c>
      <c r="H440" s="7">
        <v>0</v>
      </c>
      <c r="I440" s="7">
        <v>0</v>
      </c>
      <c r="J440" s="7">
        <v>0</v>
      </c>
      <c r="K440" s="7">
        <f t="shared" si="32"/>
        <v>0</v>
      </c>
      <c r="L440" s="7">
        <v>2430</v>
      </c>
      <c r="M440" s="7">
        <f t="shared" si="28"/>
        <v>0</v>
      </c>
      <c r="N440" s="7">
        <f t="shared" si="29"/>
        <v>0</v>
      </c>
      <c r="O440" s="10" t="str">
        <f t="shared" si="30"/>
        <v/>
      </c>
    </row>
    <row r="441" spans="1:15">
      <c r="A441" s="7" t="s">
        <v>1009</v>
      </c>
      <c r="B441" s="7"/>
      <c r="C441" s="7" t="s">
        <v>1010</v>
      </c>
      <c r="D441" s="7" t="s">
        <v>1011</v>
      </c>
      <c r="E441" s="7">
        <v>2097</v>
      </c>
      <c r="F441" s="8">
        <v>0</v>
      </c>
      <c r="G441" s="9" t="str">
        <f t="shared" si="27"/>
        <v/>
      </c>
      <c r="H441" s="7">
        <v>0</v>
      </c>
      <c r="I441" s="7">
        <v>0</v>
      </c>
      <c r="J441" s="7">
        <v>0</v>
      </c>
      <c r="K441" s="7">
        <f t="shared" si="32"/>
        <v>0</v>
      </c>
      <c r="L441" s="7">
        <v>13980</v>
      </c>
      <c r="M441" s="7">
        <f t="shared" si="28"/>
        <v>0</v>
      </c>
      <c r="N441" s="7">
        <f t="shared" si="29"/>
        <v>0</v>
      </c>
      <c r="O441" s="10" t="str">
        <f t="shared" si="30"/>
        <v/>
      </c>
    </row>
    <row r="442" spans="1:15">
      <c r="A442" s="7" t="s">
        <v>171</v>
      </c>
      <c r="B442" s="7"/>
      <c r="C442" s="7" t="s">
        <v>1012</v>
      </c>
      <c r="D442" s="7" t="s">
        <v>173</v>
      </c>
      <c r="E442" s="7">
        <v>5682</v>
      </c>
      <c r="F442" s="8">
        <v>0</v>
      </c>
      <c r="G442" s="9" t="str">
        <f t="shared" si="27"/>
        <v/>
      </c>
      <c r="H442" s="7">
        <v>0</v>
      </c>
      <c r="I442" s="7">
        <v>0</v>
      </c>
      <c r="J442" s="7">
        <v>0</v>
      </c>
      <c r="K442" s="7">
        <f t="shared" si="32"/>
        <v>0</v>
      </c>
      <c r="L442" s="7">
        <v>15980</v>
      </c>
      <c r="M442" s="7">
        <f t="shared" si="28"/>
        <v>0</v>
      </c>
      <c r="N442" s="7">
        <f t="shared" si="29"/>
        <v>0</v>
      </c>
      <c r="O442" s="10" t="str">
        <f t="shared" si="30"/>
        <v/>
      </c>
    </row>
    <row r="443" spans="1:15">
      <c r="A443" s="7" t="s">
        <v>1013</v>
      </c>
      <c r="B443" s="7"/>
      <c r="C443" s="7" t="s">
        <v>1014</v>
      </c>
      <c r="D443" s="7" t="s">
        <v>1015</v>
      </c>
      <c r="E443" s="7">
        <v>4071</v>
      </c>
      <c r="F443" s="8">
        <v>0</v>
      </c>
      <c r="G443" s="9" t="str">
        <f t="shared" si="27"/>
        <v/>
      </c>
      <c r="H443" s="7">
        <v>0</v>
      </c>
      <c r="I443" s="7">
        <v>0</v>
      </c>
      <c r="J443" s="7">
        <v>0</v>
      </c>
      <c r="K443" s="7">
        <f t="shared" si="32"/>
        <v>0</v>
      </c>
      <c r="L443" s="7">
        <v>502</v>
      </c>
      <c r="M443" s="7">
        <f t="shared" si="28"/>
        <v>0</v>
      </c>
      <c r="N443" s="7">
        <f t="shared" si="29"/>
        <v>0</v>
      </c>
      <c r="O443" s="10" t="str">
        <f t="shared" si="30"/>
        <v/>
      </c>
    </row>
    <row r="444" spans="1:15">
      <c r="A444" s="7" t="s">
        <v>1016</v>
      </c>
      <c r="B444" s="7"/>
      <c r="C444" s="7" t="s">
        <v>1017</v>
      </c>
      <c r="D444" s="7" t="s">
        <v>249</v>
      </c>
      <c r="E444" s="7">
        <v>2748</v>
      </c>
      <c r="F444" s="8">
        <v>0</v>
      </c>
      <c r="G444" s="9" t="str">
        <f t="shared" si="27"/>
        <v/>
      </c>
      <c r="H444" s="7">
        <v>0</v>
      </c>
      <c r="I444" s="7">
        <v>0</v>
      </c>
      <c r="J444" s="7">
        <v>0</v>
      </c>
      <c r="K444" s="7">
        <f t="shared" si="32"/>
        <v>0</v>
      </c>
      <c r="L444" s="7">
        <v>329</v>
      </c>
      <c r="M444" s="7">
        <f t="shared" si="28"/>
        <v>0</v>
      </c>
      <c r="N444" s="7">
        <f t="shared" si="29"/>
        <v>0</v>
      </c>
      <c r="O444" s="10" t="str">
        <f t="shared" si="30"/>
        <v/>
      </c>
    </row>
    <row r="445" spans="1:15">
      <c r="A445" s="7" t="s">
        <v>1018</v>
      </c>
      <c r="B445" s="7"/>
      <c r="C445" s="7" t="s">
        <v>1019</v>
      </c>
      <c r="D445" s="7" t="s">
        <v>1019</v>
      </c>
      <c r="E445" s="7">
        <v>639</v>
      </c>
      <c r="F445" s="8">
        <v>0</v>
      </c>
      <c r="G445" s="9" t="str">
        <f t="shared" si="27"/>
        <v/>
      </c>
      <c r="H445" s="7">
        <v>0</v>
      </c>
      <c r="I445" s="7">
        <v>0</v>
      </c>
      <c r="J445" s="7">
        <v>0</v>
      </c>
      <c r="K445" s="7">
        <f t="shared" si="32"/>
        <v>0</v>
      </c>
      <c r="L445" s="7">
        <v>9952</v>
      </c>
      <c r="M445" s="7">
        <f t="shared" si="28"/>
        <v>0</v>
      </c>
      <c r="N445" s="7">
        <f t="shared" si="29"/>
        <v>0</v>
      </c>
      <c r="O445" s="10" t="str">
        <f t="shared" si="30"/>
        <v/>
      </c>
    </row>
    <row r="446" spans="1:15">
      <c r="A446" s="7" t="s">
        <v>1020</v>
      </c>
      <c r="B446" s="7"/>
      <c r="C446" s="7" t="s">
        <v>1021</v>
      </c>
      <c r="D446" s="7" t="s">
        <v>1021</v>
      </c>
      <c r="E446" s="7">
        <v>711</v>
      </c>
      <c r="F446" s="8">
        <v>0</v>
      </c>
      <c r="G446" s="9" t="str">
        <f t="shared" si="27"/>
        <v/>
      </c>
      <c r="H446" s="7">
        <v>0</v>
      </c>
      <c r="I446" s="7">
        <v>0</v>
      </c>
      <c r="J446" s="7">
        <v>0</v>
      </c>
      <c r="K446" s="7">
        <f t="shared" si="32"/>
        <v>0</v>
      </c>
      <c r="L446" s="7">
        <v>1584</v>
      </c>
      <c r="M446" s="7">
        <f t="shared" si="28"/>
        <v>0</v>
      </c>
      <c r="N446" s="7">
        <f t="shared" si="29"/>
        <v>0</v>
      </c>
      <c r="O446" s="10" t="str">
        <f t="shared" si="30"/>
        <v/>
      </c>
    </row>
    <row r="447" spans="1:15">
      <c r="A447" s="7" t="s">
        <v>1022</v>
      </c>
      <c r="B447" s="7"/>
      <c r="C447" s="7" t="s">
        <v>1023</v>
      </c>
      <c r="D447" s="7" t="s">
        <v>1024</v>
      </c>
      <c r="E447" s="7">
        <v>1147</v>
      </c>
      <c r="F447" s="8">
        <v>0</v>
      </c>
      <c r="G447" s="9" t="str">
        <f t="shared" si="27"/>
        <v/>
      </c>
      <c r="H447" s="7">
        <v>0</v>
      </c>
      <c r="I447" s="7">
        <v>0</v>
      </c>
      <c r="J447" s="7">
        <v>0</v>
      </c>
      <c r="K447" s="7">
        <f t="shared" si="32"/>
        <v>0</v>
      </c>
      <c r="L447" s="7">
        <v>1210</v>
      </c>
      <c r="M447" s="7">
        <f t="shared" si="28"/>
        <v>0</v>
      </c>
      <c r="N447" s="7">
        <f t="shared" si="29"/>
        <v>0</v>
      </c>
      <c r="O447" s="10" t="str">
        <f t="shared" si="30"/>
        <v/>
      </c>
    </row>
    <row r="448" spans="1:15">
      <c r="A448" s="7" t="s">
        <v>1025</v>
      </c>
      <c r="B448" s="7"/>
      <c r="C448" s="7" t="s">
        <v>1026</v>
      </c>
      <c r="D448" s="7" t="s">
        <v>1026</v>
      </c>
      <c r="E448" s="7">
        <v>1610</v>
      </c>
      <c r="F448" s="8">
        <v>0</v>
      </c>
      <c r="G448" s="9" t="str">
        <f t="shared" si="27"/>
        <v/>
      </c>
      <c r="H448" s="7">
        <v>0</v>
      </c>
      <c r="I448" s="7">
        <v>0</v>
      </c>
      <c r="J448" s="7">
        <v>0</v>
      </c>
      <c r="K448" s="7">
        <f t="shared" si="32"/>
        <v>0</v>
      </c>
      <c r="L448" s="7">
        <v>10524</v>
      </c>
      <c r="M448" s="7">
        <f t="shared" si="28"/>
        <v>0</v>
      </c>
      <c r="N448" s="7">
        <f t="shared" si="29"/>
        <v>0</v>
      </c>
      <c r="O448" s="10" t="str">
        <f t="shared" si="30"/>
        <v/>
      </c>
    </row>
    <row r="449" spans="1:15">
      <c r="A449" s="7" t="s">
        <v>1027</v>
      </c>
      <c r="B449" s="7"/>
      <c r="C449" s="7" t="s">
        <v>1028</v>
      </c>
      <c r="D449" s="7" t="s">
        <v>1028</v>
      </c>
      <c r="E449" s="7">
        <v>230</v>
      </c>
      <c r="F449" s="8">
        <v>0</v>
      </c>
      <c r="G449" s="9" t="str">
        <f t="shared" si="27"/>
        <v/>
      </c>
      <c r="H449" s="7">
        <v>0</v>
      </c>
      <c r="I449" s="7">
        <v>0</v>
      </c>
      <c r="J449" s="7">
        <v>0</v>
      </c>
      <c r="K449" s="7">
        <f t="shared" si="32"/>
        <v>0</v>
      </c>
      <c r="L449" s="7">
        <v>525</v>
      </c>
      <c r="M449" s="7">
        <f t="shared" si="28"/>
        <v>0</v>
      </c>
      <c r="N449" s="7">
        <f t="shared" si="29"/>
        <v>0</v>
      </c>
      <c r="O449" s="10" t="str">
        <f t="shared" si="30"/>
        <v/>
      </c>
    </row>
    <row r="450" spans="1:15">
      <c r="A450" s="7" t="s">
        <v>1029</v>
      </c>
      <c r="B450" s="7"/>
      <c r="C450" s="7" t="s">
        <v>1030</v>
      </c>
      <c r="D450" s="7" t="s">
        <v>1030</v>
      </c>
      <c r="E450" s="7">
        <v>98</v>
      </c>
      <c r="F450" s="8">
        <v>0</v>
      </c>
      <c r="G450" s="9" t="str">
        <f t="shared" si="27"/>
        <v/>
      </c>
      <c r="H450" s="7">
        <v>0</v>
      </c>
      <c r="I450" s="7">
        <v>0</v>
      </c>
      <c r="J450" s="7">
        <v>0</v>
      </c>
      <c r="K450" s="7">
        <f t="shared" si="32"/>
        <v>0</v>
      </c>
      <c r="L450" s="7">
        <v>629</v>
      </c>
      <c r="M450" s="7">
        <f t="shared" si="28"/>
        <v>0</v>
      </c>
      <c r="N450" s="7">
        <f t="shared" si="29"/>
        <v>0</v>
      </c>
      <c r="O450" s="10" t="str">
        <f t="shared" si="30"/>
        <v/>
      </c>
    </row>
    <row r="451" spans="1:15">
      <c r="A451" s="7" t="s">
        <v>1031</v>
      </c>
      <c r="B451" s="7"/>
      <c r="C451" s="7" t="s">
        <v>1032</v>
      </c>
      <c r="D451" s="7" t="s">
        <v>1032</v>
      </c>
      <c r="E451" s="7">
        <v>211</v>
      </c>
      <c r="F451" s="8">
        <v>0</v>
      </c>
      <c r="G451" s="9" t="str">
        <f t="shared" si="27"/>
        <v/>
      </c>
      <c r="H451" s="7">
        <v>0</v>
      </c>
      <c r="I451" s="7">
        <v>0</v>
      </c>
      <c r="J451" s="7">
        <v>0</v>
      </c>
      <c r="K451" s="7">
        <f t="shared" si="32"/>
        <v>0</v>
      </c>
      <c r="L451" s="7">
        <v>629</v>
      </c>
      <c r="M451" s="7">
        <f t="shared" si="28"/>
        <v>0</v>
      </c>
      <c r="N451" s="7">
        <f t="shared" si="29"/>
        <v>0</v>
      </c>
      <c r="O451" s="10" t="str">
        <f t="shared" si="30"/>
        <v/>
      </c>
    </row>
    <row r="452" spans="1:15">
      <c r="A452" s="7" t="s">
        <v>1033</v>
      </c>
      <c r="B452" s="7"/>
      <c r="C452" s="7" t="s">
        <v>1034</v>
      </c>
      <c r="D452" s="7" t="s">
        <v>1034</v>
      </c>
      <c r="E452" s="7">
        <v>542</v>
      </c>
      <c r="F452" s="8">
        <v>0</v>
      </c>
      <c r="G452" s="9" t="str">
        <f t="shared" si="27"/>
        <v/>
      </c>
      <c r="H452" s="7">
        <v>0</v>
      </c>
      <c r="I452" s="7">
        <v>0</v>
      </c>
      <c r="J452" s="7">
        <v>0</v>
      </c>
      <c r="K452" s="7">
        <f t="shared" si="32"/>
        <v>0</v>
      </c>
      <c r="L452" s="7">
        <v>629</v>
      </c>
      <c r="M452" s="7">
        <f t="shared" si="28"/>
        <v>0</v>
      </c>
      <c r="N452" s="7">
        <f t="shared" si="29"/>
        <v>0</v>
      </c>
      <c r="O452" s="10" t="str">
        <f t="shared" si="30"/>
        <v/>
      </c>
    </row>
    <row r="453" spans="1:15">
      <c r="A453" s="7" t="s">
        <v>1035</v>
      </c>
      <c r="B453" s="7"/>
      <c r="C453" s="7" t="s">
        <v>1036</v>
      </c>
      <c r="D453" s="7" t="s">
        <v>1037</v>
      </c>
      <c r="E453" s="7">
        <v>5655</v>
      </c>
      <c r="F453" s="8">
        <v>0</v>
      </c>
      <c r="G453" s="9" t="str">
        <f t="shared" si="27"/>
        <v/>
      </c>
      <c r="H453" s="7">
        <v>0</v>
      </c>
      <c r="I453" s="7">
        <v>0</v>
      </c>
      <c r="J453" s="7">
        <v>0</v>
      </c>
      <c r="K453" s="7">
        <f t="shared" si="32"/>
        <v>0</v>
      </c>
      <c r="L453" s="7">
        <v>22800</v>
      </c>
      <c r="M453" s="7">
        <f t="shared" si="28"/>
        <v>0</v>
      </c>
      <c r="N453" s="7">
        <f t="shared" si="29"/>
        <v>0</v>
      </c>
      <c r="O453" s="10" t="str">
        <f t="shared" si="30"/>
        <v/>
      </c>
    </row>
    <row r="454" spans="1:15">
      <c r="A454" s="7" t="s">
        <v>1035</v>
      </c>
      <c r="B454" s="7"/>
      <c r="C454" s="7" t="s">
        <v>1036</v>
      </c>
      <c r="D454" s="7" t="s">
        <v>1036</v>
      </c>
      <c r="E454" s="7">
        <v>32439</v>
      </c>
      <c r="F454" s="8">
        <v>0</v>
      </c>
      <c r="G454" s="9" t="str">
        <f t="shared" si="27"/>
        <v/>
      </c>
      <c r="H454" s="7">
        <v>0</v>
      </c>
      <c r="I454" s="7">
        <v>0</v>
      </c>
      <c r="J454" s="7">
        <v>0</v>
      </c>
      <c r="K454" s="7">
        <f t="shared" si="32"/>
        <v>0</v>
      </c>
      <c r="L454" s="7">
        <v>22800</v>
      </c>
      <c r="M454" s="7">
        <f t="shared" si="28"/>
        <v>0</v>
      </c>
      <c r="N454" s="7">
        <f t="shared" si="29"/>
        <v>0</v>
      </c>
      <c r="O454" s="10" t="str">
        <f t="shared" si="30"/>
        <v/>
      </c>
    </row>
    <row r="455" spans="1:15">
      <c r="A455" s="7" t="s">
        <v>1038</v>
      </c>
      <c r="B455" s="7"/>
      <c r="C455" s="7" t="s">
        <v>1039</v>
      </c>
      <c r="D455" s="7" t="s">
        <v>1039</v>
      </c>
      <c r="E455" s="7">
        <v>4</v>
      </c>
      <c r="F455" s="8">
        <v>0</v>
      </c>
      <c r="G455" s="9" t="str">
        <f t="shared" si="27"/>
        <v/>
      </c>
      <c r="H455" s="7">
        <v>0</v>
      </c>
      <c r="I455" s="7">
        <v>0</v>
      </c>
      <c r="J455" s="7">
        <v>0</v>
      </c>
      <c r="K455" s="7">
        <f t="shared" si="32"/>
        <v>0</v>
      </c>
      <c r="L455" s="7">
        <v>605</v>
      </c>
      <c r="M455" s="7">
        <f t="shared" si="28"/>
        <v>0</v>
      </c>
      <c r="N455" s="7">
        <f t="shared" si="29"/>
        <v>0</v>
      </c>
      <c r="O455" s="10" t="str">
        <f t="shared" si="30"/>
        <v/>
      </c>
    </row>
    <row r="456" spans="1:15">
      <c r="A456" s="7" t="s">
        <v>1040</v>
      </c>
      <c r="B456" s="7"/>
      <c r="C456" s="7" t="s">
        <v>818</v>
      </c>
      <c r="D456" s="7" t="s">
        <v>818</v>
      </c>
      <c r="E456" s="7">
        <v>1</v>
      </c>
      <c r="F456" s="8">
        <v>0</v>
      </c>
      <c r="G456" s="9" t="str">
        <f t="shared" ref="G456:G519" si="33">IF(H456=0,"",I456/H456)</f>
        <v/>
      </c>
      <c r="H456" s="7">
        <v>0</v>
      </c>
      <c r="I456" s="7">
        <v>0</v>
      </c>
      <c r="J456" s="7">
        <v>0</v>
      </c>
      <c r="K456" s="7">
        <f t="shared" si="32"/>
        <v>0</v>
      </c>
      <c r="L456" s="11"/>
      <c r="M456" s="7">
        <f t="shared" ref="M456:M519" si="34">SUM(H456*L456)</f>
        <v>0</v>
      </c>
      <c r="N456" s="7">
        <f t="shared" ref="N456:N519" si="35">SUM(I456-K456-M456)</f>
        <v>0</v>
      </c>
      <c r="O456" s="10" t="str">
        <f t="shared" ref="O456:O519" si="36">IF(I456=0,"",N456/I456)</f>
        <v/>
      </c>
    </row>
    <row r="457" spans="1:15">
      <c r="A457" s="7" t="s">
        <v>1041</v>
      </c>
      <c r="B457" s="7"/>
      <c r="C457" s="7" t="s">
        <v>793</v>
      </c>
      <c r="D457" s="7" t="s">
        <v>793</v>
      </c>
      <c r="E457" s="7">
        <v>1</v>
      </c>
      <c r="F457" s="8">
        <v>0</v>
      </c>
      <c r="G457" s="9" t="str">
        <f t="shared" si="33"/>
        <v/>
      </c>
      <c r="H457" s="7">
        <v>0</v>
      </c>
      <c r="I457" s="7">
        <v>0</v>
      </c>
      <c r="J457" s="7">
        <v>0</v>
      </c>
      <c r="K457" s="7">
        <f t="shared" si="32"/>
        <v>0</v>
      </c>
      <c r="L457" s="11"/>
      <c r="M457" s="7">
        <f t="shared" si="34"/>
        <v>0</v>
      </c>
      <c r="N457" s="7">
        <f t="shared" si="35"/>
        <v>0</v>
      </c>
      <c r="O457" s="10" t="str">
        <f t="shared" si="36"/>
        <v/>
      </c>
    </row>
    <row r="458" spans="1:15">
      <c r="A458" s="7" t="s">
        <v>1042</v>
      </c>
      <c r="B458" s="7"/>
      <c r="C458" s="7" t="s">
        <v>1043</v>
      </c>
      <c r="D458" s="7" t="s">
        <v>1043</v>
      </c>
      <c r="E458" s="7">
        <v>16</v>
      </c>
      <c r="F458" s="8">
        <v>0</v>
      </c>
      <c r="G458" s="9" t="str">
        <f t="shared" si="33"/>
        <v/>
      </c>
      <c r="H458" s="7">
        <v>0</v>
      </c>
      <c r="I458" s="7">
        <v>0</v>
      </c>
      <c r="J458" s="7">
        <v>0</v>
      </c>
      <c r="K458" s="7">
        <f t="shared" si="32"/>
        <v>0</v>
      </c>
      <c r="L458" s="11"/>
      <c r="M458" s="7">
        <f t="shared" si="34"/>
        <v>0</v>
      </c>
      <c r="N458" s="7">
        <f t="shared" si="35"/>
        <v>0</v>
      </c>
      <c r="O458" s="10" t="str">
        <f t="shared" si="36"/>
        <v/>
      </c>
    </row>
    <row r="459" spans="1:15">
      <c r="A459" s="7" t="s">
        <v>1044</v>
      </c>
      <c r="B459" s="7"/>
      <c r="C459" s="7" t="s">
        <v>240</v>
      </c>
      <c r="D459" s="7" t="s">
        <v>240</v>
      </c>
      <c r="E459" s="7">
        <v>5</v>
      </c>
      <c r="F459" s="8">
        <v>0</v>
      </c>
      <c r="G459" s="9" t="str">
        <f t="shared" si="33"/>
        <v/>
      </c>
      <c r="H459" s="7">
        <v>0</v>
      </c>
      <c r="I459" s="7">
        <v>0</v>
      </c>
      <c r="J459" s="7">
        <v>0</v>
      </c>
      <c r="K459" s="7">
        <f t="shared" si="32"/>
        <v>0</v>
      </c>
      <c r="L459" s="11"/>
      <c r="M459" s="7">
        <f t="shared" si="34"/>
        <v>0</v>
      </c>
      <c r="N459" s="7">
        <f t="shared" si="35"/>
        <v>0</v>
      </c>
      <c r="O459" s="10" t="str">
        <f t="shared" si="36"/>
        <v/>
      </c>
    </row>
    <row r="460" spans="1:15">
      <c r="A460" s="7" t="s">
        <v>1045</v>
      </c>
      <c r="B460" s="7"/>
      <c r="C460" s="7" t="s">
        <v>1046</v>
      </c>
      <c r="D460" s="7" t="s">
        <v>1047</v>
      </c>
      <c r="E460" s="7">
        <v>1483</v>
      </c>
      <c r="F460" s="8">
        <v>0</v>
      </c>
      <c r="G460" s="9" t="str">
        <f t="shared" si="33"/>
        <v/>
      </c>
      <c r="H460" s="7">
        <v>0</v>
      </c>
      <c r="I460" s="7">
        <v>0</v>
      </c>
      <c r="J460" s="7">
        <v>0</v>
      </c>
      <c r="K460" s="7">
        <f t="shared" si="32"/>
        <v>0</v>
      </c>
      <c r="L460" s="7">
        <v>400</v>
      </c>
      <c r="M460" s="7">
        <f t="shared" si="34"/>
        <v>0</v>
      </c>
      <c r="N460" s="7">
        <f t="shared" si="35"/>
        <v>0</v>
      </c>
      <c r="O460" s="10" t="str">
        <f t="shared" si="36"/>
        <v/>
      </c>
    </row>
    <row r="461" spans="1:15">
      <c r="A461" s="7" t="s">
        <v>1048</v>
      </c>
      <c r="B461" s="7"/>
      <c r="C461" s="7" t="s">
        <v>228</v>
      </c>
      <c r="D461" s="7" t="s">
        <v>228</v>
      </c>
      <c r="E461" s="7">
        <v>28</v>
      </c>
      <c r="F461" s="8">
        <v>0</v>
      </c>
      <c r="G461" s="9" t="str">
        <f t="shared" si="33"/>
        <v/>
      </c>
      <c r="H461" s="7">
        <v>0</v>
      </c>
      <c r="I461" s="7">
        <v>0</v>
      </c>
      <c r="J461" s="7">
        <v>0</v>
      </c>
      <c r="K461" s="7">
        <f t="shared" si="32"/>
        <v>0</v>
      </c>
      <c r="L461" s="11"/>
      <c r="M461" s="7">
        <f t="shared" si="34"/>
        <v>0</v>
      </c>
      <c r="N461" s="7">
        <f t="shared" si="35"/>
        <v>0</v>
      </c>
      <c r="O461" s="10" t="str">
        <f t="shared" si="36"/>
        <v/>
      </c>
    </row>
    <row r="462" spans="1:15">
      <c r="A462" s="7" t="s">
        <v>1049</v>
      </c>
      <c r="B462" s="7"/>
      <c r="C462" s="7" t="s">
        <v>1047</v>
      </c>
      <c r="D462" s="7" t="s">
        <v>1047</v>
      </c>
      <c r="E462" s="7">
        <v>1</v>
      </c>
      <c r="F462" s="8">
        <v>0</v>
      </c>
      <c r="G462" s="9" t="str">
        <f t="shared" si="33"/>
        <v/>
      </c>
      <c r="H462" s="7">
        <v>0</v>
      </c>
      <c r="I462" s="7">
        <v>0</v>
      </c>
      <c r="J462" s="7">
        <v>0</v>
      </c>
      <c r="K462" s="7">
        <f t="shared" si="32"/>
        <v>0</v>
      </c>
      <c r="L462" s="11"/>
      <c r="M462" s="7">
        <f t="shared" si="34"/>
        <v>0</v>
      </c>
      <c r="N462" s="7">
        <f t="shared" si="35"/>
        <v>0</v>
      </c>
      <c r="O462" s="10" t="str">
        <f t="shared" si="36"/>
        <v/>
      </c>
    </row>
    <row r="463" spans="1:15">
      <c r="A463" s="7" t="s">
        <v>1050</v>
      </c>
      <c r="B463" s="7"/>
      <c r="C463" s="7" t="s">
        <v>1051</v>
      </c>
      <c r="D463" s="7" t="s">
        <v>1051</v>
      </c>
      <c r="E463" s="7">
        <v>8</v>
      </c>
      <c r="F463" s="8">
        <v>0</v>
      </c>
      <c r="G463" s="9" t="str">
        <f t="shared" si="33"/>
        <v/>
      </c>
      <c r="H463" s="7">
        <v>0</v>
      </c>
      <c r="I463" s="7">
        <v>0</v>
      </c>
      <c r="J463" s="7">
        <v>0</v>
      </c>
      <c r="K463" s="7">
        <f t="shared" si="32"/>
        <v>0</v>
      </c>
      <c r="L463" s="7">
        <v>895</v>
      </c>
      <c r="M463" s="7">
        <f t="shared" si="34"/>
        <v>0</v>
      </c>
      <c r="N463" s="7">
        <f t="shared" si="35"/>
        <v>0</v>
      </c>
      <c r="O463" s="10" t="str">
        <f t="shared" si="36"/>
        <v/>
      </c>
    </row>
    <row r="464" spans="1:15">
      <c r="A464" s="7" t="s">
        <v>1052</v>
      </c>
      <c r="B464" s="7"/>
      <c r="C464" s="7" t="s">
        <v>1053</v>
      </c>
      <c r="D464" s="7" t="s">
        <v>1054</v>
      </c>
      <c r="E464" s="7">
        <v>32</v>
      </c>
      <c r="F464" s="8">
        <v>0</v>
      </c>
      <c r="G464" s="9" t="str">
        <f t="shared" si="33"/>
        <v/>
      </c>
      <c r="H464" s="7">
        <v>0</v>
      </c>
      <c r="I464" s="7">
        <v>0</v>
      </c>
      <c r="J464" s="7">
        <v>0</v>
      </c>
      <c r="K464" s="7">
        <f t="shared" si="32"/>
        <v>0</v>
      </c>
      <c r="L464" s="7">
        <v>880</v>
      </c>
      <c r="M464" s="7">
        <f t="shared" si="34"/>
        <v>0</v>
      </c>
      <c r="N464" s="7">
        <f t="shared" si="35"/>
        <v>0</v>
      </c>
      <c r="O464" s="10" t="str">
        <f t="shared" si="36"/>
        <v/>
      </c>
    </row>
    <row r="465" spans="1:15">
      <c r="A465" s="7" t="s">
        <v>1055</v>
      </c>
      <c r="B465" s="7"/>
      <c r="C465" s="7" t="s">
        <v>1056</v>
      </c>
      <c r="D465" s="7" t="s">
        <v>1057</v>
      </c>
      <c r="E465" s="7">
        <v>107</v>
      </c>
      <c r="F465" s="8">
        <v>0</v>
      </c>
      <c r="G465" s="9" t="str">
        <f t="shared" si="33"/>
        <v/>
      </c>
      <c r="H465" s="7">
        <v>0</v>
      </c>
      <c r="I465" s="7">
        <v>0</v>
      </c>
      <c r="J465" s="7">
        <v>0</v>
      </c>
      <c r="K465" s="7">
        <f t="shared" si="32"/>
        <v>0</v>
      </c>
      <c r="L465" s="7">
        <v>9980</v>
      </c>
      <c r="M465" s="7">
        <f t="shared" si="34"/>
        <v>0</v>
      </c>
      <c r="N465" s="7">
        <f t="shared" si="35"/>
        <v>0</v>
      </c>
      <c r="O465" s="10" t="str">
        <f t="shared" si="36"/>
        <v/>
      </c>
    </row>
    <row r="466" spans="1:15">
      <c r="A466" s="7" t="s">
        <v>1058</v>
      </c>
      <c r="B466" s="7"/>
      <c r="C466" s="7" t="s">
        <v>1059</v>
      </c>
      <c r="D466" s="7" t="s">
        <v>1057</v>
      </c>
      <c r="E466" s="7">
        <v>65</v>
      </c>
      <c r="F466" s="8">
        <v>0</v>
      </c>
      <c r="G466" s="9" t="str">
        <f t="shared" si="33"/>
        <v/>
      </c>
      <c r="H466" s="7">
        <v>0</v>
      </c>
      <c r="I466" s="7">
        <v>0</v>
      </c>
      <c r="J466" s="7">
        <v>0</v>
      </c>
      <c r="K466" s="7">
        <f t="shared" si="32"/>
        <v>0</v>
      </c>
      <c r="L466" s="7">
        <v>4606</v>
      </c>
      <c r="M466" s="7">
        <f t="shared" si="34"/>
        <v>0</v>
      </c>
      <c r="N466" s="7">
        <f t="shared" si="35"/>
        <v>0</v>
      </c>
      <c r="O466" s="10" t="str">
        <f t="shared" si="36"/>
        <v/>
      </c>
    </row>
    <row r="467" spans="1:15">
      <c r="A467" s="7" t="s">
        <v>1060</v>
      </c>
      <c r="B467" s="7"/>
      <c r="C467" s="7" t="s">
        <v>1061</v>
      </c>
      <c r="D467" s="7" t="s">
        <v>1062</v>
      </c>
      <c r="E467" s="7">
        <v>715</v>
      </c>
      <c r="F467" s="8">
        <v>0</v>
      </c>
      <c r="G467" s="9" t="str">
        <f t="shared" si="33"/>
        <v/>
      </c>
      <c r="H467" s="7">
        <v>0</v>
      </c>
      <c r="I467" s="7">
        <v>0</v>
      </c>
      <c r="J467" s="7">
        <v>0</v>
      </c>
      <c r="K467" s="7">
        <f t="shared" si="32"/>
        <v>0</v>
      </c>
      <c r="L467" s="7">
        <v>769</v>
      </c>
      <c r="M467" s="7">
        <f t="shared" si="34"/>
        <v>0</v>
      </c>
      <c r="N467" s="7">
        <f t="shared" si="35"/>
        <v>0</v>
      </c>
      <c r="O467" s="10" t="str">
        <f t="shared" si="36"/>
        <v/>
      </c>
    </row>
    <row r="468" spans="1:15">
      <c r="A468" s="7" t="s">
        <v>721</v>
      </c>
      <c r="B468" s="7"/>
      <c r="C468" s="7" t="s">
        <v>723</v>
      </c>
      <c r="D468" s="7" t="s">
        <v>723</v>
      </c>
      <c r="E468" s="7">
        <v>1</v>
      </c>
      <c r="F468" s="8">
        <v>0</v>
      </c>
      <c r="G468" s="9" t="str">
        <f t="shared" si="33"/>
        <v/>
      </c>
      <c r="H468" s="7">
        <v>0</v>
      </c>
      <c r="I468" s="7">
        <v>0</v>
      </c>
      <c r="J468" s="7">
        <v>0</v>
      </c>
      <c r="K468" s="7">
        <f t="shared" si="32"/>
        <v>0</v>
      </c>
      <c r="L468" s="11"/>
      <c r="M468" s="7">
        <f t="shared" si="34"/>
        <v>0</v>
      </c>
      <c r="N468" s="7">
        <f t="shared" si="35"/>
        <v>0</v>
      </c>
      <c r="O468" s="10" t="str">
        <f t="shared" si="36"/>
        <v/>
      </c>
    </row>
    <row r="469" spans="1:15">
      <c r="A469" s="7" t="s">
        <v>1063</v>
      </c>
      <c r="B469" s="7"/>
      <c r="C469" s="7" t="s">
        <v>1064</v>
      </c>
      <c r="D469" s="7" t="s">
        <v>1065</v>
      </c>
      <c r="E469" s="7">
        <v>676</v>
      </c>
      <c r="F469" s="8">
        <v>0</v>
      </c>
      <c r="G469" s="9" t="str">
        <f t="shared" si="33"/>
        <v/>
      </c>
      <c r="H469" s="7">
        <v>0</v>
      </c>
      <c r="I469" s="7">
        <v>0</v>
      </c>
      <c r="J469" s="7">
        <v>0</v>
      </c>
      <c r="K469" s="7">
        <f t="shared" si="32"/>
        <v>0</v>
      </c>
      <c r="L469" s="7">
        <v>514</v>
      </c>
      <c r="M469" s="7">
        <f t="shared" si="34"/>
        <v>0</v>
      </c>
      <c r="N469" s="7">
        <f t="shared" si="35"/>
        <v>0</v>
      </c>
      <c r="O469" s="10" t="str">
        <f t="shared" si="36"/>
        <v/>
      </c>
    </row>
    <row r="470" spans="1:15">
      <c r="A470" s="7" t="s">
        <v>1066</v>
      </c>
      <c r="B470" s="7"/>
      <c r="C470" s="7" t="s">
        <v>1067</v>
      </c>
      <c r="D470" s="7" t="s">
        <v>1067</v>
      </c>
      <c r="E470" s="7">
        <v>5</v>
      </c>
      <c r="F470" s="8">
        <v>0</v>
      </c>
      <c r="G470" s="9" t="str">
        <f t="shared" si="33"/>
        <v/>
      </c>
      <c r="H470" s="7">
        <v>0</v>
      </c>
      <c r="I470" s="7">
        <v>0</v>
      </c>
      <c r="J470" s="7">
        <v>0</v>
      </c>
      <c r="K470" s="7">
        <f t="shared" si="32"/>
        <v>0</v>
      </c>
      <c r="L470" s="11"/>
      <c r="M470" s="7">
        <f t="shared" si="34"/>
        <v>0</v>
      </c>
      <c r="N470" s="7">
        <f t="shared" si="35"/>
        <v>0</v>
      </c>
      <c r="O470" s="10" t="str">
        <f t="shared" si="36"/>
        <v/>
      </c>
    </row>
    <row r="471" spans="1:15">
      <c r="A471" s="7" t="s">
        <v>1068</v>
      </c>
      <c r="B471" s="7"/>
      <c r="C471" s="7" t="s">
        <v>1069</v>
      </c>
      <c r="D471" s="7" t="s">
        <v>1067</v>
      </c>
      <c r="E471" s="7">
        <v>4</v>
      </c>
      <c r="F471" s="8">
        <v>0</v>
      </c>
      <c r="G471" s="9" t="str">
        <f t="shared" si="33"/>
        <v/>
      </c>
      <c r="H471" s="7">
        <v>0</v>
      </c>
      <c r="I471" s="7">
        <v>0</v>
      </c>
      <c r="J471" s="7">
        <v>0</v>
      </c>
      <c r="K471" s="7">
        <f t="shared" ref="K471:K534" si="37">SUM(I471*0.15)</f>
        <v>0</v>
      </c>
      <c r="L471" s="11"/>
      <c r="M471" s="7">
        <f t="shared" si="34"/>
        <v>0</v>
      </c>
      <c r="N471" s="7">
        <f t="shared" si="35"/>
        <v>0</v>
      </c>
      <c r="O471" s="10" t="str">
        <f t="shared" si="36"/>
        <v/>
      </c>
    </row>
    <row r="472" spans="1:15">
      <c r="A472" s="7" t="s">
        <v>1070</v>
      </c>
      <c r="B472" s="7"/>
      <c r="C472" s="7" t="s">
        <v>1071</v>
      </c>
      <c r="D472" s="7" t="s">
        <v>1071</v>
      </c>
      <c r="E472" s="7">
        <v>650</v>
      </c>
      <c r="F472" s="8">
        <v>0</v>
      </c>
      <c r="G472" s="9" t="str">
        <f t="shared" si="33"/>
        <v/>
      </c>
      <c r="H472" s="7">
        <v>0</v>
      </c>
      <c r="I472" s="7">
        <v>0</v>
      </c>
      <c r="J472" s="7">
        <v>0</v>
      </c>
      <c r="K472" s="7">
        <f t="shared" si="37"/>
        <v>0</v>
      </c>
      <c r="L472" s="7">
        <v>1200</v>
      </c>
      <c r="M472" s="7">
        <f t="shared" si="34"/>
        <v>0</v>
      </c>
      <c r="N472" s="7">
        <f t="shared" si="35"/>
        <v>0</v>
      </c>
      <c r="O472" s="10" t="str">
        <f t="shared" si="36"/>
        <v/>
      </c>
    </row>
    <row r="473" spans="1:15">
      <c r="A473" s="7" t="s">
        <v>1072</v>
      </c>
      <c r="B473" s="7"/>
      <c r="C473" s="7" t="s">
        <v>950</v>
      </c>
      <c r="D473" s="7" t="s">
        <v>950</v>
      </c>
      <c r="E473" s="7">
        <v>1</v>
      </c>
      <c r="F473" s="8">
        <v>0</v>
      </c>
      <c r="G473" s="9" t="str">
        <f t="shared" si="33"/>
        <v/>
      </c>
      <c r="H473" s="7">
        <v>0</v>
      </c>
      <c r="I473" s="7">
        <v>0</v>
      </c>
      <c r="J473" s="7">
        <v>0</v>
      </c>
      <c r="K473" s="7">
        <f t="shared" si="37"/>
        <v>0</v>
      </c>
      <c r="L473" s="11"/>
      <c r="M473" s="7">
        <f t="shared" si="34"/>
        <v>0</v>
      </c>
      <c r="N473" s="7">
        <f t="shared" si="35"/>
        <v>0</v>
      </c>
      <c r="O473" s="10" t="str">
        <f t="shared" si="36"/>
        <v/>
      </c>
    </row>
    <row r="474" spans="1:15">
      <c r="A474" s="7" t="s">
        <v>1073</v>
      </c>
      <c r="B474" s="7"/>
      <c r="C474" s="7" t="s">
        <v>1074</v>
      </c>
      <c r="D474" s="7" t="s">
        <v>1074</v>
      </c>
      <c r="E474" s="7">
        <v>3</v>
      </c>
      <c r="F474" s="8">
        <v>0</v>
      </c>
      <c r="G474" s="9" t="str">
        <f t="shared" si="33"/>
        <v/>
      </c>
      <c r="H474" s="7">
        <v>0</v>
      </c>
      <c r="I474" s="7">
        <v>0</v>
      </c>
      <c r="J474" s="7">
        <v>0</v>
      </c>
      <c r="K474" s="7">
        <f t="shared" si="37"/>
        <v>0</v>
      </c>
      <c r="L474" s="7">
        <v>380</v>
      </c>
      <c r="M474" s="7">
        <f t="shared" si="34"/>
        <v>0</v>
      </c>
      <c r="N474" s="7">
        <f t="shared" si="35"/>
        <v>0</v>
      </c>
      <c r="O474" s="10" t="str">
        <f t="shared" si="36"/>
        <v/>
      </c>
    </row>
    <row r="475" spans="1:15">
      <c r="A475" s="7" t="s">
        <v>1075</v>
      </c>
      <c r="B475" s="7"/>
      <c r="C475" s="7" t="s">
        <v>1076</v>
      </c>
      <c r="D475" s="7" t="s">
        <v>1077</v>
      </c>
      <c r="E475" s="7">
        <v>625</v>
      </c>
      <c r="F475" s="8">
        <v>0</v>
      </c>
      <c r="G475" s="9" t="str">
        <f t="shared" si="33"/>
        <v/>
      </c>
      <c r="H475" s="7">
        <v>0</v>
      </c>
      <c r="I475" s="7">
        <v>0</v>
      </c>
      <c r="J475" s="7">
        <v>0</v>
      </c>
      <c r="K475" s="7">
        <f t="shared" si="37"/>
        <v>0</v>
      </c>
      <c r="L475" s="7">
        <v>548</v>
      </c>
      <c r="M475" s="7">
        <f t="shared" si="34"/>
        <v>0</v>
      </c>
      <c r="N475" s="7">
        <f t="shared" si="35"/>
        <v>0</v>
      </c>
      <c r="O475" s="10" t="str">
        <f t="shared" si="36"/>
        <v/>
      </c>
    </row>
    <row r="476" spans="1:15">
      <c r="A476" s="7" t="s">
        <v>1075</v>
      </c>
      <c r="B476" s="7"/>
      <c r="C476" s="7" t="s">
        <v>1076</v>
      </c>
      <c r="D476" s="7" t="s">
        <v>1078</v>
      </c>
      <c r="E476" s="7">
        <v>1958</v>
      </c>
      <c r="F476" s="8">
        <v>0</v>
      </c>
      <c r="G476" s="9" t="str">
        <f t="shared" si="33"/>
        <v/>
      </c>
      <c r="H476" s="7">
        <v>0</v>
      </c>
      <c r="I476" s="7">
        <v>0</v>
      </c>
      <c r="J476" s="7">
        <v>0</v>
      </c>
      <c r="K476" s="7">
        <f t="shared" si="37"/>
        <v>0</v>
      </c>
      <c r="L476" s="7">
        <v>548</v>
      </c>
      <c r="M476" s="7">
        <f t="shared" si="34"/>
        <v>0</v>
      </c>
      <c r="N476" s="7">
        <f t="shared" si="35"/>
        <v>0</v>
      </c>
      <c r="O476" s="10" t="str">
        <f t="shared" si="36"/>
        <v/>
      </c>
    </row>
    <row r="477" spans="1:15">
      <c r="A477" s="7" t="s">
        <v>1079</v>
      </c>
      <c r="B477" s="7"/>
      <c r="C477" s="7" t="s">
        <v>1078</v>
      </c>
      <c r="D477" s="7" t="s">
        <v>1078</v>
      </c>
      <c r="E477" s="7">
        <v>1</v>
      </c>
      <c r="F477" s="8">
        <v>0</v>
      </c>
      <c r="G477" s="9" t="str">
        <f t="shared" si="33"/>
        <v/>
      </c>
      <c r="H477" s="7">
        <v>0</v>
      </c>
      <c r="I477" s="7">
        <v>0</v>
      </c>
      <c r="J477" s="7">
        <v>0</v>
      </c>
      <c r="K477" s="7">
        <f t="shared" si="37"/>
        <v>0</v>
      </c>
      <c r="L477" s="11"/>
      <c r="M477" s="7">
        <f t="shared" si="34"/>
        <v>0</v>
      </c>
      <c r="N477" s="7">
        <f t="shared" si="35"/>
        <v>0</v>
      </c>
      <c r="O477" s="10" t="str">
        <f t="shared" si="36"/>
        <v/>
      </c>
    </row>
    <row r="478" spans="1:15">
      <c r="A478" s="7" t="s">
        <v>1080</v>
      </c>
      <c r="B478" s="7"/>
      <c r="C478" s="7" t="s">
        <v>1081</v>
      </c>
      <c r="D478" s="7" t="s">
        <v>1081</v>
      </c>
      <c r="E478" s="7">
        <v>1486</v>
      </c>
      <c r="F478" s="8">
        <v>0</v>
      </c>
      <c r="G478" s="9" t="str">
        <f t="shared" si="33"/>
        <v/>
      </c>
      <c r="H478" s="7">
        <v>0</v>
      </c>
      <c r="I478" s="7">
        <v>0</v>
      </c>
      <c r="J478" s="7">
        <v>0</v>
      </c>
      <c r="K478" s="7">
        <f t="shared" si="37"/>
        <v>0</v>
      </c>
      <c r="L478" s="7">
        <v>768</v>
      </c>
      <c r="M478" s="7">
        <f t="shared" si="34"/>
        <v>0</v>
      </c>
      <c r="N478" s="7">
        <f t="shared" si="35"/>
        <v>0</v>
      </c>
      <c r="O478" s="10" t="str">
        <f t="shared" si="36"/>
        <v/>
      </c>
    </row>
    <row r="479" spans="1:15">
      <c r="A479" s="7" t="s">
        <v>1082</v>
      </c>
      <c r="B479" s="7"/>
      <c r="C479" s="7" t="s">
        <v>1083</v>
      </c>
      <c r="D479" s="7" t="s">
        <v>1083</v>
      </c>
      <c r="E479" s="7">
        <v>293</v>
      </c>
      <c r="F479" s="8">
        <v>0</v>
      </c>
      <c r="G479" s="9" t="str">
        <f t="shared" si="33"/>
        <v/>
      </c>
      <c r="H479" s="7">
        <v>0</v>
      </c>
      <c r="I479" s="7">
        <v>0</v>
      </c>
      <c r="J479" s="7">
        <v>0</v>
      </c>
      <c r="K479" s="7">
        <f t="shared" si="37"/>
        <v>0</v>
      </c>
      <c r="L479" s="7">
        <v>525</v>
      </c>
      <c r="M479" s="7">
        <f t="shared" si="34"/>
        <v>0</v>
      </c>
      <c r="N479" s="7">
        <f t="shared" si="35"/>
        <v>0</v>
      </c>
      <c r="O479" s="10" t="str">
        <f t="shared" si="36"/>
        <v/>
      </c>
    </row>
    <row r="480" spans="1:15">
      <c r="A480" s="7" t="s">
        <v>1084</v>
      </c>
      <c r="B480" s="7"/>
      <c r="C480" s="7" t="s">
        <v>1085</v>
      </c>
      <c r="D480" s="7" t="s">
        <v>1086</v>
      </c>
      <c r="E480" s="7">
        <v>387</v>
      </c>
      <c r="F480" s="8">
        <v>0</v>
      </c>
      <c r="G480" s="9" t="str">
        <f t="shared" si="33"/>
        <v/>
      </c>
      <c r="H480" s="7">
        <v>0</v>
      </c>
      <c r="I480" s="7">
        <v>0</v>
      </c>
      <c r="J480" s="7">
        <v>0</v>
      </c>
      <c r="K480" s="7">
        <f t="shared" si="37"/>
        <v>0</v>
      </c>
      <c r="L480" s="7">
        <v>287</v>
      </c>
      <c r="M480" s="7">
        <f t="shared" si="34"/>
        <v>0</v>
      </c>
      <c r="N480" s="7">
        <f t="shared" si="35"/>
        <v>0</v>
      </c>
      <c r="O480" s="10" t="str">
        <f t="shared" si="36"/>
        <v/>
      </c>
    </row>
    <row r="481" spans="1:15">
      <c r="A481" s="7" t="s">
        <v>1087</v>
      </c>
      <c r="B481" s="7"/>
      <c r="C481" s="7" t="s">
        <v>1088</v>
      </c>
      <c r="D481" s="7" t="s">
        <v>1089</v>
      </c>
      <c r="E481" s="7">
        <v>246</v>
      </c>
      <c r="F481" s="8">
        <v>0</v>
      </c>
      <c r="G481" s="9" t="str">
        <f t="shared" si="33"/>
        <v/>
      </c>
      <c r="H481" s="7">
        <v>0</v>
      </c>
      <c r="I481" s="7">
        <v>0</v>
      </c>
      <c r="J481" s="7">
        <v>0</v>
      </c>
      <c r="K481" s="7">
        <f t="shared" si="37"/>
        <v>0</v>
      </c>
      <c r="L481" s="7">
        <v>630</v>
      </c>
      <c r="M481" s="7">
        <f t="shared" si="34"/>
        <v>0</v>
      </c>
      <c r="N481" s="7">
        <f t="shared" si="35"/>
        <v>0</v>
      </c>
      <c r="O481" s="10" t="str">
        <f t="shared" si="36"/>
        <v/>
      </c>
    </row>
    <row r="482" spans="1:15">
      <c r="A482" s="7" t="s">
        <v>1090</v>
      </c>
      <c r="B482" s="7"/>
      <c r="C482" s="7" t="s">
        <v>1091</v>
      </c>
      <c r="D482" s="7" t="s">
        <v>1092</v>
      </c>
      <c r="E482" s="7">
        <v>80667</v>
      </c>
      <c r="F482" s="8">
        <v>0</v>
      </c>
      <c r="G482" s="9" t="str">
        <f t="shared" si="33"/>
        <v/>
      </c>
      <c r="H482" s="7">
        <v>0</v>
      </c>
      <c r="I482" s="7">
        <v>0</v>
      </c>
      <c r="J482" s="7">
        <v>0</v>
      </c>
      <c r="K482" s="7">
        <f t="shared" si="37"/>
        <v>0</v>
      </c>
      <c r="L482" s="7">
        <v>8980</v>
      </c>
      <c r="M482" s="7">
        <f t="shared" si="34"/>
        <v>0</v>
      </c>
      <c r="N482" s="7">
        <f t="shared" si="35"/>
        <v>0</v>
      </c>
      <c r="O482" s="10" t="str">
        <f t="shared" si="36"/>
        <v/>
      </c>
    </row>
    <row r="483" spans="1:15">
      <c r="A483" s="7" t="s">
        <v>1090</v>
      </c>
      <c r="B483" s="7"/>
      <c r="C483" s="7" t="s">
        <v>1091</v>
      </c>
      <c r="D483" s="7" t="s">
        <v>1091</v>
      </c>
      <c r="E483" s="7">
        <v>4150</v>
      </c>
      <c r="F483" s="8">
        <v>0</v>
      </c>
      <c r="G483" s="9" t="str">
        <f t="shared" si="33"/>
        <v/>
      </c>
      <c r="H483" s="7">
        <v>0</v>
      </c>
      <c r="I483" s="7">
        <v>0</v>
      </c>
      <c r="J483" s="7">
        <v>0</v>
      </c>
      <c r="K483" s="7">
        <f t="shared" si="37"/>
        <v>0</v>
      </c>
      <c r="L483" s="7">
        <v>8980</v>
      </c>
      <c r="M483" s="7">
        <f t="shared" si="34"/>
        <v>0</v>
      </c>
      <c r="N483" s="7">
        <f t="shared" si="35"/>
        <v>0</v>
      </c>
      <c r="O483" s="10" t="str">
        <f t="shared" si="36"/>
        <v/>
      </c>
    </row>
    <row r="484" spans="1:15">
      <c r="A484" s="7" t="s">
        <v>1090</v>
      </c>
      <c r="B484" s="7"/>
      <c r="C484" s="7" t="s">
        <v>1091</v>
      </c>
      <c r="D484" s="7" t="s">
        <v>1093</v>
      </c>
      <c r="E484" s="7">
        <v>28660</v>
      </c>
      <c r="F484" s="8">
        <v>0</v>
      </c>
      <c r="G484" s="9" t="str">
        <f t="shared" si="33"/>
        <v/>
      </c>
      <c r="H484" s="7">
        <v>0</v>
      </c>
      <c r="I484" s="7">
        <v>0</v>
      </c>
      <c r="J484" s="7">
        <v>0</v>
      </c>
      <c r="K484" s="7">
        <f t="shared" si="37"/>
        <v>0</v>
      </c>
      <c r="L484" s="7">
        <v>8980</v>
      </c>
      <c r="M484" s="7">
        <f t="shared" si="34"/>
        <v>0</v>
      </c>
      <c r="N484" s="7">
        <f t="shared" si="35"/>
        <v>0</v>
      </c>
      <c r="O484" s="10" t="str">
        <f t="shared" si="36"/>
        <v/>
      </c>
    </row>
    <row r="485" spans="1:15">
      <c r="A485" s="7" t="s">
        <v>1094</v>
      </c>
      <c r="B485" s="7"/>
      <c r="C485" s="7" t="s">
        <v>1095</v>
      </c>
      <c r="D485" s="7" t="s">
        <v>1096</v>
      </c>
      <c r="E485" s="7">
        <v>1870</v>
      </c>
      <c r="F485" s="8">
        <v>0</v>
      </c>
      <c r="G485" s="9" t="str">
        <f t="shared" si="33"/>
        <v/>
      </c>
      <c r="H485" s="7">
        <v>0</v>
      </c>
      <c r="I485" s="7">
        <v>0</v>
      </c>
      <c r="J485" s="7">
        <v>0</v>
      </c>
      <c r="K485" s="7">
        <f t="shared" si="37"/>
        <v>0</v>
      </c>
      <c r="L485" s="7">
        <v>18800</v>
      </c>
      <c r="M485" s="7">
        <f t="shared" si="34"/>
        <v>0</v>
      </c>
      <c r="N485" s="7">
        <f t="shared" si="35"/>
        <v>0</v>
      </c>
      <c r="O485" s="10" t="str">
        <f t="shared" si="36"/>
        <v/>
      </c>
    </row>
    <row r="486" spans="1:15">
      <c r="A486" s="7" t="s">
        <v>1094</v>
      </c>
      <c r="B486" s="7"/>
      <c r="C486" s="7" t="s">
        <v>1095</v>
      </c>
      <c r="D486" s="7" t="s">
        <v>1092</v>
      </c>
      <c r="E486" s="7">
        <v>23361</v>
      </c>
      <c r="F486" s="8">
        <v>0</v>
      </c>
      <c r="G486" s="9" t="str">
        <f t="shared" si="33"/>
        <v/>
      </c>
      <c r="H486" s="7">
        <v>0</v>
      </c>
      <c r="I486" s="7">
        <v>0</v>
      </c>
      <c r="J486" s="7">
        <v>0</v>
      </c>
      <c r="K486" s="7">
        <f t="shared" si="37"/>
        <v>0</v>
      </c>
      <c r="L486" s="7">
        <v>18800</v>
      </c>
      <c r="M486" s="7">
        <f t="shared" si="34"/>
        <v>0</v>
      </c>
      <c r="N486" s="7">
        <f t="shared" si="35"/>
        <v>0</v>
      </c>
      <c r="O486" s="10" t="str">
        <f t="shared" si="36"/>
        <v/>
      </c>
    </row>
    <row r="487" spans="1:15">
      <c r="A487" s="7" t="s">
        <v>1097</v>
      </c>
      <c r="B487" s="7"/>
      <c r="C487" s="7" t="s">
        <v>1098</v>
      </c>
      <c r="D487" s="7" t="s">
        <v>1096</v>
      </c>
      <c r="E487" s="7">
        <v>8859</v>
      </c>
      <c r="F487" s="8">
        <v>0</v>
      </c>
      <c r="G487" s="9" t="str">
        <f t="shared" si="33"/>
        <v/>
      </c>
      <c r="H487" s="7">
        <v>0</v>
      </c>
      <c r="I487" s="7">
        <v>0</v>
      </c>
      <c r="J487" s="7">
        <v>0</v>
      </c>
      <c r="K487" s="7">
        <f t="shared" si="37"/>
        <v>0</v>
      </c>
      <c r="L487" s="7">
        <v>15540</v>
      </c>
      <c r="M487" s="7">
        <f t="shared" si="34"/>
        <v>0</v>
      </c>
      <c r="N487" s="7">
        <f t="shared" si="35"/>
        <v>0</v>
      </c>
      <c r="O487" s="10" t="str">
        <f t="shared" si="36"/>
        <v/>
      </c>
    </row>
    <row r="488" spans="1:15">
      <c r="A488" s="7" t="s">
        <v>1097</v>
      </c>
      <c r="B488" s="7"/>
      <c r="C488" s="7" t="s">
        <v>1098</v>
      </c>
      <c r="D488" s="7" t="s">
        <v>1092</v>
      </c>
      <c r="E488" s="7">
        <v>32980</v>
      </c>
      <c r="F488" s="8">
        <v>0</v>
      </c>
      <c r="G488" s="9" t="str">
        <f t="shared" si="33"/>
        <v/>
      </c>
      <c r="H488" s="7">
        <v>0</v>
      </c>
      <c r="I488" s="7">
        <v>0</v>
      </c>
      <c r="J488" s="7">
        <v>0</v>
      </c>
      <c r="K488" s="7">
        <f t="shared" si="37"/>
        <v>0</v>
      </c>
      <c r="L488" s="7">
        <v>15540</v>
      </c>
      <c r="M488" s="7">
        <f t="shared" si="34"/>
        <v>0</v>
      </c>
      <c r="N488" s="7">
        <f t="shared" si="35"/>
        <v>0</v>
      </c>
      <c r="O488" s="10" t="str">
        <f t="shared" si="36"/>
        <v/>
      </c>
    </row>
    <row r="489" spans="1:15">
      <c r="A489" s="7" t="s">
        <v>1099</v>
      </c>
      <c r="B489" s="7"/>
      <c r="C489" s="7" t="s">
        <v>1100</v>
      </c>
      <c r="D489" s="7" t="s">
        <v>1101</v>
      </c>
      <c r="E489" s="7">
        <v>421</v>
      </c>
      <c r="F489" s="8">
        <v>0</v>
      </c>
      <c r="G489" s="9" t="str">
        <f t="shared" si="33"/>
        <v/>
      </c>
      <c r="H489" s="7">
        <v>0</v>
      </c>
      <c r="I489" s="7">
        <v>0</v>
      </c>
      <c r="J489" s="7">
        <v>0</v>
      </c>
      <c r="K489" s="7">
        <f t="shared" si="37"/>
        <v>0</v>
      </c>
      <c r="L489" s="7">
        <v>484</v>
      </c>
      <c r="M489" s="7">
        <f t="shared" si="34"/>
        <v>0</v>
      </c>
      <c r="N489" s="7">
        <f t="shared" si="35"/>
        <v>0</v>
      </c>
      <c r="O489" s="10" t="str">
        <f t="shared" si="36"/>
        <v/>
      </c>
    </row>
    <row r="490" spans="1:15">
      <c r="A490" s="7" t="s">
        <v>1102</v>
      </c>
      <c r="B490" s="7"/>
      <c r="C490" s="7" t="s">
        <v>1103</v>
      </c>
      <c r="D490" s="7" t="s">
        <v>1101</v>
      </c>
      <c r="E490" s="7">
        <v>1026</v>
      </c>
      <c r="F490" s="8">
        <v>0</v>
      </c>
      <c r="G490" s="9" t="str">
        <f t="shared" si="33"/>
        <v/>
      </c>
      <c r="H490" s="7">
        <v>0</v>
      </c>
      <c r="I490" s="7">
        <v>0</v>
      </c>
      <c r="J490" s="7">
        <v>0</v>
      </c>
      <c r="K490" s="7">
        <f t="shared" si="37"/>
        <v>0</v>
      </c>
      <c r="L490" s="7">
        <v>605</v>
      </c>
      <c r="M490" s="7">
        <f t="shared" si="34"/>
        <v>0</v>
      </c>
      <c r="N490" s="7">
        <f t="shared" si="35"/>
        <v>0</v>
      </c>
      <c r="O490" s="10" t="str">
        <f t="shared" si="36"/>
        <v/>
      </c>
    </row>
    <row r="491" spans="1:15">
      <c r="A491" s="7" t="s">
        <v>1104</v>
      </c>
      <c r="B491" s="7"/>
      <c r="C491" s="7" t="s">
        <v>1105</v>
      </c>
      <c r="D491" s="7" t="s">
        <v>1106</v>
      </c>
      <c r="E491" s="7">
        <v>598</v>
      </c>
      <c r="F491" s="8">
        <v>0</v>
      </c>
      <c r="G491" s="9" t="str">
        <f t="shared" si="33"/>
        <v/>
      </c>
      <c r="H491" s="7">
        <v>0</v>
      </c>
      <c r="I491" s="7">
        <v>0</v>
      </c>
      <c r="J491" s="7">
        <v>0</v>
      </c>
      <c r="K491" s="7">
        <f t="shared" si="37"/>
        <v>0</v>
      </c>
      <c r="L491" s="7">
        <v>549</v>
      </c>
      <c r="M491" s="7">
        <f t="shared" si="34"/>
        <v>0</v>
      </c>
      <c r="N491" s="7">
        <f t="shared" si="35"/>
        <v>0</v>
      </c>
      <c r="O491" s="10" t="str">
        <f t="shared" si="36"/>
        <v/>
      </c>
    </row>
    <row r="492" spans="1:15">
      <c r="A492" s="7" t="s">
        <v>1107</v>
      </c>
      <c r="B492" s="7"/>
      <c r="C492" s="7" t="s">
        <v>1108</v>
      </c>
      <c r="D492" s="7" t="s">
        <v>1108</v>
      </c>
      <c r="E492" s="7">
        <v>1013</v>
      </c>
      <c r="F492" s="8">
        <v>0</v>
      </c>
      <c r="G492" s="9" t="str">
        <f t="shared" si="33"/>
        <v/>
      </c>
      <c r="H492" s="7">
        <v>0</v>
      </c>
      <c r="I492" s="7">
        <v>0</v>
      </c>
      <c r="J492" s="7">
        <v>0</v>
      </c>
      <c r="K492" s="7">
        <f t="shared" si="37"/>
        <v>0</v>
      </c>
      <c r="L492" s="7">
        <v>329</v>
      </c>
      <c r="M492" s="7">
        <f t="shared" si="34"/>
        <v>0</v>
      </c>
      <c r="N492" s="7">
        <f t="shared" si="35"/>
        <v>0</v>
      </c>
      <c r="O492" s="10" t="str">
        <f t="shared" si="36"/>
        <v/>
      </c>
    </row>
    <row r="493" spans="1:15">
      <c r="A493" s="7" t="s">
        <v>1109</v>
      </c>
      <c r="B493" s="7"/>
      <c r="C493" s="7" t="s">
        <v>1110</v>
      </c>
      <c r="D493" s="7" t="s">
        <v>1110</v>
      </c>
      <c r="E493" s="7">
        <v>1433</v>
      </c>
      <c r="F493" s="8">
        <v>0</v>
      </c>
      <c r="G493" s="9" t="str">
        <f t="shared" si="33"/>
        <v/>
      </c>
      <c r="H493" s="7">
        <v>0</v>
      </c>
      <c r="I493" s="7">
        <v>0</v>
      </c>
      <c r="J493" s="7">
        <v>0</v>
      </c>
      <c r="K493" s="7">
        <f t="shared" si="37"/>
        <v>0</v>
      </c>
      <c r="L493" s="7">
        <v>549</v>
      </c>
      <c r="M493" s="7">
        <f t="shared" si="34"/>
        <v>0</v>
      </c>
      <c r="N493" s="7">
        <f t="shared" si="35"/>
        <v>0</v>
      </c>
      <c r="O493" s="10" t="str">
        <f t="shared" si="36"/>
        <v/>
      </c>
    </row>
    <row r="494" spans="1:15">
      <c r="A494" s="7" t="s">
        <v>1111</v>
      </c>
      <c r="B494" s="7"/>
      <c r="C494" s="7" t="s">
        <v>1112</v>
      </c>
      <c r="D494" s="7" t="s">
        <v>1106</v>
      </c>
      <c r="E494" s="7">
        <v>770</v>
      </c>
      <c r="F494" s="8">
        <v>0</v>
      </c>
      <c r="G494" s="9" t="str">
        <f t="shared" si="33"/>
        <v/>
      </c>
      <c r="H494" s="7">
        <v>0</v>
      </c>
      <c r="I494" s="7">
        <v>0</v>
      </c>
      <c r="J494" s="7">
        <v>0</v>
      </c>
      <c r="K494" s="7">
        <f t="shared" si="37"/>
        <v>0</v>
      </c>
      <c r="L494" s="7">
        <v>329</v>
      </c>
      <c r="M494" s="7">
        <f t="shared" si="34"/>
        <v>0</v>
      </c>
      <c r="N494" s="7">
        <f t="shared" si="35"/>
        <v>0</v>
      </c>
      <c r="O494" s="10" t="str">
        <f t="shared" si="36"/>
        <v/>
      </c>
    </row>
    <row r="495" spans="1:15">
      <c r="A495" s="7" t="s">
        <v>1113</v>
      </c>
      <c r="B495" s="7"/>
      <c r="C495" s="7" t="s">
        <v>783</v>
      </c>
      <c r="D495" s="7" t="s">
        <v>783</v>
      </c>
      <c r="E495" s="7">
        <v>2</v>
      </c>
      <c r="F495" s="8">
        <v>0</v>
      </c>
      <c r="G495" s="9" t="str">
        <f t="shared" si="33"/>
        <v/>
      </c>
      <c r="H495" s="7">
        <v>0</v>
      </c>
      <c r="I495" s="7">
        <v>0</v>
      </c>
      <c r="J495" s="7">
        <v>0</v>
      </c>
      <c r="K495" s="7">
        <f t="shared" si="37"/>
        <v>0</v>
      </c>
      <c r="L495" s="11"/>
      <c r="M495" s="7">
        <f t="shared" si="34"/>
        <v>0</v>
      </c>
      <c r="N495" s="7">
        <f t="shared" si="35"/>
        <v>0</v>
      </c>
      <c r="O495" s="10" t="str">
        <f t="shared" si="36"/>
        <v/>
      </c>
    </row>
    <row r="496" spans="1:15">
      <c r="A496" s="7" t="s">
        <v>1114</v>
      </c>
      <c r="B496" s="7"/>
      <c r="C496" s="7" t="s">
        <v>1115</v>
      </c>
      <c r="D496" s="7" t="s">
        <v>1116</v>
      </c>
      <c r="E496" s="7">
        <v>6136</v>
      </c>
      <c r="F496" s="8">
        <v>0</v>
      </c>
      <c r="G496" s="9" t="str">
        <f t="shared" si="33"/>
        <v/>
      </c>
      <c r="H496" s="7">
        <v>0</v>
      </c>
      <c r="I496" s="7">
        <v>0</v>
      </c>
      <c r="J496" s="7">
        <v>0</v>
      </c>
      <c r="K496" s="7">
        <f t="shared" si="37"/>
        <v>0</v>
      </c>
      <c r="L496" s="7">
        <v>438</v>
      </c>
      <c r="M496" s="7">
        <f t="shared" si="34"/>
        <v>0</v>
      </c>
      <c r="N496" s="7">
        <f t="shared" si="35"/>
        <v>0</v>
      </c>
      <c r="O496" s="10" t="str">
        <f t="shared" si="36"/>
        <v/>
      </c>
    </row>
    <row r="497" spans="1:15">
      <c r="A497" s="7" t="s">
        <v>1117</v>
      </c>
      <c r="B497" s="7"/>
      <c r="C497" s="7" t="s">
        <v>1118</v>
      </c>
      <c r="D497" s="7" t="s">
        <v>1119</v>
      </c>
      <c r="E497" s="7">
        <v>1353</v>
      </c>
      <c r="F497" s="8">
        <v>0</v>
      </c>
      <c r="G497" s="9" t="str">
        <f t="shared" si="33"/>
        <v/>
      </c>
      <c r="H497" s="7">
        <v>0</v>
      </c>
      <c r="I497" s="7">
        <v>0</v>
      </c>
      <c r="J497" s="7">
        <v>0</v>
      </c>
      <c r="K497" s="7">
        <f t="shared" si="37"/>
        <v>0</v>
      </c>
      <c r="L497" s="7">
        <v>860</v>
      </c>
      <c r="M497" s="7">
        <f t="shared" si="34"/>
        <v>0</v>
      </c>
      <c r="N497" s="7">
        <f t="shared" si="35"/>
        <v>0</v>
      </c>
      <c r="O497" s="10" t="str">
        <f t="shared" si="36"/>
        <v/>
      </c>
    </row>
    <row r="498" spans="1:15">
      <c r="A498" s="7" t="s">
        <v>1120</v>
      </c>
      <c r="B498" s="7"/>
      <c r="C498" s="7" t="s">
        <v>1121</v>
      </c>
      <c r="D498" s="7" t="s">
        <v>1121</v>
      </c>
      <c r="E498" s="7">
        <v>728</v>
      </c>
      <c r="F498" s="8">
        <v>0</v>
      </c>
      <c r="G498" s="9" t="str">
        <f t="shared" si="33"/>
        <v/>
      </c>
      <c r="H498" s="7">
        <v>0</v>
      </c>
      <c r="I498" s="7">
        <v>0</v>
      </c>
      <c r="J498" s="7">
        <v>0</v>
      </c>
      <c r="K498" s="7">
        <f t="shared" si="37"/>
        <v>0</v>
      </c>
      <c r="L498" s="7">
        <v>549</v>
      </c>
      <c r="M498" s="7">
        <f t="shared" si="34"/>
        <v>0</v>
      </c>
      <c r="N498" s="7">
        <f t="shared" si="35"/>
        <v>0</v>
      </c>
      <c r="O498" s="10" t="str">
        <f t="shared" si="36"/>
        <v/>
      </c>
    </row>
    <row r="499" spans="1:15">
      <c r="A499" s="7" t="s">
        <v>1122</v>
      </c>
      <c r="B499" s="7"/>
      <c r="C499" s="7" t="s">
        <v>1123</v>
      </c>
      <c r="D499" s="7" t="s">
        <v>1124</v>
      </c>
      <c r="E499" s="7">
        <v>17216</v>
      </c>
      <c r="F499" s="8">
        <v>0</v>
      </c>
      <c r="G499" s="9" t="str">
        <f t="shared" si="33"/>
        <v/>
      </c>
      <c r="H499" s="7">
        <v>0</v>
      </c>
      <c r="I499" s="7">
        <v>0</v>
      </c>
      <c r="J499" s="7">
        <v>0</v>
      </c>
      <c r="K499" s="7">
        <f t="shared" si="37"/>
        <v>0</v>
      </c>
      <c r="L499" s="7">
        <v>29800</v>
      </c>
      <c r="M499" s="7">
        <f t="shared" si="34"/>
        <v>0</v>
      </c>
      <c r="N499" s="7">
        <f t="shared" si="35"/>
        <v>0</v>
      </c>
      <c r="O499" s="10" t="str">
        <f t="shared" si="36"/>
        <v/>
      </c>
    </row>
    <row r="500" spans="1:15">
      <c r="A500" s="7" t="s">
        <v>1125</v>
      </c>
      <c r="B500" s="7"/>
      <c r="C500" s="7" t="s">
        <v>1126</v>
      </c>
      <c r="D500" s="7" t="s">
        <v>1127</v>
      </c>
      <c r="E500" s="7">
        <v>2145</v>
      </c>
      <c r="F500" s="8">
        <v>0</v>
      </c>
      <c r="G500" s="9" t="str">
        <f t="shared" si="33"/>
        <v/>
      </c>
      <c r="H500" s="7">
        <v>0</v>
      </c>
      <c r="I500" s="7">
        <v>0</v>
      </c>
      <c r="J500" s="7">
        <v>0</v>
      </c>
      <c r="K500" s="7">
        <f t="shared" si="37"/>
        <v>0</v>
      </c>
      <c r="L500" s="7">
        <v>461</v>
      </c>
      <c r="M500" s="7">
        <f t="shared" si="34"/>
        <v>0</v>
      </c>
      <c r="N500" s="7">
        <f t="shared" si="35"/>
        <v>0</v>
      </c>
      <c r="O500" s="10" t="str">
        <f t="shared" si="36"/>
        <v/>
      </c>
    </row>
    <row r="501" spans="1:15">
      <c r="A501" s="7" t="s">
        <v>1128</v>
      </c>
      <c r="B501" s="7"/>
      <c r="C501" s="7" t="s">
        <v>1129</v>
      </c>
      <c r="D501" s="7" t="s">
        <v>1130</v>
      </c>
      <c r="E501" s="7">
        <v>2072</v>
      </c>
      <c r="F501" s="8">
        <v>0</v>
      </c>
      <c r="G501" s="9" t="str">
        <f t="shared" si="33"/>
        <v/>
      </c>
      <c r="H501" s="7">
        <v>0</v>
      </c>
      <c r="I501" s="7">
        <v>0</v>
      </c>
      <c r="J501" s="7">
        <v>0</v>
      </c>
      <c r="K501" s="7">
        <f t="shared" si="37"/>
        <v>0</v>
      </c>
      <c r="L501" s="7">
        <v>412</v>
      </c>
      <c r="M501" s="7">
        <f t="shared" si="34"/>
        <v>0</v>
      </c>
      <c r="N501" s="7">
        <f t="shared" si="35"/>
        <v>0</v>
      </c>
      <c r="O501" s="10" t="str">
        <f t="shared" si="36"/>
        <v/>
      </c>
    </row>
    <row r="502" spans="1:15">
      <c r="A502" s="7" t="s">
        <v>1131</v>
      </c>
      <c r="B502" s="7"/>
      <c r="C502" s="7" t="s">
        <v>1132</v>
      </c>
      <c r="D502" s="7" t="s">
        <v>1133</v>
      </c>
      <c r="E502" s="7">
        <v>1244</v>
      </c>
      <c r="F502" s="8">
        <v>0</v>
      </c>
      <c r="G502" s="9" t="str">
        <f t="shared" si="33"/>
        <v/>
      </c>
      <c r="H502" s="7">
        <v>0</v>
      </c>
      <c r="I502" s="7">
        <v>0</v>
      </c>
      <c r="J502" s="7">
        <v>0</v>
      </c>
      <c r="K502" s="7">
        <f t="shared" si="37"/>
        <v>0</v>
      </c>
      <c r="L502" s="7">
        <v>461</v>
      </c>
      <c r="M502" s="7">
        <f t="shared" si="34"/>
        <v>0</v>
      </c>
      <c r="N502" s="7">
        <f t="shared" si="35"/>
        <v>0</v>
      </c>
      <c r="O502" s="10" t="str">
        <f t="shared" si="36"/>
        <v/>
      </c>
    </row>
    <row r="503" spans="1:15">
      <c r="A503" s="7" t="s">
        <v>1134</v>
      </c>
      <c r="B503" s="7"/>
      <c r="C503" s="7" t="s">
        <v>1135</v>
      </c>
      <c r="D503" s="7" t="s">
        <v>1133</v>
      </c>
      <c r="E503" s="7">
        <v>3448</v>
      </c>
      <c r="F503" s="8">
        <v>0</v>
      </c>
      <c r="G503" s="9" t="str">
        <f t="shared" si="33"/>
        <v/>
      </c>
      <c r="H503" s="7">
        <v>0</v>
      </c>
      <c r="I503" s="7">
        <v>0</v>
      </c>
      <c r="J503" s="7">
        <v>0</v>
      </c>
      <c r="K503" s="7">
        <f t="shared" si="37"/>
        <v>0</v>
      </c>
      <c r="L503" s="7">
        <v>461</v>
      </c>
      <c r="M503" s="7">
        <f t="shared" si="34"/>
        <v>0</v>
      </c>
      <c r="N503" s="7">
        <f t="shared" si="35"/>
        <v>0</v>
      </c>
      <c r="O503" s="10" t="str">
        <f t="shared" si="36"/>
        <v/>
      </c>
    </row>
    <row r="504" spans="1:15">
      <c r="A504" s="7" t="s">
        <v>1136</v>
      </c>
      <c r="B504" s="7"/>
      <c r="C504" s="7" t="s">
        <v>1137</v>
      </c>
      <c r="D504" s="7" t="s">
        <v>455</v>
      </c>
      <c r="E504" s="7">
        <v>50</v>
      </c>
      <c r="F504" s="8">
        <v>0</v>
      </c>
      <c r="G504" s="9" t="str">
        <f t="shared" si="33"/>
        <v/>
      </c>
      <c r="H504" s="7">
        <v>0</v>
      </c>
      <c r="I504" s="7">
        <v>0</v>
      </c>
      <c r="J504" s="7">
        <v>0</v>
      </c>
      <c r="K504" s="7">
        <f t="shared" si="37"/>
        <v>0</v>
      </c>
      <c r="L504" s="7">
        <v>495</v>
      </c>
      <c r="M504" s="7">
        <f t="shared" si="34"/>
        <v>0</v>
      </c>
      <c r="N504" s="7">
        <f t="shared" si="35"/>
        <v>0</v>
      </c>
      <c r="O504" s="10" t="str">
        <f t="shared" si="36"/>
        <v/>
      </c>
    </row>
    <row r="505" spans="1:15">
      <c r="A505" s="7" t="s">
        <v>1138</v>
      </c>
      <c r="B505" s="7"/>
      <c r="C505" s="7" t="s">
        <v>1139</v>
      </c>
      <c r="D505" s="7" t="s">
        <v>1140</v>
      </c>
      <c r="E505" s="7">
        <v>103</v>
      </c>
      <c r="F505" s="8">
        <v>0</v>
      </c>
      <c r="G505" s="9" t="str">
        <f t="shared" si="33"/>
        <v/>
      </c>
      <c r="H505" s="7">
        <v>0</v>
      </c>
      <c r="I505" s="7">
        <v>0</v>
      </c>
      <c r="J505" s="7">
        <v>0</v>
      </c>
      <c r="K505" s="7">
        <f t="shared" si="37"/>
        <v>0</v>
      </c>
      <c r="L505" s="7">
        <v>286</v>
      </c>
      <c r="M505" s="7">
        <f t="shared" si="34"/>
        <v>0</v>
      </c>
      <c r="N505" s="7">
        <f t="shared" si="35"/>
        <v>0</v>
      </c>
      <c r="O505" s="10" t="str">
        <f t="shared" si="36"/>
        <v/>
      </c>
    </row>
    <row r="506" spans="1:15">
      <c r="A506" s="7" t="s">
        <v>1141</v>
      </c>
      <c r="B506" s="7"/>
      <c r="C506" s="7" t="s">
        <v>1142</v>
      </c>
      <c r="D506" s="7" t="s">
        <v>1143</v>
      </c>
      <c r="E506" s="7">
        <v>43</v>
      </c>
      <c r="F506" s="8">
        <v>0</v>
      </c>
      <c r="G506" s="9" t="str">
        <f t="shared" si="33"/>
        <v/>
      </c>
      <c r="H506" s="7">
        <v>0</v>
      </c>
      <c r="I506" s="7">
        <v>0</v>
      </c>
      <c r="J506" s="7">
        <v>0</v>
      </c>
      <c r="K506" s="7">
        <f t="shared" si="37"/>
        <v>0</v>
      </c>
      <c r="L506" s="7">
        <v>1155</v>
      </c>
      <c r="M506" s="7">
        <f t="shared" si="34"/>
        <v>0</v>
      </c>
      <c r="N506" s="7">
        <f t="shared" si="35"/>
        <v>0</v>
      </c>
      <c r="O506" s="10" t="str">
        <f t="shared" si="36"/>
        <v/>
      </c>
    </row>
    <row r="507" spans="1:15">
      <c r="A507" s="7" t="s">
        <v>1144</v>
      </c>
      <c r="B507" s="7"/>
      <c r="C507" s="7" t="s">
        <v>1145</v>
      </c>
      <c r="D507" s="7" t="s">
        <v>1145</v>
      </c>
      <c r="E507" s="7">
        <v>61</v>
      </c>
      <c r="F507" s="8">
        <v>0</v>
      </c>
      <c r="G507" s="9" t="str">
        <f t="shared" si="33"/>
        <v/>
      </c>
      <c r="H507" s="7">
        <v>0</v>
      </c>
      <c r="I507" s="7">
        <v>0</v>
      </c>
      <c r="J507" s="7">
        <v>0</v>
      </c>
      <c r="K507" s="7">
        <f t="shared" si="37"/>
        <v>0</v>
      </c>
      <c r="L507" s="7">
        <v>769</v>
      </c>
      <c r="M507" s="7">
        <f t="shared" si="34"/>
        <v>0</v>
      </c>
      <c r="N507" s="7">
        <f t="shared" si="35"/>
        <v>0</v>
      </c>
      <c r="O507" s="10" t="str">
        <f t="shared" si="36"/>
        <v/>
      </c>
    </row>
    <row r="508" spans="1:15">
      <c r="A508" s="7" t="s">
        <v>1146</v>
      </c>
      <c r="B508" s="7"/>
      <c r="C508" s="7" t="s">
        <v>1147</v>
      </c>
      <c r="D508" s="7" t="s">
        <v>1147</v>
      </c>
      <c r="E508" s="7">
        <v>64</v>
      </c>
      <c r="F508" s="8">
        <v>0</v>
      </c>
      <c r="G508" s="9" t="str">
        <f t="shared" si="33"/>
        <v/>
      </c>
      <c r="H508" s="7">
        <v>0</v>
      </c>
      <c r="I508" s="7">
        <v>0</v>
      </c>
      <c r="J508" s="7">
        <v>0</v>
      </c>
      <c r="K508" s="7">
        <f t="shared" si="37"/>
        <v>0</v>
      </c>
      <c r="L508" s="7">
        <v>879</v>
      </c>
      <c r="M508" s="7">
        <f t="shared" si="34"/>
        <v>0</v>
      </c>
      <c r="N508" s="7">
        <f t="shared" si="35"/>
        <v>0</v>
      </c>
      <c r="O508" s="10" t="str">
        <f t="shared" si="36"/>
        <v/>
      </c>
    </row>
    <row r="509" spans="1:15">
      <c r="A509" s="7" t="s">
        <v>1148</v>
      </c>
      <c r="B509" s="7"/>
      <c r="C509" s="7" t="s">
        <v>1149</v>
      </c>
      <c r="D509" s="7" t="s">
        <v>1150</v>
      </c>
      <c r="E509" s="7">
        <v>471</v>
      </c>
      <c r="F509" s="8">
        <v>0</v>
      </c>
      <c r="G509" s="9" t="str">
        <f t="shared" si="33"/>
        <v/>
      </c>
      <c r="H509" s="7">
        <v>0</v>
      </c>
      <c r="I509" s="7">
        <v>0</v>
      </c>
      <c r="J509" s="7">
        <v>0</v>
      </c>
      <c r="K509" s="7">
        <f t="shared" si="37"/>
        <v>0</v>
      </c>
      <c r="L509" s="7">
        <v>500</v>
      </c>
      <c r="M509" s="7">
        <f t="shared" si="34"/>
        <v>0</v>
      </c>
      <c r="N509" s="7">
        <f t="shared" si="35"/>
        <v>0</v>
      </c>
      <c r="O509" s="10" t="str">
        <f t="shared" si="36"/>
        <v/>
      </c>
    </row>
    <row r="510" spans="1:15">
      <c r="A510" s="7" t="s">
        <v>1151</v>
      </c>
      <c r="B510" s="7"/>
      <c r="C510" s="7" t="s">
        <v>1152</v>
      </c>
      <c r="D510" s="7" t="s">
        <v>1150</v>
      </c>
      <c r="E510" s="7">
        <v>666</v>
      </c>
      <c r="F510" s="8">
        <v>0</v>
      </c>
      <c r="G510" s="9" t="str">
        <f t="shared" si="33"/>
        <v/>
      </c>
      <c r="H510" s="7">
        <v>0</v>
      </c>
      <c r="I510" s="7">
        <v>0</v>
      </c>
      <c r="J510" s="7">
        <v>0</v>
      </c>
      <c r="K510" s="7">
        <f t="shared" si="37"/>
        <v>0</v>
      </c>
      <c r="L510" s="7">
        <v>700</v>
      </c>
      <c r="M510" s="7">
        <f t="shared" si="34"/>
        <v>0</v>
      </c>
      <c r="N510" s="7">
        <f t="shared" si="35"/>
        <v>0</v>
      </c>
      <c r="O510" s="10" t="str">
        <f t="shared" si="36"/>
        <v/>
      </c>
    </row>
    <row r="511" spans="1:15">
      <c r="A511" s="7" t="s">
        <v>1153</v>
      </c>
      <c r="B511" s="7"/>
      <c r="C511" s="7" t="s">
        <v>1154</v>
      </c>
      <c r="D511" s="7" t="s">
        <v>1150</v>
      </c>
      <c r="E511" s="7">
        <v>266</v>
      </c>
      <c r="F511" s="8">
        <v>0</v>
      </c>
      <c r="G511" s="9" t="str">
        <f t="shared" si="33"/>
        <v/>
      </c>
      <c r="H511" s="7">
        <v>0</v>
      </c>
      <c r="I511" s="7">
        <v>0</v>
      </c>
      <c r="J511" s="7">
        <v>0</v>
      </c>
      <c r="K511" s="7">
        <f t="shared" si="37"/>
        <v>0</v>
      </c>
      <c r="L511" s="7">
        <v>1275</v>
      </c>
      <c r="M511" s="7">
        <f t="shared" si="34"/>
        <v>0</v>
      </c>
      <c r="N511" s="7">
        <f t="shared" si="35"/>
        <v>0</v>
      </c>
      <c r="O511" s="10" t="str">
        <f t="shared" si="36"/>
        <v/>
      </c>
    </row>
    <row r="512" spans="1:15">
      <c r="A512" s="7" t="s">
        <v>1155</v>
      </c>
      <c r="B512" s="7"/>
      <c r="C512" s="7" t="s">
        <v>1156</v>
      </c>
      <c r="D512" s="7" t="s">
        <v>1157</v>
      </c>
      <c r="E512" s="7">
        <v>2798</v>
      </c>
      <c r="F512" s="8">
        <v>0</v>
      </c>
      <c r="G512" s="9" t="str">
        <f t="shared" si="33"/>
        <v/>
      </c>
      <c r="H512" s="7">
        <v>0</v>
      </c>
      <c r="I512" s="7">
        <v>0</v>
      </c>
      <c r="J512" s="7">
        <v>0</v>
      </c>
      <c r="K512" s="7">
        <f t="shared" si="37"/>
        <v>0</v>
      </c>
      <c r="L512" s="7">
        <v>33800</v>
      </c>
      <c r="M512" s="7">
        <f t="shared" si="34"/>
        <v>0</v>
      </c>
      <c r="N512" s="7">
        <f t="shared" si="35"/>
        <v>0</v>
      </c>
      <c r="O512" s="10" t="str">
        <f t="shared" si="36"/>
        <v/>
      </c>
    </row>
    <row r="513" spans="1:15">
      <c r="A513" s="7" t="s">
        <v>1158</v>
      </c>
      <c r="B513" s="7"/>
      <c r="C513" s="7" t="s">
        <v>1159</v>
      </c>
      <c r="D513" s="7" t="s">
        <v>1160</v>
      </c>
      <c r="E513" s="7">
        <v>27516</v>
      </c>
      <c r="F513" s="8">
        <v>0</v>
      </c>
      <c r="G513" s="9" t="str">
        <f t="shared" si="33"/>
        <v/>
      </c>
      <c r="H513" s="7">
        <v>0</v>
      </c>
      <c r="I513" s="7">
        <v>0</v>
      </c>
      <c r="J513" s="7">
        <v>0</v>
      </c>
      <c r="K513" s="7">
        <f t="shared" si="37"/>
        <v>0</v>
      </c>
      <c r="L513" s="7">
        <v>1045</v>
      </c>
      <c r="M513" s="7">
        <f t="shared" si="34"/>
        <v>0</v>
      </c>
      <c r="N513" s="7">
        <f t="shared" si="35"/>
        <v>0</v>
      </c>
      <c r="O513" s="10" t="str">
        <f t="shared" si="36"/>
        <v/>
      </c>
    </row>
    <row r="514" spans="1:15">
      <c r="A514" s="7" t="s">
        <v>1161</v>
      </c>
      <c r="B514" s="7"/>
      <c r="C514" s="7" t="s">
        <v>1162</v>
      </c>
      <c r="D514" s="7" t="s">
        <v>1163</v>
      </c>
      <c r="E514" s="7">
        <v>33</v>
      </c>
      <c r="F514" s="8">
        <v>0</v>
      </c>
      <c r="G514" s="9" t="str">
        <f t="shared" si="33"/>
        <v/>
      </c>
      <c r="H514" s="7">
        <v>0</v>
      </c>
      <c r="I514" s="7">
        <v>0</v>
      </c>
      <c r="J514" s="7">
        <v>0</v>
      </c>
      <c r="K514" s="7">
        <f t="shared" si="37"/>
        <v>0</v>
      </c>
      <c r="L514" s="7">
        <v>109</v>
      </c>
      <c r="M514" s="7">
        <f t="shared" si="34"/>
        <v>0</v>
      </c>
      <c r="N514" s="7">
        <f t="shared" si="35"/>
        <v>0</v>
      </c>
      <c r="O514" s="10" t="str">
        <f t="shared" si="36"/>
        <v/>
      </c>
    </row>
    <row r="515" spans="1:15">
      <c r="A515" s="7" t="s">
        <v>1164</v>
      </c>
      <c r="B515" s="7"/>
      <c r="C515" s="7" t="s">
        <v>1165</v>
      </c>
      <c r="D515" s="7" t="s">
        <v>1165</v>
      </c>
      <c r="E515" s="7">
        <v>77</v>
      </c>
      <c r="F515" s="8">
        <v>0</v>
      </c>
      <c r="G515" s="9" t="str">
        <f t="shared" si="33"/>
        <v/>
      </c>
      <c r="H515" s="7">
        <v>0</v>
      </c>
      <c r="I515" s="7">
        <v>0</v>
      </c>
      <c r="J515" s="7">
        <v>0</v>
      </c>
      <c r="K515" s="7">
        <f t="shared" si="37"/>
        <v>0</v>
      </c>
      <c r="L515" s="11"/>
      <c r="M515" s="7">
        <f t="shared" si="34"/>
        <v>0</v>
      </c>
      <c r="N515" s="7">
        <f t="shared" si="35"/>
        <v>0</v>
      </c>
      <c r="O515" s="10" t="str">
        <f t="shared" si="36"/>
        <v/>
      </c>
    </row>
    <row r="516" spans="1:15">
      <c r="A516" s="7" t="s">
        <v>1166</v>
      </c>
      <c r="B516" s="7"/>
      <c r="C516" s="7" t="s">
        <v>1167</v>
      </c>
      <c r="D516" s="7" t="s">
        <v>1165</v>
      </c>
      <c r="E516" s="7">
        <v>1405</v>
      </c>
      <c r="F516" s="8">
        <v>0</v>
      </c>
      <c r="G516" s="9" t="str">
        <f t="shared" si="33"/>
        <v/>
      </c>
      <c r="H516" s="7">
        <v>0</v>
      </c>
      <c r="I516" s="7">
        <v>0</v>
      </c>
      <c r="J516" s="7">
        <v>0</v>
      </c>
      <c r="K516" s="7">
        <f t="shared" si="37"/>
        <v>0</v>
      </c>
      <c r="L516" s="7">
        <v>6590</v>
      </c>
      <c r="M516" s="7">
        <f t="shared" si="34"/>
        <v>0</v>
      </c>
      <c r="N516" s="7">
        <f t="shared" si="35"/>
        <v>0</v>
      </c>
      <c r="O516" s="10" t="str">
        <f t="shared" si="36"/>
        <v/>
      </c>
    </row>
    <row r="517" spans="1:15">
      <c r="A517" s="7" t="s">
        <v>1168</v>
      </c>
      <c r="B517" s="7"/>
      <c r="C517" s="7" t="s">
        <v>1169</v>
      </c>
      <c r="D517" s="7" t="s">
        <v>1165</v>
      </c>
      <c r="E517" s="7">
        <v>1713</v>
      </c>
      <c r="F517" s="8">
        <v>0</v>
      </c>
      <c r="G517" s="9" t="str">
        <f t="shared" si="33"/>
        <v/>
      </c>
      <c r="H517" s="7">
        <v>0</v>
      </c>
      <c r="I517" s="7">
        <v>0</v>
      </c>
      <c r="J517" s="7">
        <v>0</v>
      </c>
      <c r="K517" s="7">
        <f t="shared" si="37"/>
        <v>0</v>
      </c>
      <c r="L517" s="7">
        <v>6590</v>
      </c>
      <c r="M517" s="7">
        <f t="shared" si="34"/>
        <v>0</v>
      </c>
      <c r="N517" s="7">
        <f t="shared" si="35"/>
        <v>0</v>
      </c>
      <c r="O517" s="10" t="str">
        <f t="shared" si="36"/>
        <v/>
      </c>
    </row>
    <row r="518" spans="1:15">
      <c r="A518" s="7" t="s">
        <v>1170</v>
      </c>
      <c r="B518" s="7"/>
      <c r="C518" s="7" t="s">
        <v>1171</v>
      </c>
      <c r="D518" s="7" t="s">
        <v>1171</v>
      </c>
      <c r="E518" s="7">
        <v>169</v>
      </c>
      <c r="F518" s="8">
        <v>0</v>
      </c>
      <c r="G518" s="9" t="str">
        <f t="shared" si="33"/>
        <v/>
      </c>
      <c r="H518" s="7">
        <v>0</v>
      </c>
      <c r="I518" s="7">
        <v>0</v>
      </c>
      <c r="J518" s="7">
        <v>0</v>
      </c>
      <c r="K518" s="7">
        <f t="shared" si="37"/>
        <v>0</v>
      </c>
      <c r="L518" s="7">
        <v>759</v>
      </c>
      <c r="M518" s="7">
        <f t="shared" si="34"/>
        <v>0</v>
      </c>
      <c r="N518" s="7">
        <f t="shared" si="35"/>
        <v>0</v>
      </c>
      <c r="O518" s="10" t="str">
        <f t="shared" si="36"/>
        <v/>
      </c>
    </row>
    <row r="519" spans="1:15">
      <c r="A519" s="7" t="s">
        <v>1172</v>
      </c>
      <c r="B519" s="7"/>
      <c r="C519" s="7" t="s">
        <v>1173</v>
      </c>
      <c r="D519" s="7" t="s">
        <v>1173</v>
      </c>
      <c r="E519" s="7">
        <v>40</v>
      </c>
      <c r="F519" s="8">
        <v>0</v>
      </c>
      <c r="G519" s="9" t="str">
        <f t="shared" si="33"/>
        <v/>
      </c>
      <c r="H519" s="7">
        <v>0</v>
      </c>
      <c r="I519" s="7">
        <v>0</v>
      </c>
      <c r="J519" s="7">
        <v>0</v>
      </c>
      <c r="K519" s="7">
        <f t="shared" si="37"/>
        <v>0</v>
      </c>
      <c r="L519" s="7">
        <v>7560</v>
      </c>
      <c r="M519" s="7">
        <f t="shared" si="34"/>
        <v>0</v>
      </c>
      <c r="N519" s="7">
        <f t="shared" si="35"/>
        <v>0</v>
      </c>
      <c r="O519" s="10" t="str">
        <f t="shared" si="36"/>
        <v/>
      </c>
    </row>
    <row r="520" spans="1:15">
      <c r="A520" s="7" t="s">
        <v>1174</v>
      </c>
      <c r="B520" s="7"/>
      <c r="C520" s="7" t="s">
        <v>1175</v>
      </c>
      <c r="D520" s="7" t="s">
        <v>1176</v>
      </c>
      <c r="E520" s="7">
        <v>1158</v>
      </c>
      <c r="F520" s="8">
        <v>0</v>
      </c>
      <c r="G520" s="9" t="str">
        <f t="shared" ref="G520:G583" si="38">IF(H520=0,"",I520/H520)</f>
        <v/>
      </c>
      <c r="H520" s="7">
        <v>0</v>
      </c>
      <c r="I520" s="7">
        <v>0</v>
      </c>
      <c r="J520" s="7">
        <v>0</v>
      </c>
      <c r="K520" s="7">
        <f t="shared" si="37"/>
        <v>0</v>
      </c>
      <c r="L520" s="7">
        <v>1157</v>
      </c>
      <c r="M520" s="7">
        <f t="shared" ref="M520:M583" si="39">SUM(H520*L520)</f>
        <v>0</v>
      </c>
      <c r="N520" s="7">
        <f t="shared" ref="N520:N583" si="40">SUM(I520-K520-M520)</f>
        <v>0</v>
      </c>
      <c r="O520" s="10" t="str">
        <f t="shared" ref="O520:O583" si="41">IF(I520=0,"",N520/I520)</f>
        <v/>
      </c>
    </row>
    <row r="521" spans="1:15">
      <c r="A521" s="7" t="s">
        <v>1177</v>
      </c>
      <c r="B521" s="7"/>
      <c r="C521" s="7" t="s">
        <v>617</v>
      </c>
      <c r="D521" s="7" t="s">
        <v>617</v>
      </c>
      <c r="E521" s="7">
        <v>34</v>
      </c>
      <c r="F521" s="8">
        <v>0</v>
      </c>
      <c r="G521" s="9" t="str">
        <f t="shared" si="38"/>
        <v/>
      </c>
      <c r="H521" s="7">
        <v>0</v>
      </c>
      <c r="I521" s="7">
        <v>0</v>
      </c>
      <c r="J521" s="7">
        <v>0</v>
      </c>
      <c r="K521" s="7">
        <f t="shared" si="37"/>
        <v>0</v>
      </c>
      <c r="L521" s="11"/>
      <c r="M521" s="7">
        <f t="shared" si="39"/>
        <v>0</v>
      </c>
      <c r="N521" s="7">
        <f t="shared" si="40"/>
        <v>0</v>
      </c>
      <c r="O521" s="10" t="str">
        <f t="shared" si="41"/>
        <v/>
      </c>
    </row>
    <row r="522" spans="1:15">
      <c r="A522" s="7" t="s">
        <v>1178</v>
      </c>
      <c r="B522" s="7"/>
      <c r="C522" s="7" t="s">
        <v>1179</v>
      </c>
      <c r="D522" s="7" t="s">
        <v>1180</v>
      </c>
      <c r="E522" s="7">
        <v>76508</v>
      </c>
      <c r="F522" s="8">
        <v>0</v>
      </c>
      <c r="G522" s="9" t="str">
        <f t="shared" si="38"/>
        <v/>
      </c>
      <c r="H522" s="7">
        <v>0</v>
      </c>
      <c r="I522" s="7">
        <v>0</v>
      </c>
      <c r="J522" s="7">
        <v>0</v>
      </c>
      <c r="K522" s="7">
        <f t="shared" si="37"/>
        <v>0</v>
      </c>
      <c r="L522" s="7">
        <v>5980</v>
      </c>
      <c r="M522" s="7">
        <f t="shared" si="39"/>
        <v>0</v>
      </c>
      <c r="N522" s="7">
        <f t="shared" si="40"/>
        <v>0</v>
      </c>
      <c r="O522" s="10" t="str">
        <f t="shared" si="41"/>
        <v/>
      </c>
    </row>
    <row r="523" spans="1:15">
      <c r="A523" s="7" t="s">
        <v>1181</v>
      </c>
      <c r="B523" s="7"/>
      <c r="C523" s="7" t="s">
        <v>1182</v>
      </c>
      <c r="D523" s="7" t="s">
        <v>1176</v>
      </c>
      <c r="E523" s="7">
        <v>381</v>
      </c>
      <c r="F523" s="8">
        <v>0</v>
      </c>
      <c r="G523" s="9" t="str">
        <f t="shared" si="38"/>
        <v/>
      </c>
      <c r="H523" s="7">
        <v>0</v>
      </c>
      <c r="I523" s="7">
        <v>0</v>
      </c>
      <c r="J523" s="7">
        <v>0</v>
      </c>
      <c r="K523" s="7">
        <f t="shared" si="37"/>
        <v>0</v>
      </c>
      <c r="L523" s="7">
        <v>3920</v>
      </c>
      <c r="M523" s="7">
        <f t="shared" si="39"/>
        <v>0</v>
      </c>
      <c r="N523" s="7">
        <f t="shared" si="40"/>
        <v>0</v>
      </c>
      <c r="O523" s="10" t="str">
        <f t="shared" si="41"/>
        <v/>
      </c>
    </row>
    <row r="524" spans="1:15">
      <c r="A524" s="7" t="s">
        <v>1183</v>
      </c>
      <c r="B524" s="7"/>
      <c r="C524" s="7" t="s">
        <v>1184</v>
      </c>
      <c r="D524" s="7" t="s">
        <v>1184</v>
      </c>
      <c r="E524" s="7">
        <v>12</v>
      </c>
      <c r="F524" s="8">
        <v>0</v>
      </c>
      <c r="G524" s="9" t="str">
        <f t="shared" si="38"/>
        <v/>
      </c>
      <c r="H524" s="7">
        <v>0</v>
      </c>
      <c r="I524" s="7">
        <v>0</v>
      </c>
      <c r="J524" s="7">
        <v>0</v>
      </c>
      <c r="K524" s="7">
        <f t="shared" si="37"/>
        <v>0</v>
      </c>
      <c r="L524" s="7">
        <v>1320</v>
      </c>
      <c r="M524" s="7">
        <f t="shared" si="39"/>
        <v>0</v>
      </c>
      <c r="N524" s="7">
        <f t="shared" si="40"/>
        <v>0</v>
      </c>
      <c r="O524" s="10" t="str">
        <f t="shared" si="41"/>
        <v/>
      </c>
    </row>
    <row r="525" spans="1:15">
      <c r="A525" s="7" t="s">
        <v>1185</v>
      </c>
      <c r="B525" s="7"/>
      <c r="C525" s="7" t="s">
        <v>1186</v>
      </c>
      <c r="D525" s="7" t="s">
        <v>1186</v>
      </c>
      <c r="E525" s="7">
        <v>82</v>
      </c>
      <c r="F525" s="8">
        <v>0</v>
      </c>
      <c r="G525" s="9" t="str">
        <f t="shared" si="38"/>
        <v/>
      </c>
      <c r="H525" s="7">
        <v>0</v>
      </c>
      <c r="I525" s="7">
        <v>0</v>
      </c>
      <c r="J525" s="7">
        <v>0</v>
      </c>
      <c r="K525" s="7">
        <f t="shared" si="37"/>
        <v>0</v>
      </c>
      <c r="L525" s="7">
        <v>445</v>
      </c>
      <c r="M525" s="7">
        <f t="shared" si="39"/>
        <v>0</v>
      </c>
      <c r="N525" s="7">
        <f t="shared" si="40"/>
        <v>0</v>
      </c>
      <c r="O525" s="10" t="str">
        <f t="shared" si="41"/>
        <v/>
      </c>
    </row>
    <row r="526" spans="1:15">
      <c r="A526" s="7" t="s">
        <v>1187</v>
      </c>
      <c r="B526" s="7"/>
      <c r="C526" s="7" t="s">
        <v>1188</v>
      </c>
      <c r="D526" s="7" t="s">
        <v>1188</v>
      </c>
      <c r="E526" s="7">
        <v>23</v>
      </c>
      <c r="F526" s="8">
        <v>0</v>
      </c>
      <c r="G526" s="9" t="str">
        <f t="shared" si="38"/>
        <v/>
      </c>
      <c r="H526" s="7">
        <v>0</v>
      </c>
      <c r="I526" s="7">
        <v>0</v>
      </c>
      <c r="J526" s="7">
        <v>0</v>
      </c>
      <c r="K526" s="7">
        <f t="shared" si="37"/>
        <v>0</v>
      </c>
      <c r="L526" s="11"/>
      <c r="M526" s="7">
        <f t="shared" si="39"/>
        <v>0</v>
      </c>
      <c r="N526" s="7">
        <f t="shared" si="40"/>
        <v>0</v>
      </c>
      <c r="O526" s="10" t="str">
        <f t="shared" si="41"/>
        <v/>
      </c>
    </row>
    <row r="527" spans="1:15">
      <c r="A527" s="7" t="s">
        <v>1189</v>
      </c>
      <c r="B527" s="7"/>
      <c r="C527" s="7" t="s">
        <v>1190</v>
      </c>
      <c r="D527" s="7" t="s">
        <v>1191</v>
      </c>
      <c r="E527" s="7">
        <v>5588</v>
      </c>
      <c r="F527" s="8">
        <v>0</v>
      </c>
      <c r="G527" s="9" t="str">
        <f t="shared" si="38"/>
        <v/>
      </c>
      <c r="H527" s="7">
        <v>0</v>
      </c>
      <c r="I527" s="7">
        <v>0</v>
      </c>
      <c r="J527" s="7">
        <v>0</v>
      </c>
      <c r="K527" s="7">
        <f t="shared" si="37"/>
        <v>0</v>
      </c>
      <c r="L527" s="7">
        <v>17800</v>
      </c>
      <c r="M527" s="7">
        <f t="shared" si="39"/>
        <v>0</v>
      </c>
      <c r="N527" s="7">
        <f t="shared" si="40"/>
        <v>0</v>
      </c>
      <c r="O527" s="10" t="str">
        <f t="shared" si="41"/>
        <v/>
      </c>
    </row>
    <row r="528" spans="1:15">
      <c r="A528" s="7" t="s">
        <v>1192</v>
      </c>
      <c r="B528" s="7"/>
      <c r="C528" s="7" t="s">
        <v>1193</v>
      </c>
      <c r="D528" s="7" t="s">
        <v>176</v>
      </c>
      <c r="E528" s="7">
        <v>9</v>
      </c>
      <c r="F528" s="8">
        <v>0</v>
      </c>
      <c r="G528" s="9" t="str">
        <f t="shared" si="38"/>
        <v/>
      </c>
      <c r="H528" s="7">
        <v>0</v>
      </c>
      <c r="I528" s="7">
        <v>0</v>
      </c>
      <c r="J528" s="7">
        <v>0</v>
      </c>
      <c r="K528" s="7">
        <f t="shared" si="37"/>
        <v>0</v>
      </c>
      <c r="L528" s="7">
        <v>1254</v>
      </c>
      <c r="M528" s="7">
        <f t="shared" si="39"/>
        <v>0</v>
      </c>
      <c r="N528" s="7">
        <f t="shared" si="40"/>
        <v>0</v>
      </c>
      <c r="O528" s="10" t="str">
        <f t="shared" si="41"/>
        <v/>
      </c>
    </row>
    <row r="529" spans="1:15">
      <c r="A529" s="7"/>
      <c r="B529" s="7"/>
      <c r="C529" s="7" t="s">
        <v>1194</v>
      </c>
      <c r="D529" s="7" t="s">
        <v>1194</v>
      </c>
      <c r="E529" s="7">
        <v>7</v>
      </c>
      <c r="F529" s="8">
        <v>0</v>
      </c>
      <c r="G529" s="9" t="str">
        <f t="shared" si="38"/>
        <v/>
      </c>
      <c r="H529" s="7">
        <v>0</v>
      </c>
      <c r="I529" s="7">
        <v>0</v>
      </c>
      <c r="J529" s="7">
        <v>0</v>
      </c>
      <c r="K529" s="7">
        <f t="shared" si="37"/>
        <v>0</v>
      </c>
      <c r="L529" s="7">
        <v>1072</v>
      </c>
      <c r="M529" s="7">
        <f t="shared" si="39"/>
        <v>0</v>
      </c>
      <c r="N529" s="7">
        <f t="shared" si="40"/>
        <v>0</v>
      </c>
      <c r="O529" s="10" t="str">
        <f t="shared" si="41"/>
        <v/>
      </c>
    </row>
    <row r="530" spans="1:15">
      <c r="A530" s="7" t="s">
        <v>1195</v>
      </c>
      <c r="B530" s="7"/>
      <c r="C530" s="7" t="s">
        <v>1196</v>
      </c>
      <c r="D530" s="7" t="s">
        <v>74</v>
      </c>
      <c r="E530" s="7">
        <v>2</v>
      </c>
      <c r="F530" s="8">
        <v>0</v>
      </c>
      <c r="G530" s="9" t="str">
        <f t="shared" si="38"/>
        <v/>
      </c>
      <c r="H530" s="7">
        <v>0</v>
      </c>
      <c r="I530" s="7">
        <v>0</v>
      </c>
      <c r="J530" s="7">
        <v>0</v>
      </c>
      <c r="K530" s="7">
        <f t="shared" si="37"/>
        <v>0</v>
      </c>
      <c r="L530" s="7">
        <v>2020</v>
      </c>
      <c r="M530" s="7">
        <f t="shared" si="39"/>
        <v>0</v>
      </c>
      <c r="N530" s="7">
        <f t="shared" si="40"/>
        <v>0</v>
      </c>
      <c r="O530" s="10" t="str">
        <f t="shared" si="41"/>
        <v/>
      </c>
    </row>
    <row r="531" spans="1:15">
      <c r="A531" s="7" t="s">
        <v>1197</v>
      </c>
      <c r="B531" s="7"/>
      <c r="C531" s="7" t="s">
        <v>1198</v>
      </c>
      <c r="D531" s="7" t="s">
        <v>1198</v>
      </c>
      <c r="E531" s="7">
        <v>19</v>
      </c>
      <c r="F531" s="8">
        <v>0</v>
      </c>
      <c r="G531" s="9" t="str">
        <f t="shared" si="38"/>
        <v/>
      </c>
      <c r="H531" s="7">
        <v>0</v>
      </c>
      <c r="I531" s="7">
        <v>0</v>
      </c>
      <c r="J531" s="7">
        <v>0</v>
      </c>
      <c r="K531" s="7">
        <f t="shared" si="37"/>
        <v>0</v>
      </c>
      <c r="L531" s="7">
        <v>1278</v>
      </c>
      <c r="M531" s="7">
        <f t="shared" si="39"/>
        <v>0</v>
      </c>
      <c r="N531" s="7">
        <f t="shared" si="40"/>
        <v>0</v>
      </c>
      <c r="O531" s="10" t="str">
        <f t="shared" si="41"/>
        <v/>
      </c>
    </row>
    <row r="532" spans="1:15">
      <c r="A532" s="7" t="s">
        <v>1199</v>
      </c>
      <c r="B532" s="7"/>
      <c r="C532" s="7" t="s">
        <v>729</v>
      </c>
      <c r="D532" s="7" t="s">
        <v>729</v>
      </c>
      <c r="E532" s="7">
        <v>1</v>
      </c>
      <c r="F532" s="8">
        <v>0</v>
      </c>
      <c r="G532" s="9" t="str">
        <f t="shared" si="38"/>
        <v/>
      </c>
      <c r="H532" s="7">
        <v>0</v>
      </c>
      <c r="I532" s="7">
        <v>0</v>
      </c>
      <c r="J532" s="7">
        <v>0</v>
      </c>
      <c r="K532" s="7">
        <f t="shared" si="37"/>
        <v>0</v>
      </c>
      <c r="L532" s="11"/>
      <c r="M532" s="7">
        <f t="shared" si="39"/>
        <v>0</v>
      </c>
      <c r="N532" s="7">
        <f t="shared" si="40"/>
        <v>0</v>
      </c>
      <c r="O532" s="10" t="str">
        <f t="shared" si="41"/>
        <v/>
      </c>
    </row>
    <row r="533" spans="1:15">
      <c r="A533" s="7" t="s">
        <v>1200</v>
      </c>
      <c r="B533" s="7"/>
      <c r="C533" s="7" t="s">
        <v>1201</v>
      </c>
      <c r="D533" s="7" t="s">
        <v>1201</v>
      </c>
      <c r="E533" s="7">
        <v>373</v>
      </c>
      <c r="F533" s="8">
        <v>0</v>
      </c>
      <c r="G533" s="9" t="str">
        <f t="shared" si="38"/>
        <v/>
      </c>
      <c r="H533" s="7">
        <v>0</v>
      </c>
      <c r="I533" s="7">
        <v>0</v>
      </c>
      <c r="J533" s="7">
        <v>0</v>
      </c>
      <c r="K533" s="7">
        <f t="shared" si="37"/>
        <v>0</v>
      </c>
      <c r="L533" s="7">
        <v>360</v>
      </c>
      <c r="M533" s="7">
        <f t="shared" si="39"/>
        <v>0</v>
      </c>
      <c r="N533" s="7">
        <f t="shared" si="40"/>
        <v>0</v>
      </c>
      <c r="O533" s="10" t="str">
        <f t="shared" si="41"/>
        <v/>
      </c>
    </row>
    <row r="534" spans="1:15">
      <c r="A534" s="7" t="s">
        <v>1202</v>
      </c>
      <c r="B534" s="7"/>
      <c r="C534" s="7" t="s">
        <v>1203</v>
      </c>
      <c r="D534" s="7" t="s">
        <v>1204</v>
      </c>
      <c r="E534" s="7">
        <v>207</v>
      </c>
      <c r="F534" s="8">
        <v>0</v>
      </c>
      <c r="G534" s="9" t="str">
        <f t="shared" si="38"/>
        <v/>
      </c>
      <c r="H534" s="7">
        <v>0</v>
      </c>
      <c r="I534" s="7">
        <v>0</v>
      </c>
      <c r="J534" s="7">
        <v>0</v>
      </c>
      <c r="K534" s="7">
        <f t="shared" si="37"/>
        <v>0</v>
      </c>
      <c r="L534" s="7">
        <v>660</v>
      </c>
      <c r="M534" s="7">
        <f t="shared" si="39"/>
        <v>0</v>
      </c>
      <c r="N534" s="7">
        <f t="shared" si="40"/>
        <v>0</v>
      </c>
      <c r="O534" s="10" t="str">
        <f t="shared" si="41"/>
        <v/>
      </c>
    </row>
    <row r="535" spans="1:15">
      <c r="A535" s="7" t="s">
        <v>1205</v>
      </c>
      <c r="B535" s="7"/>
      <c r="C535" s="7" t="s">
        <v>1206</v>
      </c>
      <c r="D535" s="7" t="s">
        <v>83</v>
      </c>
      <c r="E535" s="7">
        <v>7</v>
      </c>
      <c r="F535" s="8">
        <v>0</v>
      </c>
      <c r="G535" s="9" t="str">
        <f t="shared" si="38"/>
        <v/>
      </c>
      <c r="H535" s="7">
        <v>0</v>
      </c>
      <c r="I535" s="7">
        <v>0</v>
      </c>
      <c r="J535" s="7">
        <v>0</v>
      </c>
      <c r="K535" s="7">
        <f t="shared" ref="K535:K598" si="42">SUM(I535*0.15)</f>
        <v>0</v>
      </c>
      <c r="L535" s="7">
        <v>1130</v>
      </c>
      <c r="M535" s="7">
        <f t="shared" si="39"/>
        <v>0</v>
      </c>
      <c r="N535" s="7">
        <f t="shared" si="40"/>
        <v>0</v>
      </c>
      <c r="O535" s="10" t="str">
        <f t="shared" si="41"/>
        <v/>
      </c>
    </row>
    <row r="536" spans="1:15">
      <c r="A536" s="7" t="s">
        <v>1207</v>
      </c>
      <c r="B536" s="7"/>
      <c r="C536" s="7" t="s">
        <v>1208</v>
      </c>
      <c r="D536" s="7" t="s">
        <v>1208</v>
      </c>
      <c r="E536" s="7">
        <v>2</v>
      </c>
      <c r="F536" s="8">
        <v>0</v>
      </c>
      <c r="G536" s="9" t="str">
        <f t="shared" si="38"/>
        <v/>
      </c>
      <c r="H536" s="7">
        <v>0</v>
      </c>
      <c r="I536" s="7">
        <v>0</v>
      </c>
      <c r="J536" s="7">
        <v>0</v>
      </c>
      <c r="K536" s="7">
        <f t="shared" si="42"/>
        <v>0</v>
      </c>
      <c r="L536" s="7">
        <v>99</v>
      </c>
      <c r="M536" s="7">
        <f t="shared" si="39"/>
        <v>0</v>
      </c>
      <c r="N536" s="7">
        <f t="shared" si="40"/>
        <v>0</v>
      </c>
      <c r="O536" s="10" t="str">
        <f t="shared" si="41"/>
        <v/>
      </c>
    </row>
    <row r="537" spans="1:15">
      <c r="A537" s="7" t="s">
        <v>1209</v>
      </c>
      <c r="B537" s="7"/>
      <c r="C537" s="7" t="s">
        <v>1210</v>
      </c>
      <c r="D537" s="7" t="s">
        <v>1210</v>
      </c>
      <c r="E537" s="7">
        <v>1</v>
      </c>
      <c r="F537" s="8">
        <v>0</v>
      </c>
      <c r="G537" s="9" t="str">
        <f t="shared" si="38"/>
        <v/>
      </c>
      <c r="H537" s="7">
        <v>0</v>
      </c>
      <c r="I537" s="7">
        <v>0</v>
      </c>
      <c r="J537" s="7">
        <v>0</v>
      </c>
      <c r="K537" s="7">
        <f t="shared" si="42"/>
        <v>0</v>
      </c>
      <c r="L537" s="7">
        <v>440</v>
      </c>
      <c r="M537" s="7">
        <f t="shared" si="39"/>
        <v>0</v>
      </c>
      <c r="N537" s="7">
        <f t="shared" si="40"/>
        <v>0</v>
      </c>
      <c r="O537" s="10" t="str">
        <f t="shared" si="41"/>
        <v/>
      </c>
    </row>
    <row r="538" spans="1:15">
      <c r="A538" s="7" t="s">
        <v>1211</v>
      </c>
      <c r="B538" s="7"/>
      <c r="C538" s="7" t="s">
        <v>1212</v>
      </c>
      <c r="D538" s="7" t="s">
        <v>1213</v>
      </c>
      <c r="E538" s="7">
        <v>1524</v>
      </c>
      <c r="F538" s="8">
        <v>0</v>
      </c>
      <c r="G538" s="9" t="str">
        <f t="shared" si="38"/>
        <v/>
      </c>
      <c r="H538" s="7">
        <v>0</v>
      </c>
      <c r="I538" s="7">
        <v>0</v>
      </c>
      <c r="J538" s="7">
        <v>0</v>
      </c>
      <c r="K538" s="7">
        <f t="shared" si="42"/>
        <v>0</v>
      </c>
      <c r="L538" s="7">
        <v>1980</v>
      </c>
      <c r="M538" s="7">
        <f t="shared" si="39"/>
        <v>0</v>
      </c>
      <c r="N538" s="7">
        <f t="shared" si="40"/>
        <v>0</v>
      </c>
      <c r="O538" s="10" t="str">
        <f t="shared" si="41"/>
        <v/>
      </c>
    </row>
    <row r="539" spans="1:15">
      <c r="A539" s="7" t="s">
        <v>1214</v>
      </c>
      <c r="B539" s="7"/>
      <c r="C539" s="7" t="s">
        <v>1215</v>
      </c>
      <c r="D539" s="7" t="s">
        <v>1215</v>
      </c>
      <c r="E539" s="7">
        <v>40</v>
      </c>
      <c r="F539" s="8">
        <v>0</v>
      </c>
      <c r="G539" s="9" t="str">
        <f t="shared" si="38"/>
        <v/>
      </c>
      <c r="H539" s="7">
        <v>0</v>
      </c>
      <c r="I539" s="7">
        <v>0</v>
      </c>
      <c r="J539" s="7">
        <v>0</v>
      </c>
      <c r="K539" s="7">
        <f t="shared" si="42"/>
        <v>0</v>
      </c>
      <c r="L539" s="7">
        <v>1998</v>
      </c>
      <c r="M539" s="7">
        <f t="shared" si="39"/>
        <v>0</v>
      </c>
      <c r="N539" s="7">
        <f t="shared" si="40"/>
        <v>0</v>
      </c>
      <c r="O539" s="10" t="str">
        <f t="shared" si="41"/>
        <v/>
      </c>
    </row>
    <row r="540" spans="1:15">
      <c r="A540" s="7" t="s">
        <v>1214</v>
      </c>
      <c r="B540" s="7"/>
      <c r="C540" s="7" t="s">
        <v>1215</v>
      </c>
      <c r="D540" s="7" t="s">
        <v>1213</v>
      </c>
      <c r="E540" s="7">
        <v>42</v>
      </c>
      <c r="F540" s="8">
        <v>0</v>
      </c>
      <c r="G540" s="9" t="str">
        <f t="shared" si="38"/>
        <v/>
      </c>
      <c r="H540" s="7">
        <v>0</v>
      </c>
      <c r="I540" s="7">
        <v>0</v>
      </c>
      <c r="J540" s="7">
        <v>0</v>
      </c>
      <c r="K540" s="7">
        <f t="shared" si="42"/>
        <v>0</v>
      </c>
      <c r="L540" s="7">
        <v>1998</v>
      </c>
      <c r="M540" s="7">
        <f t="shared" si="39"/>
        <v>0</v>
      </c>
      <c r="N540" s="7">
        <f t="shared" si="40"/>
        <v>0</v>
      </c>
      <c r="O540" s="10" t="str">
        <f t="shared" si="41"/>
        <v/>
      </c>
    </row>
    <row r="541" spans="1:15">
      <c r="A541" s="7" t="s">
        <v>1216</v>
      </c>
      <c r="B541" s="7"/>
      <c r="C541" s="7" t="s">
        <v>1217</v>
      </c>
      <c r="D541" s="7" t="s">
        <v>331</v>
      </c>
      <c r="E541" s="7">
        <v>2</v>
      </c>
      <c r="F541" s="8">
        <v>0</v>
      </c>
      <c r="G541" s="9" t="str">
        <f t="shared" si="38"/>
        <v/>
      </c>
      <c r="H541" s="7">
        <v>0</v>
      </c>
      <c r="I541" s="7">
        <v>0</v>
      </c>
      <c r="J541" s="7">
        <v>0</v>
      </c>
      <c r="K541" s="7">
        <f t="shared" si="42"/>
        <v>0</v>
      </c>
      <c r="L541" s="7">
        <v>1452</v>
      </c>
      <c r="M541" s="7">
        <f t="shared" si="39"/>
        <v>0</v>
      </c>
      <c r="N541" s="7">
        <f t="shared" si="40"/>
        <v>0</v>
      </c>
      <c r="O541" s="10" t="str">
        <f t="shared" si="41"/>
        <v/>
      </c>
    </row>
    <row r="542" spans="1:15">
      <c r="A542" s="7" t="s">
        <v>1218</v>
      </c>
      <c r="B542" s="7"/>
      <c r="C542" s="7" t="s">
        <v>1219</v>
      </c>
      <c r="D542" s="7" t="s">
        <v>1219</v>
      </c>
      <c r="E542" s="7">
        <v>11</v>
      </c>
      <c r="F542" s="8">
        <v>0</v>
      </c>
      <c r="G542" s="9" t="str">
        <f t="shared" si="38"/>
        <v/>
      </c>
      <c r="H542" s="7">
        <v>0</v>
      </c>
      <c r="I542" s="7">
        <v>0</v>
      </c>
      <c r="J542" s="7">
        <v>0</v>
      </c>
      <c r="K542" s="7">
        <f t="shared" si="42"/>
        <v>0</v>
      </c>
      <c r="L542" s="7">
        <v>242</v>
      </c>
      <c r="M542" s="7">
        <f t="shared" si="39"/>
        <v>0</v>
      </c>
      <c r="N542" s="7">
        <f t="shared" si="40"/>
        <v>0</v>
      </c>
      <c r="O542" s="10" t="str">
        <f t="shared" si="41"/>
        <v/>
      </c>
    </row>
    <row r="543" spans="1:15">
      <c r="A543" s="7" t="s">
        <v>1220</v>
      </c>
      <c r="B543" s="7"/>
      <c r="C543" s="7" t="s">
        <v>1221</v>
      </c>
      <c r="D543" s="7" t="s">
        <v>1221</v>
      </c>
      <c r="E543" s="7">
        <v>81</v>
      </c>
      <c r="F543" s="8">
        <v>0</v>
      </c>
      <c r="G543" s="9" t="str">
        <f t="shared" si="38"/>
        <v/>
      </c>
      <c r="H543" s="7">
        <v>0</v>
      </c>
      <c r="I543" s="7">
        <v>0</v>
      </c>
      <c r="J543" s="7">
        <v>0</v>
      </c>
      <c r="K543" s="7">
        <f t="shared" si="42"/>
        <v>0</v>
      </c>
      <c r="L543" s="7">
        <v>440</v>
      </c>
      <c r="M543" s="7">
        <f t="shared" si="39"/>
        <v>0</v>
      </c>
      <c r="N543" s="7">
        <f t="shared" si="40"/>
        <v>0</v>
      </c>
      <c r="O543" s="10" t="str">
        <f t="shared" si="41"/>
        <v/>
      </c>
    </row>
    <row r="544" spans="1:15">
      <c r="A544" s="7" t="s">
        <v>1222</v>
      </c>
      <c r="B544" s="7"/>
      <c r="C544" s="7" t="s">
        <v>1223</v>
      </c>
      <c r="D544" s="7" t="s">
        <v>1223</v>
      </c>
      <c r="E544" s="7">
        <v>21</v>
      </c>
      <c r="F544" s="8">
        <v>0</v>
      </c>
      <c r="G544" s="9" t="str">
        <f t="shared" si="38"/>
        <v/>
      </c>
      <c r="H544" s="7">
        <v>0</v>
      </c>
      <c r="I544" s="7">
        <v>0</v>
      </c>
      <c r="J544" s="7">
        <v>0</v>
      </c>
      <c r="K544" s="7">
        <f t="shared" si="42"/>
        <v>0</v>
      </c>
      <c r="L544" s="7">
        <v>519</v>
      </c>
      <c r="M544" s="7">
        <f t="shared" si="39"/>
        <v>0</v>
      </c>
      <c r="N544" s="7">
        <f t="shared" si="40"/>
        <v>0</v>
      </c>
      <c r="O544" s="10" t="str">
        <f t="shared" si="41"/>
        <v/>
      </c>
    </row>
    <row r="545" spans="1:15">
      <c r="A545" s="7" t="s">
        <v>1224</v>
      </c>
      <c r="B545" s="7"/>
      <c r="C545" s="7" t="s">
        <v>1225</v>
      </c>
      <c r="D545" s="7" t="s">
        <v>982</v>
      </c>
      <c r="E545" s="7">
        <v>4012</v>
      </c>
      <c r="F545" s="8">
        <v>0</v>
      </c>
      <c r="G545" s="9" t="str">
        <f t="shared" si="38"/>
        <v/>
      </c>
      <c r="H545" s="7">
        <v>0</v>
      </c>
      <c r="I545" s="7">
        <v>0</v>
      </c>
      <c r="J545" s="7">
        <v>0</v>
      </c>
      <c r="K545" s="7">
        <f t="shared" si="42"/>
        <v>0</v>
      </c>
      <c r="L545" s="7">
        <v>29880</v>
      </c>
      <c r="M545" s="7">
        <f t="shared" si="39"/>
        <v>0</v>
      </c>
      <c r="N545" s="7">
        <f t="shared" si="40"/>
        <v>0</v>
      </c>
      <c r="O545" s="10" t="str">
        <f t="shared" si="41"/>
        <v/>
      </c>
    </row>
    <row r="546" spans="1:15">
      <c r="A546" s="7" t="s">
        <v>1224</v>
      </c>
      <c r="B546" s="7"/>
      <c r="C546" s="7" t="s">
        <v>1225</v>
      </c>
      <c r="D546" s="7" t="s">
        <v>1226</v>
      </c>
      <c r="E546" s="7">
        <v>116529</v>
      </c>
      <c r="F546" s="8">
        <v>0</v>
      </c>
      <c r="G546" s="9" t="str">
        <f t="shared" si="38"/>
        <v/>
      </c>
      <c r="H546" s="7">
        <v>0</v>
      </c>
      <c r="I546" s="7">
        <v>0</v>
      </c>
      <c r="J546" s="7">
        <v>0</v>
      </c>
      <c r="K546" s="7">
        <f t="shared" si="42"/>
        <v>0</v>
      </c>
      <c r="L546" s="7">
        <v>29880</v>
      </c>
      <c r="M546" s="7">
        <f t="shared" si="39"/>
        <v>0</v>
      </c>
      <c r="N546" s="7">
        <f t="shared" si="40"/>
        <v>0</v>
      </c>
      <c r="O546" s="10" t="str">
        <f t="shared" si="41"/>
        <v/>
      </c>
    </row>
    <row r="547" spans="1:15">
      <c r="A547" s="7" t="s">
        <v>1227</v>
      </c>
      <c r="B547" s="7"/>
      <c r="C547" s="7" t="s">
        <v>1228</v>
      </c>
      <c r="D547" s="7" t="s">
        <v>1229</v>
      </c>
      <c r="E547" s="7">
        <v>5812</v>
      </c>
      <c r="F547" s="8">
        <v>0</v>
      </c>
      <c r="G547" s="9" t="str">
        <f t="shared" si="38"/>
        <v/>
      </c>
      <c r="H547" s="7">
        <v>0</v>
      </c>
      <c r="I547" s="7">
        <v>0</v>
      </c>
      <c r="J547" s="7">
        <v>0</v>
      </c>
      <c r="K547" s="7">
        <f t="shared" si="42"/>
        <v>0</v>
      </c>
      <c r="L547" s="7">
        <v>384</v>
      </c>
      <c r="M547" s="7">
        <f t="shared" si="39"/>
        <v>0</v>
      </c>
      <c r="N547" s="7">
        <f t="shared" si="40"/>
        <v>0</v>
      </c>
      <c r="O547" s="10" t="str">
        <f t="shared" si="41"/>
        <v/>
      </c>
    </row>
    <row r="548" spans="1:15">
      <c r="A548" s="7" t="s">
        <v>1230</v>
      </c>
      <c r="B548" s="7"/>
      <c r="C548" s="7" t="s">
        <v>1231</v>
      </c>
      <c r="D548" s="7" t="s">
        <v>1231</v>
      </c>
      <c r="E548" s="7">
        <v>2</v>
      </c>
      <c r="F548" s="8">
        <v>0</v>
      </c>
      <c r="G548" s="9" t="str">
        <f t="shared" si="38"/>
        <v/>
      </c>
      <c r="H548" s="7">
        <v>0</v>
      </c>
      <c r="I548" s="7">
        <v>0</v>
      </c>
      <c r="J548" s="7">
        <v>0</v>
      </c>
      <c r="K548" s="7">
        <f t="shared" si="42"/>
        <v>0</v>
      </c>
      <c r="L548" s="7">
        <v>219</v>
      </c>
      <c r="M548" s="7">
        <f t="shared" si="39"/>
        <v>0</v>
      </c>
      <c r="N548" s="7">
        <f t="shared" si="40"/>
        <v>0</v>
      </c>
      <c r="O548" s="10" t="str">
        <f t="shared" si="41"/>
        <v/>
      </c>
    </row>
    <row r="549" spans="1:15">
      <c r="A549" s="7" t="s">
        <v>1232</v>
      </c>
      <c r="B549" s="7"/>
      <c r="C549" s="7" t="s">
        <v>1233</v>
      </c>
      <c r="D549" s="7" t="s">
        <v>1233</v>
      </c>
      <c r="E549" s="7">
        <v>416</v>
      </c>
      <c r="F549" s="8">
        <v>0</v>
      </c>
      <c r="G549" s="9" t="str">
        <f t="shared" si="38"/>
        <v/>
      </c>
      <c r="H549" s="7">
        <v>0</v>
      </c>
      <c r="I549" s="7">
        <v>0</v>
      </c>
      <c r="J549" s="7">
        <v>0</v>
      </c>
      <c r="K549" s="7">
        <f t="shared" si="42"/>
        <v>0</v>
      </c>
      <c r="L549" s="7">
        <v>2000</v>
      </c>
      <c r="M549" s="7">
        <f t="shared" si="39"/>
        <v>0</v>
      </c>
      <c r="N549" s="7">
        <f t="shared" si="40"/>
        <v>0</v>
      </c>
      <c r="O549" s="10" t="str">
        <f t="shared" si="41"/>
        <v/>
      </c>
    </row>
    <row r="550" spans="1:15">
      <c r="A550" s="7" t="s">
        <v>1234</v>
      </c>
      <c r="B550" s="7"/>
      <c r="C550" s="7" t="s">
        <v>1235</v>
      </c>
      <c r="D550" s="7" t="s">
        <v>1236</v>
      </c>
      <c r="E550" s="7">
        <v>329</v>
      </c>
      <c r="F550" s="8">
        <v>0</v>
      </c>
      <c r="G550" s="9" t="str">
        <f t="shared" si="38"/>
        <v/>
      </c>
      <c r="H550" s="7">
        <v>0</v>
      </c>
      <c r="I550" s="7">
        <v>0</v>
      </c>
      <c r="J550" s="7">
        <v>0</v>
      </c>
      <c r="K550" s="7">
        <f t="shared" si="42"/>
        <v>0</v>
      </c>
      <c r="L550" s="7">
        <v>186</v>
      </c>
      <c r="M550" s="7">
        <f t="shared" si="39"/>
        <v>0</v>
      </c>
      <c r="N550" s="7">
        <f t="shared" si="40"/>
        <v>0</v>
      </c>
      <c r="O550" s="10" t="str">
        <f t="shared" si="41"/>
        <v/>
      </c>
    </row>
    <row r="551" spans="1:15">
      <c r="A551" s="7" t="s">
        <v>1237</v>
      </c>
      <c r="B551" s="7"/>
      <c r="C551" s="7" t="s">
        <v>1238</v>
      </c>
      <c r="D551" s="7" t="s">
        <v>1236</v>
      </c>
      <c r="E551" s="7">
        <v>322</v>
      </c>
      <c r="F551" s="8">
        <v>0</v>
      </c>
      <c r="G551" s="9" t="str">
        <f t="shared" si="38"/>
        <v/>
      </c>
      <c r="H551" s="7">
        <v>0</v>
      </c>
      <c r="I551" s="7">
        <v>0</v>
      </c>
      <c r="J551" s="7">
        <v>0</v>
      </c>
      <c r="K551" s="7">
        <f t="shared" si="42"/>
        <v>0</v>
      </c>
      <c r="L551" s="7">
        <v>186</v>
      </c>
      <c r="M551" s="7">
        <f t="shared" si="39"/>
        <v>0</v>
      </c>
      <c r="N551" s="7">
        <f t="shared" si="40"/>
        <v>0</v>
      </c>
      <c r="O551" s="10" t="str">
        <f t="shared" si="41"/>
        <v/>
      </c>
    </row>
    <row r="552" spans="1:15">
      <c r="A552" s="7" t="s">
        <v>1239</v>
      </c>
      <c r="B552" s="7"/>
      <c r="C552" s="7" t="s">
        <v>1240</v>
      </c>
      <c r="D552" s="7" t="s">
        <v>1241</v>
      </c>
      <c r="E552" s="7">
        <v>1269</v>
      </c>
      <c r="F552" s="8">
        <v>0</v>
      </c>
      <c r="G552" s="9" t="str">
        <f t="shared" si="38"/>
        <v/>
      </c>
      <c r="H552" s="7">
        <v>0</v>
      </c>
      <c r="I552" s="7">
        <v>0</v>
      </c>
      <c r="J552" s="7">
        <v>0</v>
      </c>
      <c r="K552" s="7">
        <f t="shared" si="42"/>
        <v>0</v>
      </c>
      <c r="L552" s="7">
        <v>360</v>
      </c>
      <c r="M552" s="7">
        <f t="shared" si="39"/>
        <v>0</v>
      </c>
      <c r="N552" s="7">
        <f t="shared" si="40"/>
        <v>0</v>
      </c>
      <c r="O552" s="10" t="str">
        <f t="shared" si="41"/>
        <v/>
      </c>
    </row>
    <row r="553" spans="1:15">
      <c r="A553" s="7" t="s">
        <v>1242</v>
      </c>
      <c r="B553" s="7"/>
      <c r="C553" s="7" t="s">
        <v>1243</v>
      </c>
      <c r="D553" s="7" t="s">
        <v>1236</v>
      </c>
      <c r="E553" s="7">
        <v>268</v>
      </c>
      <c r="F553" s="8">
        <v>0</v>
      </c>
      <c r="G553" s="9" t="str">
        <f t="shared" si="38"/>
        <v/>
      </c>
      <c r="H553" s="7">
        <v>0</v>
      </c>
      <c r="I553" s="7">
        <v>0</v>
      </c>
      <c r="J553" s="7">
        <v>0</v>
      </c>
      <c r="K553" s="7">
        <f t="shared" si="42"/>
        <v>0</v>
      </c>
      <c r="L553" s="7">
        <v>186</v>
      </c>
      <c r="M553" s="7">
        <f t="shared" si="39"/>
        <v>0</v>
      </c>
      <c r="N553" s="7">
        <f t="shared" si="40"/>
        <v>0</v>
      </c>
      <c r="O553" s="10" t="str">
        <f t="shared" si="41"/>
        <v/>
      </c>
    </row>
    <row r="554" spans="1:15">
      <c r="A554" s="7" t="s">
        <v>1244</v>
      </c>
      <c r="B554" s="7"/>
      <c r="C554" s="7" t="s">
        <v>1245</v>
      </c>
      <c r="D554" s="7" t="s">
        <v>1241</v>
      </c>
      <c r="E554" s="7">
        <v>388</v>
      </c>
      <c r="F554" s="8">
        <v>0</v>
      </c>
      <c r="G554" s="9" t="str">
        <f t="shared" si="38"/>
        <v/>
      </c>
      <c r="H554" s="7">
        <v>0</v>
      </c>
      <c r="I554" s="7">
        <v>0</v>
      </c>
      <c r="J554" s="7">
        <v>0</v>
      </c>
      <c r="K554" s="7">
        <f t="shared" si="42"/>
        <v>0</v>
      </c>
      <c r="L554" s="7">
        <v>360</v>
      </c>
      <c r="M554" s="7">
        <f t="shared" si="39"/>
        <v>0</v>
      </c>
      <c r="N554" s="7">
        <f t="shared" si="40"/>
        <v>0</v>
      </c>
      <c r="O554" s="10" t="str">
        <f t="shared" si="41"/>
        <v/>
      </c>
    </row>
    <row r="555" spans="1:15">
      <c r="A555" s="7" t="s">
        <v>1246</v>
      </c>
      <c r="B555" s="7"/>
      <c r="C555" s="7" t="s">
        <v>1247</v>
      </c>
      <c r="D555" s="7" t="s">
        <v>201</v>
      </c>
      <c r="E555" s="7">
        <v>1051</v>
      </c>
      <c r="F555" s="8">
        <v>0</v>
      </c>
      <c r="G555" s="9" t="str">
        <f t="shared" si="38"/>
        <v/>
      </c>
      <c r="H555" s="7">
        <v>0</v>
      </c>
      <c r="I555" s="7">
        <v>0</v>
      </c>
      <c r="J555" s="7">
        <v>0</v>
      </c>
      <c r="K555" s="7">
        <f t="shared" si="42"/>
        <v>0</v>
      </c>
      <c r="L555" s="7">
        <v>678</v>
      </c>
      <c r="M555" s="7">
        <f t="shared" si="39"/>
        <v>0</v>
      </c>
      <c r="N555" s="7">
        <f t="shared" si="40"/>
        <v>0</v>
      </c>
      <c r="O555" s="10" t="str">
        <f t="shared" si="41"/>
        <v/>
      </c>
    </row>
    <row r="556" spans="1:15">
      <c r="A556" s="7" t="s">
        <v>1248</v>
      </c>
      <c r="B556" s="7"/>
      <c r="C556" s="7" t="s">
        <v>1229</v>
      </c>
      <c r="D556" s="7" t="s">
        <v>1229</v>
      </c>
      <c r="E556" s="7">
        <v>1</v>
      </c>
      <c r="F556" s="8">
        <v>0</v>
      </c>
      <c r="G556" s="9" t="str">
        <f t="shared" si="38"/>
        <v/>
      </c>
      <c r="H556" s="7">
        <v>0</v>
      </c>
      <c r="I556" s="7">
        <v>0</v>
      </c>
      <c r="J556" s="7">
        <v>0</v>
      </c>
      <c r="K556" s="7">
        <f t="shared" si="42"/>
        <v>0</v>
      </c>
      <c r="L556" s="11"/>
      <c r="M556" s="7">
        <f t="shared" si="39"/>
        <v>0</v>
      </c>
      <c r="N556" s="7">
        <f t="shared" si="40"/>
        <v>0</v>
      </c>
      <c r="O556" s="10" t="str">
        <f t="shared" si="41"/>
        <v/>
      </c>
    </row>
    <row r="557" spans="1:15">
      <c r="A557" s="7" t="s">
        <v>1249</v>
      </c>
      <c r="B557" s="7"/>
      <c r="C557" s="7" t="s">
        <v>1250</v>
      </c>
      <c r="D557" s="7" t="s">
        <v>1250</v>
      </c>
      <c r="E557" s="7">
        <v>934</v>
      </c>
      <c r="F557" s="8">
        <v>0</v>
      </c>
      <c r="G557" s="9" t="str">
        <f t="shared" si="38"/>
        <v/>
      </c>
      <c r="H557" s="7">
        <v>0</v>
      </c>
      <c r="I557" s="7">
        <v>0</v>
      </c>
      <c r="J557" s="7">
        <v>0</v>
      </c>
      <c r="K557" s="7">
        <f t="shared" si="42"/>
        <v>0</v>
      </c>
      <c r="L557" s="7">
        <v>439</v>
      </c>
      <c r="M557" s="7">
        <f t="shared" si="39"/>
        <v>0</v>
      </c>
      <c r="N557" s="7">
        <f t="shared" si="40"/>
        <v>0</v>
      </c>
      <c r="O557" s="10" t="str">
        <f t="shared" si="41"/>
        <v/>
      </c>
    </row>
    <row r="558" spans="1:15">
      <c r="A558" s="7" t="s">
        <v>1251</v>
      </c>
      <c r="B558" s="7"/>
      <c r="C558" s="7" t="s">
        <v>1252</v>
      </c>
      <c r="D558" s="7" t="s">
        <v>1253</v>
      </c>
      <c r="E558" s="7">
        <v>3</v>
      </c>
      <c r="F558" s="8">
        <v>0</v>
      </c>
      <c r="G558" s="9" t="str">
        <f t="shared" si="38"/>
        <v/>
      </c>
      <c r="H558" s="7">
        <v>0</v>
      </c>
      <c r="I558" s="7">
        <v>0</v>
      </c>
      <c r="J558" s="7">
        <v>0</v>
      </c>
      <c r="K558" s="7">
        <f t="shared" si="42"/>
        <v>0</v>
      </c>
      <c r="L558" s="7">
        <v>27878</v>
      </c>
      <c r="M558" s="7">
        <f t="shared" si="39"/>
        <v>0</v>
      </c>
      <c r="N558" s="7">
        <f t="shared" si="40"/>
        <v>0</v>
      </c>
      <c r="O558" s="10" t="str">
        <f t="shared" si="41"/>
        <v/>
      </c>
    </row>
    <row r="559" spans="1:15">
      <c r="A559" s="7" t="s">
        <v>1254</v>
      </c>
      <c r="B559" s="7"/>
      <c r="C559" s="7" t="s">
        <v>1255</v>
      </c>
      <c r="D559" s="7" t="s">
        <v>1255</v>
      </c>
      <c r="E559" s="7">
        <v>69</v>
      </c>
      <c r="F559" s="8">
        <v>0</v>
      </c>
      <c r="G559" s="9" t="str">
        <f t="shared" si="38"/>
        <v/>
      </c>
      <c r="H559" s="7">
        <v>0</v>
      </c>
      <c r="I559" s="7">
        <v>0</v>
      </c>
      <c r="J559" s="7">
        <v>0</v>
      </c>
      <c r="K559" s="7">
        <f t="shared" si="42"/>
        <v>0</v>
      </c>
      <c r="L559" s="7">
        <v>2563</v>
      </c>
      <c r="M559" s="7">
        <f t="shared" si="39"/>
        <v>0</v>
      </c>
      <c r="N559" s="7">
        <f t="shared" si="40"/>
        <v>0</v>
      </c>
      <c r="O559" s="10" t="str">
        <f t="shared" si="41"/>
        <v/>
      </c>
    </row>
    <row r="560" spans="1:15">
      <c r="A560" s="7" t="s">
        <v>1256</v>
      </c>
      <c r="B560" s="7"/>
      <c r="C560" s="7" t="s">
        <v>1257</v>
      </c>
      <c r="D560" s="7" t="s">
        <v>1257</v>
      </c>
      <c r="E560" s="7">
        <v>161</v>
      </c>
      <c r="F560" s="8">
        <v>0</v>
      </c>
      <c r="G560" s="9" t="str">
        <f t="shared" si="38"/>
        <v/>
      </c>
      <c r="H560" s="7">
        <v>0</v>
      </c>
      <c r="I560" s="7">
        <v>0</v>
      </c>
      <c r="J560" s="7">
        <v>0</v>
      </c>
      <c r="K560" s="7">
        <f t="shared" si="42"/>
        <v>0</v>
      </c>
      <c r="L560" s="7">
        <v>803</v>
      </c>
      <c r="M560" s="7">
        <f t="shared" si="39"/>
        <v>0</v>
      </c>
      <c r="N560" s="7">
        <f t="shared" si="40"/>
        <v>0</v>
      </c>
      <c r="O560" s="10" t="str">
        <f t="shared" si="41"/>
        <v/>
      </c>
    </row>
    <row r="561" spans="1:15">
      <c r="A561" s="7" t="s">
        <v>1258</v>
      </c>
      <c r="B561" s="7"/>
      <c r="C561" s="7" t="s">
        <v>1259</v>
      </c>
      <c r="D561" s="7" t="s">
        <v>1259</v>
      </c>
      <c r="E561" s="7">
        <v>80</v>
      </c>
      <c r="F561" s="8">
        <v>0</v>
      </c>
      <c r="G561" s="9" t="str">
        <f t="shared" si="38"/>
        <v/>
      </c>
      <c r="H561" s="7">
        <v>0</v>
      </c>
      <c r="I561" s="7">
        <v>0</v>
      </c>
      <c r="J561" s="7">
        <v>0</v>
      </c>
      <c r="K561" s="7">
        <f t="shared" si="42"/>
        <v>0</v>
      </c>
      <c r="L561" s="7">
        <v>803</v>
      </c>
      <c r="M561" s="7">
        <f t="shared" si="39"/>
        <v>0</v>
      </c>
      <c r="N561" s="7">
        <f t="shared" si="40"/>
        <v>0</v>
      </c>
      <c r="O561" s="10" t="str">
        <f t="shared" si="41"/>
        <v/>
      </c>
    </row>
    <row r="562" spans="1:15">
      <c r="A562" s="7" t="s">
        <v>1260</v>
      </c>
      <c r="B562" s="7"/>
      <c r="C562" s="7" t="s">
        <v>1261</v>
      </c>
      <c r="D562" s="7" t="s">
        <v>1261</v>
      </c>
      <c r="E562" s="7">
        <v>1494</v>
      </c>
      <c r="F562" s="8">
        <v>0</v>
      </c>
      <c r="G562" s="9" t="str">
        <f t="shared" si="38"/>
        <v/>
      </c>
      <c r="H562" s="7">
        <v>0</v>
      </c>
      <c r="I562" s="7">
        <v>0</v>
      </c>
      <c r="J562" s="7">
        <v>0</v>
      </c>
      <c r="K562" s="7">
        <f t="shared" si="42"/>
        <v>0</v>
      </c>
      <c r="L562" s="7">
        <v>549</v>
      </c>
      <c r="M562" s="7">
        <f t="shared" si="39"/>
        <v>0</v>
      </c>
      <c r="N562" s="7">
        <f t="shared" si="40"/>
        <v>0</v>
      </c>
      <c r="O562" s="10" t="str">
        <f t="shared" si="41"/>
        <v/>
      </c>
    </row>
    <row r="563" spans="1:15">
      <c r="A563" s="7" t="s">
        <v>1262</v>
      </c>
      <c r="B563" s="7"/>
      <c r="C563" s="7" t="s">
        <v>1263</v>
      </c>
      <c r="D563" s="7" t="s">
        <v>1264</v>
      </c>
      <c r="E563" s="7">
        <v>8663</v>
      </c>
      <c r="F563" s="8">
        <v>0</v>
      </c>
      <c r="G563" s="9" t="str">
        <f t="shared" si="38"/>
        <v/>
      </c>
      <c r="H563" s="7">
        <v>0</v>
      </c>
      <c r="I563" s="7">
        <v>0</v>
      </c>
      <c r="J563" s="7">
        <v>0</v>
      </c>
      <c r="K563" s="7">
        <f t="shared" si="42"/>
        <v>0</v>
      </c>
      <c r="L563" s="7">
        <v>329</v>
      </c>
      <c r="M563" s="7">
        <f t="shared" si="39"/>
        <v>0</v>
      </c>
      <c r="N563" s="7">
        <f t="shared" si="40"/>
        <v>0</v>
      </c>
      <c r="O563" s="10" t="str">
        <f t="shared" si="41"/>
        <v/>
      </c>
    </row>
    <row r="564" spans="1:15">
      <c r="A564" s="7" t="s">
        <v>1265</v>
      </c>
      <c r="B564" s="7"/>
      <c r="C564" s="7" t="s">
        <v>1266</v>
      </c>
      <c r="D564" s="7" t="s">
        <v>1266</v>
      </c>
      <c r="E564" s="7">
        <v>43</v>
      </c>
      <c r="F564" s="8">
        <v>0</v>
      </c>
      <c r="G564" s="9" t="str">
        <f t="shared" si="38"/>
        <v/>
      </c>
      <c r="H564" s="7">
        <v>0</v>
      </c>
      <c r="I564" s="7">
        <v>0</v>
      </c>
      <c r="J564" s="7">
        <v>0</v>
      </c>
      <c r="K564" s="7">
        <f t="shared" si="42"/>
        <v>0</v>
      </c>
      <c r="L564" s="7">
        <v>549</v>
      </c>
      <c r="M564" s="7">
        <f t="shared" si="39"/>
        <v>0</v>
      </c>
      <c r="N564" s="7">
        <f t="shared" si="40"/>
        <v>0</v>
      </c>
      <c r="O564" s="10" t="str">
        <f t="shared" si="41"/>
        <v/>
      </c>
    </row>
    <row r="565" spans="1:15">
      <c r="A565" s="7" t="s">
        <v>1267</v>
      </c>
      <c r="B565" s="7"/>
      <c r="C565" s="7" t="s">
        <v>1268</v>
      </c>
      <c r="D565" s="7" t="s">
        <v>1268</v>
      </c>
      <c r="E565" s="7">
        <v>1475</v>
      </c>
      <c r="F565" s="8">
        <v>0</v>
      </c>
      <c r="G565" s="9" t="str">
        <f t="shared" si="38"/>
        <v/>
      </c>
      <c r="H565" s="7">
        <v>0</v>
      </c>
      <c r="I565" s="7">
        <v>0</v>
      </c>
      <c r="J565" s="7">
        <v>0</v>
      </c>
      <c r="K565" s="7">
        <f t="shared" si="42"/>
        <v>0</v>
      </c>
      <c r="L565" s="7">
        <v>1550</v>
      </c>
      <c r="M565" s="7">
        <f t="shared" si="39"/>
        <v>0</v>
      </c>
      <c r="N565" s="7">
        <f t="shared" si="40"/>
        <v>0</v>
      </c>
      <c r="O565" s="10" t="str">
        <f t="shared" si="41"/>
        <v/>
      </c>
    </row>
    <row r="566" spans="1:15">
      <c r="A566" s="7" t="s">
        <v>1269</v>
      </c>
      <c r="B566" s="7"/>
      <c r="C566" s="7" t="s">
        <v>1270</v>
      </c>
      <c r="D566" s="7" t="s">
        <v>1270</v>
      </c>
      <c r="E566" s="7">
        <v>4489</v>
      </c>
      <c r="F566" s="8">
        <v>0</v>
      </c>
      <c r="G566" s="9" t="str">
        <f t="shared" si="38"/>
        <v/>
      </c>
      <c r="H566" s="7">
        <v>0</v>
      </c>
      <c r="I566" s="7">
        <v>0</v>
      </c>
      <c r="J566" s="7">
        <v>0</v>
      </c>
      <c r="K566" s="7">
        <f t="shared" si="42"/>
        <v>0</v>
      </c>
      <c r="L566" s="7">
        <v>1556</v>
      </c>
      <c r="M566" s="7">
        <f t="shared" si="39"/>
        <v>0</v>
      </c>
      <c r="N566" s="7">
        <f t="shared" si="40"/>
        <v>0</v>
      </c>
      <c r="O566" s="10" t="str">
        <f t="shared" si="41"/>
        <v/>
      </c>
    </row>
    <row r="567" spans="1:15">
      <c r="A567" s="7" t="s">
        <v>1271</v>
      </c>
      <c r="B567" s="7"/>
      <c r="C567" s="7" t="s">
        <v>1272</v>
      </c>
      <c r="D567" s="7" t="s">
        <v>1273</v>
      </c>
      <c r="E567" s="7">
        <v>629</v>
      </c>
      <c r="F567" s="8">
        <v>0</v>
      </c>
      <c r="G567" s="9" t="str">
        <f t="shared" si="38"/>
        <v/>
      </c>
      <c r="H567" s="7">
        <v>0</v>
      </c>
      <c r="I567" s="7">
        <v>0</v>
      </c>
      <c r="J567" s="7">
        <v>0</v>
      </c>
      <c r="K567" s="7">
        <f t="shared" si="42"/>
        <v>0</v>
      </c>
      <c r="L567" s="7">
        <v>425</v>
      </c>
      <c r="M567" s="7">
        <f t="shared" si="39"/>
        <v>0</v>
      </c>
      <c r="N567" s="7">
        <f t="shared" si="40"/>
        <v>0</v>
      </c>
      <c r="O567" s="10" t="str">
        <f t="shared" si="41"/>
        <v/>
      </c>
    </row>
    <row r="568" spans="1:15">
      <c r="A568" s="7" t="s">
        <v>1274</v>
      </c>
      <c r="B568" s="7"/>
      <c r="C568" s="7" t="s">
        <v>1275</v>
      </c>
      <c r="D568" s="7" t="s">
        <v>1275</v>
      </c>
      <c r="E568" s="7">
        <v>2412</v>
      </c>
      <c r="F568" s="8">
        <v>0</v>
      </c>
      <c r="G568" s="9" t="str">
        <f t="shared" si="38"/>
        <v/>
      </c>
      <c r="H568" s="7">
        <v>0</v>
      </c>
      <c r="I568" s="7">
        <v>0</v>
      </c>
      <c r="J568" s="7">
        <v>0</v>
      </c>
      <c r="K568" s="7">
        <f t="shared" si="42"/>
        <v>0</v>
      </c>
      <c r="L568" s="7">
        <v>768</v>
      </c>
      <c r="M568" s="7">
        <f t="shared" si="39"/>
        <v>0</v>
      </c>
      <c r="N568" s="7">
        <f t="shared" si="40"/>
        <v>0</v>
      </c>
      <c r="O568" s="10" t="str">
        <f t="shared" si="41"/>
        <v/>
      </c>
    </row>
    <row r="569" spans="1:15">
      <c r="A569" s="7" t="s">
        <v>1276</v>
      </c>
      <c r="B569" s="7"/>
      <c r="C569" s="7" t="s">
        <v>1277</v>
      </c>
      <c r="D569" s="7" t="s">
        <v>1277</v>
      </c>
      <c r="E569" s="7">
        <v>778</v>
      </c>
      <c r="F569" s="8">
        <v>0</v>
      </c>
      <c r="G569" s="9" t="str">
        <f t="shared" si="38"/>
        <v/>
      </c>
      <c r="H569" s="7">
        <v>0</v>
      </c>
      <c r="I569" s="7">
        <v>0</v>
      </c>
      <c r="J569" s="7">
        <v>0</v>
      </c>
      <c r="K569" s="7">
        <f t="shared" si="42"/>
        <v>0</v>
      </c>
      <c r="L569" s="7">
        <v>1099</v>
      </c>
      <c r="M569" s="7">
        <f t="shared" si="39"/>
        <v>0</v>
      </c>
      <c r="N569" s="7">
        <f t="shared" si="40"/>
        <v>0</v>
      </c>
      <c r="O569" s="10" t="str">
        <f t="shared" si="41"/>
        <v/>
      </c>
    </row>
    <row r="570" spans="1:15">
      <c r="A570" s="7" t="s">
        <v>1278</v>
      </c>
      <c r="B570" s="7"/>
      <c r="C570" s="7" t="s">
        <v>1279</v>
      </c>
      <c r="D570" s="7" t="s">
        <v>1279</v>
      </c>
      <c r="E570" s="7">
        <v>154</v>
      </c>
      <c r="F570" s="8">
        <v>0</v>
      </c>
      <c r="G570" s="9" t="str">
        <f t="shared" si="38"/>
        <v/>
      </c>
      <c r="H570" s="7">
        <v>0</v>
      </c>
      <c r="I570" s="7">
        <v>0</v>
      </c>
      <c r="J570" s="7">
        <v>0</v>
      </c>
      <c r="K570" s="7">
        <f t="shared" si="42"/>
        <v>0</v>
      </c>
      <c r="L570" s="7">
        <v>3500</v>
      </c>
      <c r="M570" s="7">
        <f t="shared" si="39"/>
        <v>0</v>
      </c>
      <c r="N570" s="7">
        <f t="shared" si="40"/>
        <v>0</v>
      </c>
      <c r="O570" s="10" t="str">
        <f t="shared" si="41"/>
        <v/>
      </c>
    </row>
    <row r="571" spans="1:15">
      <c r="A571" s="7" t="s">
        <v>1280</v>
      </c>
      <c r="B571" s="7"/>
      <c r="C571" s="7" t="s">
        <v>1281</v>
      </c>
      <c r="D571" s="7" t="s">
        <v>1281</v>
      </c>
      <c r="E571" s="7">
        <v>7</v>
      </c>
      <c r="F571" s="8">
        <v>0</v>
      </c>
      <c r="G571" s="9" t="str">
        <f t="shared" si="38"/>
        <v/>
      </c>
      <c r="H571" s="7">
        <v>0</v>
      </c>
      <c r="I571" s="7">
        <v>0</v>
      </c>
      <c r="J571" s="7">
        <v>0</v>
      </c>
      <c r="K571" s="7">
        <f t="shared" si="42"/>
        <v>0</v>
      </c>
      <c r="L571" s="7">
        <v>2061</v>
      </c>
      <c r="M571" s="7">
        <f t="shared" si="39"/>
        <v>0</v>
      </c>
      <c r="N571" s="7">
        <f t="shared" si="40"/>
        <v>0</v>
      </c>
      <c r="O571" s="10" t="str">
        <f t="shared" si="41"/>
        <v/>
      </c>
    </row>
    <row r="572" spans="1:15">
      <c r="A572" s="7" t="s">
        <v>1282</v>
      </c>
      <c r="B572" s="7"/>
      <c r="C572" s="7" t="s">
        <v>1283</v>
      </c>
      <c r="D572" s="7" t="s">
        <v>1283</v>
      </c>
      <c r="E572" s="7">
        <v>144</v>
      </c>
      <c r="F572" s="8">
        <v>0</v>
      </c>
      <c r="G572" s="9" t="str">
        <f t="shared" si="38"/>
        <v/>
      </c>
      <c r="H572" s="7">
        <v>0</v>
      </c>
      <c r="I572" s="7">
        <v>0</v>
      </c>
      <c r="J572" s="7">
        <v>0</v>
      </c>
      <c r="K572" s="7">
        <f t="shared" si="42"/>
        <v>0</v>
      </c>
      <c r="L572" s="7">
        <v>394</v>
      </c>
      <c r="M572" s="7">
        <f t="shared" si="39"/>
        <v>0</v>
      </c>
      <c r="N572" s="7">
        <f t="shared" si="40"/>
        <v>0</v>
      </c>
      <c r="O572" s="10" t="str">
        <f t="shared" si="41"/>
        <v/>
      </c>
    </row>
    <row r="573" spans="1:15">
      <c r="A573" s="7" t="s">
        <v>1284</v>
      </c>
      <c r="B573" s="7"/>
      <c r="C573" s="7" t="s">
        <v>1285</v>
      </c>
      <c r="D573" s="7" t="s">
        <v>1285</v>
      </c>
      <c r="E573" s="7">
        <v>93</v>
      </c>
      <c r="F573" s="8">
        <v>0</v>
      </c>
      <c r="G573" s="9" t="str">
        <f t="shared" si="38"/>
        <v/>
      </c>
      <c r="H573" s="7">
        <v>0</v>
      </c>
      <c r="I573" s="7">
        <v>0</v>
      </c>
      <c r="J573" s="7">
        <v>0</v>
      </c>
      <c r="K573" s="7">
        <f t="shared" si="42"/>
        <v>0</v>
      </c>
      <c r="L573" s="7">
        <v>521</v>
      </c>
      <c r="M573" s="7">
        <f t="shared" si="39"/>
        <v>0</v>
      </c>
      <c r="N573" s="7">
        <f t="shared" si="40"/>
        <v>0</v>
      </c>
      <c r="O573" s="10" t="str">
        <f t="shared" si="41"/>
        <v/>
      </c>
    </row>
    <row r="574" spans="1:15">
      <c r="A574" s="7" t="s">
        <v>1286</v>
      </c>
      <c r="B574" s="7"/>
      <c r="C574" s="7" t="s">
        <v>1287</v>
      </c>
      <c r="D574" s="7" t="s">
        <v>1287</v>
      </c>
      <c r="E574" s="7">
        <v>16</v>
      </c>
      <c r="F574" s="8">
        <v>0</v>
      </c>
      <c r="G574" s="9" t="str">
        <f t="shared" si="38"/>
        <v/>
      </c>
      <c r="H574" s="7">
        <v>0</v>
      </c>
      <c r="I574" s="7">
        <v>0</v>
      </c>
      <c r="J574" s="7">
        <v>0</v>
      </c>
      <c r="K574" s="7">
        <f t="shared" si="42"/>
        <v>0</v>
      </c>
      <c r="L574" s="7">
        <v>1003</v>
      </c>
      <c r="M574" s="7">
        <f t="shared" si="39"/>
        <v>0</v>
      </c>
      <c r="N574" s="7">
        <f t="shared" si="40"/>
        <v>0</v>
      </c>
      <c r="O574" s="10" t="str">
        <f t="shared" si="41"/>
        <v/>
      </c>
    </row>
    <row r="575" spans="1:15">
      <c r="A575" s="7" t="s">
        <v>1286</v>
      </c>
      <c r="B575" s="7"/>
      <c r="C575" s="7" t="s">
        <v>1287</v>
      </c>
      <c r="D575" s="7" t="s">
        <v>617</v>
      </c>
      <c r="E575" s="7">
        <v>93</v>
      </c>
      <c r="F575" s="8">
        <v>0</v>
      </c>
      <c r="G575" s="9" t="str">
        <f t="shared" si="38"/>
        <v/>
      </c>
      <c r="H575" s="7">
        <v>0</v>
      </c>
      <c r="I575" s="7">
        <v>0</v>
      </c>
      <c r="J575" s="7">
        <v>0</v>
      </c>
      <c r="K575" s="7">
        <f t="shared" si="42"/>
        <v>0</v>
      </c>
      <c r="L575" s="7">
        <v>1003</v>
      </c>
      <c r="M575" s="7">
        <f t="shared" si="39"/>
        <v>0</v>
      </c>
      <c r="N575" s="7">
        <f t="shared" si="40"/>
        <v>0</v>
      </c>
      <c r="O575" s="10" t="str">
        <f t="shared" si="41"/>
        <v/>
      </c>
    </row>
    <row r="576" spans="1:15">
      <c r="A576" s="7" t="s">
        <v>1288</v>
      </c>
      <c r="B576" s="7"/>
      <c r="C576" s="7" t="s">
        <v>1289</v>
      </c>
      <c r="D576" s="7" t="s">
        <v>1290</v>
      </c>
      <c r="E576" s="7">
        <v>831</v>
      </c>
      <c r="F576" s="8">
        <v>0</v>
      </c>
      <c r="G576" s="9" t="str">
        <f t="shared" si="38"/>
        <v/>
      </c>
      <c r="H576" s="7">
        <v>0</v>
      </c>
      <c r="I576" s="7">
        <v>0</v>
      </c>
      <c r="J576" s="7">
        <v>0</v>
      </c>
      <c r="K576" s="7">
        <f t="shared" si="42"/>
        <v>0</v>
      </c>
      <c r="L576" s="11">
        <v>879</v>
      </c>
      <c r="M576" s="7">
        <f t="shared" si="39"/>
        <v>0</v>
      </c>
      <c r="N576" s="7">
        <f t="shared" si="40"/>
        <v>0</v>
      </c>
      <c r="O576" s="10" t="str">
        <f t="shared" si="41"/>
        <v/>
      </c>
    </row>
    <row r="577" spans="1:15">
      <c r="A577" s="7" t="s">
        <v>1291</v>
      </c>
      <c r="B577" s="7"/>
      <c r="C577" s="7" t="s">
        <v>1292</v>
      </c>
      <c r="D577" s="7" t="s">
        <v>1292</v>
      </c>
      <c r="E577" s="7">
        <v>64</v>
      </c>
      <c r="F577" s="8">
        <v>0</v>
      </c>
      <c r="G577" s="9" t="str">
        <f t="shared" si="38"/>
        <v/>
      </c>
      <c r="H577" s="7">
        <v>0</v>
      </c>
      <c r="I577" s="7">
        <v>0</v>
      </c>
      <c r="J577" s="7">
        <v>0</v>
      </c>
      <c r="K577" s="7">
        <f t="shared" si="42"/>
        <v>0</v>
      </c>
      <c r="L577" s="11">
        <v>879</v>
      </c>
      <c r="M577" s="7">
        <f t="shared" si="39"/>
        <v>0</v>
      </c>
      <c r="N577" s="7">
        <f t="shared" si="40"/>
        <v>0</v>
      </c>
      <c r="O577" s="10" t="str">
        <f t="shared" si="41"/>
        <v/>
      </c>
    </row>
    <row r="578" spans="1:15">
      <c r="A578" s="7" t="s">
        <v>1293</v>
      </c>
      <c r="B578" s="7"/>
      <c r="C578" s="7" t="s">
        <v>1294</v>
      </c>
      <c r="D578" s="7" t="s">
        <v>1295</v>
      </c>
      <c r="E578" s="7">
        <v>1371</v>
      </c>
      <c r="F578" s="8">
        <v>0</v>
      </c>
      <c r="G578" s="9" t="str">
        <f t="shared" si="38"/>
        <v/>
      </c>
      <c r="H578" s="7">
        <v>0</v>
      </c>
      <c r="I578" s="7">
        <v>0</v>
      </c>
      <c r="J578" s="7">
        <v>0</v>
      </c>
      <c r="K578" s="7">
        <f t="shared" si="42"/>
        <v>0</v>
      </c>
      <c r="L578" s="7">
        <v>360</v>
      </c>
      <c r="M578" s="7">
        <f t="shared" si="39"/>
        <v>0</v>
      </c>
      <c r="N578" s="7">
        <f t="shared" si="40"/>
        <v>0</v>
      </c>
      <c r="O578" s="10" t="str">
        <f t="shared" si="41"/>
        <v/>
      </c>
    </row>
    <row r="579" spans="1:15">
      <c r="A579" s="7" t="s">
        <v>1296</v>
      </c>
      <c r="B579" s="7"/>
      <c r="C579" s="7" t="s">
        <v>1297</v>
      </c>
      <c r="D579" s="7" t="s">
        <v>1297</v>
      </c>
      <c r="E579" s="7">
        <v>175</v>
      </c>
      <c r="F579" s="8">
        <v>0</v>
      </c>
      <c r="G579" s="9" t="str">
        <f t="shared" si="38"/>
        <v/>
      </c>
      <c r="H579" s="7">
        <v>0</v>
      </c>
      <c r="I579" s="7">
        <v>0</v>
      </c>
      <c r="J579" s="7">
        <v>0</v>
      </c>
      <c r="K579" s="7">
        <f t="shared" si="42"/>
        <v>0</v>
      </c>
      <c r="L579" s="7">
        <v>869</v>
      </c>
      <c r="M579" s="7">
        <f t="shared" si="39"/>
        <v>0</v>
      </c>
      <c r="N579" s="7">
        <f t="shared" si="40"/>
        <v>0</v>
      </c>
      <c r="O579" s="10" t="str">
        <f t="shared" si="41"/>
        <v/>
      </c>
    </row>
    <row r="580" spans="1:15">
      <c r="A580" s="7" t="s">
        <v>1298</v>
      </c>
      <c r="B580" s="7"/>
      <c r="C580" s="7" t="s">
        <v>1299</v>
      </c>
      <c r="D580" s="7" t="s">
        <v>1299</v>
      </c>
      <c r="E580" s="7">
        <v>265</v>
      </c>
      <c r="F580" s="8">
        <v>0</v>
      </c>
      <c r="G580" s="9" t="str">
        <f t="shared" si="38"/>
        <v/>
      </c>
      <c r="H580" s="7">
        <v>0</v>
      </c>
      <c r="I580" s="7">
        <v>0</v>
      </c>
      <c r="J580" s="7">
        <v>0</v>
      </c>
      <c r="K580" s="7">
        <f t="shared" si="42"/>
        <v>0</v>
      </c>
      <c r="L580" s="7">
        <v>740</v>
      </c>
      <c r="M580" s="7">
        <f t="shared" si="39"/>
        <v>0</v>
      </c>
      <c r="N580" s="7">
        <f t="shared" si="40"/>
        <v>0</v>
      </c>
      <c r="O580" s="10" t="str">
        <f t="shared" si="41"/>
        <v/>
      </c>
    </row>
    <row r="581" spans="1:15">
      <c r="A581" s="7" t="s">
        <v>1300</v>
      </c>
      <c r="B581" s="7"/>
      <c r="C581" s="7" t="s">
        <v>1301</v>
      </c>
      <c r="D581" s="7" t="s">
        <v>1301</v>
      </c>
      <c r="E581" s="7">
        <v>154</v>
      </c>
      <c r="F581" s="8">
        <v>0</v>
      </c>
      <c r="G581" s="9" t="str">
        <f t="shared" si="38"/>
        <v/>
      </c>
      <c r="H581" s="7">
        <v>0</v>
      </c>
      <c r="I581" s="7">
        <v>0</v>
      </c>
      <c r="J581" s="7">
        <v>0</v>
      </c>
      <c r="K581" s="7">
        <f t="shared" si="42"/>
        <v>0</v>
      </c>
      <c r="L581" s="7">
        <v>590</v>
      </c>
      <c r="M581" s="7">
        <f t="shared" si="39"/>
        <v>0</v>
      </c>
      <c r="N581" s="7">
        <f t="shared" si="40"/>
        <v>0</v>
      </c>
      <c r="O581" s="10" t="str">
        <f t="shared" si="41"/>
        <v/>
      </c>
    </row>
    <row r="582" spans="1:15">
      <c r="A582" s="7" t="s">
        <v>1302</v>
      </c>
      <c r="B582" s="7"/>
      <c r="C582" s="7" t="s">
        <v>305</v>
      </c>
      <c r="D582" s="7" t="s">
        <v>305</v>
      </c>
      <c r="E582" s="7">
        <v>1</v>
      </c>
      <c r="F582" s="8">
        <v>0</v>
      </c>
      <c r="G582" s="9" t="str">
        <f t="shared" si="38"/>
        <v/>
      </c>
      <c r="H582" s="7">
        <v>0</v>
      </c>
      <c r="I582" s="7">
        <v>0</v>
      </c>
      <c r="J582" s="7">
        <v>0</v>
      </c>
      <c r="K582" s="7">
        <f t="shared" si="42"/>
        <v>0</v>
      </c>
      <c r="L582" s="11"/>
      <c r="M582" s="7">
        <f t="shared" si="39"/>
        <v>0</v>
      </c>
      <c r="N582" s="7">
        <f t="shared" si="40"/>
        <v>0</v>
      </c>
      <c r="O582" s="10" t="str">
        <f t="shared" si="41"/>
        <v/>
      </c>
    </row>
    <row r="583" spans="1:15">
      <c r="A583" s="7" t="s">
        <v>1303</v>
      </c>
      <c r="B583" s="7"/>
      <c r="C583" s="7" t="s">
        <v>1304</v>
      </c>
      <c r="D583" s="7" t="s">
        <v>1304</v>
      </c>
      <c r="E583" s="7">
        <v>356</v>
      </c>
      <c r="F583" s="8">
        <v>0</v>
      </c>
      <c r="G583" s="9" t="str">
        <f t="shared" si="38"/>
        <v/>
      </c>
      <c r="H583" s="7">
        <v>0</v>
      </c>
      <c r="I583" s="7">
        <v>0</v>
      </c>
      <c r="J583" s="7">
        <v>0</v>
      </c>
      <c r="K583" s="7">
        <f t="shared" si="42"/>
        <v>0</v>
      </c>
      <c r="L583" s="7">
        <v>2522</v>
      </c>
      <c r="M583" s="7">
        <f t="shared" si="39"/>
        <v>0</v>
      </c>
      <c r="N583" s="7">
        <f t="shared" si="40"/>
        <v>0</v>
      </c>
      <c r="O583" s="10" t="str">
        <f t="shared" si="41"/>
        <v/>
      </c>
    </row>
    <row r="584" spans="1:15">
      <c r="A584" s="7" t="s">
        <v>1305</v>
      </c>
      <c r="B584" s="7"/>
      <c r="C584" s="7" t="s">
        <v>1306</v>
      </c>
      <c r="D584" s="7" t="s">
        <v>1307</v>
      </c>
      <c r="E584" s="7">
        <v>16410</v>
      </c>
      <c r="F584" s="8">
        <v>0</v>
      </c>
      <c r="G584" s="9" t="str">
        <f t="shared" ref="G584:G647" si="43">IF(H584=0,"",I584/H584)</f>
        <v/>
      </c>
      <c r="H584" s="7">
        <v>0</v>
      </c>
      <c r="I584" s="7">
        <v>0</v>
      </c>
      <c r="J584" s="7">
        <v>0</v>
      </c>
      <c r="K584" s="7">
        <f t="shared" si="42"/>
        <v>0</v>
      </c>
      <c r="L584" s="7">
        <v>23486</v>
      </c>
      <c r="M584" s="7">
        <f t="shared" ref="M584:M647" si="44">SUM(H584*L584)</f>
        <v>0</v>
      </c>
      <c r="N584" s="7">
        <f t="shared" ref="N584:N647" si="45">SUM(I584-K584-M584)</f>
        <v>0</v>
      </c>
      <c r="O584" s="10" t="str">
        <f t="shared" ref="O584:O647" si="46">IF(I584=0,"",N584/I584)</f>
        <v/>
      </c>
    </row>
    <row r="585" spans="1:15">
      <c r="A585" s="7" t="s">
        <v>1308</v>
      </c>
      <c r="B585" s="7"/>
      <c r="C585" s="7" t="s">
        <v>1309</v>
      </c>
      <c r="D585" s="7" t="s">
        <v>561</v>
      </c>
      <c r="E585" s="7">
        <v>652</v>
      </c>
      <c r="F585" s="8">
        <v>0</v>
      </c>
      <c r="G585" s="9" t="str">
        <f t="shared" si="43"/>
        <v/>
      </c>
      <c r="H585" s="7">
        <v>0</v>
      </c>
      <c r="I585" s="7">
        <v>0</v>
      </c>
      <c r="J585" s="7">
        <v>0</v>
      </c>
      <c r="K585" s="7">
        <f t="shared" si="42"/>
        <v>0</v>
      </c>
      <c r="L585" s="7">
        <v>232</v>
      </c>
      <c r="M585" s="7">
        <f t="shared" si="44"/>
        <v>0</v>
      </c>
      <c r="N585" s="7">
        <f t="shared" si="45"/>
        <v>0</v>
      </c>
      <c r="O585" s="10" t="str">
        <f t="shared" si="46"/>
        <v/>
      </c>
    </row>
    <row r="586" spans="1:15">
      <c r="A586" s="7" t="s">
        <v>1310</v>
      </c>
      <c r="B586" s="7"/>
      <c r="C586" s="7" t="s">
        <v>1311</v>
      </c>
      <c r="D586" s="7" t="s">
        <v>561</v>
      </c>
      <c r="E586" s="7">
        <v>435</v>
      </c>
      <c r="F586" s="8">
        <v>0</v>
      </c>
      <c r="G586" s="9" t="str">
        <f t="shared" si="43"/>
        <v/>
      </c>
      <c r="H586" s="7">
        <v>0</v>
      </c>
      <c r="I586" s="7">
        <v>0</v>
      </c>
      <c r="J586" s="7">
        <v>0</v>
      </c>
      <c r="K586" s="7">
        <f t="shared" si="42"/>
        <v>0</v>
      </c>
      <c r="L586" s="7">
        <v>232</v>
      </c>
      <c r="M586" s="7">
        <f t="shared" si="44"/>
        <v>0</v>
      </c>
      <c r="N586" s="7">
        <f t="shared" si="45"/>
        <v>0</v>
      </c>
      <c r="O586" s="10" t="str">
        <f t="shared" si="46"/>
        <v/>
      </c>
    </row>
    <row r="587" spans="1:15">
      <c r="A587" s="7" t="s">
        <v>1312</v>
      </c>
      <c r="B587" s="7"/>
      <c r="C587" s="7" t="s">
        <v>1313</v>
      </c>
      <c r="D587" s="7" t="s">
        <v>1314</v>
      </c>
      <c r="E587" s="7">
        <v>310</v>
      </c>
      <c r="F587" s="8">
        <v>0</v>
      </c>
      <c r="G587" s="9" t="str">
        <f t="shared" si="43"/>
        <v/>
      </c>
      <c r="H587" s="7">
        <v>0</v>
      </c>
      <c r="I587" s="7">
        <v>0</v>
      </c>
      <c r="J587" s="7">
        <v>0</v>
      </c>
      <c r="K587" s="7">
        <f t="shared" si="42"/>
        <v>0</v>
      </c>
      <c r="L587" s="11"/>
      <c r="M587" s="7">
        <f t="shared" si="44"/>
        <v>0</v>
      </c>
      <c r="N587" s="7">
        <f t="shared" si="45"/>
        <v>0</v>
      </c>
      <c r="O587" s="10" t="str">
        <f t="shared" si="46"/>
        <v/>
      </c>
    </row>
    <row r="588" spans="1:15">
      <c r="A588" s="7" t="s">
        <v>1315</v>
      </c>
      <c r="B588" s="7"/>
      <c r="C588" s="7" t="s">
        <v>1316</v>
      </c>
      <c r="D588" s="7" t="s">
        <v>1317</v>
      </c>
      <c r="E588" s="7">
        <v>1825</v>
      </c>
      <c r="F588" s="8">
        <v>0</v>
      </c>
      <c r="G588" s="9" t="str">
        <f t="shared" si="43"/>
        <v/>
      </c>
      <c r="H588" s="7">
        <v>0</v>
      </c>
      <c r="I588" s="7">
        <v>0</v>
      </c>
      <c r="J588" s="7">
        <v>0</v>
      </c>
      <c r="K588" s="7">
        <f t="shared" si="42"/>
        <v>0</v>
      </c>
      <c r="L588" s="7">
        <v>13480</v>
      </c>
      <c r="M588" s="7">
        <f t="shared" si="44"/>
        <v>0</v>
      </c>
      <c r="N588" s="7">
        <f t="shared" si="45"/>
        <v>0</v>
      </c>
      <c r="O588" s="10" t="str">
        <f t="shared" si="46"/>
        <v/>
      </c>
    </row>
    <row r="589" spans="1:15">
      <c r="A589" s="7" t="s">
        <v>1318</v>
      </c>
      <c r="B589" s="7"/>
      <c r="C589" s="7" t="s">
        <v>1319</v>
      </c>
      <c r="D589" s="7" t="s">
        <v>1320</v>
      </c>
      <c r="E589" s="7">
        <v>23</v>
      </c>
      <c r="F589" s="8">
        <v>0</v>
      </c>
      <c r="G589" s="9" t="str">
        <f t="shared" si="43"/>
        <v/>
      </c>
      <c r="H589" s="7">
        <v>0</v>
      </c>
      <c r="I589" s="7">
        <v>0</v>
      </c>
      <c r="J589" s="7">
        <v>0</v>
      </c>
      <c r="K589" s="7">
        <f t="shared" si="42"/>
        <v>0</v>
      </c>
      <c r="L589" s="11"/>
      <c r="M589" s="7">
        <f t="shared" si="44"/>
        <v>0</v>
      </c>
      <c r="N589" s="7">
        <f t="shared" si="45"/>
        <v>0</v>
      </c>
      <c r="O589" s="10" t="str">
        <f t="shared" si="46"/>
        <v/>
      </c>
    </row>
    <row r="590" spans="1:15">
      <c r="A590" s="7" t="s">
        <v>1321</v>
      </c>
      <c r="B590" s="7"/>
      <c r="C590" s="7" t="s">
        <v>1322</v>
      </c>
      <c r="D590" s="7" t="s">
        <v>1320</v>
      </c>
      <c r="E590" s="7">
        <v>22</v>
      </c>
      <c r="F590" s="8">
        <v>0</v>
      </c>
      <c r="G590" s="9" t="str">
        <f t="shared" si="43"/>
        <v/>
      </c>
      <c r="H590" s="7">
        <v>0</v>
      </c>
      <c r="I590" s="7">
        <v>0</v>
      </c>
      <c r="J590" s="7">
        <v>0</v>
      </c>
      <c r="K590" s="7">
        <f t="shared" si="42"/>
        <v>0</v>
      </c>
      <c r="L590" s="11"/>
      <c r="M590" s="7">
        <f t="shared" si="44"/>
        <v>0</v>
      </c>
      <c r="N590" s="7">
        <f t="shared" si="45"/>
        <v>0</v>
      </c>
      <c r="O590" s="10" t="str">
        <f t="shared" si="46"/>
        <v/>
      </c>
    </row>
    <row r="591" spans="1:15">
      <c r="A591" s="7"/>
      <c r="B591" s="7"/>
      <c r="C591" s="7" t="s">
        <v>1323</v>
      </c>
      <c r="D591" s="7" t="s">
        <v>1323</v>
      </c>
      <c r="E591" s="7">
        <v>10</v>
      </c>
      <c r="F591" s="8">
        <v>0</v>
      </c>
      <c r="G591" s="9" t="str">
        <f t="shared" si="43"/>
        <v/>
      </c>
      <c r="H591" s="7">
        <v>0</v>
      </c>
      <c r="I591" s="7">
        <v>0</v>
      </c>
      <c r="J591" s="7">
        <v>0</v>
      </c>
      <c r="K591" s="7">
        <f t="shared" si="42"/>
        <v>0</v>
      </c>
      <c r="L591" s="7">
        <v>1640</v>
      </c>
      <c r="M591" s="7">
        <f t="shared" si="44"/>
        <v>0</v>
      </c>
      <c r="N591" s="7">
        <f t="shared" si="45"/>
        <v>0</v>
      </c>
      <c r="O591" s="10" t="str">
        <f t="shared" si="46"/>
        <v/>
      </c>
    </row>
    <row r="592" spans="1:15">
      <c r="A592" s="7" t="s">
        <v>1324</v>
      </c>
      <c r="B592" s="7"/>
      <c r="C592" s="7" t="s">
        <v>1325</v>
      </c>
      <c r="D592" s="7" t="s">
        <v>1325</v>
      </c>
      <c r="E592" s="7">
        <v>12595</v>
      </c>
      <c r="F592" s="8">
        <v>0</v>
      </c>
      <c r="G592" s="9" t="str">
        <f t="shared" si="43"/>
        <v/>
      </c>
      <c r="H592" s="7">
        <v>0</v>
      </c>
      <c r="I592" s="7">
        <v>0</v>
      </c>
      <c r="J592" s="7">
        <v>0</v>
      </c>
      <c r="K592" s="7">
        <f t="shared" si="42"/>
        <v>0</v>
      </c>
      <c r="L592" s="7">
        <v>7907</v>
      </c>
      <c r="M592" s="7">
        <f t="shared" si="44"/>
        <v>0</v>
      </c>
      <c r="N592" s="7">
        <f t="shared" si="45"/>
        <v>0</v>
      </c>
      <c r="O592" s="10" t="str">
        <f t="shared" si="46"/>
        <v/>
      </c>
    </row>
    <row r="593" spans="1:15">
      <c r="A593" s="7" t="s">
        <v>1326</v>
      </c>
      <c r="B593" s="7"/>
      <c r="C593" s="7" t="s">
        <v>1327</v>
      </c>
      <c r="D593" s="7" t="s">
        <v>588</v>
      </c>
      <c r="E593" s="7">
        <v>41</v>
      </c>
      <c r="F593" s="8">
        <v>0</v>
      </c>
      <c r="G593" s="9" t="str">
        <f t="shared" si="43"/>
        <v/>
      </c>
      <c r="H593" s="7">
        <v>0</v>
      </c>
      <c r="I593" s="7">
        <v>0</v>
      </c>
      <c r="J593" s="7">
        <v>0</v>
      </c>
      <c r="K593" s="7">
        <f t="shared" si="42"/>
        <v>0</v>
      </c>
      <c r="L593" s="7">
        <v>504</v>
      </c>
      <c r="M593" s="7">
        <f t="shared" si="44"/>
        <v>0</v>
      </c>
      <c r="N593" s="7">
        <f t="shared" si="45"/>
        <v>0</v>
      </c>
      <c r="O593" s="10" t="str">
        <f t="shared" si="46"/>
        <v/>
      </c>
    </row>
    <row r="594" spans="1:15">
      <c r="A594" s="7" t="s">
        <v>1328</v>
      </c>
      <c r="B594" s="7"/>
      <c r="C594" s="7" t="s">
        <v>1329</v>
      </c>
      <c r="D594" s="7" t="s">
        <v>1329</v>
      </c>
      <c r="E594" s="7">
        <v>381</v>
      </c>
      <c r="F594" s="8">
        <v>0</v>
      </c>
      <c r="G594" s="9" t="str">
        <f t="shared" si="43"/>
        <v/>
      </c>
      <c r="H594" s="7">
        <v>0</v>
      </c>
      <c r="I594" s="7">
        <v>0</v>
      </c>
      <c r="J594" s="7">
        <v>0</v>
      </c>
      <c r="K594" s="7">
        <f t="shared" si="42"/>
        <v>0</v>
      </c>
      <c r="L594" s="7">
        <v>360</v>
      </c>
      <c r="M594" s="7">
        <f t="shared" si="44"/>
        <v>0</v>
      </c>
      <c r="N594" s="7">
        <f t="shared" si="45"/>
        <v>0</v>
      </c>
      <c r="O594" s="10" t="str">
        <f t="shared" si="46"/>
        <v/>
      </c>
    </row>
    <row r="595" spans="1:15">
      <c r="A595" s="7" t="s">
        <v>1330</v>
      </c>
      <c r="B595" s="7"/>
      <c r="C595" s="7" t="s">
        <v>1331</v>
      </c>
      <c r="D595" s="7" t="s">
        <v>1331</v>
      </c>
      <c r="E595" s="7">
        <v>195</v>
      </c>
      <c r="F595" s="8">
        <v>0</v>
      </c>
      <c r="G595" s="9" t="str">
        <f t="shared" si="43"/>
        <v/>
      </c>
      <c r="H595" s="7">
        <v>0</v>
      </c>
      <c r="I595" s="7">
        <v>0</v>
      </c>
      <c r="J595" s="7">
        <v>0</v>
      </c>
      <c r="K595" s="7">
        <f t="shared" si="42"/>
        <v>0</v>
      </c>
      <c r="L595" s="7">
        <v>360</v>
      </c>
      <c r="M595" s="7">
        <f t="shared" si="44"/>
        <v>0</v>
      </c>
      <c r="N595" s="7">
        <f t="shared" si="45"/>
        <v>0</v>
      </c>
      <c r="O595" s="10" t="str">
        <f t="shared" si="46"/>
        <v/>
      </c>
    </row>
    <row r="596" spans="1:15">
      <c r="A596" s="7" t="s">
        <v>1332</v>
      </c>
      <c r="B596" s="7"/>
      <c r="C596" s="7" t="s">
        <v>1333</v>
      </c>
      <c r="D596" s="7" t="s">
        <v>588</v>
      </c>
      <c r="E596" s="7">
        <v>71</v>
      </c>
      <c r="F596" s="8">
        <v>0</v>
      </c>
      <c r="G596" s="9" t="str">
        <f t="shared" si="43"/>
        <v/>
      </c>
      <c r="H596" s="7">
        <v>0</v>
      </c>
      <c r="I596" s="7">
        <v>0</v>
      </c>
      <c r="J596" s="7">
        <v>0</v>
      </c>
      <c r="K596" s="7">
        <f t="shared" si="42"/>
        <v>0</v>
      </c>
      <c r="L596" s="7">
        <v>504</v>
      </c>
      <c r="M596" s="7">
        <f t="shared" si="44"/>
        <v>0</v>
      </c>
      <c r="N596" s="7">
        <f t="shared" si="45"/>
        <v>0</v>
      </c>
      <c r="O596" s="10" t="str">
        <f t="shared" si="46"/>
        <v/>
      </c>
    </row>
    <row r="597" spans="1:15">
      <c r="A597" s="7" t="s">
        <v>1334</v>
      </c>
      <c r="B597" s="7"/>
      <c r="C597" s="7" t="s">
        <v>1335</v>
      </c>
      <c r="D597" s="7" t="s">
        <v>1335</v>
      </c>
      <c r="E597" s="7">
        <v>486</v>
      </c>
      <c r="F597" s="8">
        <v>0</v>
      </c>
      <c r="G597" s="9" t="str">
        <f t="shared" si="43"/>
        <v/>
      </c>
      <c r="H597" s="7">
        <v>0</v>
      </c>
      <c r="I597" s="7">
        <v>0</v>
      </c>
      <c r="J597" s="7">
        <v>0</v>
      </c>
      <c r="K597" s="7">
        <f t="shared" si="42"/>
        <v>0</v>
      </c>
      <c r="L597" s="7">
        <v>360</v>
      </c>
      <c r="M597" s="7">
        <f t="shared" si="44"/>
        <v>0</v>
      </c>
      <c r="N597" s="7">
        <f t="shared" si="45"/>
        <v>0</v>
      </c>
      <c r="O597" s="10" t="str">
        <f t="shared" si="46"/>
        <v/>
      </c>
    </row>
    <row r="598" spans="1:15">
      <c r="A598" s="7" t="s">
        <v>1336</v>
      </c>
      <c r="B598" s="7"/>
      <c r="C598" s="7" t="s">
        <v>1337</v>
      </c>
      <c r="D598" s="7" t="s">
        <v>588</v>
      </c>
      <c r="E598" s="7">
        <v>51</v>
      </c>
      <c r="F598" s="8">
        <v>0</v>
      </c>
      <c r="G598" s="9" t="str">
        <f t="shared" si="43"/>
        <v/>
      </c>
      <c r="H598" s="7">
        <v>0</v>
      </c>
      <c r="I598" s="7">
        <v>0</v>
      </c>
      <c r="J598" s="7">
        <v>0</v>
      </c>
      <c r="K598" s="7">
        <f t="shared" si="42"/>
        <v>0</v>
      </c>
      <c r="L598" s="7">
        <v>504</v>
      </c>
      <c r="M598" s="7">
        <f t="shared" si="44"/>
        <v>0</v>
      </c>
      <c r="N598" s="7">
        <f t="shared" si="45"/>
        <v>0</v>
      </c>
      <c r="O598" s="10" t="str">
        <f t="shared" si="46"/>
        <v/>
      </c>
    </row>
    <row r="599" spans="1:15">
      <c r="A599" s="7" t="s">
        <v>1338</v>
      </c>
      <c r="B599" s="7"/>
      <c r="C599" s="7" t="s">
        <v>1339</v>
      </c>
      <c r="D599" s="7" t="s">
        <v>588</v>
      </c>
      <c r="E599" s="7">
        <v>78</v>
      </c>
      <c r="F599" s="8">
        <v>0</v>
      </c>
      <c r="G599" s="9" t="str">
        <f t="shared" si="43"/>
        <v/>
      </c>
      <c r="H599" s="7">
        <v>0</v>
      </c>
      <c r="I599" s="7">
        <v>0</v>
      </c>
      <c r="J599" s="7">
        <v>0</v>
      </c>
      <c r="K599" s="7">
        <f t="shared" ref="K599:K662" si="47">SUM(I599*0.15)</f>
        <v>0</v>
      </c>
      <c r="L599" s="7">
        <v>504</v>
      </c>
      <c r="M599" s="7">
        <f t="shared" si="44"/>
        <v>0</v>
      </c>
      <c r="N599" s="7">
        <f t="shared" si="45"/>
        <v>0</v>
      </c>
      <c r="O599" s="10" t="str">
        <f t="shared" si="46"/>
        <v/>
      </c>
    </row>
    <row r="600" spans="1:15">
      <c r="A600" s="7" t="s">
        <v>1340</v>
      </c>
      <c r="B600" s="7"/>
      <c r="C600" s="7" t="s">
        <v>966</v>
      </c>
      <c r="D600" s="7" t="s">
        <v>966</v>
      </c>
      <c r="E600" s="7">
        <v>2</v>
      </c>
      <c r="F600" s="8">
        <v>0</v>
      </c>
      <c r="G600" s="9" t="str">
        <f t="shared" si="43"/>
        <v/>
      </c>
      <c r="H600" s="7">
        <v>0</v>
      </c>
      <c r="I600" s="7">
        <v>0</v>
      </c>
      <c r="J600" s="7">
        <v>0</v>
      </c>
      <c r="K600" s="7">
        <f t="shared" si="47"/>
        <v>0</v>
      </c>
      <c r="L600" s="11"/>
      <c r="M600" s="7">
        <f t="shared" si="44"/>
        <v>0</v>
      </c>
      <c r="N600" s="7">
        <f t="shared" si="45"/>
        <v>0</v>
      </c>
      <c r="O600" s="10" t="str">
        <f t="shared" si="46"/>
        <v/>
      </c>
    </row>
    <row r="601" spans="1:15">
      <c r="A601" s="7" t="s">
        <v>1341</v>
      </c>
      <c r="B601" s="7"/>
      <c r="C601" s="7" t="s">
        <v>1342</v>
      </c>
      <c r="D601" s="7" t="s">
        <v>1343</v>
      </c>
      <c r="E601" s="7">
        <v>1334</v>
      </c>
      <c r="F601" s="8">
        <v>0</v>
      </c>
      <c r="G601" s="9" t="str">
        <f t="shared" si="43"/>
        <v/>
      </c>
      <c r="H601" s="7">
        <v>0</v>
      </c>
      <c r="I601" s="7">
        <v>0</v>
      </c>
      <c r="J601" s="7">
        <v>0</v>
      </c>
      <c r="K601" s="7">
        <f t="shared" si="47"/>
        <v>0</v>
      </c>
      <c r="L601" s="7">
        <v>261</v>
      </c>
      <c r="M601" s="7">
        <f t="shared" si="44"/>
        <v>0</v>
      </c>
      <c r="N601" s="7">
        <f t="shared" si="45"/>
        <v>0</v>
      </c>
      <c r="O601" s="10" t="str">
        <f t="shared" si="46"/>
        <v/>
      </c>
    </row>
    <row r="602" spans="1:15">
      <c r="A602" s="7" t="s">
        <v>1344</v>
      </c>
      <c r="B602" s="7"/>
      <c r="C602" s="7" t="s">
        <v>1345</v>
      </c>
      <c r="D602" s="7" t="s">
        <v>1343</v>
      </c>
      <c r="E602" s="7">
        <v>964</v>
      </c>
      <c r="F602" s="8">
        <v>0</v>
      </c>
      <c r="G602" s="9" t="str">
        <f t="shared" si="43"/>
        <v/>
      </c>
      <c r="H602" s="7">
        <v>0</v>
      </c>
      <c r="I602" s="7">
        <v>0</v>
      </c>
      <c r="J602" s="7">
        <v>0</v>
      </c>
      <c r="K602" s="7">
        <f t="shared" si="47"/>
        <v>0</v>
      </c>
      <c r="L602" s="7">
        <v>261</v>
      </c>
      <c r="M602" s="7">
        <f t="shared" si="44"/>
        <v>0</v>
      </c>
      <c r="N602" s="7">
        <f t="shared" si="45"/>
        <v>0</v>
      </c>
      <c r="O602" s="10" t="str">
        <f t="shared" si="46"/>
        <v/>
      </c>
    </row>
    <row r="603" spans="1:15">
      <c r="A603" s="7" t="s">
        <v>1346</v>
      </c>
      <c r="B603" s="7"/>
      <c r="C603" s="7" t="s">
        <v>1347</v>
      </c>
      <c r="D603" s="7" t="s">
        <v>1348</v>
      </c>
      <c r="E603" s="7">
        <v>1673</v>
      </c>
      <c r="F603" s="8">
        <v>0</v>
      </c>
      <c r="G603" s="9" t="str">
        <f t="shared" si="43"/>
        <v/>
      </c>
      <c r="H603" s="7">
        <v>0</v>
      </c>
      <c r="I603" s="7">
        <v>0</v>
      </c>
      <c r="J603" s="7">
        <v>0</v>
      </c>
      <c r="K603" s="7">
        <f t="shared" si="47"/>
        <v>0</v>
      </c>
      <c r="L603" s="7">
        <v>290</v>
      </c>
      <c r="M603" s="7">
        <f t="shared" si="44"/>
        <v>0</v>
      </c>
      <c r="N603" s="7">
        <f t="shared" si="45"/>
        <v>0</v>
      </c>
      <c r="O603" s="10" t="str">
        <f t="shared" si="46"/>
        <v/>
      </c>
    </row>
    <row r="604" spans="1:15">
      <c r="A604" s="7" t="s">
        <v>1349</v>
      </c>
      <c r="B604" s="7"/>
      <c r="C604" s="7" t="s">
        <v>1350</v>
      </c>
      <c r="D604" s="7" t="s">
        <v>1348</v>
      </c>
      <c r="E604" s="7">
        <v>1729</v>
      </c>
      <c r="F604" s="8">
        <v>0</v>
      </c>
      <c r="G604" s="9" t="str">
        <f t="shared" si="43"/>
        <v/>
      </c>
      <c r="H604" s="7">
        <v>0</v>
      </c>
      <c r="I604" s="7">
        <v>0</v>
      </c>
      <c r="J604" s="7">
        <v>0</v>
      </c>
      <c r="K604" s="7">
        <f t="shared" si="47"/>
        <v>0</v>
      </c>
      <c r="L604" s="7">
        <v>290</v>
      </c>
      <c r="M604" s="7">
        <f t="shared" si="44"/>
        <v>0</v>
      </c>
      <c r="N604" s="7">
        <f t="shared" si="45"/>
        <v>0</v>
      </c>
      <c r="O604" s="10" t="str">
        <f t="shared" si="46"/>
        <v/>
      </c>
    </row>
    <row r="605" spans="1:15">
      <c r="A605" s="7" t="s">
        <v>1351</v>
      </c>
      <c r="B605" s="7"/>
      <c r="C605" s="7" t="s">
        <v>1352</v>
      </c>
      <c r="D605" s="7" t="s">
        <v>1353</v>
      </c>
      <c r="E605" s="7">
        <v>1299</v>
      </c>
      <c r="F605" s="8">
        <v>0</v>
      </c>
      <c r="G605" s="9" t="str">
        <f t="shared" si="43"/>
        <v/>
      </c>
      <c r="H605" s="7">
        <v>0</v>
      </c>
      <c r="I605" s="7">
        <v>0</v>
      </c>
      <c r="J605" s="7">
        <v>0</v>
      </c>
      <c r="K605" s="7">
        <f t="shared" si="47"/>
        <v>0</v>
      </c>
      <c r="L605" s="7">
        <v>186</v>
      </c>
      <c r="M605" s="7">
        <f t="shared" si="44"/>
        <v>0</v>
      </c>
      <c r="N605" s="7">
        <f t="shared" si="45"/>
        <v>0</v>
      </c>
      <c r="O605" s="10" t="str">
        <f t="shared" si="46"/>
        <v/>
      </c>
    </row>
    <row r="606" spans="1:15">
      <c r="A606" s="7" t="s">
        <v>1354</v>
      </c>
      <c r="B606" s="7"/>
      <c r="C606" s="7" t="s">
        <v>1355</v>
      </c>
      <c r="D606" s="7" t="s">
        <v>1353</v>
      </c>
      <c r="E606" s="7">
        <v>827</v>
      </c>
      <c r="F606" s="8">
        <v>0</v>
      </c>
      <c r="G606" s="9" t="str">
        <f t="shared" si="43"/>
        <v/>
      </c>
      <c r="H606" s="7">
        <v>0</v>
      </c>
      <c r="I606" s="7">
        <v>0</v>
      </c>
      <c r="J606" s="7">
        <v>0</v>
      </c>
      <c r="K606" s="7">
        <f t="shared" si="47"/>
        <v>0</v>
      </c>
      <c r="L606" s="7">
        <v>186</v>
      </c>
      <c r="M606" s="7">
        <f t="shared" si="44"/>
        <v>0</v>
      </c>
      <c r="N606" s="7">
        <f t="shared" si="45"/>
        <v>0</v>
      </c>
      <c r="O606" s="10" t="str">
        <f t="shared" si="46"/>
        <v/>
      </c>
    </row>
    <row r="607" spans="1:15">
      <c r="A607" s="7" t="s">
        <v>1356</v>
      </c>
      <c r="B607" s="7"/>
      <c r="C607" s="7" t="s">
        <v>1357</v>
      </c>
      <c r="D607" s="7" t="s">
        <v>1358</v>
      </c>
      <c r="E607" s="7">
        <v>120</v>
      </c>
      <c r="F607" s="8">
        <v>0</v>
      </c>
      <c r="G607" s="9" t="str">
        <f t="shared" si="43"/>
        <v/>
      </c>
      <c r="H607" s="7">
        <v>0</v>
      </c>
      <c r="I607" s="7">
        <v>0</v>
      </c>
      <c r="J607" s="7">
        <v>0</v>
      </c>
      <c r="K607" s="7">
        <f t="shared" si="47"/>
        <v>0</v>
      </c>
      <c r="L607" s="7">
        <v>39800</v>
      </c>
      <c r="M607" s="7">
        <f t="shared" si="44"/>
        <v>0</v>
      </c>
      <c r="N607" s="7">
        <f t="shared" si="45"/>
        <v>0</v>
      </c>
      <c r="O607" s="10" t="str">
        <f t="shared" si="46"/>
        <v/>
      </c>
    </row>
    <row r="608" spans="1:15">
      <c r="A608" s="7" t="s">
        <v>1356</v>
      </c>
      <c r="B608" s="7"/>
      <c r="C608" s="7" t="s">
        <v>1357</v>
      </c>
      <c r="D608" s="7" t="s">
        <v>1359</v>
      </c>
      <c r="E608" s="7">
        <v>9308</v>
      </c>
      <c r="F608" s="8">
        <v>0</v>
      </c>
      <c r="G608" s="9" t="str">
        <f t="shared" si="43"/>
        <v/>
      </c>
      <c r="H608" s="7">
        <v>0</v>
      </c>
      <c r="I608" s="7">
        <v>0</v>
      </c>
      <c r="J608" s="7">
        <v>0</v>
      </c>
      <c r="K608" s="7">
        <f t="shared" si="47"/>
        <v>0</v>
      </c>
      <c r="L608" s="7">
        <v>39800</v>
      </c>
      <c r="M608" s="7">
        <f t="shared" si="44"/>
        <v>0</v>
      </c>
      <c r="N608" s="7">
        <f t="shared" si="45"/>
        <v>0</v>
      </c>
      <c r="O608" s="10" t="str">
        <f t="shared" si="46"/>
        <v/>
      </c>
    </row>
    <row r="609" spans="1:15">
      <c r="A609" s="7" t="s">
        <v>1360</v>
      </c>
      <c r="B609" s="7"/>
      <c r="C609" s="7" t="s">
        <v>1361</v>
      </c>
      <c r="D609" s="7" t="s">
        <v>1361</v>
      </c>
      <c r="E609" s="7">
        <v>24</v>
      </c>
      <c r="F609" s="8">
        <v>0</v>
      </c>
      <c r="G609" s="9" t="str">
        <f t="shared" si="43"/>
        <v/>
      </c>
      <c r="H609" s="7">
        <v>0</v>
      </c>
      <c r="I609" s="7">
        <v>0</v>
      </c>
      <c r="J609" s="7">
        <v>0</v>
      </c>
      <c r="K609" s="7">
        <f t="shared" si="47"/>
        <v>0</v>
      </c>
      <c r="L609" s="7">
        <v>1320</v>
      </c>
      <c r="M609" s="7">
        <f t="shared" si="44"/>
        <v>0</v>
      </c>
      <c r="N609" s="7">
        <f t="shared" si="45"/>
        <v>0</v>
      </c>
      <c r="O609" s="10" t="str">
        <f t="shared" si="46"/>
        <v/>
      </c>
    </row>
    <row r="610" spans="1:15">
      <c r="A610" s="7" t="s">
        <v>1362</v>
      </c>
      <c r="B610" s="7"/>
      <c r="C610" s="7" t="s">
        <v>1363</v>
      </c>
      <c r="D610" s="7" t="s">
        <v>503</v>
      </c>
      <c r="E610" s="7">
        <v>581</v>
      </c>
      <c r="F610" s="8">
        <v>0</v>
      </c>
      <c r="G610" s="9" t="str">
        <f t="shared" si="43"/>
        <v/>
      </c>
      <c r="H610" s="7">
        <v>0</v>
      </c>
      <c r="I610" s="7">
        <v>0</v>
      </c>
      <c r="J610" s="7">
        <v>0</v>
      </c>
      <c r="K610" s="7">
        <f t="shared" si="47"/>
        <v>0</v>
      </c>
      <c r="L610" s="7">
        <v>204</v>
      </c>
      <c r="M610" s="7">
        <f t="shared" si="44"/>
        <v>0</v>
      </c>
      <c r="N610" s="7">
        <f t="shared" si="45"/>
        <v>0</v>
      </c>
      <c r="O610" s="10" t="str">
        <f t="shared" si="46"/>
        <v/>
      </c>
    </row>
    <row r="611" spans="1:15">
      <c r="A611" s="7" t="s">
        <v>1128</v>
      </c>
      <c r="B611" s="7"/>
      <c r="C611" s="7" t="s">
        <v>1130</v>
      </c>
      <c r="D611" s="7" t="s">
        <v>1130</v>
      </c>
      <c r="E611" s="7">
        <v>1</v>
      </c>
      <c r="F611" s="8">
        <v>0</v>
      </c>
      <c r="G611" s="9" t="str">
        <f t="shared" si="43"/>
        <v/>
      </c>
      <c r="H611" s="7">
        <v>0</v>
      </c>
      <c r="I611" s="7">
        <v>0</v>
      </c>
      <c r="J611" s="7">
        <v>0</v>
      </c>
      <c r="K611" s="7">
        <f t="shared" si="47"/>
        <v>0</v>
      </c>
      <c r="L611" s="11"/>
      <c r="M611" s="7">
        <f t="shared" si="44"/>
        <v>0</v>
      </c>
      <c r="N611" s="7">
        <f t="shared" si="45"/>
        <v>0</v>
      </c>
      <c r="O611" s="10" t="str">
        <f t="shared" si="46"/>
        <v/>
      </c>
    </row>
    <row r="612" spans="1:15">
      <c r="A612" s="7" t="s">
        <v>1114</v>
      </c>
      <c r="B612" s="7"/>
      <c r="C612" s="7" t="s">
        <v>1116</v>
      </c>
      <c r="D612" s="7" t="s">
        <v>1116</v>
      </c>
      <c r="E612" s="7">
        <v>13</v>
      </c>
      <c r="F612" s="8">
        <v>0</v>
      </c>
      <c r="G612" s="9" t="str">
        <f t="shared" si="43"/>
        <v/>
      </c>
      <c r="H612" s="7">
        <v>0</v>
      </c>
      <c r="I612" s="7">
        <v>0</v>
      </c>
      <c r="J612" s="7">
        <v>0</v>
      </c>
      <c r="K612" s="7">
        <f t="shared" si="47"/>
        <v>0</v>
      </c>
      <c r="L612" s="11"/>
      <c r="M612" s="7">
        <f t="shared" si="44"/>
        <v>0</v>
      </c>
      <c r="N612" s="7">
        <f t="shared" si="45"/>
        <v>0</v>
      </c>
      <c r="O612" s="10" t="str">
        <f t="shared" si="46"/>
        <v/>
      </c>
    </row>
    <row r="613" spans="1:15">
      <c r="A613" s="7" t="s">
        <v>1364</v>
      </c>
      <c r="B613" s="7"/>
      <c r="C613" s="7" t="s">
        <v>1365</v>
      </c>
      <c r="D613" s="7" t="s">
        <v>1365</v>
      </c>
      <c r="E613" s="7">
        <v>498</v>
      </c>
      <c r="F613" s="8">
        <v>0</v>
      </c>
      <c r="G613" s="9" t="str">
        <f t="shared" si="43"/>
        <v/>
      </c>
      <c r="H613" s="7">
        <v>0</v>
      </c>
      <c r="I613" s="7">
        <v>0</v>
      </c>
      <c r="J613" s="7">
        <v>0</v>
      </c>
      <c r="K613" s="7">
        <f t="shared" si="47"/>
        <v>0</v>
      </c>
      <c r="L613" s="7">
        <v>1043</v>
      </c>
      <c r="M613" s="7">
        <f t="shared" si="44"/>
        <v>0</v>
      </c>
      <c r="N613" s="7">
        <f t="shared" si="45"/>
        <v>0</v>
      </c>
      <c r="O613" s="10" t="str">
        <f t="shared" si="46"/>
        <v/>
      </c>
    </row>
    <row r="614" spans="1:15">
      <c r="A614" s="7" t="s">
        <v>1366</v>
      </c>
      <c r="B614" s="7"/>
      <c r="C614" s="7" t="s">
        <v>1367</v>
      </c>
      <c r="D614" s="7" t="s">
        <v>1367</v>
      </c>
      <c r="E614" s="7">
        <v>75</v>
      </c>
      <c r="F614" s="8">
        <v>0</v>
      </c>
      <c r="G614" s="9" t="str">
        <f t="shared" si="43"/>
        <v/>
      </c>
      <c r="H614" s="7">
        <v>0</v>
      </c>
      <c r="I614" s="7">
        <v>0</v>
      </c>
      <c r="J614" s="7">
        <v>0</v>
      </c>
      <c r="K614" s="7">
        <f t="shared" si="47"/>
        <v>0</v>
      </c>
      <c r="L614" s="7">
        <v>86</v>
      </c>
      <c r="M614" s="7">
        <f t="shared" si="44"/>
        <v>0</v>
      </c>
      <c r="N614" s="7">
        <f t="shared" si="45"/>
        <v>0</v>
      </c>
      <c r="O614" s="10" t="str">
        <f t="shared" si="46"/>
        <v/>
      </c>
    </row>
    <row r="615" spans="1:15">
      <c r="A615" s="7" t="s">
        <v>1368</v>
      </c>
      <c r="B615" s="7"/>
      <c r="C615" s="7" t="s">
        <v>1369</v>
      </c>
      <c r="D615" s="7" t="s">
        <v>1369</v>
      </c>
      <c r="E615" s="7">
        <v>92</v>
      </c>
      <c r="F615" s="8">
        <v>0</v>
      </c>
      <c r="G615" s="9" t="str">
        <f t="shared" si="43"/>
        <v/>
      </c>
      <c r="H615" s="7">
        <v>0</v>
      </c>
      <c r="I615" s="7">
        <v>0</v>
      </c>
      <c r="J615" s="7">
        <v>0</v>
      </c>
      <c r="K615" s="7">
        <f t="shared" si="47"/>
        <v>0</v>
      </c>
      <c r="L615" s="7">
        <v>2253</v>
      </c>
      <c r="M615" s="7">
        <f t="shared" si="44"/>
        <v>0</v>
      </c>
      <c r="N615" s="7">
        <f t="shared" si="45"/>
        <v>0</v>
      </c>
      <c r="O615" s="10" t="str">
        <f t="shared" si="46"/>
        <v/>
      </c>
    </row>
    <row r="616" spans="1:15">
      <c r="A616" s="7" t="s">
        <v>1370</v>
      </c>
      <c r="B616" s="7"/>
      <c r="C616" s="7" t="s">
        <v>1371</v>
      </c>
      <c r="D616" s="7" t="s">
        <v>1371</v>
      </c>
      <c r="E616" s="7">
        <v>11007</v>
      </c>
      <c r="F616" s="8">
        <v>0</v>
      </c>
      <c r="G616" s="9" t="str">
        <f t="shared" si="43"/>
        <v/>
      </c>
      <c r="H616" s="7">
        <v>0</v>
      </c>
      <c r="I616" s="7">
        <v>0</v>
      </c>
      <c r="J616" s="7">
        <v>0</v>
      </c>
      <c r="K616" s="7">
        <f t="shared" si="47"/>
        <v>0</v>
      </c>
      <c r="L616" s="11"/>
      <c r="M616" s="7">
        <f t="shared" si="44"/>
        <v>0</v>
      </c>
      <c r="N616" s="7">
        <f t="shared" si="45"/>
        <v>0</v>
      </c>
      <c r="O616" s="10" t="str">
        <f t="shared" si="46"/>
        <v/>
      </c>
    </row>
    <row r="617" spans="1:15">
      <c r="A617" s="7" t="s">
        <v>1370</v>
      </c>
      <c r="B617" s="7"/>
      <c r="C617" s="7" t="s">
        <v>1371</v>
      </c>
      <c r="D617" s="7" t="s">
        <v>1372</v>
      </c>
      <c r="E617" s="7">
        <v>55387</v>
      </c>
      <c r="F617" s="8">
        <v>0</v>
      </c>
      <c r="G617" s="9" t="str">
        <f t="shared" si="43"/>
        <v/>
      </c>
      <c r="H617" s="7">
        <v>0</v>
      </c>
      <c r="I617" s="7">
        <v>0</v>
      </c>
      <c r="J617" s="7">
        <v>0</v>
      </c>
      <c r="K617" s="7">
        <f t="shared" si="47"/>
        <v>0</v>
      </c>
      <c r="L617" s="11"/>
      <c r="M617" s="7">
        <f t="shared" si="44"/>
        <v>0</v>
      </c>
      <c r="N617" s="7">
        <f t="shared" si="45"/>
        <v>0</v>
      </c>
      <c r="O617" s="10" t="str">
        <f t="shared" si="46"/>
        <v/>
      </c>
    </row>
    <row r="618" spans="1:15">
      <c r="A618" s="7" t="s">
        <v>1373</v>
      </c>
      <c r="B618" s="7"/>
      <c r="C618" s="7" t="s">
        <v>918</v>
      </c>
      <c r="D618" s="7" t="s">
        <v>918</v>
      </c>
      <c r="E618" s="7">
        <v>1</v>
      </c>
      <c r="F618" s="8">
        <v>0</v>
      </c>
      <c r="G618" s="9" t="str">
        <f t="shared" si="43"/>
        <v/>
      </c>
      <c r="H618" s="7">
        <v>0</v>
      </c>
      <c r="I618" s="7">
        <v>0</v>
      </c>
      <c r="J618" s="7">
        <v>0</v>
      </c>
      <c r="K618" s="7">
        <f t="shared" si="47"/>
        <v>0</v>
      </c>
      <c r="L618" s="11"/>
      <c r="M618" s="7">
        <f t="shared" si="44"/>
        <v>0</v>
      </c>
      <c r="N618" s="7">
        <f t="shared" si="45"/>
        <v>0</v>
      </c>
      <c r="O618" s="10" t="str">
        <f t="shared" si="46"/>
        <v/>
      </c>
    </row>
    <row r="619" spans="1:15">
      <c r="A619" s="7" t="s">
        <v>1374</v>
      </c>
      <c r="B619" s="7"/>
      <c r="C619" s="7" t="s">
        <v>1375</v>
      </c>
      <c r="D619" s="7" t="s">
        <v>1376</v>
      </c>
      <c r="E619" s="7">
        <v>254</v>
      </c>
      <c r="F619" s="8">
        <v>0</v>
      </c>
      <c r="G619" s="9" t="str">
        <f t="shared" si="43"/>
        <v/>
      </c>
      <c r="H619" s="7">
        <v>0</v>
      </c>
      <c r="I619" s="7">
        <v>0</v>
      </c>
      <c r="J619" s="7">
        <v>0</v>
      </c>
      <c r="K619" s="7">
        <f t="shared" si="47"/>
        <v>0</v>
      </c>
      <c r="L619" s="7">
        <v>347</v>
      </c>
      <c r="M619" s="7">
        <f t="shared" si="44"/>
        <v>0</v>
      </c>
      <c r="N619" s="7">
        <f t="shared" si="45"/>
        <v>0</v>
      </c>
      <c r="O619" s="10" t="str">
        <f t="shared" si="46"/>
        <v/>
      </c>
    </row>
    <row r="620" spans="1:15">
      <c r="A620" s="7" t="s">
        <v>1377</v>
      </c>
      <c r="B620" s="7"/>
      <c r="C620" s="7" t="s">
        <v>1378</v>
      </c>
      <c r="D620" s="7" t="s">
        <v>531</v>
      </c>
      <c r="E620" s="7">
        <v>777</v>
      </c>
      <c r="F620" s="8">
        <v>0</v>
      </c>
      <c r="G620" s="9" t="str">
        <f t="shared" si="43"/>
        <v/>
      </c>
      <c r="H620" s="7">
        <v>0</v>
      </c>
      <c r="I620" s="7">
        <v>0</v>
      </c>
      <c r="J620" s="7">
        <v>0</v>
      </c>
      <c r="K620" s="7">
        <f t="shared" si="47"/>
        <v>0</v>
      </c>
      <c r="L620" s="7">
        <v>186</v>
      </c>
      <c r="M620" s="7">
        <f t="shared" si="44"/>
        <v>0</v>
      </c>
      <c r="N620" s="7">
        <f t="shared" si="45"/>
        <v>0</v>
      </c>
      <c r="O620" s="10" t="str">
        <f t="shared" si="46"/>
        <v/>
      </c>
    </row>
    <row r="621" spans="1:15">
      <c r="A621" s="7" t="s">
        <v>1379</v>
      </c>
      <c r="B621" s="7"/>
      <c r="C621" s="7" t="s">
        <v>1380</v>
      </c>
      <c r="D621" s="7" t="s">
        <v>1376</v>
      </c>
      <c r="E621" s="7">
        <v>277</v>
      </c>
      <c r="F621" s="8">
        <v>0</v>
      </c>
      <c r="G621" s="9" t="str">
        <f t="shared" si="43"/>
        <v/>
      </c>
      <c r="H621" s="7">
        <v>0</v>
      </c>
      <c r="I621" s="7">
        <v>0</v>
      </c>
      <c r="J621" s="7">
        <v>0</v>
      </c>
      <c r="K621" s="7">
        <f t="shared" si="47"/>
        <v>0</v>
      </c>
      <c r="L621" s="7">
        <v>347</v>
      </c>
      <c r="M621" s="7">
        <f t="shared" si="44"/>
        <v>0</v>
      </c>
      <c r="N621" s="7">
        <f t="shared" si="45"/>
        <v>0</v>
      </c>
      <c r="O621" s="10" t="str">
        <f t="shared" si="46"/>
        <v/>
      </c>
    </row>
    <row r="622" spans="1:15">
      <c r="A622" s="7" t="s">
        <v>1381</v>
      </c>
      <c r="B622" s="7"/>
      <c r="C622" s="7" t="s">
        <v>1382</v>
      </c>
      <c r="D622" s="7" t="s">
        <v>531</v>
      </c>
      <c r="E622" s="7">
        <v>503</v>
      </c>
      <c r="F622" s="8">
        <v>0</v>
      </c>
      <c r="G622" s="9" t="str">
        <f t="shared" si="43"/>
        <v/>
      </c>
      <c r="H622" s="7">
        <v>0</v>
      </c>
      <c r="I622" s="7">
        <v>0</v>
      </c>
      <c r="J622" s="7">
        <v>0</v>
      </c>
      <c r="K622" s="7">
        <f t="shared" si="47"/>
        <v>0</v>
      </c>
      <c r="L622" s="7">
        <v>186</v>
      </c>
      <c r="M622" s="7">
        <f t="shared" si="44"/>
        <v>0</v>
      </c>
      <c r="N622" s="7">
        <f t="shared" si="45"/>
        <v>0</v>
      </c>
      <c r="O622" s="10" t="str">
        <f t="shared" si="46"/>
        <v/>
      </c>
    </row>
    <row r="623" spans="1:15">
      <c r="A623" s="7" t="s">
        <v>1383</v>
      </c>
      <c r="B623" s="7"/>
      <c r="C623" s="7" t="s">
        <v>1384</v>
      </c>
      <c r="D623" s="7" t="s">
        <v>531</v>
      </c>
      <c r="E623" s="7">
        <v>475</v>
      </c>
      <c r="F623" s="8">
        <v>0</v>
      </c>
      <c r="G623" s="9" t="str">
        <f t="shared" si="43"/>
        <v/>
      </c>
      <c r="H623" s="7">
        <v>0</v>
      </c>
      <c r="I623" s="7">
        <v>0</v>
      </c>
      <c r="J623" s="7">
        <v>0</v>
      </c>
      <c r="K623" s="7">
        <f t="shared" si="47"/>
        <v>0</v>
      </c>
      <c r="L623" s="7">
        <v>186</v>
      </c>
      <c r="M623" s="7">
        <f t="shared" si="44"/>
        <v>0</v>
      </c>
      <c r="N623" s="7">
        <f t="shared" si="45"/>
        <v>0</v>
      </c>
      <c r="O623" s="10" t="str">
        <f t="shared" si="46"/>
        <v/>
      </c>
    </row>
    <row r="624" spans="1:15">
      <c r="A624" s="7" t="s">
        <v>1385</v>
      </c>
      <c r="B624" s="7"/>
      <c r="C624" s="7" t="s">
        <v>1386</v>
      </c>
      <c r="D624" s="7" t="s">
        <v>1387</v>
      </c>
      <c r="E624" s="7">
        <v>901</v>
      </c>
      <c r="F624" s="8">
        <v>0</v>
      </c>
      <c r="G624" s="9" t="str">
        <f t="shared" si="43"/>
        <v/>
      </c>
      <c r="H624" s="7">
        <v>0</v>
      </c>
      <c r="I624" s="7">
        <v>0</v>
      </c>
      <c r="J624" s="7">
        <v>0</v>
      </c>
      <c r="K624" s="7">
        <f t="shared" si="47"/>
        <v>0</v>
      </c>
      <c r="L624" s="7">
        <v>319</v>
      </c>
      <c r="M624" s="7">
        <f t="shared" si="44"/>
        <v>0</v>
      </c>
      <c r="N624" s="7">
        <f t="shared" si="45"/>
        <v>0</v>
      </c>
      <c r="O624" s="10" t="str">
        <f t="shared" si="46"/>
        <v/>
      </c>
    </row>
    <row r="625" spans="1:15">
      <c r="A625" s="7" t="s">
        <v>1388</v>
      </c>
      <c r="B625" s="7"/>
      <c r="C625" s="7" t="s">
        <v>1389</v>
      </c>
      <c r="D625" s="7" t="s">
        <v>429</v>
      </c>
      <c r="E625" s="7">
        <v>671</v>
      </c>
      <c r="F625" s="8">
        <v>0</v>
      </c>
      <c r="G625" s="9" t="str">
        <f t="shared" si="43"/>
        <v/>
      </c>
      <c r="H625" s="7">
        <v>0</v>
      </c>
      <c r="I625" s="7">
        <v>0</v>
      </c>
      <c r="J625" s="7">
        <v>0</v>
      </c>
      <c r="K625" s="7">
        <f t="shared" si="47"/>
        <v>0</v>
      </c>
      <c r="L625" s="7">
        <v>504</v>
      </c>
      <c r="M625" s="7">
        <f t="shared" si="44"/>
        <v>0</v>
      </c>
      <c r="N625" s="7">
        <f t="shared" si="45"/>
        <v>0</v>
      </c>
      <c r="O625" s="10" t="str">
        <f t="shared" si="46"/>
        <v/>
      </c>
    </row>
    <row r="626" spans="1:15">
      <c r="A626" s="7" t="s">
        <v>1390</v>
      </c>
      <c r="B626" s="7"/>
      <c r="C626" s="7" t="s">
        <v>1391</v>
      </c>
      <c r="D626" s="7" t="s">
        <v>1387</v>
      </c>
      <c r="E626" s="7">
        <v>1195</v>
      </c>
      <c r="F626" s="8">
        <v>0</v>
      </c>
      <c r="G626" s="9" t="str">
        <f t="shared" si="43"/>
        <v/>
      </c>
      <c r="H626" s="7">
        <v>0</v>
      </c>
      <c r="I626" s="7">
        <v>0</v>
      </c>
      <c r="J626" s="7">
        <v>0</v>
      </c>
      <c r="K626" s="7">
        <f t="shared" si="47"/>
        <v>0</v>
      </c>
      <c r="L626" s="7">
        <v>319</v>
      </c>
      <c r="M626" s="7">
        <f t="shared" si="44"/>
        <v>0</v>
      </c>
      <c r="N626" s="7">
        <f t="shared" si="45"/>
        <v>0</v>
      </c>
      <c r="O626" s="10" t="str">
        <f t="shared" si="46"/>
        <v/>
      </c>
    </row>
    <row r="627" spans="1:15">
      <c r="A627" s="7" t="s">
        <v>1392</v>
      </c>
      <c r="B627" s="7"/>
      <c r="C627" s="7" t="s">
        <v>1393</v>
      </c>
      <c r="D627" s="7" t="s">
        <v>531</v>
      </c>
      <c r="E627" s="7">
        <v>441</v>
      </c>
      <c r="F627" s="8">
        <v>0</v>
      </c>
      <c r="G627" s="9" t="str">
        <f t="shared" si="43"/>
        <v/>
      </c>
      <c r="H627" s="7">
        <v>0</v>
      </c>
      <c r="I627" s="7">
        <v>0</v>
      </c>
      <c r="J627" s="7">
        <v>0</v>
      </c>
      <c r="K627" s="7">
        <f t="shared" si="47"/>
        <v>0</v>
      </c>
      <c r="L627" s="7">
        <v>186</v>
      </c>
      <c r="M627" s="7">
        <f t="shared" si="44"/>
        <v>0</v>
      </c>
      <c r="N627" s="7">
        <f t="shared" si="45"/>
        <v>0</v>
      </c>
      <c r="O627" s="10" t="str">
        <f t="shared" si="46"/>
        <v/>
      </c>
    </row>
    <row r="628" spans="1:15">
      <c r="A628" s="7" t="s">
        <v>1394</v>
      </c>
      <c r="B628" s="7"/>
      <c r="C628" s="7" t="s">
        <v>1395</v>
      </c>
      <c r="D628" s="7" t="s">
        <v>1376</v>
      </c>
      <c r="E628" s="7">
        <v>249</v>
      </c>
      <c r="F628" s="8">
        <v>0</v>
      </c>
      <c r="G628" s="9" t="str">
        <f t="shared" si="43"/>
        <v/>
      </c>
      <c r="H628" s="7">
        <v>0</v>
      </c>
      <c r="I628" s="7">
        <v>0</v>
      </c>
      <c r="J628" s="7">
        <v>0</v>
      </c>
      <c r="K628" s="7">
        <f t="shared" si="47"/>
        <v>0</v>
      </c>
      <c r="L628" s="7">
        <v>347</v>
      </c>
      <c r="M628" s="7">
        <f t="shared" si="44"/>
        <v>0</v>
      </c>
      <c r="N628" s="7">
        <f t="shared" si="45"/>
        <v>0</v>
      </c>
      <c r="O628" s="10" t="str">
        <f t="shared" si="46"/>
        <v/>
      </c>
    </row>
    <row r="629" spans="1:15">
      <c r="A629" s="7" t="s">
        <v>1396</v>
      </c>
      <c r="B629" s="7"/>
      <c r="C629" s="7" t="s">
        <v>1397</v>
      </c>
      <c r="D629" s="7" t="s">
        <v>1376</v>
      </c>
      <c r="E629" s="7">
        <v>174</v>
      </c>
      <c r="F629" s="8">
        <v>0</v>
      </c>
      <c r="G629" s="9" t="str">
        <f t="shared" si="43"/>
        <v/>
      </c>
      <c r="H629" s="7">
        <v>0</v>
      </c>
      <c r="I629" s="7">
        <v>0</v>
      </c>
      <c r="J629" s="7">
        <v>0</v>
      </c>
      <c r="K629" s="7">
        <f t="shared" si="47"/>
        <v>0</v>
      </c>
      <c r="L629" s="7">
        <v>347</v>
      </c>
      <c r="M629" s="7">
        <f t="shared" si="44"/>
        <v>0</v>
      </c>
      <c r="N629" s="7">
        <f t="shared" si="45"/>
        <v>0</v>
      </c>
      <c r="O629" s="10" t="str">
        <f t="shared" si="46"/>
        <v/>
      </c>
    </row>
    <row r="630" spans="1:15">
      <c r="A630" s="7" t="s">
        <v>1398</v>
      </c>
      <c r="B630" s="7"/>
      <c r="C630" s="7" t="s">
        <v>1399</v>
      </c>
      <c r="D630" s="7" t="s">
        <v>1376</v>
      </c>
      <c r="E630" s="7">
        <v>239</v>
      </c>
      <c r="F630" s="8">
        <v>0</v>
      </c>
      <c r="G630" s="9" t="str">
        <f t="shared" si="43"/>
        <v/>
      </c>
      <c r="H630" s="7">
        <v>0</v>
      </c>
      <c r="I630" s="7">
        <v>0</v>
      </c>
      <c r="J630" s="7">
        <v>0</v>
      </c>
      <c r="K630" s="7">
        <f t="shared" si="47"/>
        <v>0</v>
      </c>
      <c r="L630" s="7">
        <v>347</v>
      </c>
      <c r="M630" s="7">
        <f t="shared" si="44"/>
        <v>0</v>
      </c>
      <c r="N630" s="7">
        <f t="shared" si="45"/>
        <v>0</v>
      </c>
      <c r="O630" s="10" t="str">
        <f t="shared" si="46"/>
        <v/>
      </c>
    </row>
    <row r="631" spans="1:15">
      <c r="A631" s="7" t="s">
        <v>1400</v>
      </c>
      <c r="B631" s="7"/>
      <c r="C631" s="7" t="s">
        <v>1401</v>
      </c>
      <c r="D631" s="7" t="s">
        <v>1376</v>
      </c>
      <c r="E631" s="7">
        <v>314</v>
      </c>
      <c r="F631" s="8">
        <v>0</v>
      </c>
      <c r="G631" s="9" t="str">
        <f t="shared" si="43"/>
        <v/>
      </c>
      <c r="H631" s="7">
        <v>0</v>
      </c>
      <c r="I631" s="7">
        <v>0</v>
      </c>
      <c r="J631" s="7">
        <v>0</v>
      </c>
      <c r="K631" s="7">
        <f t="shared" si="47"/>
        <v>0</v>
      </c>
      <c r="L631" s="7">
        <v>347</v>
      </c>
      <c r="M631" s="7">
        <f t="shared" si="44"/>
        <v>0</v>
      </c>
      <c r="N631" s="7">
        <f t="shared" si="45"/>
        <v>0</v>
      </c>
      <c r="O631" s="10" t="str">
        <f t="shared" si="46"/>
        <v/>
      </c>
    </row>
    <row r="632" spans="1:15">
      <c r="A632" s="7" t="s">
        <v>1402</v>
      </c>
      <c r="B632" s="7"/>
      <c r="C632" s="7" t="s">
        <v>1403</v>
      </c>
      <c r="D632" s="7" t="s">
        <v>1376</v>
      </c>
      <c r="E632" s="7">
        <v>198</v>
      </c>
      <c r="F632" s="8">
        <v>0</v>
      </c>
      <c r="G632" s="9" t="str">
        <f t="shared" si="43"/>
        <v/>
      </c>
      <c r="H632" s="7">
        <v>0</v>
      </c>
      <c r="I632" s="7">
        <v>0</v>
      </c>
      <c r="J632" s="7">
        <v>0</v>
      </c>
      <c r="K632" s="7">
        <f t="shared" si="47"/>
        <v>0</v>
      </c>
      <c r="L632" s="7">
        <v>347</v>
      </c>
      <c r="M632" s="7">
        <f t="shared" si="44"/>
        <v>0</v>
      </c>
      <c r="N632" s="7">
        <f t="shared" si="45"/>
        <v>0</v>
      </c>
      <c r="O632" s="10" t="str">
        <f t="shared" si="46"/>
        <v/>
      </c>
    </row>
    <row r="633" spans="1:15">
      <c r="A633" s="7" t="s">
        <v>1404</v>
      </c>
      <c r="B633" s="7"/>
      <c r="C633" s="7" t="s">
        <v>1405</v>
      </c>
      <c r="D633" s="7" t="s">
        <v>531</v>
      </c>
      <c r="E633" s="7">
        <v>479</v>
      </c>
      <c r="F633" s="8">
        <v>0</v>
      </c>
      <c r="G633" s="9" t="str">
        <f t="shared" si="43"/>
        <v/>
      </c>
      <c r="H633" s="7">
        <v>0</v>
      </c>
      <c r="I633" s="7">
        <v>0</v>
      </c>
      <c r="J633" s="7">
        <v>0</v>
      </c>
      <c r="K633" s="7">
        <f t="shared" si="47"/>
        <v>0</v>
      </c>
      <c r="L633" s="7">
        <v>186</v>
      </c>
      <c r="M633" s="7">
        <f t="shared" si="44"/>
        <v>0</v>
      </c>
      <c r="N633" s="7">
        <f t="shared" si="45"/>
        <v>0</v>
      </c>
      <c r="O633" s="10" t="str">
        <f t="shared" si="46"/>
        <v/>
      </c>
    </row>
    <row r="634" spans="1:15">
      <c r="A634" s="7" t="s">
        <v>1406</v>
      </c>
      <c r="B634" s="7"/>
      <c r="C634" s="7" t="s">
        <v>1407</v>
      </c>
      <c r="D634" s="7" t="s">
        <v>1376</v>
      </c>
      <c r="E634" s="7">
        <v>253</v>
      </c>
      <c r="F634" s="8">
        <v>0</v>
      </c>
      <c r="G634" s="9" t="str">
        <f t="shared" si="43"/>
        <v/>
      </c>
      <c r="H634" s="7">
        <v>0</v>
      </c>
      <c r="I634" s="7">
        <v>0</v>
      </c>
      <c r="J634" s="7">
        <v>0</v>
      </c>
      <c r="K634" s="7">
        <f t="shared" si="47"/>
        <v>0</v>
      </c>
      <c r="L634" s="7">
        <v>347</v>
      </c>
      <c r="M634" s="7">
        <f t="shared" si="44"/>
        <v>0</v>
      </c>
      <c r="N634" s="7">
        <f t="shared" si="45"/>
        <v>0</v>
      </c>
      <c r="O634" s="10" t="str">
        <f t="shared" si="46"/>
        <v/>
      </c>
    </row>
    <row r="635" spans="1:15">
      <c r="A635" s="7" t="s">
        <v>1408</v>
      </c>
      <c r="B635" s="7"/>
      <c r="C635" s="7" t="s">
        <v>1409</v>
      </c>
      <c r="D635" s="7" t="s">
        <v>1410</v>
      </c>
      <c r="E635" s="7">
        <v>5127</v>
      </c>
      <c r="F635" s="8">
        <v>0</v>
      </c>
      <c r="G635" s="9" t="str">
        <f t="shared" si="43"/>
        <v/>
      </c>
      <c r="H635" s="7">
        <v>0</v>
      </c>
      <c r="I635" s="7">
        <v>0</v>
      </c>
      <c r="J635" s="7">
        <v>0</v>
      </c>
      <c r="K635" s="7">
        <f t="shared" si="47"/>
        <v>0</v>
      </c>
      <c r="L635" s="7">
        <v>250</v>
      </c>
      <c r="M635" s="7">
        <f t="shared" si="44"/>
        <v>0</v>
      </c>
      <c r="N635" s="7">
        <f t="shared" si="45"/>
        <v>0</v>
      </c>
      <c r="O635" s="10" t="str">
        <f t="shared" si="46"/>
        <v/>
      </c>
    </row>
    <row r="636" spans="1:15">
      <c r="A636" s="7" t="s">
        <v>1411</v>
      </c>
      <c r="B636" s="7"/>
      <c r="C636" s="7" t="s">
        <v>1412</v>
      </c>
      <c r="D636" s="7" t="s">
        <v>626</v>
      </c>
      <c r="E636" s="7">
        <v>440</v>
      </c>
      <c r="F636" s="8">
        <v>0</v>
      </c>
      <c r="G636" s="9" t="str">
        <f t="shared" si="43"/>
        <v/>
      </c>
      <c r="H636" s="7">
        <v>0</v>
      </c>
      <c r="I636" s="7">
        <v>0</v>
      </c>
      <c r="J636" s="7">
        <v>0</v>
      </c>
      <c r="K636" s="7">
        <f t="shared" si="47"/>
        <v>0</v>
      </c>
      <c r="L636" s="7">
        <v>348</v>
      </c>
      <c r="M636" s="7">
        <f t="shared" si="44"/>
        <v>0</v>
      </c>
      <c r="N636" s="7">
        <f t="shared" si="45"/>
        <v>0</v>
      </c>
      <c r="O636" s="10" t="str">
        <f t="shared" si="46"/>
        <v/>
      </c>
    </row>
    <row r="637" spans="1:15">
      <c r="A637" s="7" t="s">
        <v>1413</v>
      </c>
      <c r="B637" s="7"/>
      <c r="C637" s="7" t="s">
        <v>1414</v>
      </c>
      <c r="D637" s="7" t="s">
        <v>626</v>
      </c>
      <c r="E637" s="7">
        <v>504</v>
      </c>
      <c r="F637" s="8">
        <v>0</v>
      </c>
      <c r="G637" s="9" t="str">
        <f t="shared" si="43"/>
        <v/>
      </c>
      <c r="H637" s="7">
        <v>0</v>
      </c>
      <c r="I637" s="7">
        <v>0</v>
      </c>
      <c r="J637" s="7">
        <v>0</v>
      </c>
      <c r="K637" s="7">
        <f t="shared" si="47"/>
        <v>0</v>
      </c>
      <c r="L637" s="7">
        <v>348</v>
      </c>
      <c r="M637" s="7">
        <f t="shared" si="44"/>
        <v>0</v>
      </c>
      <c r="N637" s="7">
        <f t="shared" si="45"/>
        <v>0</v>
      </c>
      <c r="O637" s="10" t="str">
        <f t="shared" si="46"/>
        <v/>
      </c>
    </row>
    <row r="638" spans="1:15">
      <c r="A638" s="7" t="s">
        <v>1415</v>
      </c>
      <c r="B638" s="7"/>
      <c r="C638" s="7" t="s">
        <v>1416</v>
      </c>
      <c r="D638" s="7" t="s">
        <v>1417</v>
      </c>
      <c r="E638" s="7">
        <v>3065</v>
      </c>
      <c r="F638" s="8">
        <v>0</v>
      </c>
      <c r="G638" s="9" t="str">
        <f t="shared" si="43"/>
        <v/>
      </c>
      <c r="H638" s="7">
        <v>0</v>
      </c>
      <c r="I638" s="7">
        <v>0</v>
      </c>
      <c r="J638" s="7">
        <v>0</v>
      </c>
      <c r="K638" s="7">
        <f t="shared" si="47"/>
        <v>0</v>
      </c>
      <c r="L638" s="11"/>
      <c r="M638" s="7">
        <f t="shared" si="44"/>
        <v>0</v>
      </c>
      <c r="N638" s="7">
        <f t="shared" si="45"/>
        <v>0</v>
      </c>
      <c r="O638" s="10" t="str">
        <f t="shared" si="46"/>
        <v/>
      </c>
    </row>
    <row r="639" spans="1:15">
      <c r="A639" s="7" t="s">
        <v>1418</v>
      </c>
      <c r="B639" s="7"/>
      <c r="C639" s="7" t="s">
        <v>1419</v>
      </c>
      <c r="D639" s="7" t="s">
        <v>1417</v>
      </c>
      <c r="E639" s="7">
        <v>2861</v>
      </c>
      <c r="F639" s="8">
        <v>0</v>
      </c>
      <c r="G639" s="9" t="str">
        <f t="shared" si="43"/>
        <v/>
      </c>
      <c r="H639" s="7">
        <v>0</v>
      </c>
      <c r="I639" s="7">
        <v>0</v>
      </c>
      <c r="J639" s="7">
        <v>0</v>
      </c>
      <c r="K639" s="7">
        <f t="shared" si="47"/>
        <v>0</v>
      </c>
      <c r="L639" s="11"/>
      <c r="M639" s="7">
        <f t="shared" si="44"/>
        <v>0</v>
      </c>
      <c r="N639" s="7">
        <f t="shared" si="45"/>
        <v>0</v>
      </c>
      <c r="O639" s="10" t="str">
        <f t="shared" si="46"/>
        <v/>
      </c>
    </row>
    <row r="640" spans="1:15">
      <c r="A640" s="7" t="s">
        <v>1420</v>
      </c>
      <c r="B640" s="7"/>
      <c r="C640" s="7" t="s">
        <v>1421</v>
      </c>
      <c r="D640" s="7" t="s">
        <v>1421</v>
      </c>
      <c r="E640" s="7">
        <v>9</v>
      </c>
      <c r="F640" s="8">
        <v>0</v>
      </c>
      <c r="G640" s="9" t="str">
        <f t="shared" si="43"/>
        <v/>
      </c>
      <c r="H640" s="7">
        <v>0</v>
      </c>
      <c r="I640" s="7">
        <v>0</v>
      </c>
      <c r="J640" s="7">
        <v>0</v>
      </c>
      <c r="K640" s="7">
        <f t="shared" si="47"/>
        <v>0</v>
      </c>
      <c r="L640" s="7">
        <v>1176</v>
      </c>
      <c r="M640" s="7">
        <f t="shared" si="44"/>
        <v>0</v>
      </c>
      <c r="N640" s="7">
        <f t="shared" si="45"/>
        <v>0</v>
      </c>
      <c r="O640" s="10" t="str">
        <f t="shared" si="46"/>
        <v/>
      </c>
    </row>
    <row r="641" spans="1:15">
      <c r="A641" s="7" t="s">
        <v>1422</v>
      </c>
      <c r="B641" s="7"/>
      <c r="C641" s="7" t="s">
        <v>324</v>
      </c>
      <c r="D641" s="7" t="s">
        <v>324</v>
      </c>
      <c r="E641" s="7">
        <v>5</v>
      </c>
      <c r="F641" s="8">
        <v>0</v>
      </c>
      <c r="G641" s="9" t="str">
        <f t="shared" si="43"/>
        <v/>
      </c>
      <c r="H641" s="7">
        <v>0</v>
      </c>
      <c r="I641" s="7">
        <v>0</v>
      </c>
      <c r="J641" s="7">
        <v>0</v>
      </c>
      <c r="K641" s="7">
        <f t="shared" si="47"/>
        <v>0</v>
      </c>
      <c r="L641" s="11"/>
      <c r="M641" s="7">
        <f t="shared" si="44"/>
        <v>0</v>
      </c>
      <c r="N641" s="7">
        <f t="shared" si="45"/>
        <v>0</v>
      </c>
      <c r="O641" s="10" t="str">
        <f t="shared" si="46"/>
        <v/>
      </c>
    </row>
    <row r="642" spans="1:15">
      <c r="A642" s="7" t="s">
        <v>1423</v>
      </c>
      <c r="B642" s="7"/>
      <c r="C642" s="7" t="s">
        <v>1424</v>
      </c>
      <c r="D642" s="7" t="s">
        <v>1424</v>
      </c>
      <c r="E642" s="7">
        <v>41</v>
      </c>
      <c r="F642" s="8">
        <v>0</v>
      </c>
      <c r="G642" s="9" t="str">
        <f t="shared" si="43"/>
        <v/>
      </c>
      <c r="H642" s="7">
        <v>0</v>
      </c>
      <c r="I642" s="7">
        <v>0</v>
      </c>
      <c r="J642" s="7">
        <v>0</v>
      </c>
      <c r="K642" s="7">
        <f t="shared" si="47"/>
        <v>0</v>
      </c>
      <c r="L642" s="7">
        <v>438</v>
      </c>
      <c r="M642" s="7">
        <f t="shared" si="44"/>
        <v>0</v>
      </c>
      <c r="N642" s="7">
        <f t="shared" si="45"/>
        <v>0</v>
      </c>
      <c r="O642" s="10" t="str">
        <f t="shared" si="46"/>
        <v/>
      </c>
    </row>
    <row r="643" spans="1:15">
      <c r="A643" s="7" t="s">
        <v>1425</v>
      </c>
      <c r="B643" s="7"/>
      <c r="C643" s="7" t="s">
        <v>1426</v>
      </c>
      <c r="D643" s="7" t="s">
        <v>1426</v>
      </c>
      <c r="E643" s="7">
        <v>323</v>
      </c>
      <c r="F643" s="8">
        <v>0</v>
      </c>
      <c r="G643" s="9" t="str">
        <f t="shared" si="43"/>
        <v/>
      </c>
      <c r="H643" s="7">
        <v>0</v>
      </c>
      <c r="I643" s="7">
        <v>0</v>
      </c>
      <c r="J643" s="7">
        <v>0</v>
      </c>
      <c r="K643" s="7">
        <f t="shared" si="47"/>
        <v>0</v>
      </c>
      <c r="L643" s="7">
        <v>470</v>
      </c>
      <c r="M643" s="7">
        <f t="shared" si="44"/>
        <v>0</v>
      </c>
      <c r="N643" s="7">
        <f t="shared" si="45"/>
        <v>0</v>
      </c>
      <c r="O643" s="10" t="str">
        <f t="shared" si="46"/>
        <v/>
      </c>
    </row>
    <row r="644" spans="1:15">
      <c r="A644" s="7" t="s">
        <v>1427</v>
      </c>
      <c r="B644" s="7"/>
      <c r="C644" s="7" t="s">
        <v>1015</v>
      </c>
      <c r="D644" s="7" t="s">
        <v>1015</v>
      </c>
      <c r="E644" s="7">
        <v>2</v>
      </c>
      <c r="F644" s="8">
        <v>0</v>
      </c>
      <c r="G644" s="9" t="str">
        <f t="shared" si="43"/>
        <v/>
      </c>
      <c r="H644" s="7">
        <v>0</v>
      </c>
      <c r="I644" s="7">
        <v>0</v>
      </c>
      <c r="J644" s="7">
        <v>0</v>
      </c>
      <c r="K644" s="7">
        <f t="shared" si="47"/>
        <v>0</v>
      </c>
      <c r="L644" s="11"/>
      <c r="M644" s="7">
        <f t="shared" si="44"/>
        <v>0</v>
      </c>
      <c r="N644" s="7">
        <f t="shared" si="45"/>
        <v>0</v>
      </c>
      <c r="O644" s="10" t="str">
        <f t="shared" si="46"/>
        <v/>
      </c>
    </row>
    <row r="645" spans="1:15">
      <c r="A645" s="7" t="s">
        <v>1428</v>
      </c>
      <c r="B645" s="7"/>
      <c r="C645" s="7" t="s">
        <v>1429</v>
      </c>
      <c r="D645" s="7" t="s">
        <v>243</v>
      </c>
      <c r="E645" s="7">
        <v>7</v>
      </c>
      <c r="F645" s="8">
        <v>0</v>
      </c>
      <c r="G645" s="9" t="str">
        <f t="shared" si="43"/>
        <v/>
      </c>
      <c r="H645" s="7">
        <v>0</v>
      </c>
      <c r="I645" s="7">
        <v>0</v>
      </c>
      <c r="J645" s="7">
        <v>0</v>
      </c>
      <c r="K645" s="7">
        <f t="shared" si="47"/>
        <v>0</v>
      </c>
      <c r="L645" s="7">
        <v>2454</v>
      </c>
      <c r="M645" s="7">
        <f t="shared" si="44"/>
        <v>0</v>
      </c>
      <c r="N645" s="7">
        <f t="shared" si="45"/>
        <v>0</v>
      </c>
      <c r="O645" s="10" t="str">
        <f t="shared" si="46"/>
        <v/>
      </c>
    </row>
    <row r="646" spans="1:15">
      <c r="A646" s="7" t="s">
        <v>1430</v>
      </c>
      <c r="B646" s="7"/>
      <c r="C646" s="7" t="s">
        <v>194</v>
      </c>
      <c r="D646" s="7" t="s">
        <v>194</v>
      </c>
      <c r="E646" s="7">
        <v>320</v>
      </c>
      <c r="F646" s="8">
        <v>0</v>
      </c>
      <c r="G646" s="9" t="str">
        <f t="shared" si="43"/>
        <v/>
      </c>
      <c r="H646" s="7">
        <v>0</v>
      </c>
      <c r="I646" s="7">
        <v>0</v>
      </c>
      <c r="J646" s="7">
        <v>0</v>
      </c>
      <c r="K646" s="7">
        <f t="shared" si="47"/>
        <v>0</v>
      </c>
      <c r="L646" s="11"/>
      <c r="M646" s="7">
        <f t="shared" si="44"/>
        <v>0</v>
      </c>
      <c r="N646" s="7">
        <f t="shared" si="45"/>
        <v>0</v>
      </c>
      <c r="O646" s="10" t="str">
        <f t="shared" si="46"/>
        <v/>
      </c>
    </row>
    <row r="647" spans="1:15">
      <c r="A647" s="7" t="s">
        <v>1431</v>
      </c>
      <c r="B647" s="7"/>
      <c r="C647" s="7" t="s">
        <v>1432</v>
      </c>
      <c r="D647" s="7" t="s">
        <v>1432</v>
      </c>
      <c r="E647" s="7">
        <v>12</v>
      </c>
      <c r="F647" s="8">
        <v>0</v>
      </c>
      <c r="G647" s="9" t="str">
        <f t="shared" si="43"/>
        <v/>
      </c>
      <c r="H647" s="7">
        <v>0</v>
      </c>
      <c r="I647" s="7">
        <v>0</v>
      </c>
      <c r="J647" s="7">
        <v>0</v>
      </c>
      <c r="K647" s="7">
        <f t="shared" si="47"/>
        <v>0</v>
      </c>
      <c r="L647" s="7">
        <v>1900</v>
      </c>
      <c r="M647" s="7">
        <f t="shared" si="44"/>
        <v>0</v>
      </c>
      <c r="N647" s="7">
        <f t="shared" si="45"/>
        <v>0</v>
      </c>
      <c r="O647" s="10" t="str">
        <f t="shared" si="46"/>
        <v/>
      </c>
    </row>
    <row r="648" spans="1:15">
      <c r="A648" s="7" t="s">
        <v>1433</v>
      </c>
      <c r="B648" s="7"/>
      <c r="C648" s="7" t="s">
        <v>907</v>
      </c>
      <c r="D648" s="7" t="s">
        <v>907</v>
      </c>
      <c r="E648" s="7">
        <v>1</v>
      </c>
      <c r="F648" s="8">
        <v>0</v>
      </c>
      <c r="G648" s="9" t="str">
        <f t="shared" ref="G648:G711" si="48">IF(H648=0,"",I648/H648)</f>
        <v/>
      </c>
      <c r="H648" s="7">
        <v>0</v>
      </c>
      <c r="I648" s="7">
        <v>0</v>
      </c>
      <c r="J648" s="7">
        <v>0</v>
      </c>
      <c r="K648" s="7">
        <f t="shared" si="47"/>
        <v>0</v>
      </c>
      <c r="L648" s="11"/>
      <c r="M648" s="7">
        <f t="shared" ref="M648:M711" si="49">SUM(H648*L648)</f>
        <v>0</v>
      </c>
      <c r="N648" s="7">
        <f t="shared" ref="N648:N711" si="50">SUM(I648-K648-M648)</f>
        <v>0</v>
      </c>
      <c r="O648" s="10" t="str">
        <f t="shared" ref="O648:O711" si="51">IF(I648=0,"",N648/I648)</f>
        <v/>
      </c>
    </row>
    <row r="649" spans="1:15">
      <c r="A649" s="7" t="s">
        <v>1434</v>
      </c>
      <c r="B649" s="7"/>
      <c r="C649" s="7" t="s">
        <v>1092</v>
      </c>
      <c r="D649" s="7" t="s">
        <v>1092</v>
      </c>
      <c r="E649" s="7">
        <v>1</v>
      </c>
      <c r="F649" s="8">
        <v>0</v>
      </c>
      <c r="G649" s="9" t="str">
        <f t="shared" si="48"/>
        <v/>
      </c>
      <c r="H649" s="7">
        <v>0</v>
      </c>
      <c r="I649" s="7">
        <v>0</v>
      </c>
      <c r="J649" s="7">
        <v>0</v>
      </c>
      <c r="K649" s="7">
        <f t="shared" si="47"/>
        <v>0</v>
      </c>
      <c r="L649" s="11"/>
      <c r="M649" s="7">
        <f t="shared" si="49"/>
        <v>0</v>
      </c>
      <c r="N649" s="7">
        <f t="shared" si="50"/>
        <v>0</v>
      </c>
      <c r="O649" s="10" t="str">
        <f t="shared" si="51"/>
        <v/>
      </c>
    </row>
    <row r="650" spans="1:15">
      <c r="A650" s="7" t="s">
        <v>1435</v>
      </c>
      <c r="B650" s="7"/>
      <c r="C650" s="7" t="s">
        <v>1226</v>
      </c>
      <c r="D650" s="7" t="s">
        <v>1226</v>
      </c>
      <c r="E650" s="7">
        <v>1</v>
      </c>
      <c r="F650" s="8">
        <v>0</v>
      </c>
      <c r="G650" s="9" t="str">
        <f t="shared" si="48"/>
        <v/>
      </c>
      <c r="H650" s="7">
        <v>0</v>
      </c>
      <c r="I650" s="7">
        <v>0</v>
      </c>
      <c r="J650" s="7">
        <v>0</v>
      </c>
      <c r="K650" s="7">
        <f t="shared" si="47"/>
        <v>0</v>
      </c>
      <c r="L650" s="11"/>
      <c r="M650" s="7">
        <f t="shared" si="49"/>
        <v>0</v>
      </c>
      <c r="N650" s="7">
        <f t="shared" si="50"/>
        <v>0</v>
      </c>
      <c r="O650" s="10" t="str">
        <f t="shared" si="51"/>
        <v/>
      </c>
    </row>
    <row r="651" spans="1:15">
      <c r="A651" s="7" t="s">
        <v>1436</v>
      </c>
      <c r="B651" s="7"/>
      <c r="C651" s="7" t="s">
        <v>1160</v>
      </c>
      <c r="D651" s="7" t="s">
        <v>1160</v>
      </c>
      <c r="E651" s="7">
        <v>6</v>
      </c>
      <c r="F651" s="8">
        <v>0</v>
      </c>
      <c r="G651" s="9" t="str">
        <f t="shared" si="48"/>
        <v/>
      </c>
      <c r="H651" s="7">
        <v>0</v>
      </c>
      <c r="I651" s="7">
        <v>0</v>
      </c>
      <c r="J651" s="7">
        <v>0</v>
      </c>
      <c r="K651" s="7">
        <f t="shared" si="47"/>
        <v>0</v>
      </c>
      <c r="L651" s="11"/>
      <c r="M651" s="7">
        <f t="shared" si="49"/>
        <v>0</v>
      </c>
      <c r="N651" s="7">
        <f t="shared" si="50"/>
        <v>0</v>
      </c>
      <c r="O651" s="10" t="str">
        <f t="shared" si="51"/>
        <v/>
      </c>
    </row>
    <row r="652" spans="1:15">
      <c r="A652" s="7" t="s">
        <v>1437</v>
      </c>
      <c r="B652" s="7"/>
      <c r="C652" s="7" t="s">
        <v>1438</v>
      </c>
      <c r="D652" s="7" t="s">
        <v>1320</v>
      </c>
      <c r="E652" s="7">
        <v>71</v>
      </c>
      <c r="F652" s="8">
        <v>0</v>
      </c>
      <c r="G652" s="9" t="str">
        <f t="shared" si="48"/>
        <v/>
      </c>
      <c r="H652" s="7">
        <v>0</v>
      </c>
      <c r="I652" s="7">
        <v>0</v>
      </c>
      <c r="J652" s="7">
        <v>0</v>
      </c>
      <c r="K652" s="7">
        <f t="shared" si="47"/>
        <v>0</v>
      </c>
      <c r="L652" s="11"/>
      <c r="M652" s="7">
        <f t="shared" si="49"/>
        <v>0</v>
      </c>
      <c r="N652" s="7">
        <f t="shared" si="50"/>
        <v>0</v>
      </c>
      <c r="O652" s="10" t="str">
        <f t="shared" si="51"/>
        <v/>
      </c>
    </row>
    <row r="653" spans="1:15">
      <c r="A653" s="7" t="s">
        <v>1439</v>
      </c>
      <c r="B653" s="7"/>
      <c r="C653" s="7" t="s">
        <v>1440</v>
      </c>
      <c r="D653" s="7" t="s">
        <v>1440</v>
      </c>
      <c r="E653" s="7">
        <v>139</v>
      </c>
      <c r="F653" s="8">
        <v>0</v>
      </c>
      <c r="G653" s="9" t="str">
        <f t="shared" si="48"/>
        <v/>
      </c>
      <c r="H653" s="7">
        <v>0</v>
      </c>
      <c r="I653" s="7">
        <v>0</v>
      </c>
      <c r="J653" s="7">
        <v>0</v>
      </c>
      <c r="K653" s="7">
        <f t="shared" si="47"/>
        <v>0</v>
      </c>
      <c r="L653" s="7">
        <v>438</v>
      </c>
      <c r="M653" s="7">
        <f t="shared" si="49"/>
        <v>0</v>
      </c>
      <c r="N653" s="7">
        <f t="shared" si="50"/>
        <v>0</v>
      </c>
      <c r="O653" s="10" t="str">
        <f t="shared" si="51"/>
        <v/>
      </c>
    </row>
    <row r="654" spans="1:15">
      <c r="A654" s="7" t="s">
        <v>1441</v>
      </c>
      <c r="B654" s="7"/>
      <c r="C654" s="7" t="s">
        <v>1442</v>
      </c>
      <c r="D654" s="7" t="s">
        <v>1442</v>
      </c>
      <c r="E654" s="7">
        <v>10</v>
      </c>
      <c r="F654" s="8">
        <v>0</v>
      </c>
      <c r="G654" s="9" t="str">
        <f t="shared" si="48"/>
        <v/>
      </c>
      <c r="H654" s="7">
        <v>0</v>
      </c>
      <c r="I654" s="7">
        <v>0</v>
      </c>
      <c r="J654" s="7">
        <v>0</v>
      </c>
      <c r="K654" s="7">
        <f t="shared" si="47"/>
        <v>0</v>
      </c>
      <c r="L654" s="11"/>
      <c r="M654" s="7">
        <f t="shared" si="49"/>
        <v>0</v>
      </c>
      <c r="N654" s="7">
        <f t="shared" si="50"/>
        <v>0</v>
      </c>
      <c r="O654" s="10" t="str">
        <f t="shared" si="51"/>
        <v/>
      </c>
    </row>
    <row r="655" spans="1:15">
      <c r="A655" s="7" t="s">
        <v>1443</v>
      </c>
      <c r="B655" s="7"/>
      <c r="C655" s="7" t="s">
        <v>1444</v>
      </c>
      <c r="D655" s="7" t="s">
        <v>1444</v>
      </c>
      <c r="E655" s="7">
        <v>173</v>
      </c>
      <c r="F655" s="8">
        <v>0</v>
      </c>
      <c r="G655" s="9" t="str">
        <f t="shared" si="48"/>
        <v/>
      </c>
      <c r="H655" s="7">
        <v>0</v>
      </c>
      <c r="I655" s="7">
        <v>0</v>
      </c>
      <c r="J655" s="7">
        <v>0</v>
      </c>
      <c r="K655" s="7">
        <f t="shared" si="47"/>
        <v>0</v>
      </c>
      <c r="L655" s="7">
        <v>1452</v>
      </c>
      <c r="M655" s="7">
        <f t="shared" si="49"/>
        <v>0</v>
      </c>
      <c r="N655" s="7">
        <f t="shared" si="50"/>
        <v>0</v>
      </c>
      <c r="O655" s="10" t="str">
        <f t="shared" si="51"/>
        <v/>
      </c>
    </row>
    <row r="656" spans="1:15">
      <c r="A656" s="7" t="s">
        <v>1445</v>
      </c>
      <c r="B656" s="7"/>
      <c r="C656" s="7" t="s">
        <v>726</v>
      </c>
      <c r="D656" s="7" t="s">
        <v>726</v>
      </c>
      <c r="E656" s="7">
        <v>3</v>
      </c>
      <c r="F656" s="8">
        <v>0</v>
      </c>
      <c r="G656" s="9" t="str">
        <f t="shared" si="48"/>
        <v/>
      </c>
      <c r="H656" s="7">
        <v>0</v>
      </c>
      <c r="I656" s="7">
        <v>0</v>
      </c>
      <c r="J656" s="7">
        <v>0</v>
      </c>
      <c r="K656" s="7">
        <f t="shared" si="47"/>
        <v>0</v>
      </c>
      <c r="L656" s="11"/>
      <c r="M656" s="7">
        <f t="shared" si="49"/>
        <v>0</v>
      </c>
      <c r="N656" s="7">
        <f t="shared" si="50"/>
        <v>0</v>
      </c>
      <c r="O656" s="10" t="str">
        <f t="shared" si="51"/>
        <v/>
      </c>
    </row>
    <row r="657" spans="1:17">
      <c r="A657" s="7" t="s">
        <v>1370</v>
      </c>
      <c r="B657" s="7"/>
      <c r="C657" s="7" t="s">
        <v>1372</v>
      </c>
      <c r="D657" s="7" t="s">
        <v>1372</v>
      </c>
      <c r="E657" s="7">
        <v>9</v>
      </c>
      <c r="F657" s="8">
        <v>0</v>
      </c>
      <c r="G657" s="9" t="str">
        <f t="shared" si="48"/>
        <v/>
      </c>
      <c r="H657" s="7">
        <v>0</v>
      </c>
      <c r="I657" s="7">
        <v>0</v>
      </c>
      <c r="J657" s="7">
        <v>0</v>
      </c>
      <c r="K657" s="7">
        <f t="shared" si="47"/>
        <v>0</v>
      </c>
      <c r="L657" s="11"/>
      <c r="M657" s="7">
        <f t="shared" si="49"/>
        <v>0</v>
      </c>
      <c r="N657" s="7">
        <f t="shared" si="50"/>
        <v>0</v>
      </c>
      <c r="O657" s="10" t="str">
        <f t="shared" si="51"/>
        <v/>
      </c>
    </row>
    <row r="658" spans="1:17">
      <c r="A658" s="7" t="s">
        <v>1224</v>
      </c>
      <c r="B658" s="7"/>
      <c r="C658" s="7" t="s">
        <v>982</v>
      </c>
      <c r="D658" s="7" t="s">
        <v>982</v>
      </c>
      <c r="E658" s="7">
        <v>1</v>
      </c>
      <c r="F658" s="8">
        <v>0</v>
      </c>
      <c r="G658" s="9" t="str">
        <f t="shared" si="48"/>
        <v/>
      </c>
      <c r="H658" s="7">
        <v>0</v>
      </c>
      <c r="I658" s="7">
        <v>0</v>
      </c>
      <c r="J658" s="7">
        <v>0</v>
      </c>
      <c r="K658" s="7">
        <f t="shared" si="47"/>
        <v>0</v>
      </c>
      <c r="L658" s="11"/>
      <c r="M658" s="7">
        <f t="shared" si="49"/>
        <v>0</v>
      </c>
      <c r="N658" s="7">
        <f t="shared" si="50"/>
        <v>0</v>
      </c>
      <c r="O658" s="10" t="str">
        <f t="shared" si="51"/>
        <v/>
      </c>
    </row>
    <row r="659" spans="1:17">
      <c r="A659" s="7" t="s">
        <v>1446</v>
      </c>
      <c r="B659" s="7"/>
      <c r="C659" s="7" t="s">
        <v>1447</v>
      </c>
      <c r="D659" s="7" t="s">
        <v>1448</v>
      </c>
      <c r="E659" s="7">
        <v>1</v>
      </c>
      <c r="F659" s="8">
        <v>0</v>
      </c>
      <c r="G659" s="9" t="str">
        <f t="shared" si="48"/>
        <v/>
      </c>
      <c r="H659" s="7">
        <v>0</v>
      </c>
      <c r="I659" s="7">
        <v>0</v>
      </c>
      <c r="J659" s="7">
        <v>0</v>
      </c>
      <c r="K659" s="7">
        <f t="shared" si="47"/>
        <v>0</v>
      </c>
      <c r="L659" s="11"/>
      <c r="M659" s="7">
        <f t="shared" si="49"/>
        <v>0</v>
      </c>
      <c r="N659" s="7">
        <f t="shared" si="50"/>
        <v>0</v>
      </c>
      <c r="O659" s="10" t="str">
        <f t="shared" si="51"/>
        <v/>
      </c>
    </row>
    <row r="660" spans="1:17">
      <c r="A660" s="7" t="s">
        <v>1449</v>
      </c>
      <c r="B660" s="7"/>
      <c r="C660" s="7" t="s">
        <v>1450</v>
      </c>
      <c r="D660" s="7" t="s">
        <v>1450</v>
      </c>
      <c r="E660" s="7">
        <v>9</v>
      </c>
      <c r="F660" s="8">
        <v>0</v>
      </c>
      <c r="G660" s="9" t="str">
        <f t="shared" si="48"/>
        <v/>
      </c>
      <c r="H660" s="7">
        <v>0</v>
      </c>
      <c r="I660" s="7">
        <v>0</v>
      </c>
      <c r="J660" s="7">
        <v>0</v>
      </c>
      <c r="K660" s="7">
        <f t="shared" si="47"/>
        <v>0</v>
      </c>
      <c r="L660" s="11"/>
      <c r="M660" s="7">
        <f t="shared" si="49"/>
        <v>0</v>
      </c>
      <c r="N660" s="7">
        <f t="shared" si="50"/>
        <v>0</v>
      </c>
      <c r="O660" s="10" t="str">
        <f t="shared" si="51"/>
        <v/>
      </c>
    </row>
    <row r="661" spans="1:17">
      <c r="A661" s="7" t="s">
        <v>1451</v>
      </c>
      <c r="B661" s="7"/>
      <c r="C661" s="7" t="s">
        <v>1452</v>
      </c>
      <c r="D661" s="7" t="s">
        <v>1448</v>
      </c>
      <c r="E661" s="7">
        <v>1</v>
      </c>
      <c r="F661" s="8">
        <v>0</v>
      </c>
      <c r="G661" s="9" t="str">
        <f t="shared" si="48"/>
        <v/>
      </c>
      <c r="H661" s="7">
        <v>0</v>
      </c>
      <c r="I661" s="7">
        <v>0</v>
      </c>
      <c r="J661" s="7">
        <v>0</v>
      </c>
      <c r="K661" s="7">
        <f t="shared" si="47"/>
        <v>0</v>
      </c>
      <c r="L661" s="11"/>
      <c r="M661" s="7">
        <f t="shared" si="49"/>
        <v>0</v>
      </c>
      <c r="N661" s="7">
        <f t="shared" si="50"/>
        <v>0</v>
      </c>
      <c r="O661" s="10" t="str">
        <f t="shared" si="51"/>
        <v/>
      </c>
    </row>
    <row r="662" spans="1:17">
      <c r="A662" s="7" t="s">
        <v>1453</v>
      </c>
      <c r="B662" s="7"/>
      <c r="C662" s="7" t="s">
        <v>1454</v>
      </c>
      <c r="D662" s="7" t="s">
        <v>1454</v>
      </c>
      <c r="E662" s="7">
        <v>7</v>
      </c>
      <c r="F662" s="8">
        <v>0</v>
      </c>
      <c r="G662" s="9" t="str">
        <f t="shared" si="48"/>
        <v/>
      </c>
      <c r="H662" s="7">
        <v>0</v>
      </c>
      <c r="I662" s="7">
        <v>0</v>
      </c>
      <c r="J662" s="7">
        <v>0</v>
      </c>
      <c r="K662" s="7">
        <f t="shared" si="47"/>
        <v>0</v>
      </c>
      <c r="L662" s="11"/>
      <c r="M662" s="7">
        <f t="shared" si="49"/>
        <v>0</v>
      </c>
      <c r="N662" s="7">
        <f t="shared" si="50"/>
        <v>0</v>
      </c>
      <c r="O662" s="10" t="str">
        <f t="shared" si="51"/>
        <v/>
      </c>
    </row>
    <row r="663" spans="1:17">
      <c r="A663" s="7" t="s">
        <v>1455</v>
      </c>
      <c r="B663" s="7"/>
      <c r="C663" s="7" t="s">
        <v>1456</v>
      </c>
      <c r="D663" s="7" t="s">
        <v>1456</v>
      </c>
      <c r="E663" s="7">
        <v>25</v>
      </c>
      <c r="F663" s="8">
        <v>0</v>
      </c>
      <c r="G663" s="9" t="str">
        <f t="shared" si="48"/>
        <v/>
      </c>
      <c r="H663" s="7">
        <v>0</v>
      </c>
      <c r="I663" s="7">
        <v>0</v>
      </c>
      <c r="J663" s="7">
        <v>0</v>
      </c>
      <c r="K663" s="7">
        <f t="shared" ref="K663:K669" si="52">SUM(I663*0.15)</f>
        <v>0</v>
      </c>
      <c r="L663" s="11"/>
      <c r="M663" s="7">
        <f t="shared" si="49"/>
        <v>0</v>
      </c>
      <c r="N663" s="7">
        <f t="shared" si="50"/>
        <v>0</v>
      </c>
      <c r="O663" s="10" t="str">
        <f t="shared" si="51"/>
        <v/>
      </c>
    </row>
    <row r="664" spans="1:17">
      <c r="A664" s="7" t="s">
        <v>1457</v>
      </c>
      <c r="B664" s="7"/>
      <c r="C664" s="7" t="s">
        <v>1458</v>
      </c>
      <c r="D664" s="7" t="s">
        <v>1458</v>
      </c>
      <c r="E664" s="7">
        <v>5</v>
      </c>
      <c r="F664" s="8">
        <v>0</v>
      </c>
      <c r="G664" s="9" t="str">
        <f t="shared" si="48"/>
        <v/>
      </c>
      <c r="H664" s="7">
        <v>0</v>
      </c>
      <c r="I664" s="7">
        <v>0</v>
      </c>
      <c r="J664" s="7">
        <v>0</v>
      </c>
      <c r="K664" s="7">
        <f t="shared" si="52"/>
        <v>0</v>
      </c>
      <c r="L664" s="11"/>
      <c r="M664" s="7">
        <f t="shared" si="49"/>
        <v>0</v>
      </c>
      <c r="N664" s="7">
        <f t="shared" si="50"/>
        <v>0</v>
      </c>
      <c r="O664" s="10" t="str">
        <f t="shared" si="51"/>
        <v/>
      </c>
    </row>
    <row r="665" spans="1:17">
      <c r="A665" s="7" t="s">
        <v>1459</v>
      </c>
      <c r="B665" s="7"/>
      <c r="C665" s="7" t="s">
        <v>1460</v>
      </c>
      <c r="D665" s="7" t="s">
        <v>1460</v>
      </c>
      <c r="E665" s="7">
        <v>8</v>
      </c>
      <c r="F665" s="8">
        <v>0</v>
      </c>
      <c r="G665" s="9" t="str">
        <f t="shared" si="48"/>
        <v/>
      </c>
      <c r="H665" s="7">
        <v>0</v>
      </c>
      <c r="I665" s="7">
        <v>0</v>
      </c>
      <c r="J665" s="7">
        <v>0</v>
      </c>
      <c r="K665" s="7">
        <f t="shared" si="52"/>
        <v>0</v>
      </c>
      <c r="L665" s="11"/>
      <c r="M665" s="7">
        <f t="shared" si="49"/>
        <v>0</v>
      </c>
      <c r="N665" s="7">
        <f t="shared" si="50"/>
        <v>0</v>
      </c>
      <c r="O665" s="10" t="str">
        <f t="shared" si="51"/>
        <v/>
      </c>
    </row>
    <row r="666" spans="1:17">
      <c r="A666" s="7" t="s">
        <v>1461</v>
      </c>
      <c r="B666" s="7"/>
      <c r="C666" s="7" t="s">
        <v>1462</v>
      </c>
      <c r="D666" s="7" t="s">
        <v>1462</v>
      </c>
      <c r="E666" s="7">
        <v>4</v>
      </c>
      <c r="F666" s="8">
        <v>0</v>
      </c>
      <c r="G666" s="9" t="str">
        <f t="shared" si="48"/>
        <v/>
      </c>
      <c r="H666" s="7">
        <v>0</v>
      </c>
      <c r="I666" s="7">
        <v>0</v>
      </c>
      <c r="J666" s="7">
        <v>0</v>
      </c>
      <c r="K666" s="7">
        <f t="shared" si="52"/>
        <v>0</v>
      </c>
      <c r="L666" s="11"/>
      <c r="M666" s="7">
        <f t="shared" si="49"/>
        <v>0</v>
      </c>
      <c r="N666" s="7">
        <f t="shared" si="50"/>
        <v>0</v>
      </c>
      <c r="O666" s="10" t="str">
        <f t="shared" si="51"/>
        <v/>
      </c>
    </row>
    <row r="667" spans="1:17">
      <c r="A667" s="7" t="s">
        <v>1463</v>
      </c>
      <c r="B667" s="7"/>
      <c r="C667" s="7" t="s">
        <v>1464</v>
      </c>
      <c r="D667" s="7" t="s">
        <v>1464</v>
      </c>
      <c r="E667" s="7">
        <v>7</v>
      </c>
      <c r="F667" s="8">
        <v>0</v>
      </c>
      <c r="G667" s="9" t="str">
        <f t="shared" si="48"/>
        <v/>
      </c>
      <c r="H667" s="7">
        <v>0</v>
      </c>
      <c r="I667" s="7">
        <v>0</v>
      </c>
      <c r="J667" s="7">
        <v>0</v>
      </c>
      <c r="K667" s="7">
        <f t="shared" si="52"/>
        <v>0</v>
      </c>
      <c r="L667" s="11"/>
      <c r="M667" s="7">
        <f t="shared" si="49"/>
        <v>0</v>
      </c>
      <c r="N667" s="7">
        <f t="shared" si="50"/>
        <v>0</v>
      </c>
      <c r="O667" s="10" t="str">
        <f t="shared" si="51"/>
        <v/>
      </c>
    </row>
    <row r="668" spans="1:17">
      <c r="A668" s="7" t="s">
        <v>1465</v>
      </c>
      <c r="B668" s="7"/>
      <c r="C668" s="7" t="s">
        <v>1077</v>
      </c>
      <c r="D668" s="7" t="s">
        <v>1077</v>
      </c>
      <c r="E668" s="7">
        <v>1</v>
      </c>
      <c r="F668" s="8">
        <v>0</v>
      </c>
      <c r="G668" s="9" t="str">
        <f t="shared" si="48"/>
        <v/>
      </c>
      <c r="H668" s="7">
        <v>0</v>
      </c>
      <c r="I668" s="7">
        <v>0</v>
      </c>
      <c r="J668" s="7">
        <v>0</v>
      </c>
      <c r="K668" s="7">
        <f t="shared" si="52"/>
        <v>0</v>
      </c>
      <c r="L668" s="11"/>
      <c r="M668" s="7">
        <f t="shared" si="49"/>
        <v>0</v>
      </c>
      <c r="N668" s="7">
        <f t="shared" si="50"/>
        <v>0</v>
      </c>
      <c r="O668" s="10" t="str">
        <f t="shared" si="51"/>
        <v/>
      </c>
    </row>
    <row r="669" spans="1:17">
      <c r="A669" s="7" t="s">
        <v>1466</v>
      </c>
      <c r="B669" s="7"/>
      <c r="C669" s="7" t="s">
        <v>1467</v>
      </c>
      <c r="D669" s="7" t="s">
        <v>1467</v>
      </c>
      <c r="E669" s="7">
        <v>305</v>
      </c>
      <c r="F669" s="8">
        <v>0</v>
      </c>
      <c r="G669" s="9" t="str">
        <f t="shared" si="48"/>
        <v/>
      </c>
      <c r="H669" s="7">
        <v>0</v>
      </c>
      <c r="I669" s="7">
        <v>0</v>
      </c>
      <c r="J669" s="7">
        <v>0</v>
      </c>
      <c r="K669" s="7">
        <f t="shared" si="52"/>
        <v>0</v>
      </c>
      <c r="L669" s="11"/>
      <c r="M669" s="7">
        <f t="shared" si="49"/>
        <v>0</v>
      </c>
      <c r="N669" s="7">
        <f t="shared" si="50"/>
        <v>0</v>
      </c>
      <c r="O669" s="10" t="str">
        <f t="shared" si="51"/>
        <v/>
      </c>
    </row>
    <row r="670" spans="1:17">
      <c r="E670" s="7">
        <f>SUM(E8:E669)</f>
        <v>1586768</v>
      </c>
      <c r="H670" s="7">
        <f>SUM(H8:H669)</f>
        <v>2445</v>
      </c>
      <c r="I670" s="7">
        <f>SUM(I8:I669)</f>
        <v>5610675</v>
      </c>
      <c r="J670" s="7">
        <f>SUM(J8:J669)</f>
        <v>2161</v>
      </c>
      <c r="K670" s="7">
        <f>SUM(K8:K669)</f>
        <v>779036.35</v>
      </c>
      <c r="M670" s="7">
        <f>SUM(M8:M669)</f>
        <v>3181663</v>
      </c>
      <c r="N670" s="7">
        <f>SUM(N8:N669)</f>
        <v>1649975.65</v>
      </c>
      <c r="O670" s="10">
        <f t="shared" si="51"/>
        <v>0.29407792288806606</v>
      </c>
    </row>
    <row r="672" spans="1:17">
      <c r="M672" s="12" t="s">
        <v>1468</v>
      </c>
      <c r="N672" s="7">
        <v>111379</v>
      </c>
      <c r="O672" s="8">
        <f>SUM(N672/I670)</f>
        <v>1.9851265667678131E-2</v>
      </c>
      <c r="Q672" t="s">
        <v>1469</v>
      </c>
    </row>
    <row r="673" spans="13:18">
      <c r="M673" s="12" t="s">
        <v>1470</v>
      </c>
      <c r="N673" s="7">
        <v>182</v>
      </c>
      <c r="O673" s="8">
        <f>SUM(N673/I670)</f>
        <v>3.2438164748448272E-5</v>
      </c>
      <c r="Q673" t="s">
        <v>1471</v>
      </c>
      <c r="R673" s="14">
        <v>759756</v>
      </c>
    </row>
    <row r="674" spans="13:18">
      <c r="M674" s="12" t="s">
        <v>1472</v>
      </c>
      <c r="N674" s="7">
        <v>3654</v>
      </c>
      <c r="O674" s="8">
        <f>SUM(N674/I670)</f>
        <v>6.5125853841115371E-4</v>
      </c>
      <c r="Q674" t="s">
        <v>1473</v>
      </c>
      <c r="R674" s="14">
        <f>I670-R673-M670</f>
        <v>1669256</v>
      </c>
    </row>
    <row r="675" spans="13:18">
      <c r="M675" s="12" t="s">
        <v>1474</v>
      </c>
      <c r="N675" s="7">
        <f>SUM(N672:N674)</f>
        <v>115215</v>
      </c>
      <c r="O675" s="8">
        <f>SUM(N675/I670)</f>
        <v>2.0534962370837732E-2</v>
      </c>
      <c r="Q675" t="s">
        <v>1475</v>
      </c>
      <c r="R675" s="14">
        <f>R674-N675-N679</f>
        <v>903493</v>
      </c>
    </row>
    <row r="676" spans="13:18">
      <c r="Q676" t="s">
        <v>1476</v>
      </c>
      <c r="R676" s="15">
        <f>IF(I670=0,"",R675/I670)</f>
        <v>0.16103107023664712</v>
      </c>
    </row>
    <row r="677" spans="13:18">
      <c r="M677" s="12" t="s">
        <v>1477</v>
      </c>
      <c r="N677" s="7">
        <v>650548</v>
      </c>
      <c r="O677" s="8">
        <f>SUM(N677/I670)</f>
        <v>0.11594825934490947</v>
      </c>
      <c r="Q677" t="s">
        <v>1478</v>
      </c>
    </row>
    <row r="678" spans="13:18">
      <c r="M678" s="12" t="s">
        <v>1479</v>
      </c>
      <c r="N678" s="7">
        <v>0</v>
      </c>
      <c r="O678" s="8">
        <f>SUM(N678/I670)</f>
        <v>0</v>
      </c>
      <c r="P678" t="s">
        <v>1480</v>
      </c>
    </row>
    <row r="679" spans="13:18">
      <c r="M679" s="12" t="s">
        <v>1474</v>
      </c>
      <c r="N679" s="7">
        <f>SUM(N677:N678)</f>
        <v>650548</v>
      </c>
      <c r="O679" s="8">
        <f>SUM(O677:O678)</f>
        <v>0.11594825934490947</v>
      </c>
    </row>
    <row r="681" spans="13:18">
      <c r="M681" s="12" t="s">
        <v>1481</v>
      </c>
      <c r="N681" s="7">
        <f>IF(COUNTBLANK(N672:N674)+COUNTBLANK(N677:N678)&gt;0,"未確定",N670-N675-N679)</f>
        <v>884212.64999999991</v>
      </c>
    </row>
    <row r="682" spans="13:18">
      <c r="M682" s="12" t="s">
        <v>1482</v>
      </c>
      <c r="N682" s="10">
        <f>IF(ISTEXT(N681),"未確定",IF(I670=0,"",N681/I670))</f>
        <v>0.15759470117231883</v>
      </c>
    </row>
  </sheetData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7月</vt:lpstr>
      <vt:lpstr>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英樹 海老名</cp:lastModifiedBy>
  <dcterms:created xsi:type="dcterms:W3CDTF">2026-08-03T09:16:01Z</dcterms:created>
  <dcterms:modified xsi:type="dcterms:W3CDTF">2026-09-20T14:07:14Z</dcterms:modified>
</cp:coreProperties>
</file>