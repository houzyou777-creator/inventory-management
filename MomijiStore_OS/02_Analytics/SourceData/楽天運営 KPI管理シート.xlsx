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de0726/Desktop/Claude Code/MomijiStore_OS/02_Analytics/SourceData/"/>
    </mc:Choice>
  </mc:AlternateContent>
  <xr:revisionPtr revIDLastSave="0" documentId="11_4429A6801A8C8B1432EC740A84AB423EC7224F48" xr6:coauthVersionLast="47" xr6:coauthVersionMax="47" xr10:uidLastSave="{00000000-0000-0000-0000-000000000000}"/>
  <bookViews>
    <workbookView xWindow="80" yWindow="600" windowWidth="27740" windowHeight="21000" activeTab="4" xr2:uid="{00000000-000D-0000-FFFF-FFFF00000000}"/>
  </bookViews>
  <sheets>
    <sheet name="4月" sheetId="1" r:id="rId1"/>
    <sheet name="5月" sheetId="2" r:id="rId2"/>
    <sheet name="6月" sheetId="3" r:id="rId3"/>
    <sheet name="7月" sheetId="4" r:id="rId4"/>
    <sheet name="8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1" i="4" l="1"/>
  <c r="N307" i="4"/>
  <c r="J301" i="4"/>
  <c r="I301" i="4"/>
  <c r="H301" i="4"/>
  <c r="O300" i="4"/>
  <c r="N300" i="4"/>
  <c r="M300" i="4"/>
  <c r="K300" i="4"/>
  <c r="M299" i="4"/>
  <c r="K299" i="4"/>
  <c r="N299" i="4" s="1"/>
  <c r="O299" i="4" s="1"/>
  <c r="M298" i="4"/>
  <c r="K298" i="4"/>
  <c r="N298" i="4" s="1"/>
  <c r="O298" i="4" s="1"/>
  <c r="M297" i="4"/>
  <c r="K297" i="4"/>
  <c r="N297" i="4" s="1"/>
  <c r="O297" i="4" s="1"/>
  <c r="M296" i="4"/>
  <c r="K296" i="4"/>
  <c r="N296" i="4" s="1"/>
  <c r="O296" i="4" s="1"/>
  <c r="N295" i="4"/>
  <c r="O295" i="4" s="1"/>
  <c r="M295" i="4"/>
  <c r="K295" i="4"/>
  <c r="N294" i="4"/>
  <c r="O294" i="4" s="1"/>
  <c r="M294" i="4"/>
  <c r="K294" i="4"/>
  <c r="M293" i="4"/>
  <c r="K293" i="4"/>
  <c r="N293" i="4" s="1"/>
  <c r="O293" i="4" s="1"/>
  <c r="M292" i="4"/>
  <c r="K292" i="4"/>
  <c r="N292" i="4" s="1"/>
  <c r="O292" i="4" s="1"/>
  <c r="N291" i="4"/>
  <c r="O291" i="4" s="1"/>
  <c r="M291" i="4"/>
  <c r="K291" i="4"/>
  <c r="N290" i="4"/>
  <c r="O290" i="4" s="1"/>
  <c r="M290" i="4"/>
  <c r="K290" i="4"/>
  <c r="N289" i="4"/>
  <c r="O289" i="4" s="1"/>
  <c r="M289" i="4"/>
  <c r="K289" i="4"/>
  <c r="M288" i="4"/>
  <c r="K288" i="4"/>
  <c r="N288" i="4" s="1"/>
  <c r="O288" i="4" s="1"/>
  <c r="M287" i="4"/>
  <c r="K287" i="4"/>
  <c r="N287" i="4" s="1"/>
  <c r="O287" i="4" s="1"/>
  <c r="M286" i="4"/>
  <c r="N286" i="4" s="1"/>
  <c r="O286" i="4" s="1"/>
  <c r="K286" i="4"/>
  <c r="O285" i="4"/>
  <c r="N285" i="4"/>
  <c r="M285" i="4"/>
  <c r="K285" i="4"/>
  <c r="M284" i="4"/>
  <c r="K284" i="4"/>
  <c r="M283" i="4"/>
  <c r="N283" i="4" s="1"/>
  <c r="O283" i="4" s="1"/>
  <c r="K283" i="4"/>
  <c r="M282" i="4"/>
  <c r="K282" i="4"/>
  <c r="N282" i="4" s="1"/>
  <c r="O282" i="4" s="1"/>
  <c r="M281" i="4"/>
  <c r="K281" i="4"/>
  <c r="N281" i="4" s="1"/>
  <c r="O281" i="4" s="1"/>
  <c r="O280" i="4"/>
  <c r="N280" i="4"/>
  <c r="M280" i="4"/>
  <c r="K280" i="4"/>
  <c r="M279" i="4"/>
  <c r="K279" i="4"/>
  <c r="N279" i="4" s="1"/>
  <c r="O279" i="4" s="1"/>
  <c r="M278" i="4"/>
  <c r="K278" i="4"/>
  <c r="N278" i="4" s="1"/>
  <c r="O278" i="4" s="1"/>
  <c r="M277" i="4"/>
  <c r="K277" i="4"/>
  <c r="N277" i="4" s="1"/>
  <c r="O277" i="4" s="1"/>
  <c r="O276" i="4"/>
  <c r="M276" i="4"/>
  <c r="K276" i="4"/>
  <c r="N276" i="4" s="1"/>
  <c r="N275" i="4"/>
  <c r="O275" i="4" s="1"/>
  <c r="M275" i="4"/>
  <c r="K275" i="4"/>
  <c r="M274" i="4"/>
  <c r="K274" i="4"/>
  <c r="N274" i="4" s="1"/>
  <c r="O274" i="4" s="1"/>
  <c r="N273" i="4"/>
  <c r="O273" i="4" s="1"/>
  <c r="M273" i="4"/>
  <c r="K273" i="4"/>
  <c r="M272" i="4"/>
  <c r="K272" i="4"/>
  <c r="N272" i="4" s="1"/>
  <c r="O272" i="4" s="1"/>
  <c r="M271" i="4"/>
  <c r="K271" i="4"/>
  <c r="N271" i="4" s="1"/>
  <c r="O271" i="4" s="1"/>
  <c r="N270" i="4"/>
  <c r="O270" i="4" s="1"/>
  <c r="M270" i="4"/>
  <c r="K270" i="4"/>
  <c r="M269" i="4"/>
  <c r="K269" i="4"/>
  <c r="N269" i="4" s="1"/>
  <c r="O269" i="4" s="1"/>
  <c r="M268" i="4"/>
  <c r="N268" i="4" s="1"/>
  <c r="O268" i="4" s="1"/>
  <c r="K268" i="4"/>
  <c r="M267" i="4"/>
  <c r="K267" i="4"/>
  <c r="N267" i="4" s="1"/>
  <c r="O267" i="4" s="1"/>
  <c r="M266" i="4"/>
  <c r="K266" i="4"/>
  <c r="O265" i="4"/>
  <c r="N265" i="4"/>
  <c r="M265" i="4"/>
  <c r="K265" i="4"/>
  <c r="N264" i="4"/>
  <c r="O264" i="4" s="1"/>
  <c r="M264" i="4"/>
  <c r="K264" i="4"/>
  <c r="M263" i="4"/>
  <c r="N263" i="4" s="1"/>
  <c r="O263" i="4" s="1"/>
  <c r="K263" i="4"/>
  <c r="M262" i="4"/>
  <c r="K262" i="4"/>
  <c r="N262" i="4" s="1"/>
  <c r="O262" i="4" s="1"/>
  <c r="N261" i="4"/>
  <c r="O261" i="4" s="1"/>
  <c r="M261" i="4"/>
  <c r="K261" i="4"/>
  <c r="O260" i="4"/>
  <c r="N260" i="4"/>
  <c r="M260" i="4"/>
  <c r="K260" i="4"/>
  <c r="N259" i="4"/>
  <c r="O259" i="4" s="1"/>
  <c r="M259" i="4"/>
  <c r="K259" i="4"/>
  <c r="M258" i="4"/>
  <c r="K258" i="4"/>
  <c r="N258" i="4" s="1"/>
  <c r="O258" i="4" s="1"/>
  <c r="M257" i="4"/>
  <c r="K257" i="4"/>
  <c r="N257" i="4" s="1"/>
  <c r="O257" i="4" s="1"/>
  <c r="M256" i="4"/>
  <c r="N256" i="4" s="1"/>
  <c r="O256" i="4" s="1"/>
  <c r="K256" i="4"/>
  <c r="N255" i="4"/>
  <c r="O255" i="4" s="1"/>
  <c r="M255" i="4"/>
  <c r="K255" i="4"/>
  <c r="M254" i="4"/>
  <c r="K254" i="4"/>
  <c r="N254" i="4" s="1"/>
  <c r="O254" i="4" s="1"/>
  <c r="O253" i="4"/>
  <c r="N253" i="4"/>
  <c r="M253" i="4"/>
  <c r="K253" i="4"/>
  <c r="M252" i="4"/>
  <c r="K252" i="4"/>
  <c r="N252" i="4" s="1"/>
  <c r="O252" i="4" s="1"/>
  <c r="M251" i="4"/>
  <c r="K251" i="4"/>
  <c r="N250" i="4"/>
  <c r="O250" i="4" s="1"/>
  <c r="M250" i="4"/>
  <c r="K250" i="4"/>
  <c r="M249" i="4"/>
  <c r="K249" i="4"/>
  <c r="N249" i="4" s="1"/>
  <c r="O249" i="4" s="1"/>
  <c r="M248" i="4"/>
  <c r="K248" i="4"/>
  <c r="N248" i="4" s="1"/>
  <c r="O248" i="4" s="1"/>
  <c r="M247" i="4"/>
  <c r="K247" i="4"/>
  <c r="N247" i="4" s="1"/>
  <c r="O247" i="4" s="1"/>
  <c r="M246" i="4"/>
  <c r="K246" i="4"/>
  <c r="N246" i="4" s="1"/>
  <c r="O246" i="4" s="1"/>
  <c r="N245" i="4"/>
  <c r="O245" i="4" s="1"/>
  <c r="M245" i="4"/>
  <c r="K245" i="4"/>
  <c r="N244" i="4"/>
  <c r="O244" i="4" s="1"/>
  <c r="M244" i="4"/>
  <c r="K244" i="4"/>
  <c r="M243" i="4"/>
  <c r="N243" i="4" s="1"/>
  <c r="O243" i="4" s="1"/>
  <c r="K243" i="4"/>
  <c r="M242" i="4"/>
  <c r="K242" i="4"/>
  <c r="N241" i="4"/>
  <c r="O241" i="4" s="1"/>
  <c r="M241" i="4"/>
  <c r="K241" i="4"/>
  <c r="N240" i="4"/>
  <c r="O240" i="4" s="1"/>
  <c r="M240" i="4"/>
  <c r="K240" i="4"/>
  <c r="N239" i="4"/>
  <c r="O239" i="4" s="1"/>
  <c r="M239" i="4"/>
  <c r="K239" i="4"/>
  <c r="M238" i="4"/>
  <c r="K238" i="4"/>
  <c r="N238" i="4" s="1"/>
  <c r="O238" i="4" s="1"/>
  <c r="M237" i="4"/>
  <c r="K237" i="4"/>
  <c r="N237" i="4" s="1"/>
  <c r="O237" i="4" s="1"/>
  <c r="O236" i="4"/>
  <c r="N236" i="4"/>
  <c r="M236" i="4"/>
  <c r="K236" i="4"/>
  <c r="O235" i="4"/>
  <c r="N235" i="4"/>
  <c r="M235" i="4"/>
  <c r="K235" i="4"/>
  <c r="M234" i="4"/>
  <c r="N234" i="4" s="1"/>
  <c r="O234" i="4" s="1"/>
  <c r="K234" i="4"/>
  <c r="M233" i="4"/>
  <c r="N233" i="4" s="1"/>
  <c r="O233" i="4" s="1"/>
  <c r="K233" i="4"/>
  <c r="M232" i="4"/>
  <c r="K232" i="4"/>
  <c r="N232" i="4" s="1"/>
  <c r="O232" i="4" s="1"/>
  <c r="M231" i="4"/>
  <c r="N231" i="4" s="1"/>
  <c r="O231" i="4" s="1"/>
  <c r="K231" i="4"/>
  <c r="N230" i="4"/>
  <c r="O230" i="4" s="1"/>
  <c r="M230" i="4"/>
  <c r="K230" i="4"/>
  <c r="M229" i="4"/>
  <c r="K229" i="4"/>
  <c r="N229" i="4" s="1"/>
  <c r="O229" i="4" s="1"/>
  <c r="N228" i="4"/>
  <c r="O228" i="4" s="1"/>
  <c r="M228" i="4"/>
  <c r="K228" i="4"/>
  <c r="M227" i="4"/>
  <c r="K227" i="4"/>
  <c r="M226" i="4"/>
  <c r="K226" i="4"/>
  <c r="N226" i="4" s="1"/>
  <c r="O226" i="4" s="1"/>
  <c r="N225" i="4"/>
  <c r="O225" i="4" s="1"/>
  <c r="M225" i="4"/>
  <c r="K225" i="4"/>
  <c r="M224" i="4"/>
  <c r="K224" i="4"/>
  <c r="M223" i="4"/>
  <c r="K223" i="4"/>
  <c r="N223" i="4" s="1"/>
  <c r="O223" i="4" s="1"/>
  <c r="M222" i="4"/>
  <c r="K222" i="4"/>
  <c r="N222" i="4" s="1"/>
  <c r="O222" i="4" s="1"/>
  <c r="M221" i="4"/>
  <c r="K221" i="4"/>
  <c r="N221" i="4" s="1"/>
  <c r="O221" i="4" s="1"/>
  <c r="O220" i="4"/>
  <c r="N220" i="4"/>
  <c r="M220" i="4"/>
  <c r="K220" i="4"/>
  <c r="M219" i="4"/>
  <c r="N219" i="4" s="1"/>
  <c r="O219" i="4" s="1"/>
  <c r="K219" i="4"/>
  <c r="M218" i="4"/>
  <c r="K218" i="4"/>
  <c r="N218" i="4" s="1"/>
  <c r="O218" i="4" s="1"/>
  <c r="M217" i="4"/>
  <c r="K217" i="4"/>
  <c r="M216" i="4"/>
  <c r="N216" i="4" s="1"/>
  <c r="O216" i="4" s="1"/>
  <c r="K216" i="4"/>
  <c r="N215" i="4"/>
  <c r="O215" i="4" s="1"/>
  <c r="M215" i="4"/>
  <c r="K215" i="4"/>
  <c r="N214" i="4"/>
  <c r="O214" i="4" s="1"/>
  <c r="M214" i="4"/>
  <c r="K214" i="4"/>
  <c r="M213" i="4"/>
  <c r="K213" i="4"/>
  <c r="M212" i="4"/>
  <c r="K212" i="4"/>
  <c r="N212" i="4" s="1"/>
  <c r="O212" i="4" s="1"/>
  <c r="O211" i="4"/>
  <c r="N211" i="4"/>
  <c r="M211" i="4"/>
  <c r="K211" i="4"/>
  <c r="O210" i="4"/>
  <c r="N210" i="4"/>
  <c r="M210" i="4"/>
  <c r="K210" i="4"/>
  <c r="M209" i="4"/>
  <c r="K209" i="4"/>
  <c r="N209" i="4" s="1"/>
  <c r="O209" i="4" s="1"/>
  <c r="M208" i="4"/>
  <c r="N208" i="4" s="1"/>
  <c r="O208" i="4" s="1"/>
  <c r="K208" i="4"/>
  <c r="M207" i="4"/>
  <c r="K207" i="4"/>
  <c r="M206" i="4"/>
  <c r="K206" i="4"/>
  <c r="N206" i="4" s="1"/>
  <c r="O206" i="4" s="1"/>
  <c r="N205" i="4"/>
  <c r="O205" i="4" s="1"/>
  <c r="M205" i="4"/>
  <c r="K205" i="4"/>
  <c r="O204" i="4"/>
  <c r="N204" i="4"/>
  <c r="M204" i="4"/>
  <c r="K204" i="4"/>
  <c r="N203" i="4"/>
  <c r="O203" i="4" s="1"/>
  <c r="M203" i="4"/>
  <c r="K203" i="4"/>
  <c r="M202" i="4"/>
  <c r="K202" i="4"/>
  <c r="O201" i="4"/>
  <c r="N201" i="4"/>
  <c r="M201" i="4"/>
  <c r="K201" i="4"/>
  <c r="N200" i="4"/>
  <c r="O200" i="4" s="1"/>
  <c r="M200" i="4"/>
  <c r="K200" i="4"/>
  <c r="M199" i="4"/>
  <c r="K199" i="4"/>
  <c r="N199" i="4" s="1"/>
  <c r="O199" i="4" s="1"/>
  <c r="N198" i="4"/>
  <c r="O198" i="4" s="1"/>
  <c r="M198" i="4"/>
  <c r="K198" i="4"/>
  <c r="M197" i="4"/>
  <c r="K197" i="4"/>
  <c r="N197" i="4" s="1"/>
  <c r="O197" i="4" s="1"/>
  <c r="M196" i="4"/>
  <c r="K196" i="4"/>
  <c r="N195" i="4"/>
  <c r="O195" i="4" s="1"/>
  <c r="M195" i="4"/>
  <c r="K195" i="4"/>
  <c r="N194" i="4"/>
  <c r="O194" i="4" s="1"/>
  <c r="M194" i="4"/>
  <c r="K194" i="4"/>
  <c r="M193" i="4"/>
  <c r="N193" i="4" s="1"/>
  <c r="O193" i="4" s="1"/>
  <c r="K193" i="4"/>
  <c r="M192" i="4"/>
  <c r="K192" i="4"/>
  <c r="N191" i="4"/>
  <c r="O191" i="4" s="1"/>
  <c r="M191" i="4"/>
  <c r="K191" i="4"/>
  <c r="N190" i="4"/>
  <c r="O190" i="4" s="1"/>
  <c r="M190" i="4"/>
  <c r="K190" i="4"/>
  <c r="O189" i="4"/>
  <c r="N189" i="4"/>
  <c r="M189" i="4"/>
  <c r="K189" i="4"/>
  <c r="M188" i="4"/>
  <c r="K188" i="4"/>
  <c r="N188" i="4" s="1"/>
  <c r="O188" i="4" s="1"/>
  <c r="M187" i="4"/>
  <c r="K187" i="4"/>
  <c r="N187" i="4" s="1"/>
  <c r="O187" i="4" s="1"/>
  <c r="N186" i="4"/>
  <c r="O186" i="4" s="1"/>
  <c r="M186" i="4"/>
  <c r="K186" i="4"/>
  <c r="O185" i="4"/>
  <c r="N185" i="4"/>
  <c r="M185" i="4"/>
  <c r="K185" i="4"/>
  <c r="M184" i="4"/>
  <c r="K184" i="4"/>
  <c r="N183" i="4"/>
  <c r="O183" i="4" s="1"/>
  <c r="M183" i="4"/>
  <c r="K183" i="4"/>
  <c r="M182" i="4"/>
  <c r="K182" i="4"/>
  <c r="M181" i="4"/>
  <c r="K181" i="4"/>
  <c r="N181" i="4" s="1"/>
  <c r="O181" i="4" s="1"/>
  <c r="N180" i="4"/>
  <c r="O180" i="4" s="1"/>
  <c r="M180" i="4"/>
  <c r="K180" i="4"/>
  <c r="N179" i="4"/>
  <c r="O179" i="4" s="1"/>
  <c r="M179" i="4"/>
  <c r="K179" i="4"/>
  <c r="N178" i="4"/>
  <c r="O178" i="4" s="1"/>
  <c r="M178" i="4"/>
  <c r="K178" i="4"/>
  <c r="M177" i="4"/>
  <c r="K177" i="4"/>
  <c r="N176" i="4"/>
  <c r="O176" i="4" s="1"/>
  <c r="M176" i="4"/>
  <c r="K176" i="4"/>
  <c r="N175" i="4"/>
  <c r="O175" i="4" s="1"/>
  <c r="M175" i="4"/>
  <c r="K175" i="4"/>
  <c r="M174" i="4"/>
  <c r="K174" i="4"/>
  <c r="O173" i="4"/>
  <c r="N173" i="4"/>
  <c r="M173" i="4"/>
  <c r="K173" i="4"/>
  <c r="M172" i="4"/>
  <c r="K172" i="4"/>
  <c r="N172" i="4" s="1"/>
  <c r="O172" i="4" s="1"/>
  <c r="M171" i="4"/>
  <c r="K171" i="4"/>
  <c r="N171" i="4" s="1"/>
  <c r="O171" i="4" s="1"/>
  <c r="O170" i="4"/>
  <c r="N170" i="4"/>
  <c r="M170" i="4"/>
  <c r="K170" i="4"/>
  <c r="N169" i="4"/>
  <c r="O169" i="4" s="1"/>
  <c r="M169" i="4"/>
  <c r="K169" i="4"/>
  <c r="M168" i="4"/>
  <c r="K168" i="4"/>
  <c r="N168" i="4" s="1"/>
  <c r="O168" i="4" s="1"/>
  <c r="M167" i="4"/>
  <c r="K167" i="4"/>
  <c r="N167" i="4" s="1"/>
  <c r="O167" i="4" s="1"/>
  <c r="N166" i="4"/>
  <c r="O166" i="4" s="1"/>
  <c r="M166" i="4"/>
  <c r="K166" i="4"/>
  <c r="N165" i="4"/>
  <c r="O165" i="4" s="1"/>
  <c r="M165" i="4"/>
  <c r="K165" i="4"/>
  <c r="N164" i="4"/>
  <c r="O164" i="4" s="1"/>
  <c r="M164" i="4"/>
  <c r="K164" i="4"/>
  <c r="M163" i="4"/>
  <c r="K163" i="4"/>
  <c r="N163" i="4" s="1"/>
  <c r="O163" i="4" s="1"/>
  <c r="M162" i="4"/>
  <c r="K162" i="4"/>
  <c r="N162" i="4" s="1"/>
  <c r="O162" i="4" s="1"/>
  <c r="O161" i="4"/>
  <c r="N161" i="4"/>
  <c r="M161" i="4"/>
  <c r="K161" i="4"/>
  <c r="O160" i="4"/>
  <c r="N160" i="4"/>
  <c r="M160" i="4"/>
  <c r="K160" i="4"/>
  <c r="M159" i="4"/>
  <c r="K159" i="4"/>
  <c r="N159" i="4" s="1"/>
  <c r="O159" i="4" s="1"/>
  <c r="N158" i="4"/>
  <c r="O158" i="4" s="1"/>
  <c r="M158" i="4"/>
  <c r="K158" i="4"/>
  <c r="M157" i="4"/>
  <c r="K157" i="4"/>
  <c r="M156" i="4"/>
  <c r="K156" i="4"/>
  <c r="N156" i="4" s="1"/>
  <c r="O156" i="4" s="1"/>
  <c r="N155" i="4"/>
  <c r="O155" i="4" s="1"/>
  <c r="M155" i="4"/>
  <c r="K155" i="4"/>
  <c r="O154" i="4"/>
  <c r="N154" i="4"/>
  <c r="M154" i="4"/>
  <c r="K154" i="4"/>
  <c r="N153" i="4"/>
  <c r="O153" i="4" s="1"/>
  <c r="M153" i="4"/>
  <c r="K153" i="4"/>
  <c r="M152" i="4"/>
  <c r="K152" i="4"/>
  <c r="N151" i="4"/>
  <c r="O151" i="4" s="1"/>
  <c r="M151" i="4"/>
  <c r="K151" i="4"/>
  <c r="N150" i="4"/>
  <c r="O150" i="4" s="1"/>
  <c r="M150" i="4"/>
  <c r="K150" i="4"/>
  <c r="M149" i="4"/>
  <c r="K149" i="4"/>
  <c r="N148" i="4"/>
  <c r="O148" i="4" s="1"/>
  <c r="M148" i="4"/>
  <c r="K148" i="4"/>
  <c r="M147" i="4"/>
  <c r="K147" i="4"/>
  <c r="N147" i="4" s="1"/>
  <c r="O147" i="4" s="1"/>
  <c r="M146" i="4"/>
  <c r="K146" i="4"/>
  <c r="N146" i="4" s="1"/>
  <c r="O146" i="4" s="1"/>
  <c r="O145" i="4"/>
  <c r="N145" i="4"/>
  <c r="M145" i="4"/>
  <c r="K145" i="4"/>
  <c r="N144" i="4"/>
  <c r="O144" i="4" s="1"/>
  <c r="M144" i="4"/>
  <c r="K144" i="4"/>
  <c r="M143" i="4"/>
  <c r="K143" i="4"/>
  <c r="N143" i="4" s="1"/>
  <c r="O143" i="4" s="1"/>
  <c r="M142" i="4"/>
  <c r="K142" i="4"/>
  <c r="N141" i="4"/>
  <c r="O141" i="4" s="1"/>
  <c r="M141" i="4"/>
  <c r="K141" i="4"/>
  <c r="N140" i="4"/>
  <c r="O140" i="4" s="1"/>
  <c r="M140" i="4"/>
  <c r="K140" i="4"/>
  <c r="N139" i="4"/>
  <c r="O139" i="4" s="1"/>
  <c r="M139" i="4"/>
  <c r="K139" i="4"/>
  <c r="M138" i="4"/>
  <c r="K138" i="4"/>
  <c r="N138" i="4" s="1"/>
  <c r="O138" i="4" s="1"/>
  <c r="M137" i="4"/>
  <c r="K137" i="4"/>
  <c r="N137" i="4" s="1"/>
  <c r="O137" i="4" s="1"/>
  <c r="O136" i="4"/>
  <c r="N136" i="4"/>
  <c r="M136" i="4"/>
  <c r="K136" i="4"/>
  <c r="O135" i="4"/>
  <c r="N135" i="4"/>
  <c r="M135" i="4"/>
  <c r="K135" i="4"/>
  <c r="M134" i="4"/>
  <c r="K134" i="4"/>
  <c r="N133" i="4"/>
  <c r="O133" i="4" s="1"/>
  <c r="M133" i="4"/>
  <c r="K133" i="4"/>
  <c r="M132" i="4"/>
  <c r="K132" i="4"/>
  <c r="M131" i="4"/>
  <c r="K131" i="4"/>
  <c r="N131" i="4" s="1"/>
  <c r="O131" i="4" s="1"/>
  <c r="N130" i="4"/>
  <c r="O130" i="4" s="1"/>
  <c r="M130" i="4"/>
  <c r="K130" i="4"/>
  <c r="O129" i="4"/>
  <c r="N129" i="4"/>
  <c r="M129" i="4"/>
  <c r="K129" i="4"/>
  <c r="N128" i="4"/>
  <c r="O128" i="4" s="1"/>
  <c r="M128" i="4"/>
  <c r="K128" i="4"/>
  <c r="M127" i="4"/>
  <c r="K127" i="4"/>
  <c r="N126" i="4"/>
  <c r="O126" i="4" s="1"/>
  <c r="M126" i="4"/>
  <c r="K126" i="4"/>
  <c r="N125" i="4"/>
  <c r="O125" i="4" s="1"/>
  <c r="M125" i="4"/>
  <c r="K125" i="4"/>
  <c r="M124" i="4"/>
  <c r="K124" i="4"/>
  <c r="N124" i="4" s="1"/>
  <c r="O124" i="4" s="1"/>
  <c r="O123" i="4"/>
  <c r="N123" i="4"/>
  <c r="M123" i="4"/>
  <c r="K123" i="4"/>
  <c r="M122" i="4"/>
  <c r="K122" i="4"/>
  <c r="N122" i="4" s="1"/>
  <c r="O122" i="4" s="1"/>
  <c r="M121" i="4"/>
  <c r="K121" i="4"/>
  <c r="N120" i="4"/>
  <c r="O120" i="4" s="1"/>
  <c r="M120" i="4"/>
  <c r="K120" i="4"/>
  <c r="N119" i="4"/>
  <c r="O119" i="4" s="1"/>
  <c r="M119" i="4"/>
  <c r="K119" i="4"/>
  <c r="M118" i="4"/>
  <c r="N118" i="4" s="1"/>
  <c r="O118" i="4" s="1"/>
  <c r="K118" i="4"/>
  <c r="M117" i="4"/>
  <c r="K117" i="4"/>
  <c r="N117" i="4" s="1"/>
  <c r="O117" i="4" s="1"/>
  <c r="N116" i="4"/>
  <c r="O116" i="4" s="1"/>
  <c r="M116" i="4"/>
  <c r="K116" i="4"/>
  <c r="N115" i="4"/>
  <c r="O115" i="4" s="1"/>
  <c r="M115" i="4"/>
  <c r="K115" i="4"/>
  <c r="O114" i="4"/>
  <c r="N114" i="4"/>
  <c r="M114" i="4"/>
  <c r="K114" i="4"/>
  <c r="M113" i="4"/>
  <c r="K113" i="4"/>
  <c r="N113" i="4" s="1"/>
  <c r="O113" i="4" s="1"/>
  <c r="M112" i="4"/>
  <c r="K112" i="4"/>
  <c r="N112" i="4" s="1"/>
  <c r="O112" i="4" s="1"/>
  <c r="O111" i="4"/>
  <c r="N111" i="4"/>
  <c r="M111" i="4"/>
  <c r="K111" i="4"/>
  <c r="O110" i="4"/>
  <c r="N110" i="4"/>
  <c r="M110" i="4"/>
  <c r="K110" i="4"/>
  <c r="M109" i="4"/>
  <c r="K109" i="4"/>
  <c r="N109" i="4" s="1"/>
  <c r="O109" i="4" s="1"/>
  <c r="N108" i="4"/>
  <c r="O108" i="4" s="1"/>
  <c r="M108" i="4"/>
  <c r="K108" i="4"/>
  <c r="M107" i="4"/>
  <c r="K107" i="4"/>
  <c r="M106" i="4"/>
  <c r="K106" i="4"/>
  <c r="N106" i="4" s="1"/>
  <c r="O106" i="4" s="1"/>
  <c r="N105" i="4"/>
  <c r="O105" i="4" s="1"/>
  <c r="M105" i="4"/>
  <c r="K105" i="4"/>
  <c r="O104" i="4"/>
  <c r="N104" i="4"/>
  <c r="M104" i="4"/>
  <c r="K104" i="4"/>
  <c r="N103" i="4"/>
  <c r="O103" i="4" s="1"/>
  <c r="M103" i="4"/>
  <c r="K103" i="4"/>
  <c r="M102" i="4"/>
  <c r="K102" i="4"/>
  <c r="N101" i="4"/>
  <c r="O101" i="4" s="1"/>
  <c r="M101" i="4"/>
  <c r="K101" i="4"/>
  <c r="N100" i="4"/>
  <c r="O100" i="4" s="1"/>
  <c r="M100" i="4"/>
  <c r="K100" i="4"/>
  <c r="M99" i="4"/>
  <c r="K99" i="4"/>
  <c r="N98" i="4"/>
  <c r="O98" i="4" s="1"/>
  <c r="M98" i="4"/>
  <c r="K98" i="4"/>
  <c r="M97" i="4"/>
  <c r="K97" i="4"/>
  <c r="N97" i="4" s="1"/>
  <c r="O97" i="4" s="1"/>
  <c r="M96" i="4"/>
  <c r="K96" i="4"/>
  <c r="N96" i="4" s="1"/>
  <c r="O96" i="4" s="1"/>
  <c r="O95" i="4"/>
  <c r="N95" i="4"/>
  <c r="M95" i="4"/>
  <c r="K95" i="4"/>
  <c r="N94" i="4"/>
  <c r="O94" i="4" s="1"/>
  <c r="M94" i="4"/>
  <c r="K94" i="4"/>
  <c r="M93" i="4"/>
  <c r="K93" i="4"/>
  <c r="N93" i="4" s="1"/>
  <c r="O93" i="4" s="1"/>
  <c r="M92" i="4"/>
  <c r="K92" i="4"/>
  <c r="N91" i="4"/>
  <c r="O91" i="4" s="1"/>
  <c r="M91" i="4"/>
  <c r="K91" i="4"/>
  <c r="N90" i="4"/>
  <c r="O90" i="4" s="1"/>
  <c r="M90" i="4"/>
  <c r="K90" i="4"/>
  <c r="N89" i="4"/>
  <c r="O89" i="4" s="1"/>
  <c r="M89" i="4"/>
  <c r="K89" i="4"/>
  <c r="M88" i="4"/>
  <c r="K88" i="4"/>
  <c r="N88" i="4" s="1"/>
  <c r="O88" i="4" s="1"/>
  <c r="M87" i="4"/>
  <c r="K87" i="4"/>
  <c r="N87" i="4" s="1"/>
  <c r="O87" i="4" s="1"/>
  <c r="O86" i="4"/>
  <c r="N86" i="4"/>
  <c r="M86" i="4"/>
  <c r="K86" i="4"/>
  <c r="O85" i="4"/>
  <c r="N85" i="4"/>
  <c r="M85" i="4"/>
  <c r="K85" i="4"/>
  <c r="M84" i="4"/>
  <c r="K84" i="4"/>
  <c r="N84" i="4" s="1"/>
  <c r="O84" i="4" s="1"/>
  <c r="N83" i="4"/>
  <c r="O83" i="4" s="1"/>
  <c r="M83" i="4"/>
  <c r="K83" i="4"/>
  <c r="M82" i="4"/>
  <c r="K82" i="4"/>
  <c r="M81" i="4"/>
  <c r="K81" i="4"/>
  <c r="N81" i="4" s="1"/>
  <c r="O81" i="4" s="1"/>
  <c r="N80" i="4"/>
  <c r="O80" i="4" s="1"/>
  <c r="M80" i="4"/>
  <c r="K80" i="4"/>
  <c r="O79" i="4"/>
  <c r="N79" i="4"/>
  <c r="M79" i="4"/>
  <c r="K79" i="4"/>
  <c r="N78" i="4"/>
  <c r="O78" i="4" s="1"/>
  <c r="M78" i="4"/>
  <c r="K78" i="4"/>
  <c r="M77" i="4"/>
  <c r="K77" i="4"/>
  <c r="N76" i="4"/>
  <c r="O76" i="4" s="1"/>
  <c r="M76" i="4"/>
  <c r="K76" i="4"/>
  <c r="N75" i="4"/>
  <c r="O75" i="4" s="1"/>
  <c r="M75" i="4"/>
  <c r="K75" i="4"/>
  <c r="M74" i="4"/>
  <c r="K74" i="4"/>
  <c r="N73" i="4"/>
  <c r="O73" i="4" s="1"/>
  <c r="M73" i="4"/>
  <c r="K73" i="4"/>
  <c r="M72" i="4"/>
  <c r="K72" i="4"/>
  <c r="N72" i="4" s="1"/>
  <c r="O72" i="4" s="1"/>
  <c r="M71" i="4"/>
  <c r="K71" i="4"/>
  <c r="O70" i="4"/>
  <c r="N70" i="4"/>
  <c r="M70" i="4"/>
  <c r="K70" i="4"/>
  <c r="M69" i="4"/>
  <c r="N69" i="4" s="1"/>
  <c r="O69" i="4" s="1"/>
  <c r="K69" i="4"/>
  <c r="M68" i="4"/>
  <c r="K68" i="4"/>
  <c r="N68" i="4" s="1"/>
  <c r="O68" i="4" s="1"/>
  <c r="M67" i="4"/>
  <c r="K67" i="4"/>
  <c r="M66" i="4"/>
  <c r="N66" i="4" s="1"/>
  <c r="O66" i="4" s="1"/>
  <c r="K66" i="4"/>
  <c r="N65" i="4"/>
  <c r="O65" i="4" s="1"/>
  <c r="M65" i="4"/>
  <c r="K65" i="4"/>
  <c r="O64" i="4"/>
  <c r="N64" i="4"/>
  <c r="M64" i="4"/>
  <c r="K64" i="4"/>
  <c r="M63" i="4"/>
  <c r="K63" i="4"/>
  <c r="N63" i="4" s="1"/>
  <c r="O63" i="4" s="1"/>
  <c r="M62" i="4"/>
  <c r="K62" i="4"/>
  <c r="N62" i="4" s="1"/>
  <c r="O62" i="4" s="1"/>
  <c r="N61" i="4"/>
  <c r="O61" i="4" s="1"/>
  <c r="M61" i="4"/>
  <c r="K61" i="4"/>
  <c r="O60" i="4"/>
  <c r="N60" i="4"/>
  <c r="M60" i="4"/>
  <c r="K60" i="4"/>
  <c r="M59" i="4"/>
  <c r="K59" i="4"/>
  <c r="N59" i="4" s="1"/>
  <c r="O59" i="4" s="1"/>
  <c r="M58" i="4"/>
  <c r="N58" i="4" s="1"/>
  <c r="O58" i="4" s="1"/>
  <c r="K58" i="4"/>
  <c r="M57" i="4"/>
  <c r="K57" i="4"/>
  <c r="N56" i="4"/>
  <c r="O56" i="4" s="1"/>
  <c r="M56" i="4"/>
  <c r="K56" i="4"/>
  <c r="N55" i="4"/>
  <c r="O55" i="4" s="1"/>
  <c r="M55" i="4"/>
  <c r="K55" i="4"/>
  <c r="N54" i="4"/>
  <c r="O54" i="4" s="1"/>
  <c r="M54" i="4"/>
  <c r="K54" i="4"/>
  <c r="O53" i="4"/>
  <c r="N53" i="4"/>
  <c r="M53" i="4"/>
  <c r="K53" i="4"/>
  <c r="M52" i="4"/>
  <c r="K52" i="4"/>
  <c r="N51" i="4"/>
  <c r="O51" i="4" s="1"/>
  <c r="M51" i="4"/>
  <c r="K51" i="4"/>
  <c r="O50" i="4"/>
  <c r="N50" i="4"/>
  <c r="M50" i="4"/>
  <c r="K50" i="4"/>
  <c r="M49" i="4"/>
  <c r="K49" i="4"/>
  <c r="N49" i="4" s="1"/>
  <c r="O49" i="4" s="1"/>
  <c r="N48" i="4"/>
  <c r="O48" i="4" s="1"/>
  <c r="M48" i="4"/>
  <c r="K48" i="4"/>
  <c r="M47" i="4"/>
  <c r="K47" i="4"/>
  <c r="N47" i="4" s="1"/>
  <c r="O47" i="4" s="1"/>
  <c r="M46" i="4"/>
  <c r="K46" i="4"/>
  <c r="N46" i="4" s="1"/>
  <c r="O46" i="4" s="1"/>
  <c r="O45" i="4"/>
  <c r="N45" i="4"/>
  <c r="M45" i="4"/>
  <c r="K45" i="4"/>
  <c r="M44" i="4"/>
  <c r="N44" i="4" s="1"/>
  <c r="O44" i="4" s="1"/>
  <c r="K44" i="4"/>
  <c r="M43" i="4"/>
  <c r="K43" i="4"/>
  <c r="N43" i="4" s="1"/>
  <c r="O43" i="4" s="1"/>
  <c r="M42" i="4"/>
  <c r="K42" i="4"/>
  <c r="N41" i="4"/>
  <c r="O41" i="4" s="1"/>
  <c r="M41" i="4"/>
  <c r="K41" i="4"/>
  <c r="N40" i="4"/>
  <c r="O40" i="4" s="1"/>
  <c r="M40" i="4"/>
  <c r="K40" i="4"/>
  <c r="M39" i="4"/>
  <c r="K39" i="4"/>
  <c r="N39" i="4" s="1"/>
  <c r="O39" i="4" s="1"/>
  <c r="M38" i="4"/>
  <c r="N38" i="4" s="1"/>
  <c r="O38" i="4" s="1"/>
  <c r="K38" i="4"/>
  <c r="M37" i="4"/>
  <c r="K37" i="4"/>
  <c r="M36" i="4"/>
  <c r="N36" i="4" s="1"/>
  <c r="O36" i="4" s="1"/>
  <c r="K36" i="4"/>
  <c r="M35" i="4"/>
  <c r="N35" i="4" s="1"/>
  <c r="O35" i="4" s="1"/>
  <c r="K35" i="4"/>
  <c r="O34" i="4"/>
  <c r="N34" i="4"/>
  <c r="M34" i="4"/>
  <c r="K34" i="4"/>
  <c r="M33" i="4"/>
  <c r="K33" i="4"/>
  <c r="N33" i="4" s="1"/>
  <c r="O33" i="4" s="1"/>
  <c r="M32" i="4"/>
  <c r="K32" i="4"/>
  <c r="N32" i="4" s="1"/>
  <c r="O32" i="4" s="1"/>
  <c r="O31" i="4"/>
  <c r="M31" i="4"/>
  <c r="K31" i="4"/>
  <c r="N31" i="4" s="1"/>
  <c r="M30" i="4"/>
  <c r="N30" i="4" s="1"/>
  <c r="O30" i="4" s="1"/>
  <c r="K30" i="4"/>
  <c r="M29" i="4"/>
  <c r="N29" i="4" s="1"/>
  <c r="O29" i="4" s="1"/>
  <c r="K29" i="4"/>
  <c r="N28" i="4"/>
  <c r="O28" i="4" s="1"/>
  <c r="M28" i="4"/>
  <c r="K28" i="4"/>
  <c r="M27" i="4"/>
  <c r="K27" i="4"/>
  <c r="N27" i="4" s="1"/>
  <c r="O27" i="4" s="1"/>
  <c r="O26" i="4"/>
  <c r="N26" i="4"/>
  <c r="M26" i="4"/>
  <c r="K26" i="4"/>
  <c r="O25" i="4"/>
  <c r="M25" i="4"/>
  <c r="N25" i="4" s="1"/>
  <c r="K25" i="4"/>
  <c r="M24" i="4"/>
  <c r="K24" i="4"/>
  <c r="N24" i="4" s="1"/>
  <c r="O24" i="4" s="1"/>
  <c r="M23" i="4"/>
  <c r="N23" i="4" s="1"/>
  <c r="O23" i="4" s="1"/>
  <c r="K23" i="4"/>
  <c r="M22" i="4"/>
  <c r="K22" i="4"/>
  <c r="M21" i="4"/>
  <c r="N21" i="4" s="1"/>
  <c r="O21" i="4" s="1"/>
  <c r="K21" i="4"/>
  <c r="N20" i="4"/>
  <c r="O20" i="4" s="1"/>
  <c r="M20" i="4"/>
  <c r="K20" i="4"/>
  <c r="O19" i="4"/>
  <c r="N19" i="4"/>
  <c r="M19" i="4"/>
  <c r="K19" i="4"/>
  <c r="M18" i="4"/>
  <c r="K18" i="4"/>
  <c r="N18" i="4" s="1"/>
  <c r="O18" i="4" s="1"/>
  <c r="M17" i="4"/>
  <c r="K17" i="4"/>
  <c r="M16" i="4"/>
  <c r="N16" i="4" s="1"/>
  <c r="O16" i="4" s="1"/>
  <c r="K16" i="4"/>
  <c r="M15" i="4"/>
  <c r="N15" i="4" s="1"/>
  <c r="O15" i="4" s="1"/>
  <c r="K15" i="4"/>
  <c r="M14" i="4"/>
  <c r="K14" i="4"/>
  <c r="N14" i="4" s="1"/>
  <c r="O14" i="4" s="1"/>
  <c r="N13" i="4"/>
  <c r="O13" i="4" s="1"/>
  <c r="M13" i="4"/>
  <c r="K13" i="4"/>
  <c r="M12" i="4"/>
  <c r="K12" i="4"/>
  <c r="N12" i="4" s="1"/>
  <c r="O12" i="4" s="1"/>
  <c r="M11" i="4"/>
  <c r="K11" i="4"/>
  <c r="N11" i="4" s="1"/>
  <c r="O11" i="4" s="1"/>
  <c r="O10" i="4"/>
  <c r="M10" i="4"/>
  <c r="N10" i="4" s="1"/>
  <c r="K10" i="4"/>
  <c r="M9" i="4"/>
  <c r="K9" i="4"/>
  <c r="N9" i="4" s="1"/>
  <c r="O9" i="4" s="1"/>
  <c r="M8" i="4"/>
  <c r="K8" i="4"/>
  <c r="N319" i="3"/>
  <c r="N315" i="3"/>
  <c r="O315" i="3" s="1"/>
  <c r="O313" i="3"/>
  <c r="O312" i="3"/>
  <c r="J309" i="3"/>
  <c r="I309" i="3"/>
  <c r="H309" i="3"/>
  <c r="N308" i="3"/>
  <c r="O308" i="3" s="1"/>
  <c r="M308" i="3"/>
  <c r="K308" i="3"/>
  <c r="M307" i="3"/>
  <c r="K307" i="3"/>
  <c r="N307" i="3" s="1"/>
  <c r="O307" i="3" s="1"/>
  <c r="M306" i="3"/>
  <c r="N306" i="3" s="1"/>
  <c r="O306" i="3" s="1"/>
  <c r="K306" i="3"/>
  <c r="O305" i="3"/>
  <c r="M305" i="3"/>
  <c r="K305" i="3"/>
  <c r="N305" i="3" s="1"/>
  <c r="O304" i="3"/>
  <c r="M304" i="3"/>
  <c r="K304" i="3"/>
  <c r="N304" i="3" s="1"/>
  <c r="M303" i="3"/>
  <c r="N303" i="3" s="1"/>
  <c r="O303" i="3" s="1"/>
  <c r="K303" i="3"/>
  <c r="M302" i="3"/>
  <c r="N302" i="3" s="1"/>
  <c r="O302" i="3" s="1"/>
  <c r="K302" i="3"/>
  <c r="M301" i="3"/>
  <c r="K301" i="3"/>
  <c r="N301" i="3" s="1"/>
  <c r="O301" i="3" s="1"/>
  <c r="M300" i="3"/>
  <c r="K300" i="3"/>
  <c r="M299" i="3"/>
  <c r="K299" i="3"/>
  <c r="N299" i="3" s="1"/>
  <c r="O299" i="3" s="1"/>
  <c r="M298" i="3"/>
  <c r="N298" i="3" s="1"/>
  <c r="O298" i="3" s="1"/>
  <c r="K298" i="3"/>
  <c r="M297" i="3"/>
  <c r="K297" i="3"/>
  <c r="N297" i="3" s="1"/>
  <c r="O297" i="3" s="1"/>
  <c r="M296" i="3"/>
  <c r="K296" i="3"/>
  <c r="N296" i="3" s="1"/>
  <c r="O296" i="3" s="1"/>
  <c r="M295" i="3"/>
  <c r="K295" i="3"/>
  <c r="N295" i="3" s="1"/>
  <c r="O295" i="3" s="1"/>
  <c r="M294" i="3"/>
  <c r="N294" i="3" s="1"/>
  <c r="O294" i="3" s="1"/>
  <c r="K294" i="3"/>
  <c r="N293" i="3"/>
  <c r="O293" i="3" s="1"/>
  <c r="M293" i="3"/>
  <c r="K293" i="3"/>
  <c r="N292" i="3"/>
  <c r="O292" i="3" s="1"/>
  <c r="M292" i="3"/>
  <c r="K292" i="3"/>
  <c r="M291" i="3"/>
  <c r="K291" i="3"/>
  <c r="N291" i="3" s="1"/>
  <c r="O291" i="3" s="1"/>
  <c r="O290" i="3"/>
  <c r="M290" i="3"/>
  <c r="K290" i="3"/>
  <c r="N290" i="3" s="1"/>
  <c r="M289" i="3"/>
  <c r="K289" i="3"/>
  <c r="N289" i="3" s="1"/>
  <c r="O289" i="3" s="1"/>
  <c r="M288" i="3"/>
  <c r="N288" i="3" s="1"/>
  <c r="O288" i="3" s="1"/>
  <c r="K288" i="3"/>
  <c r="N287" i="3"/>
  <c r="O287" i="3" s="1"/>
  <c r="M287" i="3"/>
  <c r="K287" i="3"/>
  <c r="M286" i="3"/>
  <c r="K286" i="3"/>
  <c r="N286" i="3" s="1"/>
  <c r="O286" i="3" s="1"/>
  <c r="M285" i="3"/>
  <c r="K285" i="3"/>
  <c r="N285" i="3" s="1"/>
  <c r="O285" i="3" s="1"/>
  <c r="O284" i="3"/>
  <c r="N284" i="3"/>
  <c r="M284" i="3"/>
  <c r="K284" i="3"/>
  <c r="M283" i="3"/>
  <c r="N283" i="3" s="1"/>
  <c r="O283" i="3" s="1"/>
  <c r="K283" i="3"/>
  <c r="M282" i="3"/>
  <c r="K282" i="3"/>
  <c r="N282" i="3" s="1"/>
  <c r="O282" i="3" s="1"/>
  <c r="M281" i="3"/>
  <c r="N281" i="3" s="1"/>
  <c r="O281" i="3" s="1"/>
  <c r="K281" i="3"/>
  <c r="M280" i="3"/>
  <c r="K280" i="3"/>
  <c r="N280" i="3" s="1"/>
  <c r="O280" i="3" s="1"/>
  <c r="N279" i="3"/>
  <c r="O279" i="3" s="1"/>
  <c r="M279" i="3"/>
  <c r="K279" i="3"/>
  <c r="N278" i="3"/>
  <c r="O278" i="3" s="1"/>
  <c r="M278" i="3"/>
  <c r="K278" i="3"/>
  <c r="M277" i="3"/>
  <c r="K277" i="3"/>
  <c r="N277" i="3" s="1"/>
  <c r="O277" i="3" s="1"/>
  <c r="M276" i="3"/>
  <c r="K276" i="3"/>
  <c r="N276" i="3" s="1"/>
  <c r="O276" i="3" s="1"/>
  <c r="M275" i="3"/>
  <c r="K275" i="3"/>
  <c r="M274" i="3"/>
  <c r="K274" i="3"/>
  <c r="N274" i="3" s="1"/>
  <c r="O274" i="3" s="1"/>
  <c r="N273" i="3"/>
  <c r="O273" i="3" s="1"/>
  <c r="M273" i="3"/>
  <c r="K273" i="3"/>
  <c r="M272" i="3"/>
  <c r="N272" i="3" s="1"/>
  <c r="O272" i="3" s="1"/>
  <c r="K272" i="3"/>
  <c r="M271" i="3"/>
  <c r="K271" i="3"/>
  <c r="N271" i="3" s="1"/>
  <c r="O271" i="3" s="1"/>
  <c r="O270" i="3"/>
  <c r="M270" i="3"/>
  <c r="K270" i="3"/>
  <c r="N270" i="3" s="1"/>
  <c r="N269" i="3"/>
  <c r="O269" i="3" s="1"/>
  <c r="M269" i="3"/>
  <c r="K269" i="3"/>
  <c r="M268" i="3"/>
  <c r="N268" i="3" s="1"/>
  <c r="O268" i="3" s="1"/>
  <c r="K268" i="3"/>
  <c r="M267" i="3"/>
  <c r="K267" i="3"/>
  <c r="N267" i="3" s="1"/>
  <c r="O267" i="3" s="1"/>
  <c r="N266" i="3"/>
  <c r="O266" i="3" s="1"/>
  <c r="M266" i="3"/>
  <c r="K266" i="3"/>
  <c r="M265" i="3"/>
  <c r="K265" i="3"/>
  <c r="M264" i="3"/>
  <c r="K264" i="3"/>
  <c r="N264" i="3" s="1"/>
  <c r="O264" i="3" s="1"/>
  <c r="O263" i="3"/>
  <c r="N263" i="3"/>
  <c r="M263" i="3"/>
  <c r="K263" i="3"/>
  <c r="M262" i="3"/>
  <c r="K262" i="3"/>
  <c r="M261" i="3"/>
  <c r="K261" i="3"/>
  <c r="N261" i="3" s="1"/>
  <c r="O261" i="3" s="1"/>
  <c r="M260" i="3"/>
  <c r="K260" i="3"/>
  <c r="N260" i="3" s="1"/>
  <c r="O260" i="3" s="1"/>
  <c r="M259" i="3"/>
  <c r="K259" i="3"/>
  <c r="N259" i="3" s="1"/>
  <c r="O259" i="3" s="1"/>
  <c r="N258" i="3"/>
  <c r="O258" i="3" s="1"/>
  <c r="M258" i="3"/>
  <c r="K258" i="3"/>
  <c r="O257" i="3"/>
  <c r="M257" i="3"/>
  <c r="K257" i="3"/>
  <c r="N257" i="3" s="1"/>
  <c r="M256" i="3"/>
  <c r="K256" i="3"/>
  <c r="N256" i="3" s="1"/>
  <c r="O256" i="3" s="1"/>
  <c r="O255" i="3"/>
  <c r="M255" i="3"/>
  <c r="K255" i="3"/>
  <c r="N255" i="3" s="1"/>
  <c r="M254" i="3"/>
  <c r="K254" i="3"/>
  <c r="N253" i="3"/>
  <c r="O253" i="3" s="1"/>
  <c r="M253" i="3"/>
  <c r="K253" i="3"/>
  <c r="M252" i="3"/>
  <c r="N252" i="3" s="1"/>
  <c r="O252" i="3" s="1"/>
  <c r="K252" i="3"/>
  <c r="M251" i="3"/>
  <c r="K251" i="3"/>
  <c r="N251" i="3" s="1"/>
  <c r="O251" i="3" s="1"/>
  <c r="M250" i="3"/>
  <c r="K250" i="3"/>
  <c r="N249" i="3"/>
  <c r="O249" i="3" s="1"/>
  <c r="M249" i="3"/>
  <c r="K249" i="3"/>
  <c r="M248" i="3"/>
  <c r="N248" i="3" s="1"/>
  <c r="O248" i="3" s="1"/>
  <c r="K248" i="3"/>
  <c r="M247" i="3"/>
  <c r="K247" i="3"/>
  <c r="N247" i="3" s="1"/>
  <c r="O247" i="3" s="1"/>
  <c r="N246" i="3"/>
  <c r="O246" i="3" s="1"/>
  <c r="M246" i="3"/>
  <c r="K246" i="3"/>
  <c r="M245" i="3"/>
  <c r="K245" i="3"/>
  <c r="N245" i="3" s="1"/>
  <c r="O245" i="3" s="1"/>
  <c r="N244" i="3"/>
  <c r="O244" i="3" s="1"/>
  <c r="M244" i="3"/>
  <c r="K244" i="3"/>
  <c r="M243" i="3"/>
  <c r="N243" i="3" s="1"/>
  <c r="O243" i="3" s="1"/>
  <c r="K243" i="3"/>
  <c r="M242" i="3"/>
  <c r="K242" i="3"/>
  <c r="N242" i="3" s="1"/>
  <c r="O242" i="3" s="1"/>
  <c r="M241" i="3"/>
  <c r="K241" i="3"/>
  <c r="N241" i="3" s="1"/>
  <c r="O241" i="3" s="1"/>
  <c r="M240" i="3"/>
  <c r="K240" i="3"/>
  <c r="M239" i="3"/>
  <c r="K239" i="3"/>
  <c r="N239" i="3" s="1"/>
  <c r="O239" i="3" s="1"/>
  <c r="M238" i="3"/>
  <c r="N238" i="3" s="1"/>
  <c r="O238" i="3" s="1"/>
  <c r="K238" i="3"/>
  <c r="N237" i="3"/>
  <c r="O237" i="3" s="1"/>
  <c r="M237" i="3"/>
  <c r="K237" i="3"/>
  <c r="M236" i="3"/>
  <c r="K236" i="3"/>
  <c r="N236" i="3" s="1"/>
  <c r="O236" i="3" s="1"/>
  <c r="M235" i="3"/>
  <c r="K235" i="3"/>
  <c r="O234" i="3"/>
  <c r="N234" i="3"/>
  <c r="M234" i="3"/>
  <c r="K234" i="3"/>
  <c r="M233" i="3"/>
  <c r="N233" i="3" s="1"/>
  <c r="O233" i="3" s="1"/>
  <c r="K233" i="3"/>
  <c r="M232" i="3"/>
  <c r="K232" i="3"/>
  <c r="N232" i="3" s="1"/>
  <c r="O232" i="3" s="1"/>
  <c r="N231" i="3"/>
  <c r="O231" i="3" s="1"/>
  <c r="M231" i="3"/>
  <c r="K231" i="3"/>
  <c r="M230" i="3"/>
  <c r="K230" i="3"/>
  <c r="N230" i="3" s="1"/>
  <c r="O230" i="3" s="1"/>
  <c r="N229" i="3"/>
  <c r="O229" i="3" s="1"/>
  <c r="M229" i="3"/>
  <c r="K229" i="3"/>
  <c r="O228" i="3"/>
  <c r="N228" i="3"/>
  <c r="M228" i="3"/>
  <c r="K228" i="3"/>
  <c r="M227" i="3"/>
  <c r="K227" i="3"/>
  <c r="N227" i="3" s="1"/>
  <c r="O227" i="3" s="1"/>
  <c r="M226" i="3"/>
  <c r="K226" i="3"/>
  <c r="N226" i="3" s="1"/>
  <c r="O226" i="3" s="1"/>
  <c r="M225" i="3"/>
  <c r="K225" i="3"/>
  <c r="N225" i="3" s="1"/>
  <c r="O225" i="3" s="1"/>
  <c r="M224" i="3"/>
  <c r="K224" i="3"/>
  <c r="N224" i="3" s="1"/>
  <c r="O224" i="3" s="1"/>
  <c r="M223" i="3"/>
  <c r="N223" i="3" s="1"/>
  <c r="O223" i="3" s="1"/>
  <c r="K223" i="3"/>
  <c r="M222" i="3"/>
  <c r="K222" i="3"/>
  <c r="N222" i="3" s="1"/>
  <c r="O222" i="3" s="1"/>
  <c r="M221" i="3"/>
  <c r="K221" i="3"/>
  <c r="N221" i="3" s="1"/>
  <c r="O221" i="3" s="1"/>
  <c r="O220" i="3"/>
  <c r="M220" i="3"/>
  <c r="K220" i="3"/>
  <c r="N220" i="3" s="1"/>
  <c r="M219" i="3"/>
  <c r="K219" i="3"/>
  <c r="N219" i="3" s="1"/>
  <c r="O219" i="3" s="1"/>
  <c r="M218" i="3"/>
  <c r="N218" i="3" s="1"/>
  <c r="O218" i="3" s="1"/>
  <c r="K218" i="3"/>
  <c r="M217" i="3"/>
  <c r="K217" i="3"/>
  <c r="N217" i="3" s="1"/>
  <c r="O217" i="3" s="1"/>
  <c r="N216" i="3"/>
  <c r="O216" i="3" s="1"/>
  <c r="M216" i="3"/>
  <c r="K216" i="3"/>
  <c r="M215" i="3"/>
  <c r="K215" i="3"/>
  <c r="O214" i="3"/>
  <c r="N214" i="3"/>
  <c r="M214" i="3"/>
  <c r="K214" i="3"/>
  <c r="O213" i="3"/>
  <c r="N213" i="3"/>
  <c r="M213" i="3"/>
  <c r="K213" i="3"/>
  <c r="M212" i="3"/>
  <c r="K212" i="3"/>
  <c r="N212" i="3" s="1"/>
  <c r="O212" i="3" s="1"/>
  <c r="O211" i="3"/>
  <c r="N211" i="3"/>
  <c r="M211" i="3"/>
  <c r="K211" i="3"/>
  <c r="M210" i="3"/>
  <c r="K210" i="3"/>
  <c r="N210" i="3" s="1"/>
  <c r="O210" i="3" s="1"/>
  <c r="N209" i="3"/>
  <c r="O209" i="3" s="1"/>
  <c r="M209" i="3"/>
  <c r="K209" i="3"/>
  <c r="N208" i="3"/>
  <c r="O208" i="3" s="1"/>
  <c r="M208" i="3"/>
  <c r="K208" i="3"/>
  <c r="M207" i="3"/>
  <c r="K207" i="3"/>
  <c r="N207" i="3" s="1"/>
  <c r="O207" i="3" s="1"/>
  <c r="N206" i="3"/>
  <c r="O206" i="3" s="1"/>
  <c r="M206" i="3"/>
  <c r="K206" i="3"/>
  <c r="O205" i="3"/>
  <c r="M205" i="3"/>
  <c r="K205" i="3"/>
  <c r="N205" i="3" s="1"/>
  <c r="M204" i="3"/>
  <c r="K204" i="3"/>
  <c r="M203" i="3"/>
  <c r="N203" i="3" s="1"/>
  <c r="O203" i="3" s="1"/>
  <c r="K203" i="3"/>
  <c r="N202" i="3"/>
  <c r="O202" i="3" s="1"/>
  <c r="M202" i="3"/>
  <c r="K202" i="3"/>
  <c r="M201" i="3"/>
  <c r="N201" i="3" s="1"/>
  <c r="O201" i="3" s="1"/>
  <c r="K201" i="3"/>
  <c r="M200" i="3"/>
  <c r="K200" i="3"/>
  <c r="M199" i="3"/>
  <c r="K199" i="3"/>
  <c r="N199" i="3" s="1"/>
  <c r="O199" i="3" s="1"/>
  <c r="O198" i="3"/>
  <c r="N198" i="3"/>
  <c r="M198" i="3"/>
  <c r="K198" i="3"/>
  <c r="M197" i="3"/>
  <c r="K197" i="3"/>
  <c r="N197" i="3" s="1"/>
  <c r="O197" i="3" s="1"/>
  <c r="M196" i="3"/>
  <c r="K196" i="3"/>
  <c r="N196" i="3" s="1"/>
  <c r="O196" i="3" s="1"/>
  <c r="M195" i="3"/>
  <c r="K195" i="3"/>
  <c r="N195" i="3" s="1"/>
  <c r="O195" i="3" s="1"/>
  <c r="N194" i="3"/>
  <c r="O194" i="3" s="1"/>
  <c r="M194" i="3"/>
  <c r="K194" i="3"/>
  <c r="O193" i="3"/>
  <c r="M193" i="3"/>
  <c r="K193" i="3"/>
  <c r="N193" i="3" s="1"/>
  <c r="N192" i="3"/>
  <c r="O192" i="3" s="1"/>
  <c r="M192" i="3"/>
  <c r="K192" i="3"/>
  <c r="O191" i="3"/>
  <c r="M191" i="3"/>
  <c r="K191" i="3"/>
  <c r="N191" i="3" s="1"/>
  <c r="M190" i="3"/>
  <c r="K190" i="3"/>
  <c r="N190" i="3" s="1"/>
  <c r="O190" i="3" s="1"/>
  <c r="M189" i="3"/>
  <c r="N189" i="3" s="1"/>
  <c r="O189" i="3" s="1"/>
  <c r="K189" i="3"/>
  <c r="O188" i="3"/>
  <c r="M188" i="3"/>
  <c r="N188" i="3" s="1"/>
  <c r="K188" i="3"/>
  <c r="M187" i="3"/>
  <c r="K187" i="3"/>
  <c r="N187" i="3" s="1"/>
  <c r="O187" i="3" s="1"/>
  <c r="M186" i="3"/>
  <c r="K186" i="3"/>
  <c r="N186" i="3" s="1"/>
  <c r="O186" i="3" s="1"/>
  <c r="N185" i="3"/>
  <c r="O185" i="3" s="1"/>
  <c r="M185" i="3"/>
  <c r="K185" i="3"/>
  <c r="M184" i="3"/>
  <c r="N184" i="3" s="1"/>
  <c r="O184" i="3" s="1"/>
  <c r="K184" i="3"/>
  <c r="M183" i="3"/>
  <c r="K183" i="3"/>
  <c r="N183" i="3" s="1"/>
  <c r="O183" i="3" s="1"/>
  <c r="M182" i="3"/>
  <c r="K182" i="3"/>
  <c r="N182" i="3" s="1"/>
  <c r="O182" i="3" s="1"/>
  <c r="O181" i="3"/>
  <c r="M181" i="3"/>
  <c r="K181" i="3"/>
  <c r="N181" i="3" s="1"/>
  <c r="M180" i="3"/>
  <c r="K180" i="3"/>
  <c r="N180" i="3" s="1"/>
  <c r="O180" i="3" s="1"/>
  <c r="M179" i="3"/>
  <c r="N179" i="3" s="1"/>
  <c r="O179" i="3" s="1"/>
  <c r="K179" i="3"/>
  <c r="N178" i="3"/>
  <c r="O178" i="3" s="1"/>
  <c r="M178" i="3"/>
  <c r="K178" i="3"/>
  <c r="N177" i="3"/>
  <c r="O177" i="3" s="1"/>
  <c r="M177" i="3"/>
  <c r="K177" i="3"/>
  <c r="M176" i="3"/>
  <c r="K176" i="3"/>
  <c r="N176" i="3" s="1"/>
  <c r="O176" i="3" s="1"/>
  <c r="O175" i="3"/>
  <c r="N175" i="3"/>
  <c r="M175" i="3"/>
  <c r="K175" i="3"/>
  <c r="N174" i="3"/>
  <c r="O174" i="3" s="1"/>
  <c r="M174" i="3"/>
  <c r="K174" i="3"/>
  <c r="M173" i="3"/>
  <c r="K173" i="3"/>
  <c r="N173" i="3" s="1"/>
  <c r="O173" i="3" s="1"/>
  <c r="O172" i="3"/>
  <c r="N172" i="3"/>
  <c r="M172" i="3"/>
  <c r="K172" i="3"/>
  <c r="M171" i="3"/>
  <c r="K171" i="3"/>
  <c r="N171" i="3" s="1"/>
  <c r="O171" i="3" s="1"/>
  <c r="M170" i="3"/>
  <c r="K170" i="3"/>
  <c r="N170" i="3" s="1"/>
  <c r="O170" i="3" s="1"/>
  <c r="N169" i="3"/>
  <c r="O169" i="3" s="1"/>
  <c r="M169" i="3"/>
  <c r="K169" i="3"/>
  <c r="M168" i="3"/>
  <c r="K168" i="3"/>
  <c r="N168" i="3" s="1"/>
  <c r="O168" i="3" s="1"/>
  <c r="O167" i="3"/>
  <c r="M167" i="3"/>
  <c r="K167" i="3"/>
  <c r="N167" i="3" s="1"/>
  <c r="M166" i="3"/>
  <c r="K166" i="3"/>
  <c r="N166" i="3" s="1"/>
  <c r="O166" i="3" s="1"/>
  <c r="M165" i="3"/>
  <c r="K165" i="3"/>
  <c r="N165" i="3" s="1"/>
  <c r="O165" i="3" s="1"/>
  <c r="M164" i="3"/>
  <c r="K164" i="3"/>
  <c r="N164" i="3" s="1"/>
  <c r="O164" i="3" s="1"/>
  <c r="M163" i="3"/>
  <c r="K163" i="3"/>
  <c r="N163" i="3" s="1"/>
  <c r="O163" i="3" s="1"/>
  <c r="M162" i="3"/>
  <c r="K162" i="3"/>
  <c r="N162" i="3" s="1"/>
  <c r="O162" i="3" s="1"/>
  <c r="O161" i="3"/>
  <c r="N161" i="3"/>
  <c r="M161" i="3"/>
  <c r="K161" i="3"/>
  <c r="M160" i="3"/>
  <c r="K160" i="3"/>
  <c r="N160" i="3" s="1"/>
  <c r="O160" i="3" s="1"/>
  <c r="M159" i="3"/>
  <c r="K159" i="3"/>
  <c r="N159" i="3" s="1"/>
  <c r="O159" i="3" s="1"/>
  <c r="M158" i="3"/>
  <c r="K158" i="3"/>
  <c r="N158" i="3" s="1"/>
  <c r="O158" i="3" s="1"/>
  <c r="M157" i="3"/>
  <c r="K157" i="3"/>
  <c r="N157" i="3" s="1"/>
  <c r="O157" i="3" s="1"/>
  <c r="M156" i="3"/>
  <c r="N156" i="3" s="1"/>
  <c r="O156" i="3" s="1"/>
  <c r="K156" i="3"/>
  <c r="M155" i="3"/>
  <c r="K155" i="3"/>
  <c r="N155" i="3" s="1"/>
  <c r="O155" i="3" s="1"/>
  <c r="N154" i="3"/>
  <c r="O154" i="3" s="1"/>
  <c r="M154" i="3"/>
  <c r="K154" i="3"/>
  <c r="M153" i="3"/>
  <c r="K153" i="3"/>
  <c r="N153" i="3" s="1"/>
  <c r="O153" i="3" s="1"/>
  <c r="N152" i="3"/>
  <c r="O152" i="3" s="1"/>
  <c r="M152" i="3"/>
  <c r="K152" i="3"/>
  <c r="N151" i="3"/>
  <c r="O151" i="3" s="1"/>
  <c r="M151" i="3"/>
  <c r="K151" i="3"/>
  <c r="M150" i="3"/>
  <c r="K150" i="3"/>
  <c r="N150" i="3" s="1"/>
  <c r="O150" i="3" s="1"/>
  <c r="N149" i="3"/>
  <c r="O149" i="3" s="1"/>
  <c r="M149" i="3"/>
  <c r="K149" i="3"/>
  <c r="M148" i="3"/>
  <c r="N148" i="3" s="1"/>
  <c r="O148" i="3" s="1"/>
  <c r="K148" i="3"/>
  <c r="M147" i="3"/>
  <c r="K147" i="3"/>
  <c r="N147" i="3" s="1"/>
  <c r="O147" i="3" s="1"/>
  <c r="M146" i="3"/>
  <c r="K146" i="3"/>
  <c r="N146" i="3" s="1"/>
  <c r="O146" i="3" s="1"/>
  <c r="M145" i="3"/>
  <c r="K145" i="3"/>
  <c r="N145" i="3" s="1"/>
  <c r="O145" i="3" s="1"/>
  <c r="M144" i="3"/>
  <c r="K144" i="3"/>
  <c r="N144" i="3" s="1"/>
  <c r="O144" i="3" s="1"/>
  <c r="M143" i="3"/>
  <c r="K143" i="3"/>
  <c r="N142" i="3"/>
  <c r="O142" i="3" s="1"/>
  <c r="M142" i="3"/>
  <c r="K142" i="3"/>
  <c r="M141" i="3"/>
  <c r="K141" i="3"/>
  <c r="N141" i="3" s="1"/>
  <c r="O141" i="3" s="1"/>
  <c r="N140" i="3"/>
  <c r="O140" i="3" s="1"/>
  <c r="M140" i="3"/>
  <c r="K140" i="3"/>
  <c r="M139" i="3"/>
  <c r="K139" i="3"/>
  <c r="M138" i="3"/>
  <c r="K138" i="3"/>
  <c r="N138" i="3" s="1"/>
  <c r="O138" i="3" s="1"/>
  <c r="M137" i="3"/>
  <c r="K137" i="3"/>
  <c r="N137" i="3" s="1"/>
  <c r="O137" i="3" s="1"/>
  <c r="N136" i="3"/>
  <c r="O136" i="3" s="1"/>
  <c r="M136" i="3"/>
  <c r="K136" i="3"/>
  <c r="M135" i="3"/>
  <c r="N135" i="3" s="1"/>
  <c r="O135" i="3" s="1"/>
  <c r="K135" i="3"/>
  <c r="N134" i="3"/>
  <c r="O134" i="3" s="1"/>
  <c r="M134" i="3"/>
  <c r="K134" i="3"/>
  <c r="N133" i="3"/>
  <c r="O133" i="3" s="1"/>
  <c r="M133" i="3"/>
  <c r="K133" i="3"/>
  <c r="M132" i="3"/>
  <c r="K132" i="3"/>
  <c r="N132" i="3" s="1"/>
  <c r="O132" i="3" s="1"/>
  <c r="M131" i="3"/>
  <c r="N131" i="3" s="1"/>
  <c r="O131" i="3" s="1"/>
  <c r="K131" i="3"/>
  <c r="M130" i="3"/>
  <c r="K130" i="3"/>
  <c r="N130" i="3" s="1"/>
  <c r="O130" i="3" s="1"/>
  <c r="M129" i="3"/>
  <c r="K129" i="3"/>
  <c r="N129" i="3" s="1"/>
  <c r="O129" i="3" s="1"/>
  <c r="O128" i="3"/>
  <c r="N128" i="3"/>
  <c r="M128" i="3"/>
  <c r="K128" i="3"/>
  <c r="M127" i="3"/>
  <c r="K127" i="3"/>
  <c r="N127" i="3" s="1"/>
  <c r="O127" i="3" s="1"/>
  <c r="M126" i="3"/>
  <c r="K126" i="3"/>
  <c r="M125" i="3"/>
  <c r="N125" i="3" s="1"/>
  <c r="O125" i="3" s="1"/>
  <c r="K125" i="3"/>
  <c r="M124" i="3"/>
  <c r="K124" i="3"/>
  <c r="N124" i="3" s="1"/>
  <c r="O124" i="3" s="1"/>
  <c r="M123" i="3"/>
  <c r="K123" i="3"/>
  <c r="N123" i="3" s="1"/>
  <c r="O123" i="3" s="1"/>
  <c r="O122" i="3"/>
  <c r="N122" i="3"/>
  <c r="M122" i="3"/>
  <c r="K122" i="3"/>
  <c r="M121" i="3"/>
  <c r="N121" i="3" s="1"/>
  <c r="O121" i="3" s="1"/>
  <c r="K121" i="3"/>
  <c r="M120" i="3"/>
  <c r="K120" i="3"/>
  <c r="N120" i="3" s="1"/>
  <c r="O120" i="3" s="1"/>
  <c r="N119" i="3"/>
  <c r="O119" i="3" s="1"/>
  <c r="M119" i="3"/>
  <c r="K119" i="3"/>
  <c r="M118" i="3"/>
  <c r="K118" i="3"/>
  <c r="N118" i="3" s="1"/>
  <c r="O118" i="3" s="1"/>
  <c r="M117" i="3"/>
  <c r="K117" i="3"/>
  <c r="N117" i="3" s="1"/>
  <c r="O117" i="3" s="1"/>
  <c r="M116" i="3"/>
  <c r="K116" i="3"/>
  <c r="N116" i="3" s="1"/>
  <c r="O116" i="3" s="1"/>
  <c r="M115" i="3"/>
  <c r="K115" i="3"/>
  <c r="N114" i="3"/>
  <c r="O114" i="3" s="1"/>
  <c r="M114" i="3"/>
  <c r="K114" i="3"/>
  <c r="M113" i="3"/>
  <c r="K113" i="3"/>
  <c r="N113" i="3" s="1"/>
  <c r="O113" i="3" s="1"/>
  <c r="M112" i="3"/>
  <c r="K112" i="3"/>
  <c r="N112" i="3" s="1"/>
  <c r="O112" i="3" s="1"/>
  <c r="M111" i="3"/>
  <c r="N111" i="3" s="1"/>
  <c r="O111" i="3" s="1"/>
  <c r="K111" i="3"/>
  <c r="M110" i="3"/>
  <c r="N110" i="3" s="1"/>
  <c r="O110" i="3" s="1"/>
  <c r="K110" i="3"/>
  <c r="M109" i="3"/>
  <c r="K109" i="3"/>
  <c r="N109" i="3" s="1"/>
  <c r="O109" i="3" s="1"/>
  <c r="N108" i="3"/>
  <c r="O108" i="3" s="1"/>
  <c r="M108" i="3"/>
  <c r="K108" i="3"/>
  <c r="N107" i="3"/>
  <c r="O107" i="3" s="1"/>
  <c r="M107" i="3"/>
  <c r="K107" i="3"/>
  <c r="M106" i="3"/>
  <c r="K106" i="3"/>
  <c r="M105" i="3"/>
  <c r="K105" i="3"/>
  <c r="N105" i="3" s="1"/>
  <c r="O105" i="3" s="1"/>
  <c r="N104" i="3"/>
  <c r="O104" i="3" s="1"/>
  <c r="M104" i="3"/>
  <c r="K104" i="3"/>
  <c r="M103" i="3"/>
  <c r="K103" i="3"/>
  <c r="N103" i="3" s="1"/>
  <c r="O103" i="3" s="1"/>
  <c r="M102" i="3"/>
  <c r="K102" i="3"/>
  <c r="N102" i="3" s="1"/>
  <c r="O102" i="3" s="1"/>
  <c r="M101" i="3"/>
  <c r="K101" i="3"/>
  <c r="N101" i="3" s="1"/>
  <c r="O101" i="3" s="1"/>
  <c r="M100" i="3"/>
  <c r="N100" i="3" s="1"/>
  <c r="O100" i="3" s="1"/>
  <c r="K100" i="3"/>
  <c r="M99" i="3"/>
  <c r="K99" i="3"/>
  <c r="N99" i="3" s="1"/>
  <c r="O99" i="3" s="1"/>
  <c r="M98" i="3"/>
  <c r="K98" i="3"/>
  <c r="O97" i="3"/>
  <c r="N97" i="3"/>
  <c r="M97" i="3"/>
  <c r="K97" i="3"/>
  <c r="M96" i="3"/>
  <c r="N96" i="3" s="1"/>
  <c r="O96" i="3" s="1"/>
  <c r="K96" i="3"/>
  <c r="M95" i="3"/>
  <c r="K95" i="3"/>
  <c r="N95" i="3" s="1"/>
  <c r="O95" i="3" s="1"/>
  <c r="N94" i="3"/>
  <c r="O94" i="3" s="1"/>
  <c r="M94" i="3"/>
  <c r="K94" i="3"/>
  <c r="M93" i="3"/>
  <c r="K93" i="3"/>
  <c r="N93" i="3" s="1"/>
  <c r="O93" i="3" s="1"/>
  <c r="M92" i="3"/>
  <c r="K92" i="3"/>
  <c r="N92" i="3" s="1"/>
  <c r="O92" i="3" s="1"/>
  <c r="M91" i="3"/>
  <c r="K91" i="3"/>
  <c r="N91" i="3" s="1"/>
  <c r="O91" i="3" s="1"/>
  <c r="M90" i="3"/>
  <c r="K90" i="3"/>
  <c r="N90" i="3" s="1"/>
  <c r="O90" i="3" s="1"/>
  <c r="N89" i="3"/>
  <c r="O89" i="3" s="1"/>
  <c r="M89" i="3"/>
  <c r="K89" i="3"/>
  <c r="M88" i="3"/>
  <c r="N88" i="3" s="1"/>
  <c r="O88" i="3" s="1"/>
  <c r="K88" i="3"/>
  <c r="N87" i="3"/>
  <c r="O87" i="3" s="1"/>
  <c r="M87" i="3"/>
  <c r="K87" i="3"/>
  <c r="M86" i="3"/>
  <c r="K86" i="3"/>
  <c r="N86" i="3" s="1"/>
  <c r="O86" i="3" s="1"/>
  <c r="M85" i="3"/>
  <c r="K85" i="3"/>
  <c r="N84" i="3"/>
  <c r="O84" i="3" s="1"/>
  <c r="M84" i="3"/>
  <c r="K84" i="3"/>
  <c r="M83" i="3"/>
  <c r="K83" i="3"/>
  <c r="N83" i="3" s="1"/>
  <c r="O83" i="3" s="1"/>
  <c r="N82" i="3"/>
  <c r="O82" i="3" s="1"/>
  <c r="M82" i="3"/>
  <c r="K82" i="3"/>
  <c r="O81" i="3"/>
  <c r="N81" i="3"/>
  <c r="M81" i="3"/>
  <c r="K81" i="3"/>
  <c r="M80" i="3"/>
  <c r="K80" i="3"/>
  <c r="N80" i="3" s="1"/>
  <c r="O80" i="3" s="1"/>
  <c r="N79" i="3"/>
  <c r="O79" i="3" s="1"/>
  <c r="M79" i="3"/>
  <c r="K79" i="3"/>
  <c r="O78" i="3"/>
  <c r="M78" i="3"/>
  <c r="K78" i="3"/>
  <c r="N78" i="3" s="1"/>
  <c r="O77" i="3"/>
  <c r="M77" i="3"/>
  <c r="K77" i="3"/>
  <c r="N77" i="3" s="1"/>
  <c r="N76" i="3"/>
  <c r="O76" i="3" s="1"/>
  <c r="M76" i="3"/>
  <c r="K76" i="3"/>
  <c r="M75" i="3"/>
  <c r="N75" i="3" s="1"/>
  <c r="O75" i="3" s="1"/>
  <c r="K75" i="3"/>
  <c r="O74" i="3"/>
  <c r="N74" i="3"/>
  <c r="M74" i="3"/>
  <c r="K74" i="3"/>
  <c r="M73" i="3"/>
  <c r="K73" i="3"/>
  <c r="N73" i="3" s="1"/>
  <c r="O73" i="3" s="1"/>
  <c r="M72" i="3"/>
  <c r="K72" i="3"/>
  <c r="N72" i="3" s="1"/>
  <c r="O72" i="3" s="1"/>
  <c r="N71" i="3"/>
  <c r="O71" i="3" s="1"/>
  <c r="M71" i="3"/>
  <c r="K71" i="3"/>
  <c r="M70" i="3"/>
  <c r="N70" i="3" s="1"/>
  <c r="O70" i="3" s="1"/>
  <c r="K70" i="3"/>
  <c r="M69" i="3"/>
  <c r="K69" i="3"/>
  <c r="O68" i="3"/>
  <c r="M68" i="3"/>
  <c r="K68" i="3"/>
  <c r="N68" i="3" s="1"/>
  <c r="M67" i="3"/>
  <c r="K67" i="3"/>
  <c r="N67" i="3" s="1"/>
  <c r="O67" i="3" s="1"/>
  <c r="O66" i="3"/>
  <c r="M66" i="3"/>
  <c r="N66" i="3" s="1"/>
  <c r="K66" i="3"/>
  <c r="M65" i="3"/>
  <c r="N65" i="3" s="1"/>
  <c r="O65" i="3" s="1"/>
  <c r="K65" i="3"/>
  <c r="M64" i="3"/>
  <c r="K64" i="3"/>
  <c r="N64" i="3" s="1"/>
  <c r="O64" i="3" s="1"/>
  <c r="O63" i="3"/>
  <c r="M63" i="3"/>
  <c r="K63" i="3"/>
  <c r="N63" i="3" s="1"/>
  <c r="M62" i="3"/>
  <c r="K62" i="3"/>
  <c r="N62" i="3" s="1"/>
  <c r="O62" i="3" s="1"/>
  <c r="M61" i="3"/>
  <c r="N61" i="3" s="1"/>
  <c r="O61" i="3" s="1"/>
  <c r="K61" i="3"/>
  <c r="M60" i="3"/>
  <c r="N60" i="3" s="1"/>
  <c r="O60" i="3" s="1"/>
  <c r="K60" i="3"/>
  <c r="N59" i="3"/>
  <c r="O59" i="3" s="1"/>
  <c r="M59" i="3"/>
  <c r="K59" i="3"/>
  <c r="M58" i="3"/>
  <c r="K58" i="3"/>
  <c r="N58" i="3" s="1"/>
  <c r="O58" i="3" s="1"/>
  <c r="M57" i="3"/>
  <c r="K57" i="3"/>
  <c r="O56" i="3"/>
  <c r="N56" i="3"/>
  <c r="M56" i="3"/>
  <c r="K56" i="3"/>
  <c r="M55" i="3"/>
  <c r="N55" i="3" s="1"/>
  <c r="O55" i="3" s="1"/>
  <c r="K55" i="3"/>
  <c r="M54" i="3"/>
  <c r="N54" i="3" s="1"/>
  <c r="O54" i="3" s="1"/>
  <c r="K54" i="3"/>
  <c r="M53" i="3"/>
  <c r="K53" i="3"/>
  <c r="N53" i="3" s="1"/>
  <c r="O53" i="3" s="1"/>
  <c r="O52" i="3"/>
  <c r="M52" i="3"/>
  <c r="K52" i="3"/>
  <c r="N52" i="3" s="1"/>
  <c r="N51" i="3"/>
  <c r="O51" i="3" s="1"/>
  <c r="M51" i="3"/>
  <c r="K51" i="3"/>
  <c r="M50" i="3"/>
  <c r="N50" i="3" s="1"/>
  <c r="O50" i="3" s="1"/>
  <c r="K50" i="3"/>
  <c r="N49" i="3"/>
  <c r="O49" i="3" s="1"/>
  <c r="M49" i="3"/>
  <c r="K49" i="3"/>
  <c r="M48" i="3"/>
  <c r="K48" i="3"/>
  <c r="N48" i="3" s="1"/>
  <c r="O48" i="3" s="1"/>
  <c r="M47" i="3"/>
  <c r="K47" i="3"/>
  <c r="N47" i="3" s="1"/>
  <c r="O47" i="3" s="1"/>
  <c r="N46" i="3"/>
  <c r="O46" i="3" s="1"/>
  <c r="M46" i="3"/>
  <c r="K46" i="3"/>
  <c r="M45" i="3"/>
  <c r="N45" i="3" s="1"/>
  <c r="O45" i="3" s="1"/>
  <c r="K45" i="3"/>
  <c r="M44" i="3"/>
  <c r="K44" i="3"/>
  <c r="O43" i="3"/>
  <c r="M43" i="3"/>
  <c r="K43" i="3"/>
  <c r="N43" i="3" s="1"/>
  <c r="M42" i="3"/>
  <c r="K42" i="3"/>
  <c r="N42" i="3" s="1"/>
  <c r="O42" i="3" s="1"/>
  <c r="O41" i="3"/>
  <c r="M41" i="3"/>
  <c r="N41" i="3" s="1"/>
  <c r="K41" i="3"/>
  <c r="M40" i="3"/>
  <c r="N40" i="3" s="1"/>
  <c r="O40" i="3" s="1"/>
  <c r="K40" i="3"/>
  <c r="M39" i="3"/>
  <c r="K39" i="3"/>
  <c r="N39" i="3" s="1"/>
  <c r="O39" i="3" s="1"/>
  <c r="M38" i="3"/>
  <c r="K38" i="3"/>
  <c r="N38" i="3" s="1"/>
  <c r="O38" i="3" s="1"/>
  <c r="O37" i="3"/>
  <c r="M37" i="3"/>
  <c r="K37" i="3"/>
  <c r="N37" i="3" s="1"/>
  <c r="M36" i="3"/>
  <c r="N36" i="3" s="1"/>
  <c r="O36" i="3" s="1"/>
  <c r="K36" i="3"/>
  <c r="M35" i="3"/>
  <c r="N35" i="3" s="1"/>
  <c r="O35" i="3" s="1"/>
  <c r="K35" i="3"/>
  <c r="M34" i="3"/>
  <c r="K34" i="3"/>
  <c r="N34" i="3" s="1"/>
  <c r="O34" i="3" s="1"/>
  <c r="M33" i="3"/>
  <c r="K33" i="3"/>
  <c r="N33" i="3" s="1"/>
  <c r="O33" i="3" s="1"/>
  <c r="M32" i="3"/>
  <c r="K32" i="3"/>
  <c r="M31" i="3"/>
  <c r="N31" i="3" s="1"/>
  <c r="O31" i="3" s="1"/>
  <c r="K31" i="3"/>
  <c r="M30" i="3"/>
  <c r="N30" i="3" s="1"/>
  <c r="O30" i="3" s="1"/>
  <c r="K30" i="3"/>
  <c r="M29" i="3"/>
  <c r="N29" i="3" s="1"/>
  <c r="O29" i="3" s="1"/>
  <c r="K29" i="3"/>
  <c r="O28" i="3"/>
  <c r="M28" i="3"/>
  <c r="K28" i="3"/>
  <c r="N28" i="3" s="1"/>
  <c r="O27" i="3"/>
  <c r="M27" i="3"/>
  <c r="K27" i="3"/>
  <c r="N27" i="3" s="1"/>
  <c r="M26" i="3"/>
  <c r="N26" i="3" s="1"/>
  <c r="O26" i="3" s="1"/>
  <c r="K26" i="3"/>
  <c r="M25" i="3"/>
  <c r="N25" i="3" s="1"/>
  <c r="O25" i="3" s="1"/>
  <c r="K25" i="3"/>
  <c r="N24" i="3"/>
  <c r="O24" i="3" s="1"/>
  <c r="M24" i="3"/>
  <c r="K24" i="3"/>
  <c r="M23" i="3"/>
  <c r="K23" i="3"/>
  <c r="N23" i="3" s="1"/>
  <c r="O23" i="3" s="1"/>
  <c r="M22" i="3"/>
  <c r="K22" i="3"/>
  <c r="N22" i="3" s="1"/>
  <c r="O22" i="3" s="1"/>
  <c r="N21" i="3"/>
  <c r="O21" i="3" s="1"/>
  <c r="M21" i="3"/>
  <c r="K21" i="3"/>
  <c r="M20" i="3"/>
  <c r="N20" i="3" s="1"/>
  <c r="O20" i="3" s="1"/>
  <c r="K20" i="3"/>
  <c r="M19" i="3"/>
  <c r="K19" i="3"/>
  <c r="N19" i="3" s="1"/>
  <c r="O19" i="3" s="1"/>
  <c r="O18" i="3"/>
  <c r="M18" i="3"/>
  <c r="K18" i="3"/>
  <c r="N18" i="3" s="1"/>
  <c r="M17" i="3"/>
  <c r="K17" i="3"/>
  <c r="N17" i="3" s="1"/>
  <c r="O17" i="3" s="1"/>
  <c r="M16" i="3"/>
  <c r="N16" i="3" s="1"/>
  <c r="O16" i="3" s="1"/>
  <c r="K16" i="3"/>
  <c r="M15" i="3"/>
  <c r="N15" i="3" s="1"/>
  <c r="O15" i="3" s="1"/>
  <c r="K15" i="3"/>
  <c r="M14" i="3"/>
  <c r="K14" i="3"/>
  <c r="N14" i="3" s="1"/>
  <c r="O14" i="3" s="1"/>
  <c r="O13" i="3"/>
  <c r="M13" i="3"/>
  <c r="K13" i="3"/>
  <c r="N13" i="3" s="1"/>
  <c r="M12" i="3"/>
  <c r="K12" i="3"/>
  <c r="M11" i="3"/>
  <c r="N11" i="3" s="1"/>
  <c r="O11" i="3" s="1"/>
  <c r="K11" i="3"/>
  <c r="M10" i="3"/>
  <c r="N10" i="3" s="1"/>
  <c r="O10" i="3" s="1"/>
  <c r="K10" i="3"/>
  <c r="M9" i="3"/>
  <c r="K9" i="3"/>
  <c r="N9" i="3" s="1"/>
  <c r="O9" i="3" s="1"/>
  <c r="M8" i="3"/>
  <c r="K8" i="3"/>
  <c r="O1000" i="2"/>
  <c r="M1000" i="2"/>
  <c r="K1000" i="2"/>
  <c r="O999" i="2"/>
  <c r="N999" i="2"/>
  <c r="M999" i="2"/>
  <c r="K999" i="2"/>
  <c r="O998" i="2"/>
  <c r="M998" i="2"/>
  <c r="N998" i="2" s="1"/>
  <c r="K998" i="2"/>
  <c r="O997" i="2"/>
  <c r="M997" i="2"/>
  <c r="K997" i="2"/>
  <c r="N997" i="2" s="1"/>
  <c r="O996" i="2"/>
  <c r="M996" i="2"/>
  <c r="K996" i="2"/>
  <c r="N996" i="2" s="1"/>
  <c r="O995" i="2"/>
  <c r="M995" i="2"/>
  <c r="K995" i="2"/>
  <c r="N995" i="2" s="1"/>
  <c r="O994" i="2"/>
  <c r="N994" i="2"/>
  <c r="M994" i="2"/>
  <c r="K994" i="2"/>
  <c r="O993" i="2"/>
  <c r="M993" i="2"/>
  <c r="N993" i="2" s="1"/>
  <c r="K993" i="2"/>
  <c r="O992" i="2"/>
  <c r="M992" i="2"/>
  <c r="K992" i="2"/>
  <c r="N992" i="2" s="1"/>
  <c r="O991" i="2"/>
  <c r="M991" i="2"/>
  <c r="K991" i="2"/>
  <c r="N991" i="2" s="1"/>
  <c r="O990" i="2"/>
  <c r="M990" i="2"/>
  <c r="K990" i="2"/>
  <c r="O989" i="2"/>
  <c r="M989" i="2"/>
  <c r="N989" i="2" s="1"/>
  <c r="K989" i="2"/>
  <c r="O988" i="2"/>
  <c r="M988" i="2"/>
  <c r="N988" i="2" s="1"/>
  <c r="K988" i="2"/>
  <c r="O987" i="2"/>
  <c r="M987" i="2"/>
  <c r="N987" i="2" s="1"/>
  <c r="K987" i="2"/>
  <c r="O986" i="2"/>
  <c r="M986" i="2"/>
  <c r="K986" i="2"/>
  <c r="N986" i="2" s="1"/>
  <c r="O985" i="2"/>
  <c r="M985" i="2"/>
  <c r="K985" i="2"/>
  <c r="N985" i="2" s="1"/>
  <c r="O984" i="2"/>
  <c r="M984" i="2"/>
  <c r="N984" i="2" s="1"/>
  <c r="K984" i="2"/>
  <c r="O983" i="2"/>
  <c r="M983" i="2"/>
  <c r="N983" i="2" s="1"/>
  <c r="K983" i="2"/>
  <c r="O982" i="2"/>
  <c r="M982" i="2"/>
  <c r="K982" i="2"/>
  <c r="N982" i="2" s="1"/>
  <c r="O981" i="2"/>
  <c r="M981" i="2"/>
  <c r="K981" i="2"/>
  <c r="O980" i="2"/>
  <c r="M980" i="2"/>
  <c r="K980" i="2"/>
  <c r="N980" i="2" s="1"/>
  <c r="O979" i="2"/>
  <c r="M979" i="2"/>
  <c r="N979" i="2" s="1"/>
  <c r="K979" i="2"/>
  <c r="O978" i="2"/>
  <c r="M978" i="2"/>
  <c r="N978" i="2" s="1"/>
  <c r="K978" i="2"/>
  <c r="O977" i="2"/>
  <c r="M977" i="2"/>
  <c r="K977" i="2"/>
  <c r="N977" i="2" s="1"/>
  <c r="O976" i="2"/>
  <c r="M976" i="2"/>
  <c r="K976" i="2"/>
  <c r="N976" i="2" s="1"/>
  <c r="O975" i="2"/>
  <c r="M975" i="2"/>
  <c r="K975" i="2"/>
  <c r="O974" i="2"/>
  <c r="M974" i="2"/>
  <c r="N974" i="2" s="1"/>
  <c r="K974" i="2"/>
  <c r="O973" i="2"/>
  <c r="M973" i="2"/>
  <c r="N973" i="2" s="1"/>
  <c r="K973" i="2"/>
  <c r="O972" i="2"/>
  <c r="N972" i="2"/>
  <c r="M972" i="2"/>
  <c r="K972" i="2"/>
  <c r="O971" i="2"/>
  <c r="M971" i="2"/>
  <c r="K971" i="2"/>
  <c r="O970" i="2"/>
  <c r="M970" i="2"/>
  <c r="K970" i="2"/>
  <c r="O969" i="2"/>
  <c r="N969" i="2"/>
  <c r="M969" i="2"/>
  <c r="K969" i="2"/>
  <c r="O968" i="2"/>
  <c r="M968" i="2"/>
  <c r="N968" i="2" s="1"/>
  <c r="K968" i="2"/>
  <c r="O967" i="2"/>
  <c r="M967" i="2"/>
  <c r="K967" i="2"/>
  <c r="N967" i="2" s="1"/>
  <c r="O966" i="2"/>
  <c r="M966" i="2"/>
  <c r="K966" i="2"/>
  <c r="O965" i="2"/>
  <c r="M965" i="2"/>
  <c r="K965" i="2"/>
  <c r="O964" i="2"/>
  <c r="N964" i="2"/>
  <c r="M964" i="2"/>
  <c r="K964" i="2"/>
  <c r="O963" i="2"/>
  <c r="M963" i="2"/>
  <c r="N963" i="2" s="1"/>
  <c r="K963" i="2"/>
  <c r="O962" i="2"/>
  <c r="N962" i="2"/>
  <c r="M962" i="2"/>
  <c r="K962" i="2"/>
  <c r="O961" i="2"/>
  <c r="M961" i="2"/>
  <c r="K961" i="2"/>
  <c r="N961" i="2" s="1"/>
  <c r="O960" i="2"/>
  <c r="M960" i="2"/>
  <c r="K960" i="2"/>
  <c r="O959" i="2"/>
  <c r="N959" i="2"/>
  <c r="M959" i="2"/>
  <c r="K959" i="2"/>
  <c r="O958" i="2"/>
  <c r="M958" i="2"/>
  <c r="N958" i="2" s="1"/>
  <c r="K958" i="2"/>
  <c r="O957" i="2"/>
  <c r="M957" i="2"/>
  <c r="K957" i="2"/>
  <c r="N957" i="2" s="1"/>
  <c r="O956" i="2"/>
  <c r="M956" i="2"/>
  <c r="K956" i="2"/>
  <c r="O955" i="2"/>
  <c r="M955" i="2"/>
  <c r="K955" i="2"/>
  <c r="O954" i="2"/>
  <c r="N954" i="2"/>
  <c r="M954" i="2"/>
  <c r="K954" i="2"/>
  <c r="O953" i="2"/>
  <c r="M953" i="2"/>
  <c r="N953" i="2" s="1"/>
  <c r="K953" i="2"/>
  <c r="O952" i="2"/>
  <c r="M952" i="2"/>
  <c r="K952" i="2"/>
  <c r="N952" i="2" s="1"/>
  <c r="O951" i="2"/>
  <c r="M951" i="2"/>
  <c r="K951" i="2"/>
  <c r="N951" i="2" s="1"/>
  <c r="O950" i="2"/>
  <c r="M950" i="2"/>
  <c r="K950" i="2"/>
  <c r="O949" i="2"/>
  <c r="N949" i="2"/>
  <c r="M949" i="2"/>
  <c r="K949" i="2"/>
  <c r="O948" i="2"/>
  <c r="M948" i="2"/>
  <c r="N948" i="2" s="1"/>
  <c r="K948" i="2"/>
  <c r="O947" i="2"/>
  <c r="N947" i="2"/>
  <c r="M947" i="2"/>
  <c r="K947" i="2"/>
  <c r="O946" i="2"/>
  <c r="M946" i="2"/>
  <c r="K946" i="2"/>
  <c r="N946" i="2" s="1"/>
  <c r="O945" i="2"/>
  <c r="M945" i="2"/>
  <c r="K945" i="2"/>
  <c r="N945" i="2" s="1"/>
  <c r="O944" i="2"/>
  <c r="N944" i="2"/>
  <c r="M944" i="2"/>
  <c r="K944" i="2"/>
  <c r="O943" i="2"/>
  <c r="M943" i="2"/>
  <c r="N943" i="2" s="1"/>
  <c r="K943" i="2"/>
  <c r="O942" i="2"/>
  <c r="M942" i="2"/>
  <c r="K942" i="2"/>
  <c r="N942" i="2" s="1"/>
  <c r="O941" i="2"/>
  <c r="M941" i="2"/>
  <c r="K941" i="2"/>
  <c r="N941" i="2" s="1"/>
  <c r="O940" i="2"/>
  <c r="M940" i="2"/>
  <c r="K940" i="2"/>
  <c r="O939" i="2"/>
  <c r="M939" i="2"/>
  <c r="N939" i="2" s="1"/>
  <c r="K939" i="2"/>
  <c r="O938" i="2"/>
  <c r="M938" i="2"/>
  <c r="N938" i="2" s="1"/>
  <c r="K938" i="2"/>
  <c r="O937" i="2"/>
  <c r="M937" i="2"/>
  <c r="N937" i="2" s="1"/>
  <c r="K937" i="2"/>
  <c r="O936" i="2"/>
  <c r="M936" i="2"/>
  <c r="K936" i="2"/>
  <c r="N936" i="2" s="1"/>
  <c r="O935" i="2"/>
  <c r="M935" i="2"/>
  <c r="K935" i="2"/>
  <c r="N935" i="2" s="1"/>
  <c r="O934" i="2"/>
  <c r="M934" i="2"/>
  <c r="N934" i="2" s="1"/>
  <c r="K934" i="2"/>
  <c r="O933" i="2"/>
  <c r="M933" i="2"/>
  <c r="N933" i="2" s="1"/>
  <c r="K933" i="2"/>
  <c r="O932" i="2"/>
  <c r="M932" i="2"/>
  <c r="K932" i="2"/>
  <c r="N932" i="2" s="1"/>
  <c r="O931" i="2"/>
  <c r="M931" i="2"/>
  <c r="K931" i="2"/>
  <c r="O930" i="2"/>
  <c r="M930" i="2"/>
  <c r="K930" i="2"/>
  <c r="N930" i="2" s="1"/>
  <c r="O929" i="2"/>
  <c r="M929" i="2"/>
  <c r="N929" i="2" s="1"/>
  <c r="K929" i="2"/>
  <c r="O928" i="2"/>
  <c r="M928" i="2"/>
  <c r="N928" i="2" s="1"/>
  <c r="K928" i="2"/>
  <c r="O927" i="2"/>
  <c r="M927" i="2"/>
  <c r="K927" i="2"/>
  <c r="N927" i="2" s="1"/>
  <c r="O926" i="2"/>
  <c r="M926" i="2"/>
  <c r="K926" i="2"/>
  <c r="O925" i="2"/>
  <c r="M925" i="2"/>
  <c r="K925" i="2"/>
  <c r="O924" i="2"/>
  <c r="M924" i="2"/>
  <c r="N924" i="2" s="1"/>
  <c r="K924" i="2"/>
  <c r="O923" i="2"/>
  <c r="M923" i="2"/>
  <c r="N923" i="2" s="1"/>
  <c r="K923" i="2"/>
  <c r="O922" i="2"/>
  <c r="N922" i="2"/>
  <c r="M922" i="2"/>
  <c r="K922" i="2"/>
  <c r="O921" i="2"/>
  <c r="M921" i="2"/>
  <c r="K921" i="2"/>
  <c r="N921" i="2" s="1"/>
  <c r="O920" i="2"/>
  <c r="M920" i="2"/>
  <c r="K920" i="2"/>
  <c r="N920" i="2" s="1"/>
  <c r="O919" i="2"/>
  <c r="N919" i="2"/>
  <c r="M919" i="2"/>
  <c r="K919" i="2"/>
  <c r="O918" i="2"/>
  <c r="M918" i="2"/>
  <c r="N918" i="2" s="1"/>
  <c r="K918" i="2"/>
  <c r="O917" i="2"/>
  <c r="M917" i="2"/>
  <c r="K917" i="2"/>
  <c r="N917" i="2" s="1"/>
  <c r="O916" i="2"/>
  <c r="M916" i="2"/>
  <c r="K916" i="2"/>
  <c r="O915" i="2"/>
  <c r="M915" i="2"/>
  <c r="K915" i="2"/>
  <c r="N915" i="2" s="1"/>
  <c r="O914" i="2"/>
  <c r="M914" i="2"/>
  <c r="N914" i="2" s="1"/>
  <c r="K914" i="2"/>
  <c r="O913" i="2"/>
  <c r="M913" i="2"/>
  <c r="N913" i="2" s="1"/>
  <c r="K913" i="2"/>
  <c r="O912" i="2"/>
  <c r="M912" i="2"/>
  <c r="N912" i="2" s="1"/>
  <c r="K912" i="2"/>
  <c r="O911" i="2"/>
  <c r="M911" i="2"/>
  <c r="K911" i="2"/>
  <c r="N911" i="2" s="1"/>
  <c r="O910" i="2"/>
  <c r="M910" i="2"/>
  <c r="K910" i="2"/>
  <c r="O909" i="2"/>
  <c r="M909" i="2"/>
  <c r="N909" i="2" s="1"/>
  <c r="K909" i="2"/>
  <c r="O908" i="2"/>
  <c r="M908" i="2"/>
  <c r="N908" i="2" s="1"/>
  <c r="K908" i="2"/>
  <c r="O907" i="2"/>
  <c r="M907" i="2"/>
  <c r="K907" i="2"/>
  <c r="N907" i="2" s="1"/>
  <c r="O906" i="2"/>
  <c r="M906" i="2"/>
  <c r="K906" i="2"/>
  <c r="O905" i="2"/>
  <c r="M905" i="2"/>
  <c r="K905" i="2"/>
  <c r="N905" i="2" s="1"/>
  <c r="O904" i="2"/>
  <c r="N904" i="2"/>
  <c r="M904" i="2"/>
  <c r="K904" i="2"/>
  <c r="O903" i="2"/>
  <c r="M903" i="2"/>
  <c r="N903" i="2" s="1"/>
  <c r="K903" i="2"/>
  <c r="O902" i="2"/>
  <c r="M902" i="2"/>
  <c r="K902" i="2"/>
  <c r="N902" i="2" s="1"/>
  <c r="O901" i="2"/>
  <c r="M901" i="2"/>
  <c r="K901" i="2"/>
  <c r="N901" i="2" s="1"/>
  <c r="O900" i="2"/>
  <c r="M900" i="2"/>
  <c r="K900" i="2"/>
  <c r="O899" i="2"/>
  <c r="M899" i="2"/>
  <c r="N899" i="2" s="1"/>
  <c r="K899" i="2"/>
  <c r="O898" i="2"/>
  <c r="M898" i="2"/>
  <c r="N898" i="2" s="1"/>
  <c r="K898" i="2"/>
  <c r="O897" i="2"/>
  <c r="M897" i="2"/>
  <c r="K897" i="2"/>
  <c r="N897" i="2" s="1"/>
  <c r="O896" i="2"/>
  <c r="M896" i="2"/>
  <c r="K896" i="2"/>
  <c r="O895" i="2"/>
  <c r="M895" i="2"/>
  <c r="K895" i="2"/>
  <c r="N895" i="2" s="1"/>
  <c r="O894" i="2"/>
  <c r="N894" i="2"/>
  <c r="M894" i="2"/>
  <c r="K894" i="2"/>
  <c r="O893" i="2"/>
  <c r="M893" i="2"/>
  <c r="N893" i="2" s="1"/>
  <c r="K893" i="2"/>
  <c r="O892" i="2"/>
  <c r="M892" i="2"/>
  <c r="K892" i="2"/>
  <c r="N892" i="2" s="1"/>
  <c r="O891" i="2"/>
  <c r="M891" i="2"/>
  <c r="K891" i="2"/>
  <c r="N891" i="2" s="1"/>
  <c r="O890" i="2"/>
  <c r="M890" i="2"/>
  <c r="K890" i="2"/>
  <c r="N890" i="2" s="1"/>
  <c r="O889" i="2"/>
  <c r="M889" i="2"/>
  <c r="N889" i="2" s="1"/>
  <c r="K889" i="2"/>
  <c r="O888" i="2"/>
  <c r="M888" i="2"/>
  <c r="K888" i="2"/>
  <c r="N888" i="2" s="1"/>
  <c r="O887" i="2"/>
  <c r="N887" i="2"/>
  <c r="M887" i="2"/>
  <c r="K887" i="2"/>
  <c r="O886" i="2"/>
  <c r="M886" i="2"/>
  <c r="K886" i="2"/>
  <c r="N886" i="2" s="1"/>
  <c r="O885" i="2"/>
  <c r="M885" i="2"/>
  <c r="K885" i="2"/>
  <c r="N885" i="2" s="1"/>
  <c r="O884" i="2"/>
  <c r="N884" i="2"/>
  <c r="M884" i="2"/>
  <c r="K884" i="2"/>
  <c r="O883" i="2"/>
  <c r="M883" i="2"/>
  <c r="K883" i="2"/>
  <c r="N883" i="2" s="1"/>
  <c r="O882" i="2"/>
  <c r="M882" i="2"/>
  <c r="K882" i="2"/>
  <c r="N882" i="2" s="1"/>
  <c r="O881" i="2"/>
  <c r="M881" i="2"/>
  <c r="K881" i="2"/>
  <c r="O880" i="2"/>
  <c r="M880" i="2"/>
  <c r="K880" i="2"/>
  <c r="N880" i="2" s="1"/>
  <c r="O879" i="2"/>
  <c r="M879" i="2"/>
  <c r="N879" i="2" s="1"/>
  <c r="K879" i="2"/>
  <c r="O878" i="2"/>
  <c r="M878" i="2"/>
  <c r="K878" i="2"/>
  <c r="O877" i="2"/>
  <c r="M877" i="2"/>
  <c r="K877" i="2"/>
  <c r="O876" i="2"/>
  <c r="M876" i="2"/>
  <c r="K876" i="2"/>
  <c r="O875" i="2"/>
  <c r="M875" i="2"/>
  <c r="K875" i="2"/>
  <c r="O874" i="2"/>
  <c r="M874" i="2"/>
  <c r="N874" i="2" s="1"/>
  <c r="K874" i="2"/>
  <c r="O873" i="2"/>
  <c r="M873" i="2"/>
  <c r="K873" i="2"/>
  <c r="N873" i="2" s="1"/>
  <c r="O872" i="2"/>
  <c r="N872" i="2"/>
  <c r="M872" i="2"/>
  <c r="K872" i="2"/>
  <c r="O871" i="2"/>
  <c r="M871" i="2"/>
  <c r="K871" i="2"/>
  <c r="N871" i="2" s="1"/>
  <c r="O870" i="2"/>
  <c r="M870" i="2"/>
  <c r="K870" i="2"/>
  <c r="N870" i="2" s="1"/>
  <c r="O869" i="2"/>
  <c r="N869" i="2"/>
  <c r="M869" i="2"/>
  <c r="K869" i="2"/>
  <c r="O868" i="2"/>
  <c r="M868" i="2"/>
  <c r="N868" i="2" s="1"/>
  <c r="K868" i="2"/>
  <c r="O867" i="2"/>
  <c r="M867" i="2"/>
  <c r="N867" i="2" s="1"/>
  <c r="K867" i="2"/>
  <c r="O866" i="2"/>
  <c r="M866" i="2"/>
  <c r="K866" i="2"/>
  <c r="O865" i="2"/>
  <c r="M865" i="2"/>
  <c r="K865" i="2"/>
  <c r="N865" i="2" s="1"/>
  <c r="O864" i="2"/>
  <c r="M864" i="2"/>
  <c r="N864" i="2" s="1"/>
  <c r="K864" i="2"/>
  <c r="O863" i="2"/>
  <c r="M863" i="2"/>
  <c r="N863" i="2" s="1"/>
  <c r="K863" i="2"/>
  <c r="O862" i="2"/>
  <c r="M862" i="2"/>
  <c r="N862" i="2" s="1"/>
  <c r="K862" i="2"/>
  <c r="O861" i="2"/>
  <c r="M861" i="2"/>
  <c r="K861" i="2"/>
  <c r="O860" i="2"/>
  <c r="M860" i="2"/>
  <c r="K860" i="2"/>
  <c r="O859" i="2"/>
  <c r="M859" i="2"/>
  <c r="N859" i="2" s="1"/>
  <c r="K859" i="2"/>
  <c r="O858" i="2"/>
  <c r="M858" i="2"/>
  <c r="K858" i="2"/>
  <c r="O857" i="2"/>
  <c r="M857" i="2"/>
  <c r="K857" i="2"/>
  <c r="N857" i="2" s="1"/>
  <c r="O856" i="2"/>
  <c r="M856" i="2"/>
  <c r="K856" i="2"/>
  <c r="O855" i="2"/>
  <c r="M855" i="2"/>
  <c r="K855" i="2"/>
  <c r="O854" i="2"/>
  <c r="N854" i="2"/>
  <c r="M854" i="2"/>
  <c r="K854" i="2"/>
  <c r="O853" i="2"/>
  <c r="M853" i="2"/>
  <c r="K853" i="2"/>
  <c r="O852" i="2"/>
  <c r="N852" i="2"/>
  <c r="M852" i="2"/>
  <c r="K852" i="2"/>
  <c r="O851" i="2"/>
  <c r="M851" i="2"/>
  <c r="K851" i="2"/>
  <c r="N851" i="2" s="1"/>
  <c r="O850" i="2"/>
  <c r="M850" i="2"/>
  <c r="K850" i="2"/>
  <c r="O849" i="2"/>
  <c r="N849" i="2"/>
  <c r="M849" i="2"/>
  <c r="K849" i="2"/>
  <c r="O848" i="2"/>
  <c r="M848" i="2"/>
  <c r="K848" i="2"/>
  <c r="N848" i="2" s="1"/>
  <c r="O847" i="2"/>
  <c r="M847" i="2"/>
  <c r="K847" i="2"/>
  <c r="N847" i="2" s="1"/>
  <c r="O846" i="2"/>
  <c r="M846" i="2"/>
  <c r="K846" i="2"/>
  <c r="O845" i="2"/>
  <c r="M845" i="2"/>
  <c r="K845" i="2"/>
  <c r="N845" i="2" s="1"/>
  <c r="O844" i="2"/>
  <c r="M844" i="2"/>
  <c r="N844" i="2" s="1"/>
  <c r="K844" i="2"/>
  <c r="O843" i="2"/>
  <c r="N843" i="2"/>
  <c r="M843" i="2"/>
  <c r="K843" i="2"/>
  <c r="O842" i="2"/>
  <c r="M842" i="2"/>
  <c r="N842" i="2" s="1"/>
  <c r="K842" i="2"/>
  <c r="O841" i="2"/>
  <c r="M841" i="2"/>
  <c r="K841" i="2"/>
  <c r="N841" i="2" s="1"/>
  <c r="O840" i="2"/>
  <c r="M840" i="2"/>
  <c r="K840" i="2"/>
  <c r="N840" i="2" s="1"/>
  <c r="O839" i="2"/>
  <c r="N839" i="2"/>
  <c r="M839" i="2"/>
  <c r="K839" i="2"/>
  <c r="O838" i="2"/>
  <c r="M838" i="2"/>
  <c r="N838" i="2" s="1"/>
  <c r="K838" i="2"/>
  <c r="O837" i="2"/>
  <c r="M837" i="2"/>
  <c r="K837" i="2"/>
  <c r="N837" i="2" s="1"/>
  <c r="O836" i="2"/>
  <c r="M836" i="2"/>
  <c r="K836" i="2"/>
  <c r="O835" i="2"/>
  <c r="N835" i="2"/>
  <c r="M835" i="2"/>
  <c r="K835" i="2"/>
  <c r="O834" i="2"/>
  <c r="M834" i="2"/>
  <c r="N834" i="2" s="1"/>
  <c r="K834" i="2"/>
  <c r="O833" i="2"/>
  <c r="N833" i="2"/>
  <c r="M833" i="2"/>
  <c r="K833" i="2"/>
  <c r="O832" i="2"/>
  <c r="M832" i="2"/>
  <c r="K832" i="2"/>
  <c r="N832" i="2" s="1"/>
  <c r="O831" i="2"/>
  <c r="M831" i="2"/>
  <c r="K831" i="2"/>
  <c r="N831" i="2" s="1"/>
  <c r="O830" i="2"/>
  <c r="N830" i="2"/>
  <c r="M830" i="2"/>
  <c r="K830" i="2"/>
  <c r="O829" i="2"/>
  <c r="M829" i="2"/>
  <c r="N829" i="2" s="1"/>
  <c r="K829" i="2"/>
  <c r="O828" i="2"/>
  <c r="M828" i="2"/>
  <c r="K828" i="2"/>
  <c r="O827" i="2"/>
  <c r="M827" i="2"/>
  <c r="K827" i="2"/>
  <c r="N827" i="2" s="1"/>
  <c r="O826" i="2"/>
  <c r="M826" i="2"/>
  <c r="K826" i="2"/>
  <c r="O825" i="2"/>
  <c r="M825" i="2"/>
  <c r="K825" i="2"/>
  <c r="O824" i="2"/>
  <c r="M824" i="2"/>
  <c r="N824" i="2" s="1"/>
  <c r="K824" i="2"/>
  <c r="O823" i="2"/>
  <c r="M823" i="2"/>
  <c r="K823" i="2"/>
  <c r="N823" i="2" s="1"/>
  <c r="O822" i="2"/>
  <c r="N822" i="2"/>
  <c r="M822" i="2"/>
  <c r="K822" i="2"/>
  <c r="O821" i="2"/>
  <c r="M821" i="2"/>
  <c r="K821" i="2"/>
  <c r="N821" i="2" s="1"/>
  <c r="O820" i="2"/>
  <c r="M820" i="2"/>
  <c r="N820" i="2" s="1"/>
  <c r="K820" i="2"/>
  <c r="O819" i="2"/>
  <c r="N819" i="2"/>
  <c r="M819" i="2"/>
  <c r="K819" i="2"/>
  <c r="O818" i="2"/>
  <c r="N818" i="2"/>
  <c r="M818" i="2"/>
  <c r="K818" i="2"/>
  <c r="O817" i="2"/>
  <c r="M817" i="2"/>
  <c r="N817" i="2" s="1"/>
  <c r="K817" i="2"/>
  <c r="O816" i="2"/>
  <c r="M816" i="2"/>
  <c r="K816" i="2"/>
  <c r="N816" i="2" s="1"/>
  <c r="O815" i="2"/>
  <c r="M815" i="2"/>
  <c r="K815" i="2"/>
  <c r="O814" i="2"/>
  <c r="N814" i="2"/>
  <c r="M814" i="2"/>
  <c r="K814" i="2"/>
  <c r="O813" i="2"/>
  <c r="N813" i="2"/>
  <c r="M813" i="2"/>
  <c r="K813" i="2"/>
  <c r="O812" i="2"/>
  <c r="N812" i="2"/>
  <c r="M812" i="2"/>
  <c r="K812" i="2"/>
  <c r="O811" i="2"/>
  <c r="M811" i="2"/>
  <c r="K811" i="2"/>
  <c r="N811" i="2" s="1"/>
  <c r="O810" i="2"/>
  <c r="M810" i="2"/>
  <c r="K810" i="2"/>
  <c r="N810" i="2" s="1"/>
  <c r="O809" i="2"/>
  <c r="N809" i="2"/>
  <c r="M809" i="2"/>
  <c r="K809" i="2"/>
  <c r="O808" i="2"/>
  <c r="M808" i="2"/>
  <c r="K808" i="2"/>
  <c r="N808" i="2" s="1"/>
  <c r="O807" i="2"/>
  <c r="N807" i="2"/>
  <c r="M807" i="2"/>
  <c r="K807" i="2"/>
  <c r="O806" i="2"/>
  <c r="M806" i="2"/>
  <c r="K806" i="2"/>
  <c r="O805" i="2"/>
  <c r="M805" i="2"/>
  <c r="N805" i="2" s="1"/>
  <c r="K805" i="2"/>
  <c r="O804" i="2"/>
  <c r="N804" i="2"/>
  <c r="M804" i="2"/>
  <c r="K804" i="2"/>
  <c r="O803" i="2"/>
  <c r="M803" i="2"/>
  <c r="K803" i="2"/>
  <c r="N803" i="2" s="1"/>
  <c r="O802" i="2"/>
  <c r="M802" i="2"/>
  <c r="K802" i="2"/>
  <c r="O801" i="2"/>
  <c r="M801" i="2"/>
  <c r="K801" i="2"/>
  <c r="O800" i="2"/>
  <c r="M800" i="2"/>
  <c r="K800" i="2"/>
  <c r="N800" i="2" s="1"/>
  <c r="O799" i="2"/>
  <c r="M799" i="2"/>
  <c r="N799" i="2" s="1"/>
  <c r="K799" i="2"/>
  <c r="O798" i="2"/>
  <c r="M798" i="2"/>
  <c r="K798" i="2"/>
  <c r="N798" i="2" s="1"/>
  <c r="O797" i="2"/>
  <c r="M797" i="2"/>
  <c r="K797" i="2"/>
  <c r="N797" i="2" s="1"/>
  <c r="O796" i="2"/>
  <c r="M796" i="2"/>
  <c r="K796" i="2"/>
  <c r="O795" i="2"/>
  <c r="M795" i="2"/>
  <c r="K795" i="2"/>
  <c r="N795" i="2" s="1"/>
  <c r="O794" i="2"/>
  <c r="M794" i="2"/>
  <c r="N794" i="2" s="1"/>
  <c r="K794" i="2"/>
  <c r="O793" i="2"/>
  <c r="N793" i="2"/>
  <c r="M793" i="2"/>
  <c r="K793" i="2"/>
  <c r="O792" i="2"/>
  <c r="N792" i="2"/>
  <c r="M792" i="2"/>
  <c r="K792" i="2"/>
  <c r="O791" i="2"/>
  <c r="M791" i="2"/>
  <c r="K791" i="2"/>
  <c r="N791" i="2" s="1"/>
  <c r="O790" i="2"/>
  <c r="M790" i="2"/>
  <c r="K790" i="2"/>
  <c r="N790" i="2" s="1"/>
  <c r="O789" i="2"/>
  <c r="N789" i="2"/>
  <c r="M789" i="2"/>
  <c r="K789" i="2"/>
  <c r="O788" i="2"/>
  <c r="M788" i="2"/>
  <c r="N788" i="2" s="1"/>
  <c r="K788" i="2"/>
  <c r="O787" i="2"/>
  <c r="M787" i="2"/>
  <c r="K787" i="2"/>
  <c r="N787" i="2" s="1"/>
  <c r="O786" i="2"/>
  <c r="M786" i="2"/>
  <c r="K786" i="2"/>
  <c r="O785" i="2"/>
  <c r="N785" i="2"/>
  <c r="M785" i="2"/>
  <c r="K785" i="2"/>
  <c r="O784" i="2"/>
  <c r="M784" i="2"/>
  <c r="N784" i="2" s="1"/>
  <c r="K784" i="2"/>
  <c r="O783" i="2"/>
  <c r="N783" i="2"/>
  <c r="M783" i="2"/>
  <c r="K783" i="2"/>
  <c r="O782" i="2"/>
  <c r="M782" i="2"/>
  <c r="K782" i="2"/>
  <c r="N782" i="2" s="1"/>
  <c r="O781" i="2"/>
  <c r="M781" i="2"/>
  <c r="K781" i="2"/>
  <c r="N781" i="2" s="1"/>
  <c r="O780" i="2"/>
  <c r="N780" i="2"/>
  <c r="M780" i="2"/>
  <c r="K780" i="2"/>
  <c r="O779" i="2"/>
  <c r="M779" i="2"/>
  <c r="N779" i="2" s="1"/>
  <c r="K779" i="2"/>
  <c r="O778" i="2"/>
  <c r="M778" i="2"/>
  <c r="K778" i="2"/>
  <c r="N778" i="2" s="1"/>
  <c r="O777" i="2"/>
  <c r="M777" i="2"/>
  <c r="K777" i="2"/>
  <c r="N777" i="2" s="1"/>
  <c r="O776" i="2"/>
  <c r="M776" i="2"/>
  <c r="K776" i="2"/>
  <c r="O775" i="2"/>
  <c r="M775" i="2"/>
  <c r="K775" i="2"/>
  <c r="N775" i="2" s="1"/>
  <c r="O774" i="2"/>
  <c r="M774" i="2"/>
  <c r="N774" i="2" s="1"/>
  <c r="K774" i="2"/>
  <c r="O773" i="2"/>
  <c r="M773" i="2"/>
  <c r="K773" i="2"/>
  <c r="N773" i="2" s="1"/>
  <c r="O772" i="2"/>
  <c r="N772" i="2"/>
  <c r="M772" i="2"/>
  <c r="K772" i="2"/>
  <c r="O771" i="2"/>
  <c r="M771" i="2"/>
  <c r="K771" i="2"/>
  <c r="N771" i="2" s="1"/>
  <c r="O770" i="2"/>
  <c r="M770" i="2"/>
  <c r="N770" i="2" s="1"/>
  <c r="K770" i="2"/>
  <c r="O769" i="2"/>
  <c r="N769" i="2"/>
  <c r="M769" i="2"/>
  <c r="K769" i="2"/>
  <c r="O768" i="2"/>
  <c r="M768" i="2"/>
  <c r="K768" i="2"/>
  <c r="N768" i="2" s="1"/>
  <c r="O767" i="2"/>
  <c r="M767" i="2"/>
  <c r="N767" i="2" s="1"/>
  <c r="K767" i="2"/>
  <c r="O766" i="2"/>
  <c r="M766" i="2"/>
  <c r="K766" i="2"/>
  <c r="N766" i="2" s="1"/>
  <c r="O765" i="2"/>
  <c r="M765" i="2"/>
  <c r="K765" i="2"/>
  <c r="O764" i="2"/>
  <c r="N764" i="2"/>
  <c r="M764" i="2"/>
  <c r="K764" i="2"/>
  <c r="O763" i="2"/>
  <c r="N763" i="2"/>
  <c r="M763" i="2"/>
  <c r="K763" i="2"/>
  <c r="O762" i="2"/>
  <c r="N762" i="2"/>
  <c r="M762" i="2"/>
  <c r="K762" i="2"/>
  <c r="O761" i="2"/>
  <c r="M761" i="2"/>
  <c r="K761" i="2"/>
  <c r="N761" i="2" s="1"/>
  <c r="O760" i="2"/>
  <c r="M760" i="2"/>
  <c r="K760" i="2"/>
  <c r="N760" i="2" s="1"/>
  <c r="O759" i="2"/>
  <c r="N759" i="2"/>
  <c r="M759" i="2"/>
  <c r="K759" i="2"/>
  <c r="O758" i="2"/>
  <c r="M758" i="2"/>
  <c r="N758" i="2" s="1"/>
  <c r="K758" i="2"/>
  <c r="O757" i="2"/>
  <c r="M757" i="2"/>
  <c r="K757" i="2"/>
  <c r="N757" i="2" s="1"/>
  <c r="O756" i="2"/>
  <c r="M756" i="2"/>
  <c r="K756" i="2"/>
  <c r="N756" i="2" s="1"/>
  <c r="O755" i="2"/>
  <c r="M755" i="2"/>
  <c r="K755" i="2"/>
  <c r="N755" i="2" s="1"/>
  <c r="O754" i="2"/>
  <c r="N754" i="2"/>
  <c r="M754" i="2"/>
  <c r="K754" i="2"/>
  <c r="O753" i="2"/>
  <c r="M753" i="2"/>
  <c r="N753" i="2" s="1"/>
  <c r="K753" i="2"/>
  <c r="O752" i="2"/>
  <c r="N752" i="2"/>
  <c r="M752" i="2"/>
  <c r="K752" i="2"/>
  <c r="O751" i="2"/>
  <c r="M751" i="2"/>
  <c r="K751" i="2"/>
  <c r="N751" i="2" s="1"/>
  <c r="O750" i="2"/>
  <c r="M750" i="2"/>
  <c r="K750" i="2"/>
  <c r="O749" i="2"/>
  <c r="N749" i="2"/>
  <c r="M749" i="2"/>
  <c r="K749" i="2"/>
  <c r="O748" i="2"/>
  <c r="M748" i="2"/>
  <c r="N748" i="2" s="1"/>
  <c r="K748" i="2"/>
  <c r="O747" i="2"/>
  <c r="M747" i="2"/>
  <c r="K747" i="2"/>
  <c r="N747" i="2" s="1"/>
  <c r="O746" i="2"/>
  <c r="M746" i="2"/>
  <c r="K746" i="2"/>
  <c r="N746" i="2" s="1"/>
  <c r="O745" i="2"/>
  <c r="M745" i="2"/>
  <c r="K745" i="2"/>
  <c r="O744" i="2"/>
  <c r="N744" i="2"/>
  <c r="M744" i="2"/>
  <c r="K744" i="2"/>
  <c r="O743" i="2"/>
  <c r="M743" i="2"/>
  <c r="N743" i="2" s="1"/>
  <c r="K743" i="2"/>
  <c r="O742" i="2"/>
  <c r="M742" i="2"/>
  <c r="K742" i="2"/>
  <c r="N742" i="2" s="1"/>
  <c r="O741" i="2"/>
  <c r="M741" i="2"/>
  <c r="K741" i="2"/>
  <c r="N741" i="2" s="1"/>
  <c r="O740" i="2"/>
  <c r="M740" i="2"/>
  <c r="K740" i="2"/>
  <c r="N740" i="2" s="1"/>
  <c r="O739" i="2"/>
  <c r="N739" i="2"/>
  <c r="M739" i="2"/>
  <c r="K739" i="2"/>
  <c r="O738" i="2"/>
  <c r="N738" i="2"/>
  <c r="M738" i="2"/>
  <c r="K738" i="2"/>
  <c r="O737" i="2"/>
  <c r="N737" i="2"/>
  <c r="M737" i="2"/>
  <c r="K737" i="2"/>
  <c r="O736" i="2"/>
  <c r="M736" i="2"/>
  <c r="K736" i="2"/>
  <c r="N736" i="2" s="1"/>
  <c r="O735" i="2"/>
  <c r="M735" i="2"/>
  <c r="K735" i="2"/>
  <c r="N735" i="2" s="1"/>
  <c r="O734" i="2"/>
  <c r="N734" i="2"/>
  <c r="M734" i="2"/>
  <c r="K734" i="2"/>
  <c r="O733" i="2"/>
  <c r="N733" i="2"/>
  <c r="M733" i="2"/>
  <c r="K733" i="2"/>
  <c r="O732" i="2"/>
  <c r="M732" i="2"/>
  <c r="K732" i="2"/>
  <c r="N732" i="2" s="1"/>
  <c r="O731" i="2"/>
  <c r="M731" i="2"/>
  <c r="K731" i="2"/>
  <c r="N731" i="2" s="1"/>
  <c r="O730" i="2"/>
  <c r="M730" i="2"/>
  <c r="K730" i="2"/>
  <c r="O729" i="2"/>
  <c r="N729" i="2"/>
  <c r="M729" i="2"/>
  <c r="K729" i="2"/>
  <c r="O728" i="2"/>
  <c r="M728" i="2"/>
  <c r="N728" i="2" s="1"/>
  <c r="K728" i="2"/>
  <c r="O727" i="2"/>
  <c r="N727" i="2"/>
  <c r="M727" i="2"/>
  <c r="K727" i="2"/>
  <c r="O726" i="2"/>
  <c r="M726" i="2"/>
  <c r="K726" i="2"/>
  <c r="N726" i="2" s="1"/>
  <c r="O725" i="2"/>
  <c r="M725" i="2"/>
  <c r="K725" i="2"/>
  <c r="N725" i="2" s="1"/>
  <c r="O724" i="2"/>
  <c r="N724" i="2"/>
  <c r="M724" i="2"/>
  <c r="K724" i="2"/>
  <c r="O723" i="2"/>
  <c r="M723" i="2"/>
  <c r="N723" i="2" s="1"/>
  <c r="K723" i="2"/>
  <c r="O722" i="2"/>
  <c r="M722" i="2"/>
  <c r="K722" i="2"/>
  <c r="N722" i="2" s="1"/>
  <c r="O721" i="2"/>
  <c r="M721" i="2"/>
  <c r="K721" i="2"/>
  <c r="N721" i="2" s="1"/>
  <c r="O720" i="2"/>
  <c r="M720" i="2"/>
  <c r="K720" i="2"/>
  <c r="O719" i="2"/>
  <c r="N719" i="2"/>
  <c r="M719" i="2"/>
  <c r="K719" i="2"/>
  <c r="O718" i="2"/>
  <c r="M718" i="2"/>
  <c r="N718" i="2" s="1"/>
  <c r="K718" i="2"/>
  <c r="O717" i="2"/>
  <c r="M717" i="2"/>
  <c r="K717" i="2"/>
  <c r="N717" i="2" s="1"/>
  <c r="O716" i="2"/>
  <c r="M716" i="2"/>
  <c r="K716" i="2"/>
  <c r="N716" i="2" s="1"/>
  <c r="O715" i="2"/>
  <c r="M715" i="2"/>
  <c r="K715" i="2"/>
  <c r="O714" i="2"/>
  <c r="N714" i="2"/>
  <c r="M714" i="2"/>
  <c r="K714" i="2"/>
  <c r="O713" i="2"/>
  <c r="N713" i="2"/>
  <c r="M713" i="2"/>
  <c r="K713" i="2"/>
  <c r="O712" i="2"/>
  <c r="M712" i="2"/>
  <c r="N712" i="2" s="1"/>
  <c r="K712" i="2"/>
  <c r="O711" i="2"/>
  <c r="M711" i="2"/>
  <c r="K711" i="2"/>
  <c r="N711" i="2" s="1"/>
  <c r="O710" i="2"/>
  <c r="M710" i="2"/>
  <c r="K710" i="2"/>
  <c r="N710" i="2" s="1"/>
  <c r="O709" i="2"/>
  <c r="N709" i="2"/>
  <c r="M709" i="2"/>
  <c r="K709" i="2"/>
  <c r="O708" i="2"/>
  <c r="M708" i="2"/>
  <c r="N708" i="2" s="1"/>
  <c r="K708" i="2"/>
  <c r="O707" i="2"/>
  <c r="M707" i="2"/>
  <c r="K707" i="2"/>
  <c r="O706" i="2"/>
  <c r="M706" i="2"/>
  <c r="K706" i="2"/>
  <c r="N706" i="2" s="1"/>
  <c r="O705" i="2"/>
  <c r="M705" i="2"/>
  <c r="K705" i="2"/>
  <c r="N705" i="2" s="1"/>
  <c r="O704" i="2"/>
  <c r="N704" i="2"/>
  <c r="M704" i="2"/>
  <c r="K704" i="2"/>
  <c r="O703" i="2"/>
  <c r="M703" i="2"/>
  <c r="N703" i="2" s="1"/>
  <c r="K703" i="2"/>
  <c r="O702" i="2"/>
  <c r="N702" i="2"/>
  <c r="M702" i="2"/>
  <c r="K702" i="2"/>
  <c r="O701" i="2"/>
  <c r="M701" i="2"/>
  <c r="K701" i="2"/>
  <c r="N701" i="2" s="1"/>
  <c r="O700" i="2"/>
  <c r="M700" i="2"/>
  <c r="K700" i="2"/>
  <c r="N700" i="2" s="1"/>
  <c r="O699" i="2"/>
  <c r="N699" i="2"/>
  <c r="M699" i="2"/>
  <c r="K699" i="2"/>
  <c r="O698" i="2"/>
  <c r="N698" i="2"/>
  <c r="M698" i="2"/>
  <c r="K698" i="2"/>
  <c r="O697" i="2"/>
  <c r="M697" i="2"/>
  <c r="K697" i="2"/>
  <c r="O696" i="2"/>
  <c r="M696" i="2"/>
  <c r="K696" i="2"/>
  <c r="N696" i="2" s="1"/>
  <c r="O695" i="2"/>
  <c r="M695" i="2"/>
  <c r="K695" i="2"/>
  <c r="O694" i="2"/>
  <c r="N694" i="2"/>
  <c r="M694" i="2"/>
  <c r="K694" i="2"/>
  <c r="O693" i="2"/>
  <c r="M693" i="2"/>
  <c r="N693" i="2" s="1"/>
  <c r="K693" i="2"/>
  <c r="O692" i="2"/>
  <c r="M692" i="2"/>
  <c r="K692" i="2"/>
  <c r="O691" i="2"/>
  <c r="M691" i="2"/>
  <c r="K691" i="2"/>
  <c r="N691" i="2" s="1"/>
  <c r="O690" i="2"/>
  <c r="M690" i="2"/>
  <c r="K690" i="2"/>
  <c r="N690" i="2" s="1"/>
  <c r="O689" i="2"/>
  <c r="N689" i="2"/>
  <c r="M689" i="2"/>
  <c r="K689" i="2"/>
  <c r="O688" i="2"/>
  <c r="N688" i="2"/>
  <c r="M688" i="2"/>
  <c r="K688" i="2"/>
  <c r="O687" i="2"/>
  <c r="M687" i="2"/>
  <c r="N687" i="2" s="1"/>
  <c r="K687" i="2"/>
  <c r="O686" i="2"/>
  <c r="M686" i="2"/>
  <c r="K686" i="2"/>
  <c r="N686" i="2" s="1"/>
  <c r="O685" i="2"/>
  <c r="M685" i="2"/>
  <c r="K685" i="2"/>
  <c r="N685" i="2" s="1"/>
  <c r="O684" i="2"/>
  <c r="N684" i="2"/>
  <c r="M684" i="2"/>
  <c r="K684" i="2"/>
  <c r="O683" i="2"/>
  <c r="M683" i="2"/>
  <c r="N683" i="2" s="1"/>
  <c r="K683" i="2"/>
  <c r="O682" i="2"/>
  <c r="M682" i="2"/>
  <c r="K682" i="2"/>
  <c r="O681" i="2"/>
  <c r="M681" i="2"/>
  <c r="K681" i="2"/>
  <c r="N681" i="2" s="1"/>
  <c r="O680" i="2"/>
  <c r="M680" i="2"/>
  <c r="K680" i="2"/>
  <c r="N680" i="2" s="1"/>
  <c r="O679" i="2"/>
  <c r="N679" i="2"/>
  <c r="M679" i="2"/>
  <c r="K679" i="2"/>
  <c r="O678" i="2"/>
  <c r="M678" i="2"/>
  <c r="N678" i="2" s="1"/>
  <c r="K678" i="2"/>
  <c r="O677" i="2"/>
  <c r="N677" i="2"/>
  <c r="M677" i="2"/>
  <c r="K677" i="2"/>
  <c r="O676" i="2"/>
  <c r="M676" i="2"/>
  <c r="K676" i="2"/>
  <c r="N676" i="2" s="1"/>
  <c r="O675" i="2"/>
  <c r="M675" i="2"/>
  <c r="K675" i="2"/>
  <c r="N675" i="2" s="1"/>
  <c r="O674" i="2"/>
  <c r="N674" i="2"/>
  <c r="M674" i="2"/>
  <c r="K674" i="2"/>
  <c r="O673" i="2"/>
  <c r="N673" i="2"/>
  <c r="M673" i="2"/>
  <c r="K673" i="2"/>
  <c r="O672" i="2"/>
  <c r="N672" i="2"/>
  <c r="M672" i="2"/>
  <c r="K672" i="2"/>
  <c r="O671" i="2"/>
  <c r="M671" i="2"/>
  <c r="K671" i="2"/>
  <c r="N671" i="2" s="1"/>
  <c r="O670" i="2"/>
  <c r="M670" i="2"/>
  <c r="K670" i="2"/>
  <c r="O669" i="2"/>
  <c r="N669" i="2"/>
  <c r="M669" i="2"/>
  <c r="K669" i="2"/>
  <c r="O668" i="2"/>
  <c r="M668" i="2"/>
  <c r="N668" i="2" s="1"/>
  <c r="K668" i="2"/>
  <c r="O667" i="2"/>
  <c r="M667" i="2"/>
  <c r="K667" i="2"/>
  <c r="N667" i="2" s="1"/>
  <c r="O666" i="2"/>
  <c r="M666" i="2"/>
  <c r="K666" i="2"/>
  <c r="N666" i="2" s="1"/>
  <c r="O665" i="2"/>
  <c r="M665" i="2"/>
  <c r="K665" i="2"/>
  <c r="N665" i="2" s="1"/>
  <c r="O664" i="2"/>
  <c r="N664" i="2"/>
  <c r="M664" i="2"/>
  <c r="K664" i="2"/>
  <c r="O663" i="2"/>
  <c r="N663" i="2"/>
  <c r="M663" i="2"/>
  <c r="K663" i="2"/>
  <c r="O662" i="2"/>
  <c r="M662" i="2"/>
  <c r="N662" i="2" s="1"/>
  <c r="K662" i="2"/>
  <c r="O661" i="2"/>
  <c r="M661" i="2"/>
  <c r="K661" i="2"/>
  <c r="N661" i="2" s="1"/>
  <c r="O660" i="2"/>
  <c r="M660" i="2"/>
  <c r="K660" i="2"/>
  <c r="N660" i="2" s="1"/>
  <c r="O659" i="2"/>
  <c r="N659" i="2"/>
  <c r="M659" i="2"/>
  <c r="K659" i="2"/>
  <c r="O658" i="2"/>
  <c r="M658" i="2"/>
  <c r="N658" i="2" s="1"/>
  <c r="K658" i="2"/>
  <c r="O657" i="2"/>
  <c r="M657" i="2"/>
  <c r="K657" i="2"/>
  <c r="N657" i="2" s="1"/>
  <c r="O656" i="2"/>
  <c r="M656" i="2"/>
  <c r="K656" i="2"/>
  <c r="N656" i="2" s="1"/>
  <c r="O655" i="2"/>
  <c r="M655" i="2"/>
  <c r="K655" i="2"/>
  <c r="N655" i="2" s="1"/>
  <c r="O654" i="2"/>
  <c r="N654" i="2"/>
  <c r="M654" i="2"/>
  <c r="K654" i="2"/>
  <c r="O653" i="2"/>
  <c r="M653" i="2"/>
  <c r="N653" i="2" s="1"/>
  <c r="K653" i="2"/>
  <c r="O652" i="2"/>
  <c r="N652" i="2"/>
  <c r="M652" i="2"/>
  <c r="K652" i="2"/>
  <c r="O651" i="2"/>
  <c r="M651" i="2"/>
  <c r="K651" i="2"/>
  <c r="N651" i="2" s="1"/>
  <c r="O650" i="2"/>
  <c r="M650" i="2"/>
  <c r="K650" i="2"/>
  <c r="N650" i="2" s="1"/>
  <c r="O649" i="2"/>
  <c r="N649" i="2"/>
  <c r="M649" i="2"/>
  <c r="K649" i="2"/>
  <c r="O648" i="2"/>
  <c r="M648" i="2"/>
  <c r="N648" i="2" s="1"/>
  <c r="K648" i="2"/>
  <c r="O647" i="2"/>
  <c r="M647" i="2"/>
  <c r="N647" i="2" s="1"/>
  <c r="K647" i="2"/>
  <c r="O646" i="2"/>
  <c r="M646" i="2"/>
  <c r="K646" i="2"/>
  <c r="N646" i="2" s="1"/>
  <c r="O645" i="2"/>
  <c r="M645" i="2"/>
  <c r="K645" i="2"/>
  <c r="O644" i="2"/>
  <c r="N644" i="2"/>
  <c r="M644" i="2"/>
  <c r="K644" i="2"/>
  <c r="O643" i="2"/>
  <c r="M643" i="2"/>
  <c r="N643" i="2" s="1"/>
  <c r="K643" i="2"/>
  <c r="O642" i="2"/>
  <c r="M642" i="2"/>
  <c r="K642" i="2"/>
  <c r="N642" i="2" s="1"/>
  <c r="O641" i="2"/>
  <c r="M641" i="2"/>
  <c r="K641" i="2"/>
  <c r="N641" i="2" s="1"/>
  <c r="O640" i="2"/>
  <c r="M640" i="2"/>
  <c r="N640" i="2" s="1"/>
  <c r="K640" i="2"/>
  <c r="O639" i="2"/>
  <c r="N639" i="2"/>
  <c r="M639" i="2"/>
  <c r="K639" i="2"/>
  <c r="O638" i="2"/>
  <c r="M638" i="2"/>
  <c r="K638" i="2"/>
  <c r="N638" i="2" s="1"/>
  <c r="O637" i="2"/>
  <c r="N637" i="2"/>
  <c r="M637" i="2"/>
  <c r="K637" i="2"/>
  <c r="O636" i="2"/>
  <c r="M636" i="2"/>
  <c r="K636" i="2"/>
  <c r="N636" i="2" s="1"/>
  <c r="O635" i="2"/>
  <c r="M635" i="2"/>
  <c r="K635" i="2"/>
  <c r="O634" i="2"/>
  <c r="N634" i="2"/>
  <c r="M634" i="2"/>
  <c r="K634" i="2"/>
  <c r="O633" i="2"/>
  <c r="N633" i="2"/>
  <c r="M633" i="2"/>
  <c r="K633" i="2"/>
  <c r="O632" i="2"/>
  <c r="N632" i="2"/>
  <c r="M632" i="2"/>
  <c r="K632" i="2"/>
  <c r="O631" i="2"/>
  <c r="M631" i="2"/>
  <c r="K631" i="2"/>
  <c r="N631" i="2" s="1"/>
  <c r="O630" i="2"/>
  <c r="M630" i="2"/>
  <c r="K630" i="2"/>
  <c r="N630" i="2" s="1"/>
  <c r="O629" i="2"/>
  <c r="N629" i="2"/>
  <c r="M629" i="2"/>
  <c r="K629" i="2"/>
  <c r="O628" i="2"/>
  <c r="M628" i="2"/>
  <c r="N628" i="2" s="1"/>
  <c r="K628" i="2"/>
  <c r="O627" i="2"/>
  <c r="N627" i="2"/>
  <c r="M627" i="2"/>
  <c r="K627" i="2"/>
  <c r="O626" i="2"/>
  <c r="M626" i="2"/>
  <c r="K626" i="2"/>
  <c r="N626" i="2" s="1"/>
  <c r="O625" i="2"/>
  <c r="N625" i="2"/>
  <c r="M625" i="2"/>
  <c r="K625" i="2"/>
  <c r="O624" i="2"/>
  <c r="N624" i="2"/>
  <c r="M624" i="2"/>
  <c r="K624" i="2"/>
  <c r="O623" i="2"/>
  <c r="M623" i="2"/>
  <c r="K623" i="2"/>
  <c r="N623" i="2" s="1"/>
  <c r="O622" i="2"/>
  <c r="M622" i="2"/>
  <c r="K622" i="2"/>
  <c r="N622" i="2" s="1"/>
  <c r="O621" i="2"/>
  <c r="M621" i="2"/>
  <c r="K621" i="2"/>
  <c r="N621" i="2" s="1"/>
  <c r="O620" i="2"/>
  <c r="N620" i="2"/>
  <c r="M620" i="2"/>
  <c r="K620" i="2"/>
  <c r="O619" i="2"/>
  <c r="N619" i="2"/>
  <c r="M619" i="2"/>
  <c r="K619" i="2"/>
  <c r="O618" i="2"/>
  <c r="N618" i="2"/>
  <c r="M618" i="2"/>
  <c r="K618" i="2"/>
  <c r="O617" i="2"/>
  <c r="M617" i="2"/>
  <c r="K617" i="2"/>
  <c r="N617" i="2" s="1"/>
  <c r="O616" i="2"/>
  <c r="M616" i="2"/>
  <c r="K616" i="2"/>
  <c r="N616" i="2" s="1"/>
  <c r="O615" i="2"/>
  <c r="N615" i="2"/>
  <c r="M615" i="2"/>
  <c r="K615" i="2"/>
  <c r="O614" i="2"/>
  <c r="N614" i="2"/>
  <c r="M614" i="2"/>
  <c r="K614" i="2"/>
  <c r="O613" i="2"/>
  <c r="M613" i="2"/>
  <c r="K613" i="2"/>
  <c r="O612" i="2"/>
  <c r="N612" i="2"/>
  <c r="M612" i="2"/>
  <c r="K612" i="2"/>
  <c r="O611" i="2"/>
  <c r="M611" i="2"/>
  <c r="K611" i="2"/>
  <c r="N611" i="2" s="1"/>
  <c r="O610" i="2"/>
  <c r="N610" i="2"/>
  <c r="M610" i="2"/>
  <c r="K610" i="2"/>
  <c r="O609" i="2"/>
  <c r="N609" i="2"/>
  <c r="M609" i="2"/>
  <c r="K609" i="2"/>
  <c r="O608" i="2"/>
  <c r="M608" i="2"/>
  <c r="K608" i="2"/>
  <c r="N608" i="2" s="1"/>
  <c r="O607" i="2"/>
  <c r="N607" i="2"/>
  <c r="M607" i="2"/>
  <c r="K607" i="2"/>
  <c r="O606" i="2"/>
  <c r="M606" i="2"/>
  <c r="K606" i="2"/>
  <c r="N606" i="2" s="1"/>
  <c r="O605" i="2"/>
  <c r="M605" i="2"/>
  <c r="K605" i="2"/>
  <c r="N605" i="2" s="1"/>
  <c r="O604" i="2"/>
  <c r="N604" i="2"/>
  <c r="M604" i="2"/>
  <c r="K604" i="2"/>
  <c r="O603" i="2"/>
  <c r="M603" i="2"/>
  <c r="N603" i="2" s="1"/>
  <c r="K603" i="2"/>
  <c r="O602" i="2"/>
  <c r="M602" i="2"/>
  <c r="K602" i="2"/>
  <c r="N602" i="2" s="1"/>
  <c r="O601" i="2"/>
  <c r="M601" i="2"/>
  <c r="K601" i="2"/>
  <c r="N601" i="2" s="1"/>
  <c r="O600" i="2"/>
  <c r="M600" i="2"/>
  <c r="K600" i="2"/>
  <c r="N600" i="2" s="1"/>
  <c r="O599" i="2"/>
  <c r="N599" i="2"/>
  <c r="M599" i="2"/>
  <c r="K599" i="2"/>
  <c r="O598" i="2"/>
  <c r="M598" i="2"/>
  <c r="K598" i="2"/>
  <c r="N598" i="2" s="1"/>
  <c r="O597" i="2"/>
  <c r="M597" i="2"/>
  <c r="K597" i="2"/>
  <c r="N597" i="2" s="1"/>
  <c r="O596" i="2"/>
  <c r="M596" i="2"/>
  <c r="K596" i="2"/>
  <c r="N596" i="2" s="1"/>
  <c r="O595" i="2"/>
  <c r="M595" i="2"/>
  <c r="N595" i="2" s="1"/>
  <c r="K595" i="2"/>
  <c r="O594" i="2"/>
  <c r="N594" i="2"/>
  <c r="M594" i="2"/>
  <c r="K594" i="2"/>
  <c r="O593" i="2"/>
  <c r="M593" i="2"/>
  <c r="K593" i="2"/>
  <c r="O592" i="2"/>
  <c r="M592" i="2"/>
  <c r="K592" i="2"/>
  <c r="N592" i="2" s="1"/>
  <c r="O591" i="2"/>
  <c r="M591" i="2"/>
  <c r="K591" i="2"/>
  <c r="N591" i="2" s="1"/>
  <c r="O590" i="2"/>
  <c r="N590" i="2"/>
  <c r="M590" i="2"/>
  <c r="K590" i="2"/>
  <c r="O589" i="2"/>
  <c r="N589" i="2"/>
  <c r="M589" i="2"/>
  <c r="K589" i="2"/>
  <c r="O588" i="2"/>
  <c r="M588" i="2"/>
  <c r="K588" i="2"/>
  <c r="N588" i="2" s="1"/>
  <c r="O587" i="2"/>
  <c r="M587" i="2"/>
  <c r="K587" i="2"/>
  <c r="N587" i="2" s="1"/>
  <c r="O586" i="2"/>
  <c r="M586" i="2"/>
  <c r="K586" i="2"/>
  <c r="N586" i="2" s="1"/>
  <c r="O585" i="2"/>
  <c r="M585" i="2"/>
  <c r="K585" i="2"/>
  <c r="N585" i="2" s="1"/>
  <c r="O584" i="2"/>
  <c r="N584" i="2"/>
  <c r="M584" i="2"/>
  <c r="K584" i="2"/>
  <c r="O583" i="2"/>
  <c r="N583" i="2"/>
  <c r="M583" i="2"/>
  <c r="K583" i="2"/>
  <c r="O582" i="2"/>
  <c r="N582" i="2"/>
  <c r="M582" i="2"/>
  <c r="K582" i="2"/>
  <c r="O581" i="2"/>
  <c r="M581" i="2"/>
  <c r="K581" i="2"/>
  <c r="N581" i="2" s="1"/>
  <c r="O580" i="2"/>
  <c r="M580" i="2"/>
  <c r="K580" i="2"/>
  <c r="N580" i="2" s="1"/>
  <c r="O579" i="2"/>
  <c r="N579" i="2"/>
  <c r="M579" i="2"/>
  <c r="K579" i="2"/>
  <c r="O578" i="2"/>
  <c r="M578" i="2"/>
  <c r="N578" i="2" s="1"/>
  <c r="K578" i="2"/>
  <c r="O577" i="2"/>
  <c r="M577" i="2"/>
  <c r="K577" i="2"/>
  <c r="N577" i="2" s="1"/>
  <c r="O576" i="2"/>
  <c r="M576" i="2"/>
  <c r="K576" i="2"/>
  <c r="N576" i="2" s="1"/>
  <c r="O575" i="2"/>
  <c r="N575" i="2"/>
  <c r="M575" i="2"/>
  <c r="K575" i="2"/>
  <c r="O574" i="2"/>
  <c r="N574" i="2"/>
  <c r="M574" i="2"/>
  <c r="K574" i="2"/>
  <c r="O573" i="2"/>
  <c r="M573" i="2"/>
  <c r="K573" i="2"/>
  <c r="N573" i="2" s="1"/>
  <c r="O572" i="2"/>
  <c r="M572" i="2"/>
  <c r="K572" i="2"/>
  <c r="O571" i="2"/>
  <c r="M571" i="2"/>
  <c r="K571" i="2"/>
  <c r="N571" i="2" s="1"/>
  <c r="O570" i="2"/>
  <c r="M570" i="2"/>
  <c r="N570" i="2" s="1"/>
  <c r="K570" i="2"/>
  <c r="O569" i="2"/>
  <c r="N569" i="2"/>
  <c r="M569" i="2"/>
  <c r="K569" i="2"/>
  <c r="O568" i="2"/>
  <c r="N568" i="2"/>
  <c r="M568" i="2"/>
  <c r="K568" i="2"/>
  <c r="O567" i="2"/>
  <c r="M567" i="2"/>
  <c r="K567" i="2"/>
  <c r="N567" i="2" s="1"/>
  <c r="O566" i="2"/>
  <c r="M566" i="2"/>
  <c r="K566" i="2"/>
  <c r="N566" i="2" s="1"/>
  <c r="O565" i="2"/>
  <c r="N565" i="2"/>
  <c r="M565" i="2"/>
  <c r="K565" i="2"/>
  <c r="O564" i="2"/>
  <c r="N564" i="2"/>
  <c r="M564" i="2"/>
  <c r="K564" i="2"/>
  <c r="O563" i="2"/>
  <c r="M563" i="2"/>
  <c r="K563" i="2"/>
  <c r="O562" i="2"/>
  <c r="N562" i="2"/>
  <c r="M562" i="2"/>
  <c r="K562" i="2"/>
  <c r="O561" i="2"/>
  <c r="M561" i="2"/>
  <c r="K561" i="2"/>
  <c r="N561" i="2" s="1"/>
  <c r="O560" i="2"/>
  <c r="N560" i="2"/>
  <c r="M560" i="2"/>
  <c r="K560" i="2"/>
  <c r="O559" i="2"/>
  <c r="N559" i="2"/>
  <c r="M559" i="2"/>
  <c r="K559" i="2"/>
  <c r="O558" i="2"/>
  <c r="N558" i="2"/>
  <c r="M558" i="2"/>
  <c r="K558" i="2"/>
  <c r="O557" i="2"/>
  <c r="N557" i="2"/>
  <c r="M557" i="2"/>
  <c r="K557" i="2"/>
  <c r="O556" i="2"/>
  <c r="M556" i="2"/>
  <c r="K556" i="2"/>
  <c r="N556" i="2" s="1"/>
  <c r="O555" i="2"/>
  <c r="M555" i="2"/>
  <c r="K555" i="2"/>
  <c r="O554" i="2"/>
  <c r="N554" i="2"/>
  <c r="M554" i="2"/>
  <c r="K554" i="2"/>
  <c r="O553" i="2"/>
  <c r="M553" i="2"/>
  <c r="N553" i="2" s="1"/>
  <c r="K553" i="2"/>
  <c r="O552" i="2"/>
  <c r="N552" i="2"/>
  <c r="M552" i="2"/>
  <c r="K552" i="2"/>
  <c r="O551" i="2"/>
  <c r="M551" i="2"/>
  <c r="K551" i="2"/>
  <c r="N551" i="2" s="1"/>
  <c r="O550" i="2"/>
  <c r="M550" i="2"/>
  <c r="K550" i="2"/>
  <c r="N550" i="2" s="1"/>
  <c r="O549" i="2"/>
  <c r="N549" i="2"/>
  <c r="M549" i="2"/>
  <c r="K549" i="2"/>
  <c r="O548" i="2"/>
  <c r="M548" i="2"/>
  <c r="K548" i="2"/>
  <c r="N548" i="2" s="1"/>
  <c r="O547" i="2"/>
  <c r="M547" i="2"/>
  <c r="K547" i="2"/>
  <c r="N547" i="2" s="1"/>
  <c r="O546" i="2"/>
  <c r="M546" i="2"/>
  <c r="K546" i="2"/>
  <c r="N546" i="2" s="1"/>
  <c r="O545" i="2"/>
  <c r="M545" i="2"/>
  <c r="N545" i="2" s="1"/>
  <c r="K545" i="2"/>
  <c r="O544" i="2"/>
  <c r="N544" i="2"/>
  <c r="M544" i="2"/>
  <c r="K544" i="2"/>
  <c r="O543" i="2"/>
  <c r="M543" i="2"/>
  <c r="K543" i="2"/>
  <c r="N543" i="2" s="1"/>
  <c r="O542" i="2"/>
  <c r="M542" i="2"/>
  <c r="K542" i="2"/>
  <c r="O541" i="2"/>
  <c r="M541" i="2"/>
  <c r="K541" i="2"/>
  <c r="N541" i="2" s="1"/>
  <c r="O540" i="2"/>
  <c r="M540" i="2"/>
  <c r="K540" i="2"/>
  <c r="N540" i="2" s="1"/>
  <c r="O539" i="2"/>
  <c r="N539" i="2"/>
  <c r="M539" i="2"/>
  <c r="K539" i="2"/>
  <c r="O538" i="2"/>
  <c r="M538" i="2"/>
  <c r="K538" i="2"/>
  <c r="N538" i="2" s="1"/>
  <c r="O537" i="2"/>
  <c r="M537" i="2"/>
  <c r="K537" i="2"/>
  <c r="N537" i="2" s="1"/>
  <c r="O536" i="2"/>
  <c r="M536" i="2"/>
  <c r="K536" i="2"/>
  <c r="N536" i="2" s="1"/>
  <c r="O535" i="2"/>
  <c r="M535" i="2"/>
  <c r="K535" i="2"/>
  <c r="N535" i="2" s="1"/>
  <c r="O534" i="2"/>
  <c r="N534" i="2"/>
  <c r="M534" i="2"/>
  <c r="K534" i="2"/>
  <c r="O533" i="2"/>
  <c r="N533" i="2"/>
  <c r="M533" i="2"/>
  <c r="K533" i="2"/>
  <c r="O532" i="2"/>
  <c r="N532" i="2"/>
  <c r="M532" i="2"/>
  <c r="K532" i="2"/>
  <c r="O531" i="2"/>
  <c r="M531" i="2"/>
  <c r="K531" i="2"/>
  <c r="N531" i="2" s="1"/>
  <c r="O530" i="2"/>
  <c r="M530" i="2"/>
  <c r="K530" i="2"/>
  <c r="N530" i="2" s="1"/>
  <c r="O529" i="2"/>
  <c r="N529" i="2"/>
  <c r="M529" i="2"/>
  <c r="K529" i="2"/>
  <c r="O528" i="2"/>
  <c r="M528" i="2"/>
  <c r="N528" i="2" s="1"/>
  <c r="K528" i="2"/>
  <c r="O527" i="2"/>
  <c r="M527" i="2"/>
  <c r="K527" i="2"/>
  <c r="N527" i="2" s="1"/>
  <c r="O526" i="2"/>
  <c r="M526" i="2"/>
  <c r="K526" i="2"/>
  <c r="N526" i="2" s="1"/>
  <c r="O525" i="2"/>
  <c r="N525" i="2"/>
  <c r="M525" i="2"/>
  <c r="K525" i="2"/>
  <c r="O524" i="2"/>
  <c r="N524" i="2"/>
  <c r="M524" i="2"/>
  <c r="K524" i="2"/>
  <c r="O523" i="2"/>
  <c r="M523" i="2"/>
  <c r="K523" i="2"/>
  <c r="N523" i="2" s="1"/>
  <c r="O522" i="2"/>
  <c r="M522" i="2"/>
  <c r="K522" i="2"/>
  <c r="N522" i="2" s="1"/>
  <c r="O521" i="2"/>
  <c r="M521" i="2"/>
  <c r="K521" i="2"/>
  <c r="N521" i="2" s="1"/>
  <c r="O520" i="2"/>
  <c r="M520" i="2"/>
  <c r="N520" i="2" s="1"/>
  <c r="K520" i="2"/>
  <c r="O519" i="2"/>
  <c r="N519" i="2"/>
  <c r="M519" i="2"/>
  <c r="K519" i="2"/>
  <c r="O518" i="2"/>
  <c r="M518" i="2"/>
  <c r="K518" i="2"/>
  <c r="N518" i="2" s="1"/>
  <c r="O517" i="2"/>
  <c r="M517" i="2"/>
  <c r="K517" i="2"/>
  <c r="N517" i="2" s="1"/>
  <c r="O516" i="2"/>
  <c r="M516" i="2"/>
  <c r="K516" i="2"/>
  <c r="N516" i="2" s="1"/>
  <c r="O515" i="2"/>
  <c r="M515" i="2"/>
  <c r="K515" i="2"/>
  <c r="N515" i="2" s="1"/>
  <c r="O514" i="2"/>
  <c r="N514" i="2"/>
  <c r="M514" i="2"/>
  <c r="K514" i="2"/>
  <c r="O513" i="2"/>
  <c r="M513" i="2"/>
  <c r="K513" i="2"/>
  <c r="N513" i="2" s="1"/>
  <c r="O512" i="2"/>
  <c r="N512" i="2"/>
  <c r="M512" i="2"/>
  <c r="K512" i="2"/>
  <c r="O511" i="2"/>
  <c r="M511" i="2"/>
  <c r="K511" i="2"/>
  <c r="N511" i="2" s="1"/>
  <c r="O510" i="2"/>
  <c r="M510" i="2"/>
  <c r="N510" i="2" s="1"/>
  <c r="K510" i="2"/>
  <c r="O509" i="2"/>
  <c r="N509" i="2"/>
  <c r="M509" i="2"/>
  <c r="K509" i="2"/>
  <c r="O508" i="2"/>
  <c r="N508" i="2"/>
  <c r="M508" i="2"/>
  <c r="K508" i="2"/>
  <c r="O507" i="2"/>
  <c r="N507" i="2"/>
  <c r="M507" i="2"/>
  <c r="K507" i="2"/>
  <c r="O506" i="2"/>
  <c r="M506" i="2"/>
  <c r="K506" i="2"/>
  <c r="N506" i="2" s="1"/>
  <c r="O505" i="2"/>
  <c r="M505" i="2"/>
  <c r="K505" i="2"/>
  <c r="O504" i="2"/>
  <c r="N504" i="2"/>
  <c r="M504" i="2"/>
  <c r="K504" i="2"/>
  <c r="O503" i="2"/>
  <c r="M503" i="2"/>
  <c r="N503" i="2" s="1"/>
  <c r="K503" i="2"/>
  <c r="O502" i="2"/>
  <c r="M502" i="2"/>
  <c r="N502" i="2" s="1"/>
  <c r="K502" i="2"/>
  <c r="O501" i="2"/>
  <c r="M501" i="2"/>
  <c r="K501" i="2"/>
  <c r="N501" i="2" s="1"/>
  <c r="O500" i="2"/>
  <c r="N500" i="2"/>
  <c r="M500" i="2"/>
  <c r="K500" i="2"/>
  <c r="O499" i="2"/>
  <c r="N499" i="2"/>
  <c r="M499" i="2"/>
  <c r="K499" i="2"/>
  <c r="O498" i="2"/>
  <c r="M498" i="2"/>
  <c r="K498" i="2"/>
  <c r="N498" i="2" s="1"/>
  <c r="O497" i="2"/>
  <c r="N497" i="2"/>
  <c r="M497" i="2"/>
  <c r="K497" i="2"/>
  <c r="O496" i="2"/>
  <c r="M496" i="2"/>
  <c r="K496" i="2"/>
  <c r="N496" i="2" s="1"/>
  <c r="O495" i="2"/>
  <c r="M495" i="2"/>
  <c r="N495" i="2" s="1"/>
  <c r="K495" i="2"/>
  <c r="O494" i="2"/>
  <c r="N494" i="2"/>
  <c r="M494" i="2"/>
  <c r="K494" i="2"/>
  <c r="O493" i="2"/>
  <c r="M493" i="2"/>
  <c r="K493" i="2"/>
  <c r="N493" i="2" s="1"/>
  <c r="O492" i="2"/>
  <c r="M492" i="2"/>
  <c r="K492" i="2"/>
  <c r="O491" i="2"/>
  <c r="M491" i="2"/>
  <c r="K491" i="2"/>
  <c r="N491" i="2" s="1"/>
  <c r="O490" i="2"/>
  <c r="M490" i="2"/>
  <c r="K490" i="2"/>
  <c r="N490" i="2" s="1"/>
  <c r="O489" i="2"/>
  <c r="N489" i="2"/>
  <c r="M489" i="2"/>
  <c r="K489" i="2"/>
  <c r="O488" i="2"/>
  <c r="M488" i="2"/>
  <c r="K488" i="2"/>
  <c r="N488" i="2" s="1"/>
  <c r="O487" i="2"/>
  <c r="M487" i="2"/>
  <c r="K487" i="2"/>
  <c r="N487" i="2" s="1"/>
  <c r="O486" i="2"/>
  <c r="M486" i="2"/>
  <c r="K486" i="2"/>
  <c r="N486" i="2" s="1"/>
  <c r="O485" i="2"/>
  <c r="M485" i="2"/>
  <c r="K485" i="2"/>
  <c r="O484" i="2"/>
  <c r="N484" i="2"/>
  <c r="M484" i="2"/>
  <c r="K484" i="2"/>
  <c r="O483" i="2"/>
  <c r="N483" i="2"/>
  <c r="M483" i="2"/>
  <c r="K483" i="2"/>
  <c r="O482" i="2"/>
  <c r="N482" i="2"/>
  <c r="M482" i="2"/>
  <c r="K482" i="2"/>
  <c r="O481" i="2"/>
  <c r="M481" i="2"/>
  <c r="K481" i="2"/>
  <c r="N481" i="2" s="1"/>
  <c r="O480" i="2"/>
  <c r="M480" i="2"/>
  <c r="K480" i="2"/>
  <c r="N480" i="2" s="1"/>
  <c r="O479" i="2"/>
  <c r="N479" i="2"/>
  <c r="M479" i="2"/>
  <c r="K479" i="2"/>
  <c r="O478" i="2"/>
  <c r="N478" i="2"/>
  <c r="M478" i="2"/>
  <c r="K478" i="2"/>
  <c r="O477" i="2"/>
  <c r="M477" i="2"/>
  <c r="N477" i="2" s="1"/>
  <c r="K477" i="2"/>
  <c r="O476" i="2"/>
  <c r="M476" i="2"/>
  <c r="K476" i="2"/>
  <c r="N476" i="2" s="1"/>
  <c r="O475" i="2"/>
  <c r="N475" i="2"/>
  <c r="M475" i="2"/>
  <c r="K475" i="2"/>
  <c r="O474" i="2"/>
  <c r="N474" i="2"/>
  <c r="M474" i="2"/>
  <c r="K474" i="2"/>
  <c r="O473" i="2"/>
  <c r="M473" i="2"/>
  <c r="K473" i="2"/>
  <c r="N473" i="2" s="1"/>
  <c r="O472" i="2"/>
  <c r="M472" i="2"/>
  <c r="K472" i="2"/>
  <c r="N472" i="2" s="1"/>
  <c r="O471" i="2"/>
  <c r="M471" i="2"/>
  <c r="K471" i="2"/>
  <c r="N471" i="2" s="1"/>
  <c r="O470" i="2"/>
  <c r="M470" i="2"/>
  <c r="N470" i="2" s="1"/>
  <c r="K470" i="2"/>
  <c r="O469" i="2"/>
  <c r="N469" i="2"/>
  <c r="M469" i="2"/>
  <c r="K469" i="2"/>
  <c r="O468" i="2"/>
  <c r="M468" i="2"/>
  <c r="K468" i="2"/>
  <c r="N468" i="2" s="1"/>
  <c r="O467" i="2"/>
  <c r="M467" i="2"/>
  <c r="K467" i="2"/>
  <c r="N467" i="2" s="1"/>
  <c r="O466" i="2"/>
  <c r="M466" i="2"/>
  <c r="K466" i="2"/>
  <c r="N466" i="2" s="1"/>
  <c r="O465" i="2"/>
  <c r="M465" i="2"/>
  <c r="K465" i="2"/>
  <c r="N465" i="2" s="1"/>
  <c r="O464" i="2"/>
  <c r="N464" i="2"/>
  <c r="M464" i="2"/>
  <c r="K464" i="2"/>
  <c r="O463" i="2"/>
  <c r="M463" i="2"/>
  <c r="K463" i="2"/>
  <c r="O462" i="2"/>
  <c r="N462" i="2"/>
  <c r="M462" i="2"/>
  <c r="K462" i="2"/>
  <c r="O461" i="2"/>
  <c r="M461" i="2"/>
  <c r="K461" i="2"/>
  <c r="N461" i="2" s="1"/>
  <c r="O460" i="2"/>
  <c r="N460" i="2"/>
  <c r="M460" i="2"/>
  <c r="K460" i="2"/>
  <c r="O459" i="2"/>
  <c r="N459" i="2"/>
  <c r="M459" i="2"/>
  <c r="K459" i="2"/>
  <c r="O458" i="2"/>
  <c r="M458" i="2"/>
  <c r="K458" i="2"/>
  <c r="N458" i="2" s="1"/>
  <c r="O457" i="2"/>
  <c r="M457" i="2"/>
  <c r="N457" i="2" s="1"/>
  <c r="K457" i="2"/>
  <c r="O456" i="2"/>
  <c r="M456" i="2"/>
  <c r="K456" i="2"/>
  <c r="N456" i="2" s="1"/>
  <c r="O455" i="2"/>
  <c r="M455" i="2"/>
  <c r="K455" i="2"/>
  <c r="N455" i="2" s="1"/>
  <c r="O454" i="2"/>
  <c r="N454" i="2"/>
  <c r="M454" i="2"/>
  <c r="K454" i="2"/>
  <c r="O453" i="2"/>
  <c r="N453" i="2"/>
  <c r="M453" i="2"/>
  <c r="K453" i="2"/>
  <c r="O452" i="2"/>
  <c r="N452" i="2"/>
  <c r="M452" i="2"/>
  <c r="K452" i="2"/>
  <c r="O451" i="2"/>
  <c r="M451" i="2"/>
  <c r="K451" i="2"/>
  <c r="N451" i="2" s="1"/>
  <c r="O450" i="2"/>
  <c r="M450" i="2"/>
  <c r="K450" i="2"/>
  <c r="N450" i="2" s="1"/>
  <c r="O449" i="2"/>
  <c r="N449" i="2"/>
  <c r="M449" i="2"/>
  <c r="K449" i="2"/>
  <c r="O448" i="2"/>
  <c r="N448" i="2"/>
  <c r="M448" i="2"/>
  <c r="K448" i="2"/>
  <c r="O447" i="2"/>
  <c r="M447" i="2"/>
  <c r="N447" i="2" s="1"/>
  <c r="K447" i="2"/>
  <c r="O446" i="2"/>
  <c r="M446" i="2"/>
  <c r="K446" i="2"/>
  <c r="N446" i="2" s="1"/>
  <c r="O445" i="2"/>
  <c r="N445" i="2"/>
  <c r="M445" i="2"/>
  <c r="K445" i="2"/>
  <c r="O444" i="2"/>
  <c r="N444" i="2"/>
  <c r="M444" i="2"/>
  <c r="K444" i="2"/>
  <c r="O443" i="2"/>
  <c r="M443" i="2"/>
  <c r="K443" i="2"/>
  <c r="N443" i="2" s="1"/>
  <c r="O442" i="2"/>
  <c r="M442" i="2"/>
  <c r="K442" i="2"/>
  <c r="N442" i="2" s="1"/>
  <c r="O441" i="2"/>
  <c r="M441" i="2"/>
  <c r="K441" i="2"/>
  <c r="N441" i="2" s="1"/>
  <c r="O440" i="2"/>
  <c r="M440" i="2"/>
  <c r="K440" i="2"/>
  <c r="N440" i="2" s="1"/>
  <c r="O439" i="2"/>
  <c r="N439" i="2"/>
  <c r="M439" i="2"/>
  <c r="K439" i="2"/>
  <c r="O438" i="2"/>
  <c r="M438" i="2"/>
  <c r="K438" i="2"/>
  <c r="N438" i="2" s="1"/>
  <c r="O437" i="2"/>
  <c r="M437" i="2"/>
  <c r="K437" i="2"/>
  <c r="N437" i="2" s="1"/>
  <c r="O436" i="2"/>
  <c r="M436" i="2"/>
  <c r="K436" i="2"/>
  <c r="N436" i="2" s="1"/>
  <c r="O435" i="2"/>
  <c r="M435" i="2"/>
  <c r="K435" i="2"/>
  <c r="O434" i="2"/>
  <c r="N434" i="2"/>
  <c r="M434" i="2"/>
  <c r="K434" i="2"/>
  <c r="O433" i="2"/>
  <c r="N433" i="2"/>
  <c r="M433" i="2"/>
  <c r="K433" i="2"/>
  <c r="O432" i="2"/>
  <c r="M432" i="2"/>
  <c r="N432" i="2" s="1"/>
  <c r="K432" i="2"/>
  <c r="O431" i="2"/>
  <c r="M431" i="2"/>
  <c r="K431" i="2"/>
  <c r="N431" i="2" s="1"/>
  <c r="O430" i="2"/>
  <c r="M430" i="2"/>
  <c r="K430" i="2"/>
  <c r="N430" i="2" s="1"/>
  <c r="O429" i="2"/>
  <c r="N429" i="2"/>
  <c r="M429" i="2"/>
  <c r="K429" i="2"/>
  <c r="O428" i="2"/>
  <c r="M428" i="2"/>
  <c r="N428" i="2" s="1"/>
  <c r="K428" i="2"/>
  <c r="O427" i="2"/>
  <c r="N427" i="2"/>
  <c r="M427" i="2"/>
  <c r="K427" i="2"/>
  <c r="O426" i="2"/>
  <c r="M426" i="2"/>
  <c r="K426" i="2"/>
  <c r="N426" i="2" s="1"/>
  <c r="O425" i="2"/>
  <c r="N425" i="2"/>
  <c r="M425" i="2"/>
  <c r="K425" i="2"/>
  <c r="O424" i="2"/>
  <c r="N424" i="2"/>
  <c r="M424" i="2"/>
  <c r="K424" i="2"/>
  <c r="O423" i="2"/>
  <c r="M423" i="2"/>
  <c r="K423" i="2"/>
  <c r="O422" i="2"/>
  <c r="M422" i="2"/>
  <c r="K422" i="2"/>
  <c r="O421" i="2"/>
  <c r="M421" i="2"/>
  <c r="K421" i="2"/>
  <c r="N421" i="2" s="1"/>
  <c r="O420" i="2"/>
  <c r="M420" i="2"/>
  <c r="N420" i="2" s="1"/>
  <c r="K420" i="2"/>
  <c r="O419" i="2"/>
  <c r="N419" i="2"/>
  <c r="M419" i="2"/>
  <c r="K419" i="2"/>
  <c r="O418" i="2"/>
  <c r="M418" i="2"/>
  <c r="K418" i="2"/>
  <c r="O417" i="2"/>
  <c r="M417" i="2"/>
  <c r="K417" i="2"/>
  <c r="N417" i="2" s="1"/>
  <c r="O416" i="2"/>
  <c r="M416" i="2"/>
  <c r="K416" i="2"/>
  <c r="N416" i="2" s="1"/>
  <c r="O415" i="2"/>
  <c r="M415" i="2"/>
  <c r="K415" i="2"/>
  <c r="N415" i="2" s="1"/>
  <c r="O414" i="2"/>
  <c r="N414" i="2"/>
  <c r="M414" i="2"/>
  <c r="K414" i="2"/>
  <c r="O413" i="2"/>
  <c r="M413" i="2"/>
  <c r="K413" i="2"/>
  <c r="O412" i="2"/>
  <c r="N412" i="2"/>
  <c r="M412" i="2"/>
  <c r="K412" i="2"/>
  <c r="O411" i="2"/>
  <c r="M411" i="2"/>
  <c r="K411" i="2"/>
  <c r="N411" i="2" s="1"/>
  <c r="O410" i="2"/>
  <c r="M410" i="2"/>
  <c r="K410" i="2"/>
  <c r="N410" i="2" s="1"/>
  <c r="O409" i="2"/>
  <c r="N409" i="2"/>
  <c r="M409" i="2"/>
  <c r="K409" i="2"/>
  <c r="O408" i="2"/>
  <c r="N408" i="2"/>
  <c r="M408" i="2"/>
  <c r="K408" i="2"/>
  <c r="O407" i="2"/>
  <c r="M407" i="2"/>
  <c r="N407" i="2" s="1"/>
  <c r="K407" i="2"/>
  <c r="O406" i="2"/>
  <c r="M406" i="2"/>
  <c r="K406" i="2"/>
  <c r="N406" i="2" s="1"/>
  <c r="O405" i="2"/>
  <c r="M405" i="2"/>
  <c r="K405" i="2"/>
  <c r="O404" i="2"/>
  <c r="N404" i="2"/>
  <c r="M404" i="2"/>
  <c r="K404" i="2"/>
  <c r="O403" i="2"/>
  <c r="N403" i="2"/>
  <c r="M403" i="2"/>
  <c r="K403" i="2"/>
  <c r="O402" i="2"/>
  <c r="M402" i="2"/>
  <c r="K402" i="2"/>
  <c r="N402" i="2" s="1"/>
  <c r="O401" i="2"/>
  <c r="M401" i="2"/>
  <c r="K401" i="2"/>
  <c r="N401" i="2" s="1"/>
  <c r="O400" i="2"/>
  <c r="M400" i="2"/>
  <c r="K400" i="2"/>
  <c r="N400" i="2" s="1"/>
  <c r="O399" i="2"/>
  <c r="N399" i="2"/>
  <c r="M399" i="2"/>
  <c r="K399" i="2"/>
  <c r="O398" i="2"/>
  <c r="M398" i="2"/>
  <c r="K398" i="2"/>
  <c r="N398" i="2" s="1"/>
  <c r="O397" i="2"/>
  <c r="N397" i="2"/>
  <c r="M397" i="2"/>
  <c r="K397" i="2"/>
  <c r="O396" i="2"/>
  <c r="M396" i="2"/>
  <c r="K396" i="2"/>
  <c r="N396" i="2" s="1"/>
  <c r="O395" i="2"/>
  <c r="M395" i="2"/>
  <c r="N395" i="2" s="1"/>
  <c r="K395" i="2"/>
  <c r="O394" i="2"/>
  <c r="N394" i="2"/>
  <c r="M394" i="2"/>
  <c r="K394" i="2"/>
  <c r="O393" i="2"/>
  <c r="M393" i="2"/>
  <c r="K393" i="2"/>
  <c r="N393" i="2" s="1"/>
  <c r="O392" i="2"/>
  <c r="M392" i="2"/>
  <c r="K392" i="2"/>
  <c r="O391" i="2"/>
  <c r="M391" i="2"/>
  <c r="K391" i="2"/>
  <c r="O390" i="2"/>
  <c r="M390" i="2"/>
  <c r="K390" i="2"/>
  <c r="N390" i="2" s="1"/>
  <c r="O389" i="2"/>
  <c r="N389" i="2"/>
  <c r="M389" i="2"/>
  <c r="K389" i="2"/>
  <c r="O388" i="2"/>
  <c r="M388" i="2"/>
  <c r="K388" i="2"/>
  <c r="N388" i="2" s="1"/>
  <c r="O387" i="2"/>
  <c r="M387" i="2"/>
  <c r="K387" i="2"/>
  <c r="N387" i="2" s="1"/>
  <c r="O386" i="2"/>
  <c r="M386" i="2"/>
  <c r="K386" i="2"/>
  <c r="N386" i="2" s="1"/>
  <c r="O385" i="2"/>
  <c r="M385" i="2"/>
  <c r="K385" i="2"/>
  <c r="N385" i="2" s="1"/>
  <c r="O384" i="2"/>
  <c r="N384" i="2"/>
  <c r="M384" i="2"/>
  <c r="K384" i="2"/>
  <c r="O383" i="2"/>
  <c r="N383" i="2"/>
  <c r="M383" i="2"/>
  <c r="K383" i="2"/>
  <c r="O382" i="2"/>
  <c r="M382" i="2"/>
  <c r="N382" i="2" s="1"/>
  <c r="K382" i="2"/>
  <c r="O381" i="2"/>
  <c r="M381" i="2"/>
  <c r="K381" i="2"/>
  <c r="N381" i="2" s="1"/>
  <c r="O380" i="2"/>
  <c r="M380" i="2"/>
  <c r="K380" i="2"/>
  <c r="N380" i="2" s="1"/>
  <c r="O379" i="2"/>
  <c r="N379" i="2"/>
  <c r="M379" i="2"/>
  <c r="K379" i="2"/>
  <c r="O378" i="2"/>
  <c r="M378" i="2"/>
  <c r="N378" i="2" s="1"/>
  <c r="K378" i="2"/>
  <c r="O377" i="2"/>
  <c r="M377" i="2"/>
  <c r="K377" i="2"/>
  <c r="N377" i="2" s="1"/>
  <c r="O376" i="2"/>
  <c r="M376" i="2"/>
  <c r="K376" i="2"/>
  <c r="O375" i="2"/>
  <c r="N375" i="2"/>
  <c r="M375" i="2"/>
  <c r="K375" i="2"/>
  <c r="O374" i="2"/>
  <c r="N374" i="2"/>
  <c r="M374" i="2"/>
  <c r="K374" i="2"/>
  <c r="O373" i="2"/>
  <c r="M373" i="2"/>
  <c r="K373" i="2"/>
  <c r="N373" i="2" s="1"/>
  <c r="O372" i="2"/>
  <c r="M372" i="2"/>
  <c r="K372" i="2"/>
  <c r="O371" i="2"/>
  <c r="M371" i="2"/>
  <c r="K371" i="2"/>
  <c r="N371" i="2" s="1"/>
  <c r="O370" i="2"/>
  <c r="N370" i="2"/>
  <c r="M370" i="2"/>
  <c r="K370" i="2"/>
  <c r="O369" i="2"/>
  <c r="N369" i="2"/>
  <c r="M369" i="2"/>
  <c r="K369" i="2"/>
  <c r="O368" i="2"/>
  <c r="N368" i="2"/>
  <c r="M368" i="2"/>
  <c r="K368" i="2"/>
  <c r="O367" i="2"/>
  <c r="M367" i="2"/>
  <c r="K367" i="2"/>
  <c r="N367" i="2" s="1"/>
  <c r="O366" i="2"/>
  <c r="M366" i="2"/>
  <c r="K366" i="2"/>
  <c r="O365" i="2"/>
  <c r="N365" i="2"/>
  <c r="M365" i="2"/>
  <c r="K365" i="2"/>
  <c r="O364" i="2"/>
  <c r="N364" i="2"/>
  <c r="M364" i="2"/>
  <c r="K364" i="2"/>
  <c r="O363" i="2"/>
  <c r="M363" i="2"/>
  <c r="K363" i="2"/>
  <c r="N363" i="2" s="1"/>
  <c r="O362" i="2"/>
  <c r="N362" i="2"/>
  <c r="M362" i="2"/>
  <c r="K362" i="2"/>
  <c r="O361" i="2"/>
  <c r="M361" i="2"/>
  <c r="K361" i="2"/>
  <c r="N361" i="2" s="1"/>
  <c r="O360" i="2"/>
  <c r="M360" i="2"/>
  <c r="K360" i="2"/>
  <c r="N360" i="2" s="1"/>
  <c r="O359" i="2"/>
  <c r="N359" i="2"/>
  <c r="M359" i="2"/>
  <c r="K359" i="2"/>
  <c r="O358" i="2"/>
  <c r="N358" i="2"/>
  <c r="M358" i="2"/>
  <c r="K358" i="2"/>
  <c r="O357" i="2"/>
  <c r="M357" i="2"/>
  <c r="N357" i="2" s="1"/>
  <c r="K357" i="2"/>
  <c r="O356" i="2"/>
  <c r="M356" i="2"/>
  <c r="K356" i="2"/>
  <c r="N356" i="2" s="1"/>
  <c r="O355" i="2"/>
  <c r="M355" i="2"/>
  <c r="K355" i="2"/>
  <c r="O354" i="2"/>
  <c r="N354" i="2"/>
  <c r="M354" i="2"/>
  <c r="K354" i="2"/>
  <c r="O353" i="2"/>
  <c r="M353" i="2"/>
  <c r="N353" i="2" s="1"/>
  <c r="K353" i="2"/>
  <c r="O352" i="2"/>
  <c r="M352" i="2"/>
  <c r="K352" i="2"/>
  <c r="N352" i="2" s="1"/>
  <c r="N331" i="2"/>
  <c r="N327" i="2"/>
  <c r="O322" i="2"/>
  <c r="J321" i="2"/>
  <c r="I321" i="2"/>
  <c r="H321" i="2"/>
  <c r="O320" i="2"/>
  <c r="M320" i="2"/>
  <c r="K320" i="2"/>
  <c r="N320" i="2" s="1"/>
  <c r="M319" i="2"/>
  <c r="K319" i="2"/>
  <c r="N319" i="2" s="1"/>
  <c r="O319" i="2" s="1"/>
  <c r="N318" i="2"/>
  <c r="O318" i="2" s="1"/>
  <c r="M318" i="2"/>
  <c r="K318" i="2"/>
  <c r="M317" i="2"/>
  <c r="K317" i="2"/>
  <c r="N317" i="2" s="1"/>
  <c r="O317" i="2" s="1"/>
  <c r="M316" i="2"/>
  <c r="K316" i="2"/>
  <c r="M315" i="2"/>
  <c r="K315" i="2"/>
  <c r="N315" i="2" s="1"/>
  <c r="O315" i="2" s="1"/>
  <c r="M314" i="2"/>
  <c r="N314" i="2" s="1"/>
  <c r="O314" i="2" s="1"/>
  <c r="K314" i="2"/>
  <c r="N313" i="2"/>
  <c r="O313" i="2" s="1"/>
  <c r="M313" i="2"/>
  <c r="K313" i="2"/>
  <c r="M312" i="2"/>
  <c r="K312" i="2"/>
  <c r="N312" i="2" s="1"/>
  <c r="O312" i="2" s="1"/>
  <c r="N311" i="2"/>
  <c r="O311" i="2" s="1"/>
  <c r="M311" i="2"/>
  <c r="K311" i="2"/>
  <c r="O310" i="2"/>
  <c r="M310" i="2"/>
  <c r="K310" i="2"/>
  <c r="N310" i="2" s="1"/>
  <c r="M309" i="2"/>
  <c r="K309" i="2"/>
  <c r="N309" i="2" s="1"/>
  <c r="O309" i="2" s="1"/>
  <c r="M308" i="2"/>
  <c r="N308" i="2" s="1"/>
  <c r="O308" i="2" s="1"/>
  <c r="K308" i="2"/>
  <c r="M307" i="2"/>
  <c r="N307" i="2" s="1"/>
  <c r="O307" i="2" s="1"/>
  <c r="K307" i="2"/>
  <c r="M306" i="2"/>
  <c r="K306" i="2"/>
  <c r="N306" i="2" s="1"/>
  <c r="O306" i="2" s="1"/>
  <c r="M305" i="2"/>
  <c r="K305" i="2"/>
  <c r="N305" i="2" s="1"/>
  <c r="O305" i="2" s="1"/>
  <c r="M304" i="2"/>
  <c r="K304" i="2"/>
  <c r="N304" i="2" s="1"/>
  <c r="O304" i="2" s="1"/>
  <c r="M303" i="2"/>
  <c r="N303" i="2" s="1"/>
  <c r="O303" i="2" s="1"/>
  <c r="K303" i="2"/>
  <c r="M302" i="2"/>
  <c r="K302" i="2"/>
  <c r="N302" i="2" s="1"/>
  <c r="O302" i="2" s="1"/>
  <c r="M301" i="2"/>
  <c r="K301" i="2"/>
  <c r="N301" i="2" s="1"/>
  <c r="O301" i="2" s="1"/>
  <c r="O300" i="2"/>
  <c r="M300" i="2"/>
  <c r="K300" i="2"/>
  <c r="N300" i="2" s="1"/>
  <c r="M299" i="2"/>
  <c r="K299" i="2"/>
  <c r="N299" i="2" s="1"/>
  <c r="O299" i="2" s="1"/>
  <c r="N298" i="2"/>
  <c r="O298" i="2" s="1"/>
  <c r="M298" i="2"/>
  <c r="K298" i="2"/>
  <c r="N297" i="2"/>
  <c r="O297" i="2" s="1"/>
  <c r="M297" i="2"/>
  <c r="K297" i="2"/>
  <c r="M296" i="2"/>
  <c r="N296" i="2" s="1"/>
  <c r="O296" i="2" s="1"/>
  <c r="K296" i="2"/>
  <c r="M295" i="2"/>
  <c r="K295" i="2"/>
  <c r="N295" i="2" s="1"/>
  <c r="O295" i="2" s="1"/>
  <c r="O294" i="2"/>
  <c r="M294" i="2"/>
  <c r="K294" i="2"/>
  <c r="N294" i="2" s="1"/>
  <c r="N293" i="2"/>
  <c r="O293" i="2" s="1"/>
  <c r="M293" i="2"/>
  <c r="K293" i="2"/>
  <c r="M292" i="2"/>
  <c r="K292" i="2"/>
  <c r="N292" i="2" s="1"/>
  <c r="O292" i="2" s="1"/>
  <c r="M291" i="2"/>
  <c r="K291" i="2"/>
  <c r="N291" i="2" s="1"/>
  <c r="O291" i="2" s="1"/>
  <c r="M290" i="2"/>
  <c r="K290" i="2"/>
  <c r="N290" i="2" s="1"/>
  <c r="O290" i="2" s="1"/>
  <c r="M289" i="2"/>
  <c r="N289" i="2" s="1"/>
  <c r="O289" i="2" s="1"/>
  <c r="K289" i="2"/>
  <c r="M288" i="2"/>
  <c r="N288" i="2" s="1"/>
  <c r="O288" i="2" s="1"/>
  <c r="K288" i="2"/>
  <c r="M287" i="2"/>
  <c r="K287" i="2"/>
  <c r="N286" i="2"/>
  <c r="O286" i="2" s="1"/>
  <c r="M286" i="2"/>
  <c r="K286" i="2"/>
  <c r="M285" i="2"/>
  <c r="K285" i="2"/>
  <c r="N285" i="2" s="1"/>
  <c r="O285" i="2" s="1"/>
  <c r="N284" i="2"/>
  <c r="O284" i="2" s="1"/>
  <c r="M284" i="2"/>
  <c r="K284" i="2"/>
  <c r="M283" i="2"/>
  <c r="N283" i="2" s="1"/>
  <c r="O283" i="2" s="1"/>
  <c r="K283" i="2"/>
  <c r="M282" i="2"/>
  <c r="N282" i="2" s="1"/>
  <c r="O282" i="2" s="1"/>
  <c r="K282" i="2"/>
  <c r="N281" i="2"/>
  <c r="O281" i="2" s="1"/>
  <c r="M281" i="2"/>
  <c r="K281" i="2"/>
  <c r="M280" i="2"/>
  <c r="K280" i="2"/>
  <c r="N280" i="2" s="1"/>
  <c r="O280" i="2" s="1"/>
  <c r="M279" i="2"/>
  <c r="K279" i="2"/>
  <c r="N279" i="2" s="1"/>
  <c r="O279" i="2" s="1"/>
  <c r="N278" i="2"/>
  <c r="O278" i="2" s="1"/>
  <c r="M278" i="2"/>
  <c r="K278" i="2"/>
  <c r="M277" i="2"/>
  <c r="K277" i="2"/>
  <c r="N277" i="2" s="1"/>
  <c r="O277" i="2" s="1"/>
  <c r="M276" i="2"/>
  <c r="K276" i="2"/>
  <c r="N276" i="2" s="1"/>
  <c r="O276" i="2" s="1"/>
  <c r="O275" i="2"/>
  <c r="M275" i="2"/>
  <c r="K275" i="2"/>
  <c r="N275" i="2" s="1"/>
  <c r="M274" i="2"/>
  <c r="K274" i="2"/>
  <c r="N274" i="2" s="1"/>
  <c r="O274" i="2" s="1"/>
  <c r="N273" i="2"/>
  <c r="O273" i="2" s="1"/>
  <c r="M273" i="2"/>
  <c r="K273" i="2"/>
  <c r="N272" i="2"/>
  <c r="O272" i="2" s="1"/>
  <c r="M272" i="2"/>
  <c r="K272" i="2"/>
  <c r="O271" i="2"/>
  <c r="N271" i="2"/>
  <c r="M271" i="2"/>
  <c r="K271" i="2"/>
  <c r="O270" i="2"/>
  <c r="M270" i="2"/>
  <c r="K270" i="2"/>
  <c r="N270" i="2" s="1"/>
  <c r="M269" i="2"/>
  <c r="K269" i="2"/>
  <c r="N269" i="2" s="1"/>
  <c r="O269" i="2" s="1"/>
  <c r="O268" i="2"/>
  <c r="N268" i="2"/>
  <c r="M268" i="2"/>
  <c r="K268" i="2"/>
  <c r="N267" i="2"/>
  <c r="O267" i="2" s="1"/>
  <c r="M267" i="2"/>
  <c r="K267" i="2"/>
  <c r="M266" i="2"/>
  <c r="K266" i="2"/>
  <c r="N266" i="2" s="1"/>
  <c r="O266" i="2" s="1"/>
  <c r="O265" i="2"/>
  <c r="M265" i="2"/>
  <c r="K265" i="2"/>
  <c r="N265" i="2" s="1"/>
  <c r="M264" i="2"/>
  <c r="N264" i="2" s="1"/>
  <c r="O264" i="2" s="1"/>
  <c r="K264" i="2"/>
  <c r="N263" i="2"/>
  <c r="O263" i="2" s="1"/>
  <c r="M263" i="2"/>
  <c r="K263" i="2"/>
  <c r="M262" i="2"/>
  <c r="K262" i="2"/>
  <c r="N262" i="2" s="1"/>
  <c r="O262" i="2" s="1"/>
  <c r="O261" i="2"/>
  <c r="N261" i="2"/>
  <c r="M261" i="2"/>
  <c r="K261" i="2"/>
  <c r="O260" i="2"/>
  <c r="M260" i="2"/>
  <c r="K260" i="2"/>
  <c r="N260" i="2" s="1"/>
  <c r="M259" i="2"/>
  <c r="K259" i="2"/>
  <c r="N259" i="2" s="1"/>
  <c r="O259" i="2" s="1"/>
  <c r="O258" i="2"/>
  <c r="M258" i="2"/>
  <c r="N258" i="2" s="1"/>
  <c r="K258" i="2"/>
  <c r="M257" i="2"/>
  <c r="N257" i="2" s="1"/>
  <c r="O257" i="2" s="1"/>
  <c r="K257" i="2"/>
  <c r="M256" i="2"/>
  <c r="K256" i="2"/>
  <c r="N256" i="2" s="1"/>
  <c r="O256" i="2" s="1"/>
  <c r="M255" i="2"/>
  <c r="K255" i="2"/>
  <c r="N255" i="2" s="1"/>
  <c r="O255" i="2" s="1"/>
  <c r="N254" i="2"/>
  <c r="O254" i="2" s="1"/>
  <c r="M254" i="2"/>
  <c r="K254" i="2"/>
  <c r="O253" i="2"/>
  <c r="N253" i="2"/>
  <c r="M253" i="2"/>
  <c r="K253" i="2"/>
  <c r="M252" i="2"/>
  <c r="K252" i="2"/>
  <c r="M251" i="2"/>
  <c r="K251" i="2"/>
  <c r="N251" i="2" s="1"/>
  <c r="O251" i="2" s="1"/>
  <c r="O250" i="2"/>
  <c r="M250" i="2"/>
  <c r="K250" i="2"/>
  <c r="N250" i="2" s="1"/>
  <c r="N249" i="2"/>
  <c r="O249" i="2" s="1"/>
  <c r="M249" i="2"/>
  <c r="K249" i="2"/>
  <c r="M248" i="2"/>
  <c r="N248" i="2" s="1"/>
  <c r="O248" i="2" s="1"/>
  <c r="K248" i="2"/>
  <c r="N247" i="2"/>
  <c r="O247" i="2" s="1"/>
  <c r="M247" i="2"/>
  <c r="K247" i="2"/>
  <c r="N246" i="2"/>
  <c r="O246" i="2" s="1"/>
  <c r="M246" i="2"/>
  <c r="K246" i="2"/>
  <c r="M245" i="2"/>
  <c r="K245" i="2"/>
  <c r="N245" i="2" s="1"/>
  <c r="O245" i="2" s="1"/>
  <c r="M244" i="2"/>
  <c r="K244" i="2"/>
  <c r="N244" i="2" s="1"/>
  <c r="O244" i="2" s="1"/>
  <c r="O243" i="2"/>
  <c r="N243" i="2"/>
  <c r="M243" i="2"/>
  <c r="K243" i="2"/>
  <c r="M242" i="2"/>
  <c r="K242" i="2"/>
  <c r="N242" i="2" s="1"/>
  <c r="O242" i="2" s="1"/>
  <c r="M241" i="2"/>
  <c r="K241" i="2"/>
  <c r="N241" i="2" s="1"/>
  <c r="O241" i="2" s="1"/>
  <c r="M240" i="2"/>
  <c r="K240" i="2"/>
  <c r="N240" i="2" s="1"/>
  <c r="O240" i="2" s="1"/>
  <c r="O239" i="2"/>
  <c r="N239" i="2"/>
  <c r="M239" i="2"/>
  <c r="K239" i="2"/>
  <c r="M238" i="2"/>
  <c r="N238" i="2" s="1"/>
  <c r="O238" i="2" s="1"/>
  <c r="K238" i="2"/>
  <c r="M237" i="2"/>
  <c r="K237" i="2"/>
  <c r="N237" i="2" s="1"/>
  <c r="O237" i="2" s="1"/>
  <c r="N236" i="2"/>
  <c r="O236" i="2" s="1"/>
  <c r="M236" i="2"/>
  <c r="K236" i="2"/>
  <c r="M235" i="2"/>
  <c r="K235" i="2"/>
  <c r="N235" i="2" s="1"/>
  <c r="O235" i="2" s="1"/>
  <c r="M234" i="2"/>
  <c r="K234" i="2"/>
  <c r="N234" i="2" s="1"/>
  <c r="O234" i="2" s="1"/>
  <c r="O233" i="2"/>
  <c r="M233" i="2"/>
  <c r="N233" i="2" s="1"/>
  <c r="K233" i="2"/>
  <c r="M232" i="2"/>
  <c r="N232" i="2" s="1"/>
  <c r="O232" i="2" s="1"/>
  <c r="K232" i="2"/>
  <c r="M231" i="2"/>
  <c r="K231" i="2"/>
  <c r="N231" i="2" s="1"/>
  <c r="O231" i="2" s="1"/>
  <c r="M230" i="2"/>
  <c r="K230" i="2"/>
  <c r="N230" i="2" s="1"/>
  <c r="O230" i="2" s="1"/>
  <c r="M229" i="2"/>
  <c r="K229" i="2"/>
  <c r="N229" i="2" s="1"/>
  <c r="O229" i="2" s="1"/>
  <c r="O228" i="2"/>
  <c r="N228" i="2"/>
  <c r="M228" i="2"/>
  <c r="K228" i="2"/>
  <c r="M227" i="2"/>
  <c r="K227" i="2"/>
  <c r="N227" i="2" s="1"/>
  <c r="O227" i="2" s="1"/>
  <c r="M226" i="2"/>
  <c r="K226" i="2"/>
  <c r="N226" i="2" s="1"/>
  <c r="O226" i="2" s="1"/>
  <c r="O225" i="2"/>
  <c r="M225" i="2"/>
  <c r="K225" i="2"/>
  <c r="N225" i="2" s="1"/>
  <c r="M224" i="2"/>
  <c r="K224" i="2"/>
  <c r="N224" i="2" s="1"/>
  <c r="O224" i="2" s="1"/>
  <c r="N223" i="2"/>
  <c r="O223" i="2" s="1"/>
  <c r="M223" i="2"/>
  <c r="K223" i="2"/>
  <c r="N222" i="2"/>
  <c r="O222" i="2" s="1"/>
  <c r="M222" i="2"/>
  <c r="K222" i="2"/>
  <c r="O221" i="2"/>
  <c r="N221" i="2"/>
  <c r="M221" i="2"/>
  <c r="K221" i="2"/>
  <c r="O220" i="2"/>
  <c r="M220" i="2"/>
  <c r="K220" i="2"/>
  <c r="N220" i="2" s="1"/>
  <c r="M219" i="2"/>
  <c r="K219" i="2"/>
  <c r="N219" i="2" s="1"/>
  <c r="O219" i="2" s="1"/>
  <c r="N218" i="2"/>
  <c r="O218" i="2" s="1"/>
  <c r="M218" i="2"/>
  <c r="K218" i="2"/>
  <c r="N217" i="2"/>
  <c r="O217" i="2" s="1"/>
  <c r="M217" i="2"/>
  <c r="K217" i="2"/>
  <c r="M216" i="2"/>
  <c r="K216" i="2"/>
  <c r="N216" i="2" s="1"/>
  <c r="O216" i="2" s="1"/>
  <c r="M215" i="2"/>
  <c r="K215" i="2"/>
  <c r="N215" i="2" s="1"/>
  <c r="O215" i="2" s="1"/>
  <c r="M214" i="2"/>
  <c r="N214" i="2" s="1"/>
  <c r="O214" i="2" s="1"/>
  <c r="K214" i="2"/>
  <c r="M213" i="2"/>
  <c r="N213" i="2" s="1"/>
  <c r="O213" i="2" s="1"/>
  <c r="K213" i="2"/>
  <c r="M212" i="2"/>
  <c r="K212" i="2"/>
  <c r="N212" i="2" s="1"/>
  <c r="O212" i="2" s="1"/>
  <c r="N211" i="2"/>
  <c r="O211" i="2" s="1"/>
  <c r="M211" i="2"/>
  <c r="K211" i="2"/>
  <c r="M210" i="2"/>
  <c r="K210" i="2"/>
  <c r="N210" i="2" s="1"/>
  <c r="O210" i="2" s="1"/>
  <c r="M209" i="2"/>
  <c r="K209" i="2"/>
  <c r="N209" i="2" s="1"/>
  <c r="O209" i="2" s="1"/>
  <c r="M208" i="2"/>
  <c r="N208" i="2" s="1"/>
  <c r="O208" i="2" s="1"/>
  <c r="K208" i="2"/>
  <c r="N207" i="2"/>
  <c r="O207" i="2" s="1"/>
  <c r="M207" i="2"/>
  <c r="K207" i="2"/>
  <c r="M206" i="2"/>
  <c r="K206" i="2"/>
  <c r="N206" i="2" s="1"/>
  <c r="O206" i="2" s="1"/>
  <c r="M205" i="2"/>
  <c r="K205" i="2"/>
  <c r="N205" i="2" s="1"/>
  <c r="O205" i="2" s="1"/>
  <c r="N204" i="2"/>
  <c r="O204" i="2" s="1"/>
  <c r="M204" i="2"/>
  <c r="K204" i="2"/>
  <c r="M203" i="2"/>
  <c r="N203" i="2" s="1"/>
  <c r="O203" i="2" s="1"/>
  <c r="K203" i="2"/>
  <c r="M202" i="2"/>
  <c r="K202" i="2"/>
  <c r="N202" i="2" s="1"/>
  <c r="O202" i="2" s="1"/>
  <c r="M201" i="2"/>
  <c r="K201" i="2"/>
  <c r="O200" i="2"/>
  <c r="M200" i="2"/>
  <c r="K200" i="2"/>
  <c r="N200" i="2" s="1"/>
  <c r="M199" i="2"/>
  <c r="K199" i="2"/>
  <c r="N199" i="2" s="1"/>
  <c r="O199" i="2" s="1"/>
  <c r="M198" i="2"/>
  <c r="N198" i="2" s="1"/>
  <c r="O198" i="2" s="1"/>
  <c r="K198" i="2"/>
  <c r="N197" i="2"/>
  <c r="O197" i="2" s="1"/>
  <c r="M197" i="2"/>
  <c r="K197" i="2"/>
  <c r="M196" i="2"/>
  <c r="N196" i="2" s="1"/>
  <c r="O196" i="2" s="1"/>
  <c r="K196" i="2"/>
  <c r="O195" i="2"/>
  <c r="M195" i="2"/>
  <c r="K195" i="2"/>
  <c r="N195" i="2" s="1"/>
  <c r="M194" i="2"/>
  <c r="K194" i="2"/>
  <c r="N194" i="2" s="1"/>
  <c r="O194" i="2" s="1"/>
  <c r="N193" i="2"/>
  <c r="O193" i="2" s="1"/>
  <c r="M193" i="2"/>
  <c r="K193" i="2"/>
  <c r="M192" i="2"/>
  <c r="K192" i="2"/>
  <c r="N192" i="2" s="1"/>
  <c r="O192" i="2" s="1"/>
  <c r="M191" i="2"/>
  <c r="K191" i="2"/>
  <c r="M190" i="2"/>
  <c r="K190" i="2"/>
  <c r="N190" i="2" s="1"/>
  <c r="O190" i="2" s="1"/>
  <c r="M189" i="2"/>
  <c r="N189" i="2" s="1"/>
  <c r="O189" i="2" s="1"/>
  <c r="K189" i="2"/>
  <c r="N188" i="2"/>
  <c r="O188" i="2" s="1"/>
  <c r="M188" i="2"/>
  <c r="K188" i="2"/>
  <c r="M187" i="2"/>
  <c r="K187" i="2"/>
  <c r="N187" i="2" s="1"/>
  <c r="O187" i="2" s="1"/>
  <c r="N186" i="2"/>
  <c r="O186" i="2" s="1"/>
  <c r="M186" i="2"/>
  <c r="K186" i="2"/>
  <c r="O185" i="2"/>
  <c r="M185" i="2"/>
  <c r="K185" i="2"/>
  <c r="N185" i="2" s="1"/>
  <c r="M184" i="2"/>
  <c r="K184" i="2"/>
  <c r="N184" i="2" s="1"/>
  <c r="O184" i="2" s="1"/>
  <c r="O183" i="2"/>
  <c r="M183" i="2"/>
  <c r="N183" i="2" s="1"/>
  <c r="K183" i="2"/>
  <c r="M182" i="2"/>
  <c r="N182" i="2" s="1"/>
  <c r="O182" i="2" s="1"/>
  <c r="K182" i="2"/>
  <c r="M181" i="2"/>
  <c r="K181" i="2"/>
  <c r="N181" i="2" s="1"/>
  <c r="O181" i="2" s="1"/>
  <c r="M180" i="2"/>
  <c r="K180" i="2"/>
  <c r="N180" i="2" s="1"/>
  <c r="O180" i="2" s="1"/>
  <c r="M179" i="2"/>
  <c r="K179" i="2"/>
  <c r="N179" i="2" s="1"/>
  <c r="O179" i="2" s="1"/>
  <c r="M178" i="2"/>
  <c r="N178" i="2" s="1"/>
  <c r="O178" i="2" s="1"/>
  <c r="K178" i="2"/>
  <c r="M177" i="2"/>
  <c r="K177" i="2"/>
  <c r="N177" i="2" s="1"/>
  <c r="O177" i="2" s="1"/>
  <c r="M176" i="2"/>
  <c r="K176" i="2"/>
  <c r="O175" i="2"/>
  <c r="M175" i="2"/>
  <c r="K175" i="2"/>
  <c r="N175" i="2" s="1"/>
  <c r="M174" i="2"/>
  <c r="K174" i="2"/>
  <c r="M173" i="2"/>
  <c r="N173" i="2" s="1"/>
  <c r="O173" i="2" s="1"/>
  <c r="K173" i="2"/>
  <c r="N172" i="2"/>
  <c r="O172" i="2" s="1"/>
  <c r="M172" i="2"/>
  <c r="K172" i="2"/>
  <c r="M171" i="2"/>
  <c r="N171" i="2" s="1"/>
  <c r="O171" i="2" s="1"/>
  <c r="K171" i="2"/>
  <c r="M170" i="2"/>
  <c r="K170" i="2"/>
  <c r="N170" i="2" s="1"/>
  <c r="O170" i="2" s="1"/>
  <c r="O169" i="2"/>
  <c r="M169" i="2"/>
  <c r="K169" i="2"/>
  <c r="N169" i="2" s="1"/>
  <c r="N168" i="2"/>
  <c r="O168" i="2" s="1"/>
  <c r="M168" i="2"/>
  <c r="K168" i="2"/>
  <c r="M167" i="2"/>
  <c r="K167" i="2"/>
  <c r="N167" i="2" s="1"/>
  <c r="O167" i="2" s="1"/>
  <c r="M166" i="2"/>
  <c r="K166" i="2"/>
  <c r="N166" i="2" s="1"/>
  <c r="O166" i="2" s="1"/>
  <c r="M165" i="2"/>
  <c r="K165" i="2"/>
  <c r="N165" i="2" s="1"/>
  <c r="O165" i="2" s="1"/>
  <c r="M164" i="2"/>
  <c r="N164" i="2" s="1"/>
  <c r="O164" i="2" s="1"/>
  <c r="K164" i="2"/>
  <c r="N163" i="2"/>
  <c r="O163" i="2" s="1"/>
  <c r="M163" i="2"/>
  <c r="K163" i="2"/>
  <c r="M162" i="2"/>
  <c r="K162" i="2"/>
  <c r="N161" i="2"/>
  <c r="O161" i="2" s="1"/>
  <c r="M161" i="2"/>
  <c r="K161" i="2"/>
  <c r="M160" i="2"/>
  <c r="K160" i="2"/>
  <c r="N160" i="2" s="1"/>
  <c r="O160" i="2" s="1"/>
  <c r="N159" i="2"/>
  <c r="O159" i="2" s="1"/>
  <c r="M159" i="2"/>
  <c r="K159" i="2"/>
  <c r="M158" i="2"/>
  <c r="N158" i="2" s="1"/>
  <c r="O158" i="2" s="1"/>
  <c r="K158" i="2"/>
  <c r="N157" i="2"/>
  <c r="O157" i="2" s="1"/>
  <c r="M157" i="2"/>
  <c r="K157" i="2"/>
  <c r="N156" i="2"/>
  <c r="O156" i="2" s="1"/>
  <c r="M156" i="2"/>
  <c r="K156" i="2"/>
  <c r="M155" i="2"/>
  <c r="K155" i="2"/>
  <c r="N155" i="2" s="1"/>
  <c r="O155" i="2" s="1"/>
  <c r="M154" i="2"/>
  <c r="K154" i="2"/>
  <c r="N154" i="2" s="1"/>
  <c r="O154" i="2" s="1"/>
  <c r="N153" i="2"/>
  <c r="O153" i="2" s="1"/>
  <c r="M153" i="2"/>
  <c r="K153" i="2"/>
  <c r="M152" i="2"/>
  <c r="K152" i="2"/>
  <c r="N151" i="2"/>
  <c r="O151" i="2" s="1"/>
  <c r="M151" i="2"/>
  <c r="K151" i="2"/>
  <c r="O150" i="2"/>
  <c r="M150" i="2"/>
  <c r="K150" i="2"/>
  <c r="N150" i="2" s="1"/>
  <c r="M149" i="2"/>
  <c r="K149" i="2"/>
  <c r="N149" i="2" s="1"/>
  <c r="O149" i="2" s="1"/>
  <c r="M148" i="2"/>
  <c r="N148" i="2" s="1"/>
  <c r="O148" i="2" s="1"/>
  <c r="K148" i="2"/>
  <c r="N147" i="2"/>
  <c r="O147" i="2" s="1"/>
  <c r="M147" i="2"/>
  <c r="K147" i="2"/>
  <c r="M146" i="2"/>
  <c r="K146" i="2"/>
  <c r="O145" i="2"/>
  <c r="M145" i="2"/>
  <c r="K145" i="2"/>
  <c r="N145" i="2" s="1"/>
  <c r="O144" i="2"/>
  <c r="N144" i="2"/>
  <c r="M144" i="2"/>
  <c r="K144" i="2"/>
  <c r="M143" i="2"/>
  <c r="N143" i="2" s="1"/>
  <c r="O143" i="2" s="1"/>
  <c r="K143" i="2"/>
  <c r="M142" i="2"/>
  <c r="K142" i="2"/>
  <c r="N142" i="2" s="1"/>
  <c r="O142" i="2" s="1"/>
  <c r="N141" i="2"/>
  <c r="O141" i="2" s="1"/>
  <c r="M141" i="2"/>
  <c r="K141" i="2"/>
  <c r="M140" i="2"/>
  <c r="K140" i="2"/>
  <c r="N140" i="2" s="1"/>
  <c r="O140" i="2" s="1"/>
  <c r="M139" i="2"/>
  <c r="K139" i="2"/>
  <c r="N139" i="2" s="1"/>
  <c r="O139" i="2" s="1"/>
  <c r="O138" i="2"/>
  <c r="N138" i="2"/>
  <c r="M138" i="2"/>
  <c r="K138" i="2"/>
  <c r="M137" i="2"/>
  <c r="K137" i="2"/>
  <c r="N137" i="2" s="1"/>
  <c r="O137" i="2" s="1"/>
  <c r="M136" i="2"/>
  <c r="K136" i="2"/>
  <c r="N136" i="2" s="1"/>
  <c r="O136" i="2" s="1"/>
  <c r="O135" i="2"/>
  <c r="M135" i="2"/>
  <c r="K135" i="2"/>
  <c r="N135" i="2" s="1"/>
  <c r="M134" i="2"/>
  <c r="K134" i="2"/>
  <c r="N134" i="2" s="1"/>
  <c r="O134" i="2" s="1"/>
  <c r="M133" i="2"/>
  <c r="N133" i="2" s="1"/>
  <c r="O133" i="2" s="1"/>
  <c r="K133" i="2"/>
  <c r="M132" i="2"/>
  <c r="K132" i="2"/>
  <c r="N132" i="2" s="1"/>
  <c r="O132" i="2" s="1"/>
  <c r="M131" i="2"/>
  <c r="K131" i="2"/>
  <c r="N131" i="2" s="1"/>
  <c r="O131" i="2" s="1"/>
  <c r="M130" i="2"/>
  <c r="K130" i="2"/>
  <c r="N130" i="2" s="1"/>
  <c r="O130" i="2" s="1"/>
  <c r="O129" i="2"/>
  <c r="M129" i="2"/>
  <c r="K129" i="2"/>
  <c r="N129" i="2" s="1"/>
  <c r="O128" i="2"/>
  <c r="N128" i="2"/>
  <c r="M128" i="2"/>
  <c r="K128" i="2"/>
  <c r="M127" i="2"/>
  <c r="K127" i="2"/>
  <c r="N127" i="2" s="1"/>
  <c r="O127" i="2" s="1"/>
  <c r="M126" i="2"/>
  <c r="K126" i="2"/>
  <c r="N126" i="2" s="1"/>
  <c r="O126" i="2" s="1"/>
  <c r="O125" i="2"/>
  <c r="M125" i="2"/>
  <c r="K125" i="2"/>
  <c r="N125" i="2" s="1"/>
  <c r="M124" i="2"/>
  <c r="K124" i="2"/>
  <c r="N124" i="2" s="1"/>
  <c r="O124" i="2" s="1"/>
  <c r="M123" i="2"/>
  <c r="N123" i="2" s="1"/>
  <c r="O123" i="2" s="1"/>
  <c r="K123" i="2"/>
  <c r="M122" i="2"/>
  <c r="K122" i="2"/>
  <c r="N122" i="2" s="1"/>
  <c r="O122" i="2" s="1"/>
  <c r="M121" i="2"/>
  <c r="K121" i="2"/>
  <c r="N121" i="2" s="1"/>
  <c r="O121" i="2" s="1"/>
  <c r="M120" i="2"/>
  <c r="K120" i="2"/>
  <c r="N120" i="2" s="1"/>
  <c r="O120" i="2" s="1"/>
  <c r="M119" i="2"/>
  <c r="K119" i="2"/>
  <c r="N119" i="2" s="1"/>
  <c r="O119" i="2" s="1"/>
  <c r="O118" i="2"/>
  <c r="N118" i="2"/>
  <c r="M118" i="2"/>
  <c r="K118" i="2"/>
  <c r="M117" i="2"/>
  <c r="K117" i="2"/>
  <c r="N117" i="2" s="1"/>
  <c r="O117" i="2" s="1"/>
  <c r="M116" i="2"/>
  <c r="K116" i="2"/>
  <c r="N116" i="2" s="1"/>
  <c r="O116" i="2" s="1"/>
  <c r="O115" i="2"/>
  <c r="M115" i="2"/>
  <c r="K115" i="2"/>
  <c r="N115" i="2" s="1"/>
  <c r="M114" i="2"/>
  <c r="K114" i="2"/>
  <c r="N114" i="2" s="1"/>
  <c r="O114" i="2" s="1"/>
  <c r="N113" i="2"/>
  <c r="O113" i="2" s="1"/>
  <c r="M113" i="2"/>
  <c r="K113" i="2"/>
  <c r="M112" i="2"/>
  <c r="N112" i="2" s="1"/>
  <c r="O112" i="2" s="1"/>
  <c r="K112" i="2"/>
  <c r="M111" i="2"/>
  <c r="K111" i="2"/>
  <c r="M110" i="2"/>
  <c r="K110" i="2"/>
  <c r="N110" i="2" s="1"/>
  <c r="O110" i="2" s="1"/>
  <c r="N109" i="2"/>
  <c r="O109" i="2" s="1"/>
  <c r="M109" i="2"/>
  <c r="K109" i="2"/>
  <c r="N108" i="2"/>
  <c r="O108" i="2" s="1"/>
  <c r="M108" i="2"/>
  <c r="K108" i="2"/>
  <c r="M107" i="2"/>
  <c r="K107" i="2"/>
  <c r="N107" i="2" s="1"/>
  <c r="O107" i="2" s="1"/>
  <c r="M106" i="2"/>
  <c r="K106" i="2"/>
  <c r="N106" i="2" s="1"/>
  <c r="O106" i="2" s="1"/>
  <c r="O105" i="2"/>
  <c r="M105" i="2"/>
  <c r="K105" i="2"/>
  <c r="N105" i="2" s="1"/>
  <c r="M104" i="2"/>
  <c r="K104" i="2"/>
  <c r="N104" i="2" s="1"/>
  <c r="O104" i="2" s="1"/>
  <c r="M103" i="2"/>
  <c r="N103" i="2" s="1"/>
  <c r="O103" i="2" s="1"/>
  <c r="K103" i="2"/>
  <c r="M102" i="2"/>
  <c r="K102" i="2"/>
  <c r="N102" i="2" s="1"/>
  <c r="O102" i="2" s="1"/>
  <c r="M101" i="2"/>
  <c r="N101" i="2" s="1"/>
  <c r="O101" i="2" s="1"/>
  <c r="K101" i="2"/>
  <c r="M100" i="2"/>
  <c r="K100" i="2"/>
  <c r="N100" i="2" s="1"/>
  <c r="O100" i="2" s="1"/>
  <c r="M99" i="2"/>
  <c r="N99" i="2" s="1"/>
  <c r="O99" i="2" s="1"/>
  <c r="K99" i="2"/>
  <c r="O98" i="2"/>
  <c r="N98" i="2"/>
  <c r="M98" i="2"/>
  <c r="K98" i="2"/>
  <c r="M97" i="2"/>
  <c r="K97" i="2"/>
  <c r="M96" i="2"/>
  <c r="N96" i="2" s="1"/>
  <c r="O96" i="2" s="1"/>
  <c r="K96" i="2"/>
  <c r="O95" i="2"/>
  <c r="M95" i="2"/>
  <c r="K95" i="2"/>
  <c r="N95" i="2" s="1"/>
  <c r="M94" i="2"/>
  <c r="K94" i="2"/>
  <c r="N94" i="2" s="1"/>
  <c r="O94" i="2" s="1"/>
  <c r="M93" i="2"/>
  <c r="N93" i="2" s="1"/>
  <c r="O93" i="2" s="1"/>
  <c r="K93" i="2"/>
  <c r="M92" i="2"/>
  <c r="K92" i="2"/>
  <c r="N92" i="2" s="1"/>
  <c r="O92" i="2" s="1"/>
  <c r="M91" i="2"/>
  <c r="K91" i="2"/>
  <c r="N91" i="2" s="1"/>
  <c r="O91" i="2" s="1"/>
  <c r="M90" i="2"/>
  <c r="K90" i="2"/>
  <c r="N90" i="2" s="1"/>
  <c r="O90" i="2" s="1"/>
  <c r="M89" i="2"/>
  <c r="K89" i="2"/>
  <c r="N89" i="2" s="1"/>
  <c r="O89" i="2" s="1"/>
  <c r="M88" i="2"/>
  <c r="N88" i="2" s="1"/>
  <c r="O88" i="2" s="1"/>
  <c r="K88" i="2"/>
  <c r="M87" i="2"/>
  <c r="N87" i="2" s="1"/>
  <c r="O87" i="2" s="1"/>
  <c r="K87" i="2"/>
  <c r="M86" i="2"/>
  <c r="K86" i="2"/>
  <c r="M85" i="2"/>
  <c r="K85" i="2"/>
  <c r="N85" i="2" s="1"/>
  <c r="O85" i="2" s="1"/>
  <c r="N84" i="2"/>
  <c r="O84" i="2" s="1"/>
  <c r="M84" i="2"/>
  <c r="K84" i="2"/>
  <c r="M83" i="2"/>
  <c r="N83" i="2" s="1"/>
  <c r="O83" i="2" s="1"/>
  <c r="K83" i="2"/>
  <c r="M82" i="2"/>
  <c r="K82" i="2"/>
  <c r="N82" i="2" s="1"/>
  <c r="O82" i="2" s="1"/>
  <c r="M81" i="2"/>
  <c r="K81" i="2"/>
  <c r="N81" i="2" s="1"/>
  <c r="O81" i="2" s="1"/>
  <c r="M80" i="2"/>
  <c r="K80" i="2"/>
  <c r="N80" i="2" s="1"/>
  <c r="O80" i="2" s="1"/>
  <c r="M79" i="2"/>
  <c r="K79" i="2"/>
  <c r="N79" i="2" s="1"/>
  <c r="O79" i="2" s="1"/>
  <c r="M78" i="2"/>
  <c r="N78" i="2" s="1"/>
  <c r="O78" i="2" s="1"/>
  <c r="K78" i="2"/>
  <c r="M77" i="2"/>
  <c r="K77" i="2"/>
  <c r="N77" i="2" s="1"/>
  <c r="O77" i="2" s="1"/>
  <c r="N76" i="2"/>
  <c r="O76" i="2" s="1"/>
  <c r="M76" i="2"/>
  <c r="K76" i="2"/>
  <c r="M75" i="2"/>
  <c r="K75" i="2"/>
  <c r="N75" i="2" s="1"/>
  <c r="O75" i="2" s="1"/>
  <c r="M74" i="2"/>
  <c r="K74" i="2"/>
  <c r="N73" i="2"/>
  <c r="O73" i="2" s="1"/>
  <c r="M73" i="2"/>
  <c r="K73" i="2"/>
  <c r="M72" i="2"/>
  <c r="K72" i="2"/>
  <c r="N72" i="2" s="1"/>
  <c r="O72" i="2" s="1"/>
  <c r="M71" i="2"/>
  <c r="K71" i="2"/>
  <c r="N71" i="2" s="1"/>
  <c r="O71" i="2" s="1"/>
  <c r="O70" i="2"/>
  <c r="M70" i="2"/>
  <c r="K70" i="2"/>
  <c r="N70" i="2" s="1"/>
  <c r="M69" i="2"/>
  <c r="K69" i="2"/>
  <c r="N69" i="2" s="1"/>
  <c r="O69" i="2" s="1"/>
  <c r="M68" i="2"/>
  <c r="N68" i="2" s="1"/>
  <c r="O68" i="2" s="1"/>
  <c r="K68" i="2"/>
  <c r="M67" i="2"/>
  <c r="K67" i="2"/>
  <c r="N67" i="2" s="1"/>
  <c r="O67" i="2" s="1"/>
  <c r="M66" i="2"/>
  <c r="K66" i="2"/>
  <c r="N66" i="2" s="1"/>
  <c r="O66" i="2" s="1"/>
  <c r="M65" i="2"/>
  <c r="K65" i="2"/>
  <c r="N65" i="2" s="1"/>
  <c r="O65" i="2" s="1"/>
  <c r="M64" i="2"/>
  <c r="K64" i="2"/>
  <c r="N64" i="2" s="1"/>
  <c r="O64" i="2" s="1"/>
  <c r="O63" i="2"/>
  <c r="N63" i="2"/>
  <c r="M63" i="2"/>
  <c r="K63" i="2"/>
  <c r="M62" i="2"/>
  <c r="N62" i="2" s="1"/>
  <c r="O62" i="2" s="1"/>
  <c r="K62" i="2"/>
  <c r="M61" i="2"/>
  <c r="K61" i="2"/>
  <c r="N61" i="2" s="1"/>
  <c r="O61" i="2" s="1"/>
  <c r="O60" i="2"/>
  <c r="M60" i="2"/>
  <c r="K60" i="2"/>
  <c r="N60" i="2" s="1"/>
  <c r="N59" i="2"/>
  <c r="O59" i="2" s="1"/>
  <c r="M59" i="2"/>
  <c r="K59" i="2"/>
  <c r="M58" i="2"/>
  <c r="N58" i="2" s="1"/>
  <c r="O58" i="2" s="1"/>
  <c r="K58" i="2"/>
  <c r="M57" i="2"/>
  <c r="N57" i="2" s="1"/>
  <c r="O57" i="2" s="1"/>
  <c r="K57" i="2"/>
  <c r="M56" i="2"/>
  <c r="K56" i="2"/>
  <c r="N56" i="2" s="1"/>
  <c r="O56" i="2" s="1"/>
  <c r="M55" i="2"/>
  <c r="K55" i="2"/>
  <c r="N55" i="2" s="1"/>
  <c r="O55" i="2" s="1"/>
  <c r="M54" i="2"/>
  <c r="N54" i="2" s="1"/>
  <c r="O54" i="2" s="1"/>
  <c r="K54" i="2"/>
  <c r="M53" i="2"/>
  <c r="N53" i="2" s="1"/>
  <c r="O53" i="2" s="1"/>
  <c r="K53" i="2"/>
  <c r="M52" i="2"/>
  <c r="K52" i="2"/>
  <c r="N52" i="2" s="1"/>
  <c r="O52" i="2" s="1"/>
  <c r="M51" i="2"/>
  <c r="N51" i="2" s="1"/>
  <c r="O51" i="2" s="1"/>
  <c r="K51" i="2"/>
  <c r="M50" i="2"/>
  <c r="K50" i="2"/>
  <c r="N50" i="2" s="1"/>
  <c r="O50" i="2" s="1"/>
  <c r="M49" i="2"/>
  <c r="K49" i="2"/>
  <c r="N49" i="2" s="1"/>
  <c r="O49" i="2" s="1"/>
  <c r="N48" i="2"/>
  <c r="O48" i="2" s="1"/>
  <c r="M48" i="2"/>
  <c r="K48" i="2"/>
  <c r="M47" i="2"/>
  <c r="K47" i="2"/>
  <c r="M46" i="2"/>
  <c r="K46" i="2"/>
  <c r="N46" i="2" s="1"/>
  <c r="O46" i="2" s="1"/>
  <c r="O45" i="2"/>
  <c r="M45" i="2"/>
  <c r="K45" i="2"/>
  <c r="N45" i="2" s="1"/>
  <c r="N44" i="2"/>
  <c r="O44" i="2" s="1"/>
  <c r="M44" i="2"/>
  <c r="K44" i="2"/>
  <c r="M43" i="2"/>
  <c r="N43" i="2" s="1"/>
  <c r="O43" i="2" s="1"/>
  <c r="K43" i="2"/>
  <c r="M42" i="2"/>
  <c r="K42" i="2"/>
  <c r="N42" i="2" s="1"/>
  <c r="O42" i="2" s="1"/>
  <c r="N41" i="2"/>
  <c r="O41" i="2" s="1"/>
  <c r="M41" i="2"/>
  <c r="K41" i="2"/>
  <c r="M40" i="2"/>
  <c r="K40" i="2"/>
  <c r="N40" i="2" s="1"/>
  <c r="O40" i="2" s="1"/>
  <c r="M39" i="2"/>
  <c r="K39" i="2"/>
  <c r="N39" i="2" s="1"/>
  <c r="O39" i="2" s="1"/>
  <c r="M38" i="2"/>
  <c r="N38" i="2" s="1"/>
  <c r="O38" i="2" s="1"/>
  <c r="K38" i="2"/>
  <c r="M37" i="2"/>
  <c r="N37" i="2" s="1"/>
  <c r="O37" i="2" s="1"/>
  <c r="K37" i="2"/>
  <c r="M36" i="2"/>
  <c r="K36" i="2"/>
  <c r="M35" i="2"/>
  <c r="K35" i="2"/>
  <c r="N35" i="2" s="1"/>
  <c r="O35" i="2" s="1"/>
  <c r="O34" i="2"/>
  <c r="N34" i="2"/>
  <c r="M34" i="2"/>
  <c r="K34" i="2"/>
  <c r="M33" i="2"/>
  <c r="N33" i="2" s="1"/>
  <c r="O33" i="2" s="1"/>
  <c r="K33" i="2"/>
  <c r="M32" i="2"/>
  <c r="K32" i="2"/>
  <c r="N32" i="2" s="1"/>
  <c r="O32" i="2" s="1"/>
  <c r="O31" i="2"/>
  <c r="M31" i="2"/>
  <c r="K31" i="2"/>
  <c r="N31" i="2" s="1"/>
  <c r="M30" i="2"/>
  <c r="K30" i="2"/>
  <c r="N30" i="2" s="1"/>
  <c r="O30" i="2" s="1"/>
  <c r="M29" i="2"/>
  <c r="N29" i="2" s="1"/>
  <c r="O29" i="2" s="1"/>
  <c r="K29" i="2"/>
  <c r="M28" i="2"/>
  <c r="N28" i="2" s="1"/>
  <c r="O28" i="2" s="1"/>
  <c r="K28" i="2"/>
  <c r="M27" i="2"/>
  <c r="K27" i="2"/>
  <c r="N27" i="2" s="1"/>
  <c r="O27" i="2" s="1"/>
  <c r="M26" i="2"/>
  <c r="N26" i="2" s="1"/>
  <c r="O26" i="2" s="1"/>
  <c r="K26" i="2"/>
  <c r="M25" i="2"/>
  <c r="K25" i="2"/>
  <c r="N25" i="2" s="1"/>
  <c r="O25" i="2" s="1"/>
  <c r="M24" i="2"/>
  <c r="K24" i="2"/>
  <c r="N24" i="2" s="1"/>
  <c r="O24" i="2" s="1"/>
  <c r="O23" i="2"/>
  <c r="N23" i="2"/>
  <c r="M23" i="2"/>
  <c r="K23" i="2"/>
  <c r="M22" i="2"/>
  <c r="K22" i="2"/>
  <c r="N22" i="2" s="1"/>
  <c r="O22" i="2" s="1"/>
  <c r="M21" i="2"/>
  <c r="K21" i="2"/>
  <c r="N21" i="2" s="1"/>
  <c r="O21" i="2" s="1"/>
  <c r="O20" i="2"/>
  <c r="M20" i="2"/>
  <c r="K20" i="2"/>
  <c r="N20" i="2" s="1"/>
  <c r="M19" i="2"/>
  <c r="N19" i="2" s="1"/>
  <c r="O19" i="2" s="1"/>
  <c r="K19" i="2"/>
  <c r="M18" i="2"/>
  <c r="N18" i="2" s="1"/>
  <c r="O18" i="2" s="1"/>
  <c r="K18" i="2"/>
  <c r="M17" i="2"/>
  <c r="K17" i="2"/>
  <c r="N17" i="2" s="1"/>
  <c r="O17" i="2" s="1"/>
  <c r="M16" i="2"/>
  <c r="K16" i="2"/>
  <c r="N16" i="2" s="1"/>
  <c r="O16" i="2" s="1"/>
  <c r="M15" i="2"/>
  <c r="K15" i="2"/>
  <c r="N15" i="2" s="1"/>
  <c r="O15" i="2" s="1"/>
  <c r="M14" i="2"/>
  <c r="K14" i="2"/>
  <c r="N14" i="2" s="1"/>
  <c r="O14" i="2" s="1"/>
  <c r="M13" i="2"/>
  <c r="N13" i="2" s="1"/>
  <c r="O13" i="2" s="1"/>
  <c r="K13" i="2"/>
  <c r="N12" i="2"/>
  <c r="O12" i="2" s="1"/>
  <c r="M12" i="2"/>
  <c r="K12" i="2"/>
  <c r="M11" i="2"/>
  <c r="K11" i="2"/>
  <c r="N11" i="2" s="1"/>
  <c r="O11" i="2" s="1"/>
  <c r="M10" i="2"/>
  <c r="K10" i="2"/>
  <c r="N9" i="2"/>
  <c r="O9" i="2" s="1"/>
  <c r="M9" i="2"/>
  <c r="K9" i="2"/>
  <c r="M8" i="2"/>
  <c r="K8" i="2"/>
  <c r="N304" i="1"/>
  <c r="O303" i="1"/>
  <c r="N300" i="1"/>
  <c r="O300" i="1" s="1"/>
  <c r="O297" i="1"/>
  <c r="J294" i="1"/>
  <c r="I294" i="1"/>
  <c r="H294" i="1"/>
  <c r="M293" i="1"/>
  <c r="K293" i="1"/>
  <c r="N293" i="1" s="1"/>
  <c r="O293" i="1" s="1"/>
  <c r="O292" i="1"/>
  <c r="M292" i="1"/>
  <c r="K292" i="1"/>
  <c r="N292" i="1" s="1"/>
  <c r="O291" i="1"/>
  <c r="N291" i="1"/>
  <c r="M291" i="1"/>
  <c r="K291" i="1"/>
  <c r="N290" i="1"/>
  <c r="O290" i="1" s="1"/>
  <c r="M290" i="1"/>
  <c r="K290" i="1"/>
  <c r="M289" i="1"/>
  <c r="K289" i="1"/>
  <c r="N289" i="1" s="1"/>
  <c r="O289" i="1" s="1"/>
  <c r="M288" i="1"/>
  <c r="K288" i="1"/>
  <c r="N288" i="1" s="1"/>
  <c r="O288" i="1" s="1"/>
  <c r="M287" i="1"/>
  <c r="K287" i="1"/>
  <c r="N287" i="1" s="1"/>
  <c r="O287" i="1" s="1"/>
  <c r="O286" i="1"/>
  <c r="N286" i="1"/>
  <c r="M286" i="1"/>
  <c r="K286" i="1"/>
  <c r="M285" i="1"/>
  <c r="K285" i="1"/>
  <c r="M284" i="1"/>
  <c r="K284" i="1"/>
  <c r="N284" i="1" s="1"/>
  <c r="O284" i="1" s="1"/>
  <c r="O283" i="1"/>
  <c r="N283" i="1"/>
  <c r="M283" i="1"/>
  <c r="K283" i="1"/>
  <c r="M282" i="1"/>
  <c r="K282" i="1"/>
  <c r="N282" i="1" s="1"/>
  <c r="O282" i="1" s="1"/>
  <c r="N281" i="1"/>
  <c r="O281" i="1" s="1"/>
  <c r="M281" i="1"/>
  <c r="K281" i="1"/>
  <c r="M280" i="1"/>
  <c r="K280" i="1"/>
  <c r="N280" i="1" s="1"/>
  <c r="O280" i="1" s="1"/>
  <c r="M279" i="1"/>
  <c r="K279" i="1"/>
  <c r="N279" i="1" s="1"/>
  <c r="O279" i="1" s="1"/>
  <c r="N278" i="1"/>
  <c r="O278" i="1" s="1"/>
  <c r="M278" i="1"/>
  <c r="K278" i="1"/>
  <c r="M277" i="1"/>
  <c r="K277" i="1"/>
  <c r="N277" i="1" s="1"/>
  <c r="O277" i="1" s="1"/>
  <c r="M276" i="1"/>
  <c r="K276" i="1"/>
  <c r="N276" i="1" s="1"/>
  <c r="O276" i="1" s="1"/>
  <c r="N275" i="1"/>
  <c r="O275" i="1" s="1"/>
  <c r="M275" i="1"/>
  <c r="K275" i="1"/>
  <c r="M274" i="1"/>
  <c r="K274" i="1"/>
  <c r="N274" i="1" s="1"/>
  <c r="O274" i="1" s="1"/>
  <c r="N273" i="1"/>
  <c r="O273" i="1" s="1"/>
  <c r="M273" i="1"/>
  <c r="K273" i="1"/>
  <c r="M272" i="1"/>
  <c r="K272" i="1"/>
  <c r="M271" i="1"/>
  <c r="K271" i="1"/>
  <c r="N271" i="1" s="1"/>
  <c r="O271" i="1" s="1"/>
  <c r="N270" i="1"/>
  <c r="O270" i="1" s="1"/>
  <c r="M270" i="1"/>
  <c r="K270" i="1"/>
  <c r="N269" i="1"/>
  <c r="O269" i="1" s="1"/>
  <c r="M269" i="1"/>
  <c r="K269" i="1"/>
  <c r="M268" i="1"/>
  <c r="K268" i="1"/>
  <c r="N268" i="1" s="1"/>
  <c r="O268" i="1" s="1"/>
  <c r="M267" i="1"/>
  <c r="K267" i="1"/>
  <c r="N267" i="1" s="1"/>
  <c r="O267" i="1" s="1"/>
  <c r="N266" i="1"/>
  <c r="O266" i="1" s="1"/>
  <c r="M266" i="1"/>
  <c r="K266" i="1"/>
  <c r="M265" i="1"/>
  <c r="N265" i="1" s="1"/>
  <c r="O265" i="1" s="1"/>
  <c r="K265" i="1"/>
  <c r="M264" i="1"/>
  <c r="K264" i="1"/>
  <c r="N264" i="1" s="1"/>
  <c r="O264" i="1" s="1"/>
  <c r="N263" i="1"/>
  <c r="O263" i="1" s="1"/>
  <c r="M263" i="1"/>
  <c r="K263" i="1"/>
  <c r="O262" i="1"/>
  <c r="N262" i="1"/>
  <c r="M262" i="1"/>
  <c r="K262" i="1"/>
  <c r="M261" i="1"/>
  <c r="N261" i="1" s="1"/>
  <c r="O261" i="1" s="1"/>
  <c r="K261" i="1"/>
  <c r="O260" i="1"/>
  <c r="N260" i="1"/>
  <c r="M260" i="1"/>
  <c r="K260" i="1"/>
  <c r="M259" i="1"/>
  <c r="K259" i="1"/>
  <c r="N259" i="1" s="1"/>
  <c r="O259" i="1" s="1"/>
  <c r="M258" i="1"/>
  <c r="K258" i="1"/>
  <c r="N258" i="1" s="1"/>
  <c r="O258" i="1" s="1"/>
  <c r="O257" i="1"/>
  <c r="N257" i="1"/>
  <c r="M257" i="1"/>
  <c r="K257" i="1"/>
  <c r="M256" i="1"/>
  <c r="K256" i="1"/>
  <c r="N256" i="1" s="1"/>
  <c r="O256" i="1" s="1"/>
  <c r="M255" i="1"/>
  <c r="N255" i="1" s="1"/>
  <c r="O255" i="1" s="1"/>
  <c r="K255" i="1"/>
  <c r="M254" i="1"/>
  <c r="K254" i="1"/>
  <c r="N254" i="1" s="1"/>
  <c r="O254" i="1" s="1"/>
  <c r="M253" i="1"/>
  <c r="K253" i="1"/>
  <c r="N253" i="1" s="1"/>
  <c r="O253" i="1" s="1"/>
  <c r="O252" i="1"/>
  <c r="N252" i="1"/>
  <c r="M252" i="1"/>
  <c r="K252" i="1"/>
  <c r="M251" i="1"/>
  <c r="K251" i="1"/>
  <c r="N251" i="1" s="1"/>
  <c r="O251" i="1" s="1"/>
  <c r="M250" i="1"/>
  <c r="N250" i="1" s="1"/>
  <c r="O250" i="1" s="1"/>
  <c r="K250" i="1"/>
  <c r="M249" i="1"/>
  <c r="K249" i="1"/>
  <c r="M248" i="1"/>
  <c r="K248" i="1"/>
  <c r="N248" i="1" s="1"/>
  <c r="O248" i="1" s="1"/>
  <c r="O247" i="1"/>
  <c r="N247" i="1"/>
  <c r="M247" i="1"/>
  <c r="K247" i="1"/>
  <c r="M246" i="1"/>
  <c r="K246" i="1"/>
  <c r="N246" i="1" s="1"/>
  <c r="O246" i="1" s="1"/>
  <c r="N245" i="1"/>
  <c r="O245" i="1" s="1"/>
  <c r="M245" i="1"/>
  <c r="K245" i="1"/>
  <c r="M244" i="1"/>
  <c r="K244" i="1"/>
  <c r="N244" i="1" s="1"/>
  <c r="O244" i="1" s="1"/>
  <c r="O243" i="1"/>
  <c r="M243" i="1"/>
  <c r="K243" i="1"/>
  <c r="N243" i="1" s="1"/>
  <c r="O242" i="1"/>
  <c r="N242" i="1"/>
  <c r="M242" i="1"/>
  <c r="K242" i="1"/>
  <c r="M241" i="1"/>
  <c r="N241" i="1" s="1"/>
  <c r="O241" i="1" s="1"/>
  <c r="K241" i="1"/>
  <c r="M240" i="1"/>
  <c r="N240" i="1" s="1"/>
  <c r="O240" i="1" s="1"/>
  <c r="K240" i="1"/>
  <c r="M239" i="1"/>
  <c r="K239" i="1"/>
  <c r="N239" i="1" s="1"/>
  <c r="O239" i="1" s="1"/>
  <c r="N238" i="1"/>
  <c r="O238" i="1" s="1"/>
  <c r="M238" i="1"/>
  <c r="K238" i="1"/>
  <c r="O237" i="1"/>
  <c r="N237" i="1"/>
  <c r="M237" i="1"/>
  <c r="K237" i="1"/>
  <c r="M236" i="1"/>
  <c r="K236" i="1"/>
  <c r="N236" i="1" s="1"/>
  <c r="O236" i="1" s="1"/>
  <c r="O235" i="1"/>
  <c r="N235" i="1"/>
  <c r="M235" i="1"/>
  <c r="K235" i="1"/>
  <c r="M234" i="1"/>
  <c r="K234" i="1"/>
  <c r="N234" i="1" s="1"/>
  <c r="O234" i="1" s="1"/>
  <c r="M233" i="1"/>
  <c r="K233" i="1"/>
  <c r="N233" i="1" s="1"/>
  <c r="O233" i="1" s="1"/>
  <c r="O232" i="1"/>
  <c r="N232" i="1"/>
  <c r="M232" i="1"/>
  <c r="K232" i="1"/>
  <c r="M231" i="1"/>
  <c r="K231" i="1"/>
  <c r="N231" i="1" s="1"/>
  <c r="O231" i="1" s="1"/>
  <c r="M230" i="1"/>
  <c r="N230" i="1" s="1"/>
  <c r="O230" i="1" s="1"/>
  <c r="K230" i="1"/>
  <c r="M229" i="1"/>
  <c r="K229" i="1"/>
  <c r="N229" i="1" s="1"/>
  <c r="O229" i="1" s="1"/>
  <c r="M228" i="1"/>
  <c r="K228" i="1"/>
  <c r="N228" i="1" s="1"/>
  <c r="O228" i="1" s="1"/>
  <c r="O227" i="1"/>
  <c r="N227" i="1"/>
  <c r="M227" i="1"/>
  <c r="K227" i="1"/>
  <c r="M226" i="1"/>
  <c r="K226" i="1"/>
  <c r="N226" i="1" s="1"/>
  <c r="O226" i="1" s="1"/>
  <c r="M225" i="1"/>
  <c r="N225" i="1" s="1"/>
  <c r="O225" i="1" s="1"/>
  <c r="K225" i="1"/>
  <c r="M224" i="1"/>
  <c r="K224" i="1"/>
  <c r="M223" i="1"/>
  <c r="K223" i="1"/>
  <c r="N223" i="1" s="1"/>
  <c r="O223" i="1" s="1"/>
  <c r="O222" i="1"/>
  <c r="N222" i="1"/>
  <c r="M222" i="1"/>
  <c r="K222" i="1"/>
  <c r="O221" i="1"/>
  <c r="M221" i="1"/>
  <c r="K221" i="1"/>
  <c r="N221" i="1" s="1"/>
  <c r="N220" i="1"/>
  <c r="O220" i="1" s="1"/>
  <c r="M220" i="1"/>
  <c r="K220" i="1"/>
  <c r="M219" i="1"/>
  <c r="K219" i="1"/>
  <c r="N219" i="1" s="1"/>
  <c r="O219" i="1" s="1"/>
  <c r="M218" i="1"/>
  <c r="K218" i="1"/>
  <c r="N218" i="1" s="1"/>
  <c r="O218" i="1" s="1"/>
  <c r="O217" i="1"/>
  <c r="N217" i="1"/>
  <c r="M217" i="1"/>
  <c r="K217" i="1"/>
  <c r="M216" i="1"/>
  <c r="N216" i="1" s="1"/>
  <c r="O216" i="1" s="1"/>
  <c r="K216" i="1"/>
  <c r="M215" i="1"/>
  <c r="N215" i="1" s="1"/>
  <c r="O215" i="1" s="1"/>
  <c r="K215" i="1"/>
  <c r="M214" i="1"/>
  <c r="K214" i="1"/>
  <c r="N214" i="1" s="1"/>
  <c r="O214" i="1" s="1"/>
  <c r="N213" i="1"/>
  <c r="O213" i="1" s="1"/>
  <c r="M213" i="1"/>
  <c r="K213" i="1"/>
  <c r="O212" i="1"/>
  <c r="N212" i="1"/>
  <c r="M212" i="1"/>
  <c r="K212" i="1"/>
  <c r="M211" i="1"/>
  <c r="K211" i="1"/>
  <c r="N211" i="1" s="1"/>
  <c r="O211" i="1" s="1"/>
  <c r="O210" i="1"/>
  <c r="N210" i="1"/>
  <c r="M210" i="1"/>
  <c r="K210" i="1"/>
  <c r="M209" i="1"/>
  <c r="K209" i="1"/>
  <c r="N209" i="1" s="1"/>
  <c r="O209" i="1" s="1"/>
  <c r="N208" i="1"/>
  <c r="O208" i="1" s="1"/>
  <c r="M208" i="1"/>
  <c r="K208" i="1"/>
  <c r="O207" i="1"/>
  <c r="N207" i="1"/>
  <c r="M207" i="1"/>
  <c r="K207" i="1"/>
  <c r="M206" i="1"/>
  <c r="K206" i="1"/>
  <c r="N206" i="1" s="1"/>
  <c r="O206" i="1" s="1"/>
  <c r="N205" i="1"/>
  <c r="O205" i="1" s="1"/>
  <c r="M205" i="1"/>
  <c r="K205" i="1"/>
  <c r="M204" i="1"/>
  <c r="K204" i="1"/>
  <c r="N204" i="1" s="1"/>
  <c r="O204" i="1" s="1"/>
  <c r="M203" i="1"/>
  <c r="K203" i="1"/>
  <c r="N203" i="1" s="1"/>
  <c r="O203" i="1" s="1"/>
  <c r="O202" i="1"/>
  <c r="N202" i="1"/>
  <c r="M202" i="1"/>
  <c r="K202" i="1"/>
  <c r="M201" i="1"/>
  <c r="K201" i="1"/>
  <c r="N201" i="1" s="1"/>
  <c r="O201" i="1" s="1"/>
  <c r="M200" i="1"/>
  <c r="N200" i="1" s="1"/>
  <c r="O200" i="1" s="1"/>
  <c r="K200" i="1"/>
  <c r="M199" i="1"/>
  <c r="K199" i="1"/>
  <c r="M198" i="1"/>
  <c r="K198" i="1"/>
  <c r="N198" i="1" s="1"/>
  <c r="O198" i="1" s="1"/>
  <c r="O197" i="1"/>
  <c r="N197" i="1"/>
  <c r="M197" i="1"/>
  <c r="K197" i="1"/>
  <c r="O196" i="1"/>
  <c r="M196" i="1"/>
  <c r="K196" i="1"/>
  <c r="N196" i="1" s="1"/>
  <c r="N195" i="1"/>
  <c r="O195" i="1" s="1"/>
  <c r="M195" i="1"/>
  <c r="K195" i="1"/>
  <c r="M194" i="1"/>
  <c r="K194" i="1"/>
  <c r="M193" i="1"/>
  <c r="K193" i="1"/>
  <c r="N193" i="1" s="1"/>
  <c r="O193" i="1" s="1"/>
  <c r="O192" i="1"/>
  <c r="N192" i="1"/>
  <c r="M192" i="1"/>
  <c r="K192" i="1"/>
  <c r="N191" i="1"/>
  <c r="O191" i="1" s="1"/>
  <c r="M191" i="1"/>
  <c r="K191" i="1"/>
  <c r="M190" i="1"/>
  <c r="N190" i="1" s="1"/>
  <c r="O190" i="1" s="1"/>
  <c r="K190" i="1"/>
  <c r="M189" i="1"/>
  <c r="K189" i="1"/>
  <c r="N189" i="1" s="1"/>
  <c r="O189" i="1" s="1"/>
  <c r="M188" i="1"/>
  <c r="N188" i="1" s="1"/>
  <c r="O188" i="1" s="1"/>
  <c r="K188" i="1"/>
  <c r="O187" i="1"/>
  <c r="N187" i="1"/>
  <c r="M187" i="1"/>
  <c r="K187" i="1"/>
  <c r="M186" i="1"/>
  <c r="K186" i="1"/>
  <c r="N186" i="1" s="1"/>
  <c r="O186" i="1" s="1"/>
  <c r="O185" i="1"/>
  <c r="N185" i="1"/>
  <c r="M185" i="1"/>
  <c r="K185" i="1"/>
  <c r="M184" i="1"/>
  <c r="K184" i="1"/>
  <c r="N184" i="1" s="1"/>
  <c r="O184" i="1" s="1"/>
  <c r="N183" i="1"/>
  <c r="O183" i="1" s="1"/>
  <c r="M183" i="1"/>
  <c r="K183" i="1"/>
  <c r="O182" i="1"/>
  <c r="N182" i="1"/>
  <c r="M182" i="1"/>
  <c r="K182" i="1"/>
  <c r="M181" i="1"/>
  <c r="K181" i="1"/>
  <c r="N181" i="1" s="1"/>
  <c r="O181" i="1" s="1"/>
  <c r="N180" i="1"/>
  <c r="O180" i="1" s="1"/>
  <c r="M180" i="1"/>
  <c r="K180" i="1"/>
  <c r="M179" i="1"/>
  <c r="K179" i="1"/>
  <c r="N179" i="1" s="1"/>
  <c r="O179" i="1" s="1"/>
  <c r="M178" i="1"/>
  <c r="K178" i="1"/>
  <c r="N178" i="1" s="1"/>
  <c r="O178" i="1" s="1"/>
  <c r="O177" i="1"/>
  <c r="N177" i="1"/>
  <c r="M177" i="1"/>
  <c r="K177" i="1"/>
  <c r="M176" i="1"/>
  <c r="K176" i="1"/>
  <c r="N176" i="1" s="1"/>
  <c r="O176" i="1" s="1"/>
  <c r="M175" i="1"/>
  <c r="N175" i="1" s="1"/>
  <c r="O175" i="1" s="1"/>
  <c r="K175" i="1"/>
  <c r="M174" i="1"/>
  <c r="K174" i="1"/>
  <c r="M173" i="1"/>
  <c r="K173" i="1"/>
  <c r="N173" i="1" s="1"/>
  <c r="O173" i="1" s="1"/>
  <c r="O172" i="1"/>
  <c r="N172" i="1"/>
  <c r="M172" i="1"/>
  <c r="K172" i="1"/>
  <c r="M171" i="1"/>
  <c r="K171" i="1"/>
  <c r="N171" i="1" s="1"/>
  <c r="O171" i="1" s="1"/>
  <c r="N170" i="1"/>
  <c r="O170" i="1" s="1"/>
  <c r="M170" i="1"/>
  <c r="K170" i="1"/>
  <c r="M169" i="1"/>
  <c r="K169" i="1"/>
  <c r="M168" i="1"/>
  <c r="K168" i="1"/>
  <c r="N168" i="1" s="1"/>
  <c r="O168" i="1" s="1"/>
  <c r="O167" i="1"/>
  <c r="N167" i="1"/>
  <c r="M167" i="1"/>
  <c r="K167" i="1"/>
  <c r="N166" i="1"/>
  <c r="O166" i="1" s="1"/>
  <c r="M166" i="1"/>
  <c r="K166" i="1"/>
  <c r="M165" i="1"/>
  <c r="N165" i="1" s="1"/>
  <c r="O165" i="1" s="1"/>
  <c r="K165" i="1"/>
  <c r="M164" i="1"/>
  <c r="K164" i="1"/>
  <c r="N164" i="1" s="1"/>
  <c r="O164" i="1" s="1"/>
  <c r="M163" i="1"/>
  <c r="N163" i="1" s="1"/>
  <c r="O163" i="1" s="1"/>
  <c r="K163" i="1"/>
  <c r="O162" i="1"/>
  <c r="N162" i="1"/>
  <c r="M162" i="1"/>
  <c r="K162" i="1"/>
  <c r="M161" i="1"/>
  <c r="N161" i="1" s="1"/>
  <c r="O161" i="1" s="1"/>
  <c r="K161" i="1"/>
  <c r="O160" i="1"/>
  <c r="N160" i="1"/>
  <c r="M160" i="1"/>
  <c r="K160" i="1"/>
  <c r="M159" i="1"/>
  <c r="K159" i="1"/>
  <c r="N159" i="1" s="1"/>
  <c r="O159" i="1" s="1"/>
  <c r="M158" i="1"/>
  <c r="K158" i="1"/>
  <c r="N158" i="1" s="1"/>
  <c r="O158" i="1" s="1"/>
  <c r="O157" i="1"/>
  <c r="N157" i="1"/>
  <c r="M157" i="1"/>
  <c r="K157" i="1"/>
  <c r="M156" i="1"/>
  <c r="K156" i="1"/>
  <c r="N156" i="1" s="1"/>
  <c r="O156" i="1" s="1"/>
  <c r="M155" i="1"/>
  <c r="N155" i="1" s="1"/>
  <c r="O155" i="1" s="1"/>
  <c r="K155" i="1"/>
  <c r="M154" i="1"/>
  <c r="K154" i="1"/>
  <c r="N154" i="1" s="1"/>
  <c r="O154" i="1" s="1"/>
  <c r="M153" i="1"/>
  <c r="K153" i="1"/>
  <c r="N153" i="1" s="1"/>
  <c r="O153" i="1" s="1"/>
  <c r="O152" i="1"/>
  <c r="N152" i="1"/>
  <c r="M152" i="1"/>
  <c r="K152" i="1"/>
  <c r="M151" i="1"/>
  <c r="K151" i="1"/>
  <c r="N151" i="1" s="1"/>
  <c r="O151" i="1" s="1"/>
  <c r="M150" i="1"/>
  <c r="N150" i="1" s="1"/>
  <c r="O150" i="1" s="1"/>
  <c r="K150" i="1"/>
  <c r="M149" i="1"/>
  <c r="K149" i="1"/>
  <c r="M148" i="1"/>
  <c r="K148" i="1"/>
  <c r="N148" i="1" s="1"/>
  <c r="O148" i="1" s="1"/>
  <c r="O147" i="1"/>
  <c r="N147" i="1"/>
  <c r="M147" i="1"/>
  <c r="K147" i="1"/>
  <c r="M146" i="1"/>
  <c r="K146" i="1"/>
  <c r="N146" i="1" s="1"/>
  <c r="O146" i="1" s="1"/>
  <c r="N145" i="1"/>
  <c r="O145" i="1" s="1"/>
  <c r="M145" i="1"/>
  <c r="K145" i="1"/>
  <c r="M144" i="1"/>
  <c r="K144" i="1"/>
  <c r="N144" i="1" s="1"/>
  <c r="O144" i="1" s="1"/>
  <c r="O143" i="1"/>
  <c r="M143" i="1"/>
  <c r="K143" i="1"/>
  <c r="N143" i="1" s="1"/>
  <c r="O142" i="1"/>
  <c r="N142" i="1"/>
  <c r="M142" i="1"/>
  <c r="K142" i="1"/>
  <c r="M141" i="1"/>
  <c r="N141" i="1" s="1"/>
  <c r="O141" i="1" s="1"/>
  <c r="K141" i="1"/>
  <c r="M140" i="1"/>
  <c r="N140" i="1" s="1"/>
  <c r="O140" i="1" s="1"/>
  <c r="K140" i="1"/>
  <c r="M139" i="1"/>
  <c r="K139" i="1"/>
  <c r="N139" i="1" s="1"/>
  <c r="O139" i="1" s="1"/>
  <c r="M138" i="1"/>
  <c r="N138" i="1" s="1"/>
  <c r="O138" i="1" s="1"/>
  <c r="K138" i="1"/>
  <c r="O137" i="1"/>
  <c r="N137" i="1"/>
  <c r="M137" i="1"/>
  <c r="K137" i="1"/>
  <c r="M136" i="1"/>
  <c r="N136" i="1" s="1"/>
  <c r="O136" i="1" s="1"/>
  <c r="K136" i="1"/>
  <c r="O135" i="1"/>
  <c r="N135" i="1"/>
  <c r="M135" i="1"/>
  <c r="K135" i="1"/>
  <c r="M134" i="1"/>
  <c r="K134" i="1"/>
  <c r="N134" i="1" s="1"/>
  <c r="O134" i="1" s="1"/>
  <c r="M133" i="1"/>
  <c r="K133" i="1"/>
  <c r="N133" i="1" s="1"/>
  <c r="O133" i="1" s="1"/>
  <c r="O132" i="1"/>
  <c r="N132" i="1"/>
  <c r="M132" i="1"/>
  <c r="K132" i="1"/>
  <c r="M131" i="1"/>
  <c r="K131" i="1"/>
  <c r="N131" i="1" s="1"/>
  <c r="O131" i="1" s="1"/>
  <c r="M130" i="1"/>
  <c r="N130" i="1" s="1"/>
  <c r="O130" i="1" s="1"/>
  <c r="K130" i="1"/>
  <c r="M129" i="1"/>
  <c r="K129" i="1"/>
  <c r="N129" i="1" s="1"/>
  <c r="O129" i="1" s="1"/>
  <c r="M128" i="1"/>
  <c r="K128" i="1"/>
  <c r="N128" i="1" s="1"/>
  <c r="O128" i="1" s="1"/>
  <c r="O127" i="1"/>
  <c r="N127" i="1"/>
  <c r="M127" i="1"/>
  <c r="K127" i="1"/>
  <c r="M126" i="1"/>
  <c r="K126" i="1"/>
  <c r="N126" i="1" s="1"/>
  <c r="O126" i="1" s="1"/>
  <c r="M125" i="1"/>
  <c r="N125" i="1" s="1"/>
  <c r="O125" i="1" s="1"/>
  <c r="K125" i="1"/>
  <c r="M124" i="1"/>
  <c r="K124" i="1"/>
  <c r="M123" i="1"/>
  <c r="K123" i="1"/>
  <c r="N123" i="1" s="1"/>
  <c r="O123" i="1" s="1"/>
  <c r="O122" i="1"/>
  <c r="N122" i="1"/>
  <c r="M122" i="1"/>
  <c r="K122" i="1"/>
  <c r="M121" i="1"/>
  <c r="K121" i="1"/>
  <c r="N121" i="1" s="1"/>
  <c r="O121" i="1" s="1"/>
  <c r="N120" i="1"/>
  <c r="O120" i="1" s="1"/>
  <c r="M120" i="1"/>
  <c r="K120" i="1"/>
  <c r="M119" i="1"/>
  <c r="K119" i="1"/>
  <c r="N119" i="1" s="1"/>
  <c r="O119" i="1" s="1"/>
  <c r="O118" i="1"/>
  <c r="M118" i="1"/>
  <c r="K118" i="1"/>
  <c r="N118" i="1" s="1"/>
  <c r="O117" i="1"/>
  <c r="N117" i="1"/>
  <c r="M117" i="1"/>
  <c r="K117" i="1"/>
  <c r="M116" i="1"/>
  <c r="N116" i="1" s="1"/>
  <c r="O116" i="1" s="1"/>
  <c r="K116" i="1"/>
  <c r="M115" i="1"/>
  <c r="N115" i="1" s="1"/>
  <c r="O115" i="1" s="1"/>
  <c r="K115" i="1"/>
  <c r="M114" i="1"/>
  <c r="K114" i="1"/>
  <c r="N114" i="1" s="1"/>
  <c r="O114" i="1" s="1"/>
  <c r="N113" i="1"/>
  <c r="O113" i="1" s="1"/>
  <c r="M113" i="1"/>
  <c r="K113" i="1"/>
  <c r="O112" i="1"/>
  <c r="N112" i="1"/>
  <c r="M112" i="1"/>
  <c r="K112" i="1"/>
  <c r="M111" i="1"/>
  <c r="K111" i="1"/>
  <c r="N111" i="1" s="1"/>
  <c r="O111" i="1" s="1"/>
  <c r="O110" i="1"/>
  <c r="N110" i="1"/>
  <c r="M110" i="1"/>
  <c r="K110" i="1"/>
  <c r="M109" i="1"/>
  <c r="K109" i="1"/>
  <c r="N109" i="1" s="1"/>
  <c r="O109" i="1" s="1"/>
  <c r="M108" i="1"/>
  <c r="K108" i="1"/>
  <c r="N108" i="1" s="1"/>
  <c r="O108" i="1" s="1"/>
  <c r="O107" i="1"/>
  <c r="N107" i="1"/>
  <c r="M107" i="1"/>
  <c r="K107" i="1"/>
  <c r="M106" i="1"/>
  <c r="K106" i="1"/>
  <c r="N106" i="1" s="1"/>
  <c r="O106" i="1" s="1"/>
  <c r="M105" i="1"/>
  <c r="N105" i="1" s="1"/>
  <c r="O105" i="1" s="1"/>
  <c r="K105" i="1"/>
  <c r="M104" i="1"/>
  <c r="K104" i="1"/>
  <c r="N104" i="1" s="1"/>
  <c r="O104" i="1" s="1"/>
  <c r="M103" i="1"/>
  <c r="K103" i="1"/>
  <c r="N103" i="1" s="1"/>
  <c r="O103" i="1" s="1"/>
  <c r="O102" i="1"/>
  <c r="N102" i="1"/>
  <c r="M102" i="1"/>
  <c r="K102" i="1"/>
  <c r="M101" i="1"/>
  <c r="K101" i="1"/>
  <c r="N101" i="1" s="1"/>
  <c r="O101" i="1" s="1"/>
  <c r="M100" i="1"/>
  <c r="N100" i="1" s="1"/>
  <c r="O100" i="1" s="1"/>
  <c r="K100" i="1"/>
  <c r="M99" i="1"/>
  <c r="K99" i="1"/>
  <c r="M98" i="1"/>
  <c r="K98" i="1"/>
  <c r="N98" i="1" s="1"/>
  <c r="O98" i="1" s="1"/>
  <c r="O97" i="1"/>
  <c r="N97" i="1"/>
  <c r="M97" i="1"/>
  <c r="K97" i="1"/>
  <c r="O96" i="1"/>
  <c r="M96" i="1"/>
  <c r="K96" i="1"/>
  <c r="N96" i="1" s="1"/>
  <c r="N95" i="1"/>
  <c r="O95" i="1" s="1"/>
  <c r="M95" i="1"/>
  <c r="K95" i="1"/>
  <c r="M94" i="1"/>
  <c r="K94" i="1"/>
  <c r="N94" i="1" s="1"/>
  <c r="O94" i="1" s="1"/>
  <c r="M93" i="1"/>
  <c r="K93" i="1"/>
  <c r="N93" i="1" s="1"/>
  <c r="O93" i="1" s="1"/>
  <c r="O92" i="1"/>
  <c r="N92" i="1"/>
  <c r="M92" i="1"/>
  <c r="K92" i="1"/>
  <c r="M91" i="1"/>
  <c r="N91" i="1" s="1"/>
  <c r="O91" i="1" s="1"/>
  <c r="K91" i="1"/>
  <c r="M90" i="1"/>
  <c r="N90" i="1" s="1"/>
  <c r="O90" i="1" s="1"/>
  <c r="K90" i="1"/>
  <c r="M89" i="1"/>
  <c r="K89" i="1"/>
  <c r="N89" i="1" s="1"/>
  <c r="O89" i="1" s="1"/>
  <c r="N88" i="1"/>
  <c r="O88" i="1" s="1"/>
  <c r="M88" i="1"/>
  <c r="K88" i="1"/>
  <c r="O87" i="1"/>
  <c r="N87" i="1"/>
  <c r="M87" i="1"/>
  <c r="K87" i="1"/>
  <c r="M86" i="1"/>
  <c r="K86" i="1"/>
  <c r="N86" i="1" s="1"/>
  <c r="O86" i="1" s="1"/>
  <c r="O85" i="1"/>
  <c r="N85" i="1"/>
  <c r="M85" i="1"/>
  <c r="K85" i="1"/>
  <c r="M84" i="1"/>
  <c r="K84" i="1"/>
  <c r="N84" i="1" s="1"/>
  <c r="O84" i="1" s="1"/>
  <c r="N83" i="1"/>
  <c r="O83" i="1" s="1"/>
  <c r="M83" i="1"/>
  <c r="K83" i="1"/>
  <c r="O82" i="1"/>
  <c r="N82" i="1"/>
  <c r="M82" i="1"/>
  <c r="K82" i="1"/>
  <c r="M81" i="1"/>
  <c r="K81" i="1"/>
  <c r="N81" i="1" s="1"/>
  <c r="O81" i="1" s="1"/>
  <c r="N80" i="1"/>
  <c r="O80" i="1" s="1"/>
  <c r="M80" i="1"/>
  <c r="K80" i="1"/>
  <c r="M79" i="1"/>
  <c r="K79" i="1"/>
  <c r="N79" i="1" s="1"/>
  <c r="O79" i="1" s="1"/>
  <c r="M78" i="1"/>
  <c r="K78" i="1"/>
  <c r="N78" i="1" s="1"/>
  <c r="O78" i="1" s="1"/>
  <c r="O77" i="1"/>
  <c r="N77" i="1"/>
  <c r="M77" i="1"/>
  <c r="K77" i="1"/>
  <c r="M76" i="1"/>
  <c r="K76" i="1"/>
  <c r="N76" i="1" s="1"/>
  <c r="O76" i="1" s="1"/>
  <c r="M75" i="1"/>
  <c r="N75" i="1" s="1"/>
  <c r="O75" i="1" s="1"/>
  <c r="K75" i="1"/>
  <c r="M74" i="1"/>
  <c r="K74" i="1"/>
  <c r="M73" i="1"/>
  <c r="K73" i="1"/>
  <c r="N73" i="1" s="1"/>
  <c r="O73" i="1" s="1"/>
  <c r="O72" i="1"/>
  <c r="N72" i="1"/>
  <c r="M72" i="1"/>
  <c r="K72" i="1"/>
  <c r="O71" i="1"/>
  <c r="M71" i="1"/>
  <c r="K71" i="1"/>
  <c r="N71" i="1" s="1"/>
  <c r="N70" i="1"/>
  <c r="O70" i="1" s="1"/>
  <c r="M70" i="1"/>
  <c r="K70" i="1"/>
  <c r="M69" i="1"/>
  <c r="K69" i="1"/>
  <c r="M68" i="1"/>
  <c r="K68" i="1"/>
  <c r="N68" i="1" s="1"/>
  <c r="O68" i="1" s="1"/>
  <c r="O67" i="1"/>
  <c r="N67" i="1"/>
  <c r="M67" i="1"/>
  <c r="K67" i="1"/>
  <c r="N66" i="1"/>
  <c r="O66" i="1" s="1"/>
  <c r="M66" i="1"/>
  <c r="K66" i="1"/>
  <c r="M65" i="1"/>
  <c r="N65" i="1" s="1"/>
  <c r="O65" i="1" s="1"/>
  <c r="K65" i="1"/>
  <c r="M64" i="1"/>
  <c r="K64" i="1"/>
  <c r="N64" i="1" s="1"/>
  <c r="O64" i="1" s="1"/>
  <c r="M63" i="1"/>
  <c r="N63" i="1" s="1"/>
  <c r="O63" i="1" s="1"/>
  <c r="K63" i="1"/>
  <c r="O62" i="1"/>
  <c r="N62" i="1"/>
  <c r="M62" i="1"/>
  <c r="K62" i="1"/>
  <c r="M61" i="1"/>
  <c r="K61" i="1"/>
  <c r="N61" i="1" s="1"/>
  <c r="O61" i="1" s="1"/>
  <c r="O60" i="1"/>
  <c r="N60" i="1"/>
  <c r="M60" i="1"/>
  <c r="K60" i="1"/>
  <c r="M59" i="1"/>
  <c r="K59" i="1"/>
  <c r="N59" i="1" s="1"/>
  <c r="O59" i="1" s="1"/>
  <c r="N58" i="1"/>
  <c r="O58" i="1" s="1"/>
  <c r="M58" i="1"/>
  <c r="K58" i="1"/>
  <c r="O57" i="1"/>
  <c r="N57" i="1"/>
  <c r="M57" i="1"/>
  <c r="K57" i="1"/>
  <c r="M56" i="1"/>
  <c r="K56" i="1"/>
  <c r="N56" i="1" s="1"/>
  <c r="O56" i="1" s="1"/>
  <c r="N55" i="1"/>
  <c r="O55" i="1" s="1"/>
  <c r="M55" i="1"/>
  <c r="K55" i="1"/>
  <c r="M54" i="1"/>
  <c r="K54" i="1"/>
  <c r="N54" i="1" s="1"/>
  <c r="O54" i="1" s="1"/>
  <c r="M53" i="1"/>
  <c r="K53" i="1"/>
  <c r="N53" i="1" s="1"/>
  <c r="O53" i="1" s="1"/>
  <c r="O52" i="1"/>
  <c r="N52" i="1"/>
  <c r="M52" i="1"/>
  <c r="K52" i="1"/>
  <c r="M51" i="1"/>
  <c r="K51" i="1"/>
  <c r="N51" i="1" s="1"/>
  <c r="O51" i="1" s="1"/>
  <c r="M50" i="1"/>
  <c r="N50" i="1" s="1"/>
  <c r="O50" i="1" s="1"/>
  <c r="K50" i="1"/>
  <c r="M49" i="1"/>
  <c r="K49" i="1"/>
  <c r="M48" i="1"/>
  <c r="K48" i="1"/>
  <c r="N48" i="1" s="1"/>
  <c r="O48" i="1" s="1"/>
  <c r="O47" i="1"/>
  <c r="N47" i="1"/>
  <c r="M47" i="1"/>
  <c r="K47" i="1"/>
  <c r="M46" i="1"/>
  <c r="K46" i="1"/>
  <c r="N46" i="1" s="1"/>
  <c r="O46" i="1" s="1"/>
  <c r="N45" i="1"/>
  <c r="O45" i="1" s="1"/>
  <c r="M45" i="1"/>
  <c r="K45" i="1"/>
  <c r="M44" i="1"/>
  <c r="K44" i="1"/>
  <c r="M43" i="1"/>
  <c r="K43" i="1"/>
  <c r="N43" i="1" s="1"/>
  <c r="O43" i="1" s="1"/>
  <c r="O42" i="1"/>
  <c r="N42" i="1"/>
  <c r="M42" i="1"/>
  <c r="K42" i="1"/>
  <c r="N41" i="1"/>
  <c r="O41" i="1" s="1"/>
  <c r="M41" i="1"/>
  <c r="K41" i="1"/>
  <c r="M40" i="1"/>
  <c r="N40" i="1" s="1"/>
  <c r="O40" i="1" s="1"/>
  <c r="K40" i="1"/>
  <c r="M39" i="1"/>
  <c r="K39" i="1"/>
  <c r="N39" i="1" s="1"/>
  <c r="O39" i="1" s="1"/>
  <c r="M38" i="1"/>
  <c r="N38" i="1" s="1"/>
  <c r="O38" i="1" s="1"/>
  <c r="K38" i="1"/>
  <c r="O37" i="1"/>
  <c r="N37" i="1"/>
  <c r="M37" i="1"/>
  <c r="K37" i="1"/>
  <c r="M36" i="1"/>
  <c r="N36" i="1" s="1"/>
  <c r="O36" i="1" s="1"/>
  <c r="K36" i="1"/>
  <c r="O35" i="1"/>
  <c r="N35" i="1"/>
  <c r="M35" i="1"/>
  <c r="K35" i="1"/>
  <c r="M34" i="1"/>
  <c r="K34" i="1"/>
  <c r="N34" i="1" s="1"/>
  <c r="O34" i="1" s="1"/>
  <c r="M33" i="1"/>
  <c r="K33" i="1"/>
  <c r="N33" i="1" s="1"/>
  <c r="O33" i="1" s="1"/>
  <c r="O32" i="1"/>
  <c r="N32" i="1"/>
  <c r="M32" i="1"/>
  <c r="K32" i="1"/>
  <c r="M31" i="1"/>
  <c r="K31" i="1"/>
  <c r="N31" i="1" s="1"/>
  <c r="O31" i="1" s="1"/>
  <c r="M30" i="1"/>
  <c r="N30" i="1" s="1"/>
  <c r="O30" i="1" s="1"/>
  <c r="K30" i="1"/>
  <c r="M29" i="1"/>
  <c r="K29" i="1"/>
  <c r="N29" i="1" s="1"/>
  <c r="O29" i="1" s="1"/>
  <c r="M28" i="1"/>
  <c r="K28" i="1"/>
  <c r="N28" i="1" s="1"/>
  <c r="O28" i="1" s="1"/>
  <c r="O27" i="1"/>
  <c r="N27" i="1"/>
  <c r="M27" i="1"/>
  <c r="K27" i="1"/>
  <c r="M26" i="1"/>
  <c r="K26" i="1"/>
  <c r="N26" i="1" s="1"/>
  <c r="O26" i="1" s="1"/>
  <c r="M25" i="1"/>
  <c r="N25" i="1" s="1"/>
  <c r="O25" i="1" s="1"/>
  <c r="K25" i="1"/>
  <c r="M24" i="1"/>
  <c r="K24" i="1"/>
  <c r="M23" i="1"/>
  <c r="K23" i="1"/>
  <c r="N23" i="1" s="1"/>
  <c r="O23" i="1" s="1"/>
  <c r="O22" i="1"/>
  <c r="N22" i="1"/>
  <c r="M22" i="1"/>
  <c r="K22" i="1"/>
  <c r="M21" i="1"/>
  <c r="K21" i="1"/>
  <c r="N21" i="1" s="1"/>
  <c r="O21" i="1" s="1"/>
  <c r="N20" i="1"/>
  <c r="O20" i="1" s="1"/>
  <c r="M20" i="1"/>
  <c r="K20" i="1"/>
  <c r="M19" i="1"/>
  <c r="K19" i="1"/>
  <c r="N19" i="1" s="1"/>
  <c r="O19" i="1" s="1"/>
  <c r="O18" i="1"/>
  <c r="M18" i="1"/>
  <c r="K18" i="1"/>
  <c r="N18" i="1" s="1"/>
  <c r="O17" i="1"/>
  <c r="N17" i="1"/>
  <c r="M17" i="1"/>
  <c r="K17" i="1"/>
  <c r="M16" i="1"/>
  <c r="N16" i="1" s="1"/>
  <c r="O16" i="1" s="1"/>
  <c r="K16" i="1"/>
  <c r="M15" i="1"/>
  <c r="N15" i="1" s="1"/>
  <c r="O15" i="1" s="1"/>
  <c r="K15" i="1"/>
  <c r="M14" i="1"/>
  <c r="K14" i="1"/>
  <c r="N14" i="1" s="1"/>
  <c r="O14" i="1" s="1"/>
  <c r="M13" i="1"/>
  <c r="N13" i="1" s="1"/>
  <c r="O13" i="1" s="1"/>
  <c r="K13" i="1"/>
  <c r="O12" i="1"/>
  <c r="N12" i="1"/>
  <c r="M12" i="1"/>
  <c r="K12" i="1"/>
  <c r="M11" i="1"/>
  <c r="N11" i="1" s="1"/>
  <c r="O11" i="1" s="1"/>
  <c r="K11" i="1"/>
  <c r="O10" i="1"/>
  <c r="N10" i="1"/>
  <c r="M10" i="1"/>
  <c r="K10" i="1"/>
  <c r="M9" i="1"/>
  <c r="K9" i="1"/>
  <c r="N9" i="1" s="1"/>
  <c r="O9" i="1" s="1"/>
  <c r="M8" i="1"/>
  <c r="K8" i="1"/>
  <c r="N280" i="5"/>
  <c r="O278" i="5"/>
  <c r="N276" i="5"/>
  <c r="O276" i="5" s="1"/>
  <c r="O274" i="5"/>
  <c r="O273" i="5"/>
  <c r="O272" i="5"/>
  <c r="J270" i="5"/>
  <c r="I270" i="5"/>
  <c r="O279" i="5" s="1"/>
  <c r="H270" i="5"/>
  <c r="O269" i="5"/>
  <c r="M269" i="5"/>
  <c r="N269" i="5" s="1"/>
  <c r="K269" i="5"/>
  <c r="M268" i="5"/>
  <c r="K268" i="5"/>
  <c r="N268" i="5" s="1"/>
  <c r="O268" i="5" s="1"/>
  <c r="N267" i="5"/>
  <c r="O267" i="5" s="1"/>
  <c r="M267" i="5"/>
  <c r="K267" i="5"/>
  <c r="O266" i="5"/>
  <c r="N266" i="5"/>
  <c r="M266" i="5"/>
  <c r="K266" i="5"/>
  <c r="N265" i="5"/>
  <c r="O265" i="5" s="1"/>
  <c r="M265" i="5"/>
  <c r="K265" i="5"/>
  <c r="M264" i="5"/>
  <c r="N264" i="5" s="1"/>
  <c r="O264" i="5" s="1"/>
  <c r="K264" i="5"/>
  <c r="M263" i="5"/>
  <c r="K263" i="5"/>
  <c r="M262" i="5"/>
  <c r="K262" i="5"/>
  <c r="N262" i="5" s="1"/>
  <c r="O262" i="5" s="1"/>
  <c r="O261" i="5"/>
  <c r="N261" i="5"/>
  <c r="M261" i="5"/>
  <c r="K261" i="5"/>
  <c r="M260" i="5"/>
  <c r="K260" i="5"/>
  <c r="N260" i="5" s="1"/>
  <c r="O260" i="5" s="1"/>
  <c r="N259" i="5"/>
  <c r="O259" i="5" s="1"/>
  <c r="M259" i="5"/>
  <c r="K259" i="5"/>
  <c r="M258" i="5"/>
  <c r="K258" i="5"/>
  <c r="N258" i="5" s="1"/>
  <c r="O258" i="5" s="1"/>
  <c r="M257" i="5"/>
  <c r="K257" i="5"/>
  <c r="N257" i="5" s="1"/>
  <c r="O257" i="5" s="1"/>
  <c r="O256" i="5"/>
  <c r="N256" i="5"/>
  <c r="M256" i="5"/>
  <c r="K256" i="5"/>
  <c r="M255" i="5"/>
  <c r="K255" i="5"/>
  <c r="N255" i="5" s="1"/>
  <c r="O255" i="5" s="1"/>
  <c r="M254" i="5"/>
  <c r="N254" i="5" s="1"/>
  <c r="O254" i="5" s="1"/>
  <c r="K254" i="5"/>
  <c r="M253" i="5"/>
  <c r="K253" i="5"/>
  <c r="M252" i="5"/>
  <c r="K252" i="5"/>
  <c r="N252" i="5" s="1"/>
  <c r="O252" i="5" s="1"/>
  <c r="O251" i="5"/>
  <c r="N251" i="5"/>
  <c r="M251" i="5"/>
  <c r="K251" i="5"/>
  <c r="M250" i="5"/>
  <c r="K250" i="5"/>
  <c r="N250" i="5" s="1"/>
  <c r="O250" i="5" s="1"/>
  <c r="M249" i="5"/>
  <c r="N249" i="5" s="1"/>
  <c r="O249" i="5" s="1"/>
  <c r="K249" i="5"/>
  <c r="M248" i="5"/>
  <c r="K248" i="5"/>
  <c r="N248" i="5" s="1"/>
  <c r="O248" i="5" s="1"/>
  <c r="M247" i="5"/>
  <c r="K247" i="5"/>
  <c r="N247" i="5" s="1"/>
  <c r="O247" i="5" s="1"/>
  <c r="O246" i="5"/>
  <c r="N246" i="5"/>
  <c r="M246" i="5"/>
  <c r="K246" i="5"/>
  <c r="N245" i="5"/>
  <c r="O245" i="5" s="1"/>
  <c r="M245" i="5"/>
  <c r="K245" i="5"/>
  <c r="M244" i="5"/>
  <c r="N244" i="5" s="1"/>
  <c r="O244" i="5" s="1"/>
  <c r="K244" i="5"/>
  <c r="M243" i="5"/>
  <c r="K243" i="5"/>
  <c r="N243" i="5" s="1"/>
  <c r="O243" i="5" s="1"/>
  <c r="N242" i="5"/>
  <c r="O242" i="5" s="1"/>
  <c r="M242" i="5"/>
  <c r="K242" i="5"/>
  <c r="O241" i="5"/>
  <c r="N241" i="5"/>
  <c r="M241" i="5"/>
  <c r="K241" i="5"/>
  <c r="M240" i="5"/>
  <c r="K240" i="5"/>
  <c r="N240" i="5" s="1"/>
  <c r="O240" i="5" s="1"/>
  <c r="M239" i="5"/>
  <c r="N239" i="5" s="1"/>
  <c r="O239" i="5" s="1"/>
  <c r="K239" i="5"/>
  <c r="M238" i="5"/>
  <c r="K238" i="5"/>
  <c r="N237" i="5"/>
  <c r="O237" i="5" s="1"/>
  <c r="M237" i="5"/>
  <c r="K237" i="5"/>
  <c r="O236" i="5"/>
  <c r="N236" i="5"/>
  <c r="M236" i="5"/>
  <c r="K236" i="5"/>
  <c r="M235" i="5"/>
  <c r="K235" i="5"/>
  <c r="N235" i="5" s="1"/>
  <c r="O235" i="5" s="1"/>
  <c r="N234" i="5"/>
  <c r="O234" i="5" s="1"/>
  <c r="M234" i="5"/>
  <c r="K234" i="5"/>
  <c r="M233" i="5"/>
  <c r="K233" i="5"/>
  <c r="N233" i="5" s="1"/>
  <c r="O233" i="5" s="1"/>
  <c r="M232" i="5"/>
  <c r="K232" i="5"/>
  <c r="N232" i="5" s="1"/>
  <c r="O232" i="5" s="1"/>
  <c r="O231" i="5"/>
  <c r="N231" i="5"/>
  <c r="M231" i="5"/>
  <c r="K231" i="5"/>
  <c r="M230" i="5"/>
  <c r="K230" i="5"/>
  <c r="N230" i="5" s="1"/>
  <c r="O230" i="5" s="1"/>
  <c r="N229" i="5"/>
  <c r="O229" i="5" s="1"/>
  <c r="M229" i="5"/>
  <c r="K229" i="5"/>
  <c r="M228" i="5"/>
  <c r="K228" i="5"/>
  <c r="M227" i="5"/>
  <c r="K227" i="5"/>
  <c r="N227" i="5" s="1"/>
  <c r="O227" i="5" s="1"/>
  <c r="O226" i="5"/>
  <c r="N226" i="5"/>
  <c r="M226" i="5"/>
  <c r="K226" i="5"/>
  <c r="M225" i="5"/>
  <c r="K225" i="5"/>
  <c r="N225" i="5" s="1"/>
  <c r="O225" i="5" s="1"/>
  <c r="M224" i="5"/>
  <c r="N224" i="5" s="1"/>
  <c r="O224" i="5" s="1"/>
  <c r="K224" i="5"/>
  <c r="M223" i="5"/>
  <c r="K223" i="5"/>
  <c r="N223" i="5" s="1"/>
  <c r="O223" i="5" s="1"/>
  <c r="M222" i="5"/>
  <c r="K222" i="5"/>
  <c r="N222" i="5" s="1"/>
  <c r="O222" i="5" s="1"/>
  <c r="O221" i="5"/>
  <c r="N221" i="5"/>
  <c r="M221" i="5"/>
  <c r="K221" i="5"/>
  <c r="N220" i="5"/>
  <c r="O220" i="5" s="1"/>
  <c r="M220" i="5"/>
  <c r="K220" i="5"/>
  <c r="M219" i="5"/>
  <c r="N219" i="5" s="1"/>
  <c r="O219" i="5" s="1"/>
  <c r="K219" i="5"/>
  <c r="M218" i="5"/>
  <c r="K218" i="5"/>
  <c r="N218" i="5" s="1"/>
  <c r="O218" i="5" s="1"/>
  <c r="N217" i="5"/>
  <c r="O217" i="5" s="1"/>
  <c r="M217" i="5"/>
  <c r="K217" i="5"/>
  <c r="O216" i="5"/>
  <c r="N216" i="5"/>
  <c r="M216" i="5"/>
  <c r="K216" i="5"/>
  <c r="N215" i="5"/>
  <c r="O215" i="5" s="1"/>
  <c r="M215" i="5"/>
  <c r="K215" i="5"/>
  <c r="M214" i="5"/>
  <c r="N214" i="5" s="1"/>
  <c r="O214" i="5" s="1"/>
  <c r="K214" i="5"/>
  <c r="M213" i="5"/>
  <c r="K213" i="5"/>
  <c r="M212" i="5"/>
  <c r="K212" i="5"/>
  <c r="N212" i="5" s="1"/>
  <c r="O212" i="5" s="1"/>
  <c r="O211" i="5"/>
  <c r="N211" i="5"/>
  <c r="M211" i="5"/>
  <c r="K211" i="5"/>
  <c r="M210" i="5"/>
  <c r="K210" i="5"/>
  <c r="N210" i="5" s="1"/>
  <c r="O210" i="5" s="1"/>
  <c r="N209" i="5"/>
  <c r="O209" i="5" s="1"/>
  <c r="M209" i="5"/>
  <c r="K209" i="5"/>
  <c r="M208" i="5"/>
  <c r="K208" i="5"/>
  <c r="N208" i="5" s="1"/>
  <c r="O208" i="5" s="1"/>
  <c r="M207" i="5"/>
  <c r="K207" i="5"/>
  <c r="N207" i="5" s="1"/>
  <c r="O207" i="5" s="1"/>
  <c r="O206" i="5"/>
  <c r="N206" i="5"/>
  <c r="M206" i="5"/>
  <c r="K206" i="5"/>
  <c r="M205" i="5"/>
  <c r="K205" i="5"/>
  <c r="N205" i="5" s="1"/>
  <c r="O205" i="5" s="1"/>
  <c r="M204" i="5"/>
  <c r="N204" i="5" s="1"/>
  <c r="O204" i="5" s="1"/>
  <c r="K204" i="5"/>
  <c r="M203" i="5"/>
  <c r="K203" i="5"/>
  <c r="M202" i="5"/>
  <c r="K202" i="5"/>
  <c r="N202" i="5" s="1"/>
  <c r="O202" i="5" s="1"/>
  <c r="O201" i="5"/>
  <c r="N201" i="5"/>
  <c r="M201" i="5"/>
  <c r="K201" i="5"/>
  <c r="M200" i="5"/>
  <c r="K200" i="5"/>
  <c r="N200" i="5" s="1"/>
  <c r="O200" i="5" s="1"/>
  <c r="M199" i="5"/>
  <c r="N199" i="5" s="1"/>
  <c r="O199" i="5" s="1"/>
  <c r="K199" i="5"/>
  <c r="M198" i="5"/>
  <c r="K198" i="5"/>
  <c r="N198" i="5" s="1"/>
  <c r="O198" i="5" s="1"/>
  <c r="M197" i="5"/>
  <c r="K197" i="5"/>
  <c r="N197" i="5" s="1"/>
  <c r="O197" i="5" s="1"/>
  <c r="O196" i="5"/>
  <c r="N196" i="5"/>
  <c r="M196" i="5"/>
  <c r="K196" i="5"/>
  <c r="N195" i="5"/>
  <c r="O195" i="5" s="1"/>
  <c r="M195" i="5"/>
  <c r="K195" i="5"/>
  <c r="M194" i="5"/>
  <c r="N194" i="5" s="1"/>
  <c r="O194" i="5" s="1"/>
  <c r="K194" i="5"/>
  <c r="M193" i="5"/>
  <c r="K193" i="5"/>
  <c r="N193" i="5" s="1"/>
  <c r="O193" i="5" s="1"/>
  <c r="N192" i="5"/>
  <c r="O192" i="5" s="1"/>
  <c r="M192" i="5"/>
  <c r="K192" i="5"/>
  <c r="O191" i="5"/>
  <c r="N191" i="5"/>
  <c r="M191" i="5"/>
  <c r="K191" i="5"/>
  <c r="M190" i="5"/>
  <c r="K190" i="5"/>
  <c r="N190" i="5" s="1"/>
  <c r="O190" i="5" s="1"/>
  <c r="M189" i="5"/>
  <c r="N189" i="5" s="1"/>
  <c r="O189" i="5" s="1"/>
  <c r="K189" i="5"/>
  <c r="M188" i="5"/>
  <c r="K188" i="5"/>
  <c r="N187" i="5"/>
  <c r="O187" i="5" s="1"/>
  <c r="M187" i="5"/>
  <c r="K187" i="5"/>
  <c r="O186" i="5"/>
  <c r="N186" i="5"/>
  <c r="M186" i="5"/>
  <c r="K186" i="5"/>
  <c r="M185" i="5"/>
  <c r="K185" i="5"/>
  <c r="N185" i="5" s="1"/>
  <c r="O185" i="5" s="1"/>
  <c r="N184" i="5"/>
  <c r="O184" i="5" s="1"/>
  <c r="M184" i="5"/>
  <c r="K184" i="5"/>
  <c r="M183" i="5"/>
  <c r="K183" i="5"/>
  <c r="N183" i="5" s="1"/>
  <c r="O183" i="5" s="1"/>
  <c r="M182" i="5"/>
  <c r="K182" i="5"/>
  <c r="N182" i="5" s="1"/>
  <c r="O182" i="5" s="1"/>
  <c r="O181" i="5"/>
  <c r="N181" i="5"/>
  <c r="M181" i="5"/>
  <c r="K181" i="5"/>
  <c r="M180" i="5"/>
  <c r="K180" i="5"/>
  <c r="N180" i="5" s="1"/>
  <c r="O180" i="5" s="1"/>
  <c r="M179" i="5"/>
  <c r="N179" i="5" s="1"/>
  <c r="O179" i="5" s="1"/>
  <c r="K179" i="5"/>
  <c r="M178" i="5"/>
  <c r="K178" i="5"/>
  <c r="M177" i="5"/>
  <c r="K177" i="5"/>
  <c r="N177" i="5" s="1"/>
  <c r="O177" i="5" s="1"/>
  <c r="O176" i="5"/>
  <c r="N176" i="5"/>
  <c r="M176" i="5"/>
  <c r="K176" i="5"/>
  <c r="M175" i="5"/>
  <c r="K175" i="5"/>
  <c r="N175" i="5" s="1"/>
  <c r="O175" i="5" s="1"/>
  <c r="M174" i="5"/>
  <c r="N174" i="5" s="1"/>
  <c r="O174" i="5" s="1"/>
  <c r="K174" i="5"/>
  <c r="M173" i="5"/>
  <c r="K173" i="5"/>
  <c r="N173" i="5" s="1"/>
  <c r="O173" i="5" s="1"/>
  <c r="M172" i="5"/>
  <c r="K172" i="5"/>
  <c r="N172" i="5" s="1"/>
  <c r="O172" i="5" s="1"/>
  <c r="O171" i="5"/>
  <c r="N171" i="5"/>
  <c r="M171" i="5"/>
  <c r="K171" i="5"/>
  <c r="N170" i="5"/>
  <c r="O170" i="5" s="1"/>
  <c r="M170" i="5"/>
  <c r="K170" i="5"/>
  <c r="M169" i="5"/>
  <c r="N169" i="5" s="1"/>
  <c r="O169" i="5" s="1"/>
  <c r="K169" i="5"/>
  <c r="M168" i="5"/>
  <c r="K168" i="5"/>
  <c r="N168" i="5" s="1"/>
  <c r="O168" i="5" s="1"/>
  <c r="N167" i="5"/>
  <c r="O167" i="5" s="1"/>
  <c r="M167" i="5"/>
  <c r="K167" i="5"/>
  <c r="O166" i="5"/>
  <c r="N166" i="5"/>
  <c r="M166" i="5"/>
  <c r="K166" i="5"/>
  <c r="M165" i="5"/>
  <c r="K165" i="5"/>
  <c r="N165" i="5" s="1"/>
  <c r="O165" i="5" s="1"/>
  <c r="M164" i="5"/>
  <c r="N164" i="5" s="1"/>
  <c r="O164" i="5" s="1"/>
  <c r="K164" i="5"/>
  <c r="M163" i="5"/>
  <c r="K163" i="5"/>
  <c r="M162" i="5"/>
  <c r="K162" i="5"/>
  <c r="N162" i="5" s="1"/>
  <c r="O162" i="5" s="1"/>
  <c r="O161" i="5"/>
  <c r="N161" i="5"/>
  <c r="M161" i="5"/>
  <c r="K161" i="5"/>
  <c r="M160" i="5"/>
  <c r="K160" i="5"/>
  <c r="N160" i="5" s="1"/>
  <c r="O160" i="5" s="1"/>
  <c r="N159" i="5"/>
  <c r="O159" i="5" s="1"/>
  <c r="M159" i="5"/>
  <c r="K159" i="5"/>
  <c r="M158" i="5"/>
  <c r="K158" i="5"/>
  <c r="N158" i="5" s="1"/>
  <c r="O158" i="5" s="1"/>
  <c r="M157" i="5"/>
  <c r="K157" i="5"/>
  <c r="N157" i="5" s="1"/>
  <c r="O157" i="5" s="1"/>
  <c r="O156" i="5"/>
  <c r="N156" i="5"/>
  <c r="M156" i="5"/>
  <c r="K156" i="5"/>
  <c r="M155" i="5"/>
  <c r="K155" i="5"/>
  <c r="N155" i="5" s="1"/>
  <c r="O155" i="5" s="1"/>
  <c r="N154" i="5"/>
  <c r="O154" i="5" s="1"/>
  <c r="M154" i="5"/>
  <c r="K154" i="5"/>
  <c r="M153" i="5"/>
  <c r="K153" i="5"/>
  <c r="M152" i="5"/>
  <c r="K152" i="5"/>
  <c r="N152" i="5" s="1"/>
  <c r="O152" i="5" s="1"/>
  <c r="O151" i="5"/>
  <c r="N151" i="5"/>
  <c r="M151" i="5"/>
  <c r="K151" i="5"/>
  <c r="M150" i="5"/>
  <c r="K150" i="5"/>
  <c r="N150" i="5" s="1"/>
  <c r="O150" i="5" s="1"/>
  <c r="M149" i="5"/>
  <c r="N149" i="5" s="1"/>
  <c r="O149" i="5" s="1"/>
  <c r="K149" i="5"/>
  <c r="M148" i="5"/>
  <c r="K148" i="5"/>
  <c r="N148" i="5" s="1"/>
  <c r="O148" i="5" s="1"/>
  <c r="M147" i="5"/>
  <c r="K147" i="5"/>
  <c r="N147" i="5" s="1"/>
  <c r="O147" i="5" s="1"/>
  <c r="O146" i="5"/>
  <c r="N146" i="5"/>
  <c r="M146" i="5"/>
  <c r="K146" i="5"/>
  <c r="N145" i="5"/>
  <c r="O145" i="5" s="1"/>
  <c r="M145" i="5"/>
  <c r="K145" i="5"/>
  <c r="M144" i="5"/>
  <c r="N144" i="5" s="1"/>
  <c r="O144" i="5" s="1"/>
  <c r="K144" i="5"/>
  <c r="M143" i="5"/>
  <c r="K143" i="5"/>
  <c r="N143" i="5" s="1"/>
  <c r="O143" i="5" s="1"/>
  <c r="N142" i="5"/>
  <c r="O142" i="5" s="1"/>
  <c r="M142" i="5"/>
  <c r="K142" i="5"/>
  <c r="O141" i="5"/>
  <c r="N141" i="5"/>
  <c r="M141" i="5"/>
  <c r="K141" i="5"/>
  <c r="N140" i="5"/>
  <c r="O140" i="5" s="1"/>
  <c r="M140" i="5"/>
  <c r="K140" i="5"/>
  <c r="M139" i="5"/>
  <c r="N139" i="5" s="1"/>
  <c r="O139" i="5" s="1"/>
  <c r="K139" i="5"/>
  <c r="M138" i="5"/>
  <c r="K138" i="5"/>
  <c r="M137" i="5"/>
  <c r="K137" i="5"/>
  <c r="N137" i="5" s="1"/>
  <c r="O137" i="5" s="1"/>
  <c r="O136" i="5"/>
  <c r="N136" i="5"/>
  <c r="M136" i="5"/>
  <c r="K136" i="5"/>
  <c r="M135" i="5"/>
  <c r="K135" i="5"/>
  <c r="N135" i="5" s="1"/>
  <c r="O135" i="5" s="1"/>
  <c r="N134" i="5"/>
  <c r="O134" i="5" s="1"/>
  <c r="M134" i="5"/>
  <c r="K134" i="5"/>
  <c r="M133" i="5"/>
  <c r="K133" i="5"/>
  <c r="N133" i="5" s="1"/>
  <c r="O133" i="5" s="1"/>
  <c r="M132" i="5"/>
  <c r="K132" i="5"/>
  <c r="N132" i="5" s="1"/>
  <c r="O132" i="5" s="1"/>
  <c r="O131" i="5"/>
  <c r="N131" i="5"/>
  <c r="M131" i="5"/>
  <c r="K131" i="5"/>
  <c r="M130" i="5"/>
  <c r="K130" i="5"/>
  <c r="N130" i="5" s="1"/>
  <c r="O130" i="5" s="1"/>
  <c r="M129" i="5"/>
  <c r="N129" i="5" s="1"/>
  <c r="O129" i="5" s="1"/>
  <c r="K129" i="5"/>
  <c r="M128" i="5"/>
  <c r="K128" i="5"/>
  <c r="M127" i="5"/>
  <c r="K127" i="5"/>
  <c r="N127" i="5" s="1"/>
  <c r="O127" i="5" s="1"/>
  <c r="O126" i="5"/>
  <c r="N126" i="5"/>
  <c r="M126" i="5"/>
  <c r="K126" i="5"/>
  <c r="M125" i="5"/>
  <c r="K125" i="5"/>
  <c r="N125" i="5" s="1"/>
  <c r="O125" i="5" s="1"/>
  <c r="M124" i="5"/>
  <c r="N124" i="5" s="1"/>
  <c r="O124" i="5" s="1"/>
  <c r="K124" i="5"/>
  <c r="M123" i="5"/>
  <c r="K123" i="5"/>
  <c r="N123" i="5" s="1"/>
  <c r="O123" i="5" s="1"/>
  <c r="M122" i="5"/>
  <c r="K122" i="5"/>
  <c r="N122" i="5" s="1"/>
  <c r="O122" i="5" s="1"/>
  <c r="O121" i="5"/>
  <c r="N121" i="5"/>
  <c r="M121" i="5"/>
  <c r="K121" i="5"/>
  <c r="N120" i="5"/>
  <c r="O120" i="5" s="1"/>
  <c r="M120" i="5"/>
  <c r="K120" i="5"/>
  <c r="M119" i="5"/>
  <c r="N119" i="5" s="1"/>
  <c r="O119" i="5" s="1"/>
  <c r="K119" i="5"/>
  <c r="M118" i="5"/>
  <c r="K118" i="5"/>
  <c r="N118" i="5" s="1"/>
  <c r="O118" i="5" s="1"/>
  <c r="N117" i="5"/>
  <c r="O117" i="5" s="1"/>
  <c r="M117" i="5"/>
  <c r="K117" i="5"/>
  <c r="O116" i="5"/>
  <c r="N116" i="5"/>
  <c r="M116" i="5"/>
  <c r="K116" i="5"/>
  <c r="M115" i="5"/>
  <c r="K115" i="5"/>
  <c r="N115" i="5" s="1"/>
  <c r="O115" i="5" s="1"/>
  <c r="M114" i="5"/>
  <c r="N114" i="5" s="1"/>
  <c r="O114" i="5" s="1"/>
  <c r="K114" i="5"/>
  <c r="M113" i="5"/>
  <c r="K113" i="5"/>
  <c r="N112" i="5"/>
  <c r="O112" i="5" s="1"/>
  <c r="M112" i="5"/>
  <c r="K112" i="5"/>
  <c r="O111" i="5"/>
  <c r="N111" i="5"/>
  <c r="M111" i="5"/>
  <c r="K111" i="5"/>
  <c r="M110" i="5"/>
  <c r="K110" i="5"/>
  <c r="N110" i="5" s="1"/>
  <c r="O110" i="5" s="1"/>
  <c r="N109" i="5"/>
  <c r="O109" i="5" s="1"/>
  <c r="M109" i="5"/>
  <c r="K109" i="5"/>
  <c r="M108" i="5"/>
  <c r="K108" i="5"/>
  <c r="N108" i="5" s="1"/>
  <c r="O108" i="5" s="1"/>
  <c r="M107" i="5"/>
  <c r="K107" i="5"/>
  <c r="N107" i="5" s="1"/>
  <c r="O107" i="5" s="1"/>
  <c r="O106" i="5"/>
  <c r="N106" i="5"/>
  <c r="M106" i="5"/>
  <c r="K106" i="5"/>
  <c r="M105" i="5"/>
  <c r="K105" i="5"/>
  <c r="N105" i="5" s="1"/>
  <c r="O105" i="5" s="1"/>
  <c r="N104" i="5"/>
  <c r="O104" i="5" s="1"/>
  <c r="M104" i="5"/>
  <c r="K104" i="5"/>
  <c r="M103" i="5"/>
  <c r="K103" i="5"/>
  <c r="M102" i="5"/>
  <c r="K102" i="5"/>
  <c r="N102" i="5" s="1"/>
  <c r="O102" i="5" s="1"/>
  <c r="O101" i="5"/>
  <c r="N101" i="5"/>
  <c r="M101" i="5"/>
  <c r="K101" i="5"/>
  <c r="M100" i="5"/>
  <c r="K100" i="5"/>
  <c r="N100" i="5" s="1"/>
  <c r="O100" i="5" s="1"/>
  <c r="M99" i="5"/>
  <c r="N99" i="5" s="1"/>
  <c r="O99" i="5" s="1"/>
  <c r="K99" i="5"/>
  <c r="M98" i="5"/>
  <c r="K98" i="5"/>
  <c r="N98" i="5" s="1"/>
  <c r="O98" i="5" s="1"/>
  <c r="M97" i="5"/>
  <c r="K97" i="5"/>
  <c r="N97" i="5" s="1"/>
  <c r="O97" i="5" s="1"/>
  <c r="O96" i="5"/>
  <c r="N96" i="5"/>
  <c r="M96" i="5"/>
  <c r="K96" i="5"/>
  <c r="N95" i="5"/>
  <c r="O95" i="5" s="1"/>
  <c r="M95" i="5"/>
  <c r="K95" i="5"/>
  <c r="M94" i="5"/>
  <c r="N94" i="5" s="1"/>
  <c r="O94" i="5" s="1"/>
  <c r="K94" i="5"/>
  <c r="M93" i="5"/>
  <c r="K93" i="5"/>
  <c r="N93" i="5" s="1"/>
  <c r="O93" i="5" s="1"/>
  <c r="N92" i="5"/>
  <c r="O92" i="5" s="1"/>
  <c r="M92" i="5"/>
  <c r="K92" i="5"/>
  <c r="O91" i="5"/>
  <c r="N91" i="5"/>
  <c r="M91" i="5"/>
  <c r="K91" i="5"/>
  <c r="N90" i="5"/>
  <c r="O90" i="5" s="1"/>
  <c r="M90" i="5"/>
  <c r="K90" i="5"/>
  <c r="M89" i="5"/>
  <c r="N89" i="5" s="1"/>
  <c r="O89" i="5" s="1"/>
  <c r="K89" i="5"/>
  <c r="M88" i="5"/>
  <c r="K88" i="5"/>
  <c r="M87" i="5"/>
  <c r="K87" i="5"/>
  <c r="N87" i="5" s="1"/>
  <c r="O87" i="5" s="1"/>
  <c r="O86" i="5"/>
  <c r="N86" i="5"/>
  <c r="M86" i="5"/>
  <c r="K86" i="5"/>
  <c r="M85" i="5"/>
  <c r="K85" i="5"/>
  <c r="N85" i="5" s="1"/>
  <c r="O85" i="5" s="1"/>
  <c r="N84" i="5"/>
  <c r="O84" i="5" s="1"/>
  <c r="M84" i="5"/>
  <c r="K84" i="5"/>
  <c r="M83" i="5"/>
  <c r="K83" i="5"/>
  <c r="N83" i="5" s="1"/>
  <c r="O83" i="5" s="1"/>
  <c r="M82" i="5"/>
  <c r="K82" i="5"/>
  <c r="N82" i="5" s="1"/>
  <c r="O82" i="5" s="1"/>
  <c r="O81" i="5"/>
  <c r="N81" i="5"/>
  <c r="M81" i="5"/>
  <c r="K81" i="5"/>
  <c r="M80" i="5"/>
  <c r="K80" i="5"/>
  <c r="N80" i="5" s="1"/>
  <c r="O80" i="5" s="1"/>
  <c r="M79" i="5"/>
  <c r="N79" i="5" s="1"/>
  <c r="O79" i="5" s="1"/>
  <c r="K79" i="5"/>
  <c r="M78" i="5"/>
  <c r="K78" i="5"/>
  <c r="M77" i="5"/>
  <c r="K77" i="5"/>
  <c r="N77" i="5" s="1"/>
  <c r="O77" i="5" s="1"/>
  <c r="N76" i="5"/>
  <c r="O76" i="5" s="1"/>
  <c r="M76" i="5"/>
  <c r="K76" i="5"/>
  <c r="M75" i="5"/>
  <c r="K75" i="5"/>
  <c r="N75" i="5" s="1"/>
  <c r="O75" i="5" s="1"/>
  <c r="M74" i="5"/>
  <c r="K74" i="5"/>
  <c r="N74" i="5" s="1"/>
  <c r="O74" i="5" s="1"/>
  <c r="M73" i="5"/>
  <c r="K73" i="5"/>
  <c r="N73" i="5" s="1"/>
  <c r="O73" i="5" s="1"/>
  <c r="M72" i="5"/>
  <c r="K72" i="5"/>
  <c r="N72" i="5" s="1"/>
  <c r="O72" i="5" s="1"/>
  <c r="O71" i="5"/>
  <c r="N71" i="5"/>
  <c r="M71" i="5"/>
  <c r="K71" i="5"/>
  <c r="N70" i="5"/>
  <c r="O70" i="5" s="1"/>
  <c r="M70" i="5"/>
  <c r="K70" i="5"/>
  <c r="M69" i="5"/>
  <c r="K69" i="5"/>
  <c r="N69" i="5" s="1"/>
  <c r="O69" i="5" s="1"/>
  <c r="M68" i="5"/>
  <c r="K68" i="5"/>
  <c r="N68" i="5" s="1"/>
  <c r="O68" i="5" s="1"/>
  <c r="N67" i="5"/>
  <c r="O67" i="5" s="1"/>
  <c r="M67" i="5"/>
  <c r="K67" i="5"/>
  <c r="N66" i="5"/>
  <c r="O66" i="5" s="1"/>
  <c r="M66" i="5"/>
  <c r="K66" i="5"/>
  <c r="M65" i="5"/>
  <c r="K65" i="5"/>
  <c r="N65" i="5" s="1"/>
  <c r="O65" i="5" s="1"/>
  <c r="M64" i="5"/>
  <c r="K64" i="5"/>
  <c r="N64" i="5" s="1"/>
  <c r="O64" i="5" s="1"/>
  <c r="M63" i="5"/>
  <c r="K63" i="5"/>
  <c r="M62" i="5"/>
  <c r="N62" i="5" s="1"/>
  <c r="O62" i="5" s="1"/>
  <c r="K62" i="5"/>
  <c r="O61" i="5"/>
  <c r="N61" i="5"/>
  <c r="M61" i="5"/>
  <c r="K61" i="5"/>
  <c r="M60" i="5"/>
  <c r="K60" i="5"/>
  <c r="N59" i="5"/>
  <c r="O59" i="5" s="1"/>
  <c r="M59" i="5"/>
  <c r="K59" i="5"/>
  <c r="M58" i="5"/>
  <c r="K58" i="5"/>
  <c r="N58" i="5" s="1"/>
  <c r="O58" i="5" s="1"/>
  <c r="M57" i="5"/>
  <c r="K57" i="5"/>
  <c r="N57" i="5" s="1"/>
  <c r="O57" i="5" s="1"/>
  <c r="O56" i="5"/>
  <c r="N56" i="5"/>
  <c r="M56" i="5"/>
  <c r="K56" i="5"/>
  <c r="M55" i="5"/>
  <c r="K55" i="5"/>
  <c r="N55" i="5" s="1"/>
  <c r="O55" i="5" s="1"/>
  <c r="M54" i="5"/>
  <c r="K54" i="5"/>
  <c r="N54" i="5" s="1"/>
  <c r="O54" i="5" s="1"/>
  <c r="M53" i="5"/>
  <c r="K53" i="5"/>
  <c r="M52" i="5"/>
  <c r="K52" i="5"/>
  <c r="N52" i="5" s="1"/>
  <c r="O52" i="5" s="1"/>
  <c r="O51" i="5"/>
  <c r="N51" i="5"/>
  <c r="M51" i="5"/>
  <c r="K51" i="5"/>
  <c r="M50" i="5"/>
  <c r="K50" i="5"/>
  <c r="N50" i="5" s="1"/>
  <c r="O50" i="5" s="1"/>
  <c r="M49" i="5"/>
  <c r="K49" i="5"/>
  <c r="M48" i="5"/>
  <c r="K48" i="5"/>
  <c r="N48" i="5" s="1"/>
  <c r="O48" i="5" s="1"/>
  <c r="M47" i="5"/>
  <c r="K47" i="5"/>
  <c r="N47" i="5" s="1"/>
  <c r="O47" i="5" s="1"/>
  <c r="O46" i="5"/>
  <c r="N46" i="5"/>
  <c r="M46" i="5"/>
  <c r="K46" i="5"/>
  <c r="O45" i="5"/>
  <c r="N45" i="5"/>
  <c r="M45" i="5"/>
  <c r="K45" i="5"/>
  <c r="M44" i="5"/>
  <c r="K44" i="5"/>
  <c r="N44" i="5" s="1"/>
  <c r="O44" i="5" s="1"/>
  <c r="M43" i="5"/>
  <c r="K43" i="5"/>
  <c r="N43" i="5" s="1"/>
  <c r="O43" i="5" s="1"/>
  <c r="N42" i="5"/>
  <c r="O42" i="5" s="1"/>
  <c r="M42" i="5"/>
  <c r="K42" i="5"/>
  <c r="N41" i="5"/>
  <c r="O41" i="5" s="1"/>
  <c r="M41" i="5"/>
  <c r="K41" i="5"/>
  <c r="M40" i="5"/>
  <c r="K40" i="5"/>
  <c r="N40" i="5" s="1"/>
  <c r="O40" i="5" s="1"/>
  <c r="M39" i="5"/>
  <c r="K39" i="5"/>
  <c r="N39" i="5" s="1"/>
  <c r="O39" i="5" s="1"/>
  <c r="M38" i="5"/>
  <c r="K38" i="5"/>
  <c r="N37" i="5"/>
  <c r="O37" i="5" s="1"/>
  <c r="M37" i="5"/>
  <c r="K37" i="5"/>
  <c r="O36" i="5"/>
  <c r="N36" i="5"/>
  <c r="M36" i="5"/>
  <c r="K36" i="5"/>
  <c r="M35" i="5"/>
  <c r="K35" i="5"/>
  <c r="N35" i="5" s="1"/>
  <c r="O35" i="5" s="1"/>
  <c r="N34" i="5"/>
  <c r="O34" i="5" s="1"/>
  <c r="M34" i="5"/>
  <c r="K34" i="5"/>
  <c r="M33" i="5"/>
  <c r="K33" i="5"/>
  <c r="N33" i="5" s="1"/>
  <c r="O33" i="5" s="1"/>
  <c r="M32" i="5"/>
  <c r="K32" i="5"/>
  <c r="N32" i="5" s="1"/>
  <c r="O32" i="5" s="1"/>
  <c r="N31" i="5"/>
  <c r="O31" i="5" s="1"/>
  <c r="M31" i="5"/>
  <c r="K31" i="5"/>
  <c r="M30" i="5"/>
  <c r="K30" i="5"/>
  <c r="N30" i="5" s="1"/>
  <c r="O30" i="5" s="1"/>
  <c r="M29" i="5"/>
  <c r="K29" i="5"/>
  <c r="N29" i="5" s="1"/>
  <c r="O29" i="5" s="1"/>
  <c r="M28" i="5"/>
  <c r="K28" i="5"/>
  <c r="M27" i="5"/>
  <c r="K27" i="5"/>
  <c r="N27" i="5" s="1"/>
  <c r="O27" i="5" s="1"/>
  <c r="N26" i="5"/>
  <c r="O26" i="5" s="1"/>
  <c r="M26" i="5"/>
  <c r="K26" i="5"/>
  <c r="M25" i="5"/>
  <c r="K25" i="5"/>
  <c r="N25" i="5" s="1"/>
  <c r="O25" i="5" s="1"/>
  <c r="M24" i="5"/>
  <c r="K24" i="5"/>
  <c r="N24" i="5" s="1"/>
  <c r="O24" i="5" s="1"/>
  <c r="M23" i="5"/>
  <c r="K23" i="5"/>
  <c r="N23" i="5" s="1"/>
  <c r="O23" i="5" s="1"/>
  <c r="M22" i="5"/>
  <c r="K22" i="5"/>
  <c r="N22" i="5" s="1"/>
  <c r="O22" i="5" s="1"/>
  <c r="O21" i="5"/>
  <c r="N21" i="5"/>
  <c r="M21" i="5"/>
  <c r="K21" i="5"/>
  <c r="N20" i="5"/>
  <c r="O20" i="5" s="1"/>
  <c r="M20" i="5"/>
  <c r="K20" i="5"/>
  <c r="M19" i="5"/>
  <c r="K19" i="5"/>
  <c r="N19" i="5" s="1"/>
  <c r="O19" i="5" s="1"/>
  <c r="M18" i="5"/>
  <c r="K18" i="5"/>
  <c r="N18" i="5" s="1"/>
  <c r="O18" i="5" s="1"/>
  <c r="N17" i="5"/>
  <c r="O17" i="5" s="1"/>
  <c r="M17" i="5"/>
  <c r="K17" i="5"/>
  <c r="N16" i="5"/>
  <c r="O16" i="5" s="1"/>
  <c r="M16" i="5"/>
  <c r="K16" i="5"/>
  <c r="M15" i="5"/>
  <c r="K15" i="5"/>
  <c r="N15" i="5" s="1"/>
  <c r="O15" i="5" s="1"/>
  <c r="M14" i="5"/>
  <c r="K14" i="5"/>
  <c r="N14" i="5" s="1"/>
  <c r="O14" i="5" s="1"/>
  <c r="M13" i="5"/>
  <c r="K13" i="5"/>
  <c r="M12" i="5"/>
  <c r="K12" i="5"/>
  <c r="K270" i="5" s="1"/>
  <c r="M11" i="5"/>
  <c r="K11" i="5"/>
  <c r="N11" i="5" s="1"/>
  <c r="O11" i="5" s="1"/>
  <c r="M10" i="5"/>
  <c r="K10" i="5"/>
  <c r="N9" i="5"/>
  <c r="O9" i="5" s="1"/>
  <c r="M9" i="5"/>
  <c r="K9" i="5"/>
  <c r="M8" i="5"/>
  <c r="K8" i="5"/>
  <c r="N8" i="5" s="1"/>
  <c r="N10" i="2" l="1"/>
  <c r="O10" i="2" s="1"/>
  <c r="K321" i="2"/>
  <c r="O323" i="2"/>
  <c r="O324" i="2"/>
  <c r="O327" i="2"/>
  <c r="O325" i="2"/>
  <c r="O8" i="5"/>
  <c r="N12" i="5"/>
  <c r="O12" i="5" s="1"/>
  <c r="N44" i="1"/>
  <c r="O44" i="1" s="1"/>
  <c r="N169" i="1"/>
  <c r="O169" i="1" s="1"/>
  <c r="N74" i="2"/>
  <c r="O74" i="2" s="1"/>
  <c r="N86" i="2"/>
  <c r="O86" i="2" s="1"/>
  <c r="N152" i="2"/>
  <c r="O152" i="2" s="1"/>
  <c r="N492" i="2"/>
  <c r="N613" i="2"/>
  <c r="N825" i="2"/>
  <c r="K294" i="1"/>
  <c r="N8" i="1"/>
  <c r="O330" i="2"/>
  <c r="M294" i="1"/>
  <c r="O329" i="2"/>
  <c r="N10" i="5"/>
  <c r="O10" i="5" s="1"/>
  <c r="N49" i="5"/>
  <c r="O49" i="5" s="1"/>
  <c r="N60" i="5"/>
  <c r="O60" i="5" s="1"/>
  <c r="N69" i="1"/>
  <c r="O69" i="1" s="1"/>
  <c r="N194" i="1"/>
  <c r="O194" i="1" s="1"/>
  <c r="N423" i="2"/>
  <c r="N13" i="5"/>
  <c r="O13" i="5" s="1"/>
  <c r="N38" i="5"/>
  <c r="O38" i="5" s="1"/>
  <c r="N63" i="5"/>
  <c r="O63" i="5" s="1"/>
  <c r="N88" i="5"/>
  <c r="O88" i="5" s="1"/>
  <c r="N113" i="5"/>
  <c r="O113" i="5" s="1"/>
  <c r="N138" i="5"/>
  <c r="O138" i="5" s="1"/>
  <c r="N163" i="5"/>
  <c r="O163" i="5" s="1"/>
  <c r="N188" i="5"/>
  <c r="O188" i="5" s="1"/>
  <c r="N213" i="5"/>
  <c r="O213" i="5" s="1"/>
  <c r="N238" i="5"/>
  <c r="O238" i="5" s="1"/>
  <c r="N263" i="5"/>
  <c r="O263" i="5" s="1"/>
  <c r="N285" i="1"/>
  <c r="O285" i="1" s="1"/>
  <c r="O296" i="1"/>
  <c r="O302" i="1"/>
  <c r="O304" i="1" s="1"/>
  <c r="N36" i="2"/>
  <c r="O36" i="2" s="1"/>
  <c r="N97" i="2"/>
  <c r="O97" i="2" s="1"/>
  <c r="N146" i="2"/>
  <c r="O146" i="2" s="1"/>
  <c r="N174" i="2"/>
  <c r="O174" i="2" s="1"/>
  <c r="N392" i="2"/>
  <c r="N418" i="2"/>
  <c r="N542" i="2"/>
  <c r="N940" i="2"/>
  <c r="N955" i="2"/>
  <c r="N970" i="2"/>
  <c r="O280" i="5"/>
  <c r="M321" i="2"/>
  <c r="M270" i="5"/>
  <c r="N28" i="5"/>
  <c r="O28" i="5" s="1"/>
  <c r="N53" i="5"/>
  <c r="O53" i="5" s="1"/>
  <c r="N78" i="5"/>
  <c r="O78" i="5" s="1"/>
  <c r="N103" i="5"/>
  <c r="O103" i="5" s="1"/>
  <c r="N128" i="5"/>
  <c r="O128" i="5" s="1"/>
  <c r="N153" i="5"/>
  <c r="O153" i="5" s="1"/>
  <c r="N178" i="5"/>
  <c r="O178" i="5" s="1"/>
  <c r="N203" i="5"/>
  <c r="O203" i="5" s="1"/>
  <c r="N228" i="5"/>
  <c r="O228" i="5" s="1"/>
  <c r="N253" i="5"/>
  <c r="O253" i="5" s="1"/>
  <c r="N272" i="1"/>
  <c r="O272" i="1" s="1"/>
  <c r="N8" i="2"/>
  <c r="N47" i="2"/>
  <c r="O47" i="2" s="1"/>
  <c r="N111" i="2"/>
  <c r="O111" i="2" s="1"/>
  <c r="N422" i="2"/>
  <c r="N505" i="2"/>
  <c r="N563" i="2"/>
  <c r="N682" i="2"/>
  <c r="N697" i="2"/>
  <c r="N24" i="1"/>
  <c r="O24" i="1" s="1"/>
  <c r="N49" i="1"/>
  <c r="O49" i="1" s="1"/>
  <c r="N74" i="1"/>
  <c r="O74" i="1" s="1"/>
  <c r="N99" i="1"/>
  <c r="O99" i="1" s="1"/>
  <c r="N124" i="1"/>
  <c r="O124" i="1" s="1"/>
  <c r="N149" i="1"/>
  <c r="O149" i="1" s="1"/>
  <c r="N174" i="1"/>
  <c r="O174" i="1" s="1"/>
  <c r="N199" i="1"/>
  <c r="O199" i="1" s="1"/>
  <c r="N224" i="1"/>
  <c r="O224" i="1" s="1"/>
  <c r="N249" i="1"/>
  <c r="O249" i="1" s="1"/>
  <c r="N176" i="2"/>
  <c r="O176" i="2" s="1"/>
  <c r="N376" i="2"/>
  <c r="N555" i="2"/>
  <c r="N572" i="2"/>
  <c r="N635" i="2"/>
  <c r="N765" i="2"/>
  <c r="N786" i="2"/>
  <c r="N828" i="2"/>
  <c r="N855" i="2"/>
  <c r="N877" i="2"/>
  <c r="N896" i="2"/>
  <c r="N162" i="2"/>
  <c r="O162" i="2" s="1"/>
  <c r="N191" i="2"/>
  <c r="O191" i="2" s="1"/>
  <c r="N252" i="2"/>
  <c r="O252" i="2" s="1"/>
  <c r="N287" i="2"/>
  <c r="O287" i="2" s="1"/>
  <c r="N316" i="2"/>
  <c r="O316" i="2" s="1"/>
  <c r="N355" i="2"/>
  <c r="N413" i="2"/>
  <c r="N435" i="2"/>
  <c r="N593" i="2"/>
  <c r="N692" i="2"/>
  <c r="N715" i="2"/>
  <c r="N750" i="2"/>
  <c r="N201" i="2"/>
  <c r="O201" i="2" s="1"/>
  <c r="N372" i="2"/>
  <c r="N405" i="2"/>
  <c r="N463" i="2"/>
  <c r="N485" i="2"/>
  <c r="N707" i="2"/>
  <c r="N730" i="2"/>
  <c r="N815" i="2"/>
  <c r="N836" i="2"/>
  <c r="N926" i="2"/>
  <c r="N12" i="3"/>
  <c r="O12" i="3" s="1"/>
  <c r="N44" i="3"/>
  <c r="O44" i="3" s="1"/>
  <c r="M301" i="4"/>
  <c r="N8" i="4"/>
  <c r="N366" i="2"/>
  <c r="N645" i="2"/>
  <c r="N670" i="2"/>
  <c r="N695" i="2"/>
  <c r="N720" i="2"/>
  <c r="N745" i="2"/>
  <c r="N796" i="2"/>
  <c r="N802" i="2"/>
  <c r="N85" i="3"/>
  <c r="O85" i="3" s="1"/>
  <c r="N106" i="3"/>
  <c r="O106" i="3" s="1"/>
  <c r="N98" i="3"/>
  <c r="O98" i="3" s="1"/>
  <c r="N115" i="3"/>
  <c r="O115" i="3" s="1"/>
  <c r="N139" i="3"/>
  <c r="O139" i="3" s="1"/>
  <c r="N143" i="3"/>
  <c r="O143" i="3" s="1"/>
  <c r="N174" i="4"/>
  <c r="O174" i="4" s="1"/>
  <c r="N391" i="2"/>
  <c r="N846" i="2"/>
  <c r="N858" i="2"/>
  <c r="N861" i="2"/>
  <c r="N876" i="2"/>
  <c r="N965" i="2"/>
  <c r="N971" i="2"/>
  <c r="N990" i="2"/>
  <c r="N69" i="3"/>
  <c r="O69" i="3" s="1"/>
  <c r="N235" i="3"/>
  <c r="O235" i="3" s="1"/>
  <c r="N776" i="2"/>
  <c r="N826" i="2"/>
  <c r="N850" i="2"/>
  <c r="N853" i="2"/>
  <c r="N856" i="2"/>
  <c r="N900" i="2"/>
  <c r="N906" i="2"/>
  <c r="N950" i="2"/>
  <c r="N956" i="2"/>
  <c r="N1000" i="2"/>
  <c r="N32" i="3"/>
  <c r="O32" i="3" s="1"/>
  <c r="N57" i="3"/>
  <c r="O57" i="3" s="1"/>
  <c r="N126" i="3"/>
  <c r="O126" i="3" s="1"/>
  <c r="N17" i="4"/>
  <c r="O17" i="4" s="1"/>
  <c r="O303" i="4"/>
  <c r="O310" i="4"/>
  <c r="O309" i="4"/>
  <c r="O311" i="4" s="1"/>
  <c r="O305" i="4"/>
  <c r="O304" i="4"/>
  <c r="N806" i="2"/>
  <c r="N860" i="2"/>
  <c r="N866" i="2"/>
  <c r="N910" i="2"/>
  <c r="N916" i="2"/>
  <c r="N960" i="2"/>
  <c r="N966" i="2"/>
  <c r="M309" i="3"/>
  <c r="N801" i="2"/>
  <c r="N875" i="2"/>
  <c r="N878" i="2"/>
  <c r="N881" i="2"/>
  <c r="N925" i="2"/>
  <c r="N931" i="2"/>
  <c r="N975" i="2"/>
  <c r="N981" i="2"/>
  <c r="N262" i="3"/>
  <c r="O262" i="3" s="1"/>
  <c r="N74" i="4"/>
  <c r="O74" i="4" s="1"/>
  <c r="N192" i="4"/>
  <c r="O192" i="4" s="1"/>
  <c r="N266" i="4"/>
  <c r="O266" i="4" s="1"/>
  <c r="N67" i="4"/>
  <c r="O67" i="4" s="1"/>
  <c r="N71" i="4"/>
  <c r="O71" i="4" s="1"/>
  <c r="N92" i="4"/>
  <c r="O92" i="4" s="1"/>
  <c r="N99" i="4"/>
  <c r="O99" i="4" s="1"/>
  <c r="N134" i="4"/>
  <c r="O134" i="4" s="1"/>
  <c r="N196" i="4"/>
  <c r="O196" i="4" s="1"/>
  <c r="K309" i="3"/>
  <c r="O311" i="3"/>
  <c r="O318" i="3"/>
  <c r="O317" i="3"/>
  <c r="O319" i="3" s="1"/>
  <c r="N8" i="3"/>
  <c r="N204" i="3"/>
  <c r="O204" i="3" s="1"/>
  <c r="N275" i="3"/>
  <c r="O275" i="3" s="1"/>
  <c r="N57" i="4"/>
  <c r="O57" i="4" s="1"/>
  <c r="N121" i="4"/>
  <c r="O121" i="4" s="1"/>
  <c r="N142" i="4"/>
  <c r="O142" i="4" s="1"/>
  <c r="N149" i="4"/>
  <c r="O149" i="4" s="1"/>
  <c r="N184" i="4"/>
  <c r="O184" i="4" s="1"/>
  <c r="N251" i="4"/>
  <c r="O251" i="4" s="1"/>
  <c r="N284" i="4"/>
  <c r="O284" i="4" s="1"/>
  <c r="N254" i="3"/>
  <c r="O254" i="3" s="1"/>
  <c r="N37" i="4"/>
  <c r="O37" i="4" s="1"/>
  <c r="N213" i="4"/>
  <c r="O213" i="4" s="1"/>
  <c r="N242" i="4"/>
  <c r="O242" i="4" s="1"/>
  <c r="O307" i="4"/>
  <c r="N240" i="3"/>
  <c r="O240" i="3" s="1"/>
  <c r="N22" i="4"/>
  <c r="O22" i="4" s="1"/>
  <c r="N82" i="4"/>
  <c r="O82" i="4" s="1"/>
  <c r="N107" i="4"/>
  <c r="O107" i="4" s="1"/>
  <c r="N132" i="4"/>
  <c r="O132" i="4" s="1"/>
  <c r="N157" i="4"/>
  <c r="O157" i="4" s="1"/>
  <c r="N182" i="4"/>
  <c r="O182" i="4" s="1"/>
  <c r="N207" i="4"/>
  <c r="O207" i="4" s="1"/>
  <c r="N217" i="4"/>
  <c r="O217" i="4" s="1"/>
  <c r="N224" i="4"/>
  <c r="O224" i="4" s="1"/>
  <c r="N215" i="3"/>
  <c r="O215" i="3" s="1"/>
  <c r="N265" i="3"/>
  <c r="O265" i="3" s="1"/>
  <c r="N52" i="4"/>
  <c r="O52" i="4" s="1"/>
  <c r="N77" i="4"/>
  <c r="O77" i="4" s="1"/>
  <c r="N102" i="4"/>
  <c r="O102" i="4" s="1"/>
  <c r="N127" i="4"/>
  <c r="O127" i="4" s="1"/>
  <c r="N152" i="4"/>
  <c r="O152" i="4" s="1"/>
  <c r="N177" i="4"/>
  <c r="O177" i="4" s="1"/>
  <c r="N202" i="4"/>
  <c r="O202" i="4" s="1"/>
  <c r="N227" i="4"/>
  <c r="O227" i="4" s="1"/>
  <c r="N200" i="3"/>
  <c r="O200" i="3" s="1"/>
  <c r="N250" i="3"/>
  <c r="O250" i="3" s="1"/>
  <c r="N300" i="3"/>
  <c r="O300" i="3" s="1"/>
  <c r="K301" i="4"/>
  <c r="N42" i="4"/>
  <c r="O42" i="4" s="1"/>
  <c r="N270" i="5" l="1"/>
  <c r="N301" i="4"/>
  <c r="O8" i="4"/>
  <c r="N294" i="1"/>
  <c r="O8" i="1"/>
  <c r="N321" i="2"/>
  <c r="O8" i="2"/>
  <c r="O331" i="2"/>
  <c r="N309" i="3"/>
  <c r="O8" i="3"/>
  <c r="N333" i="2" l="1"/>
  <c r="N334" i="2" s="1"/>
  <c r="O321" i="2"/>
  <c r="N313" i="4"/>
  <c r="N314" i="4" s="1"/>
  <c r="O301" i="4"/>
  <c r="N321" i="3"/>
  <c r="N322" i="3" s="1"/>
  <c r="O309" i="3"/>
  <c r="N306" i="1"/>
  <c r="N307" i="1" s="1"/>
  <c r="O294" i="1"/>
  <c r="N282" i="5"/>
  <c r="N283" i="5" s="1"/>
  <c r="O270" i="5"/>
</calcChain>
</file>

<file path=xl/sharedStrings.xml><?xml version="1.0" encoding="utf-8"?>
<sst xmlns="http://schemas.openxmlformats.org/spreadsheetml/2006/main" count="5237" uniqueCount="2436">
  <si>
    <t>※この情報は店舗様および楽天市場での重要な情報となります。データの取扱には十分にご注意ください。</t>
  </si>
  <si>
    <t>SKU別売上</t>
  </si>
  <si>
    <t>表示期間</t>
  </si>
  <si>
    <t>2026年08月から2026年08月</t>
  </si>
  <si>
    <t>端末</t>
  </si>
  <si>
    <t>すべて</t>
  </si>
  <si>
    <t>消費税</t>
  </si>
  <si>
    <t>税込</t>
  </si>
  <si>
    <t>キーワード</t>
  </si>
  <si>
    <t>商品名</t>
  </si>
  <si>
    <t>SKU情報</t>
  </si>
  <si>
    <t>商品管理番号</t>
  </si>
  <si>
    <t>商品番号</t>
  </si>
  <si>
    <t>SKU管理番号</t>
  </si>
  <si>
    <t>SKU番号</t>
  </si>
  <si>
    <t>平均単価</t>
  </si>
  <si>
    <t>売上個数</t>
  </si>
  <si>
    <t>売上</t>
  </si>
  <si>
    <t>売上件数</t>
  </si>
  <si>
    <t>販売手数料</t>
  </si>
  <si>
    <t>仕入値</t>
  </si>
  <si>
    <t>仕入値合計</t>
  </si>
  <si>
    <t>利益(粗利)</t>
  </si>
  <si>
    <t>利益率（粗利率）</t>
  </si>
  <si>
    <t>きんだい 冷ひやネックタオル 50本入り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</si>
  <si>
    <t>b0f6xtgtgp</t>
  </si>
  <si>
    <t>4533141407514-50</t>
  </si>
  <si>
    <t>フィリップス 5000Xシリーズ X5007/00 ブラック 電動 髭剃り メンズ  27枚刃 回転式 お風呂剃り 丸洗い可 電動シェーバー 電気シェーバー マイクロビーズコーティング 360-Dフレックスヘッド</t>
  </si>
  <si>
    <t>b0bsfhf9jq</t>
  </si>
  <si>
    <t>8720689004589-a</t>
  </si>
  <si>
    <t>B0BSFHF9JQ</t>
  </si>
  <si>
    <t>フィリップス 7000シリーズ S7882/16 アイスブルー 電気シェーバー 電動 髭剃り メンズ 45枚刃 回転式 お風呂剃り 丸洗い可 SkinIQテクノロジー 360-D フレックスヘッド</t>
  </si>
  <si>
    <t>b0c5812gdq</t>
  </si>
  <si>
    <t>8720689017688-a</t>
  </si>
  <si>
    <t>B0C5812GDQ</t>
  </si>
  <si>
    <t>きんだい 冷ひやネックタオル 200本入り 日本製 個包装 大判56×20cm 冷感タオル 冷却タオル 首用タオル ウェットタオル 熱中症対策 暑さ対策 首冷却 業務用 大容量 まとめ買い 屋外作業 作業 現場 工事 イベント スポーツ観戦 アウトドア 防災グッズ 災害備蓄 夏 使い捨て</t>
  </si>
  <si>
    <t>b0f6xtgtgp-2</t>
  </si>
  <si>
    <t>4533141407514-200</t>
  </si>
  <si>
    <t>B0F6XTGTGP-2</t>
  </si>
  <si>
    <t>ブラウン 替刃 F/C70S-3Z-b シルバー 旧シリーズ7対応 純正 シェーバー替刃 網刃 内刃一体型 ブラシ付 70S メンズシェーバー 交換用 約18か月分 深剃り 髭剃り 電気シェーバー用 720s 750cc 760cc 790cc 7720s 7840s 7898cc</t>
  </si>
  <si>
    <t>b08gpdl9ky</t>
  </si>
  <si>
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</si>
  <si>
    <t>アークティックパープル</t>
  </si>
  <si>
    <t>b0d3kthmt4</t>
  </si>
  <si>
    <t>4957,4971/9100</t>
  </si>
  <si>
    <t>B0D3KS9J6F</t>
  </si>
  <si>
    <t>【3本セット】アース製薬 らくハピ お部屋の防カビ剤 カチッとおすだけ 無香料 60mL 約2カ月持続 防カビ カビ予防 除菌 ハウスダスト対策 燻煙不要 4～10畳</t>
  </si>
  <si>
    <t>b07kpyw849</t>
  </si>
  <si>
    <t>4901080682512-3</t>
  </si>
  <si>
    <t>バッファロー 外付けハードディスク 4TB テレビ録画/PC/PS4/4K対応 バッファロー製nasne™対応 静音&amp;コンパクト 日本製 故障予測 みまもり合図 HD-AD4U3</t>
  </si>
  <si>
    <t>b07bk6696f</t>
  </si>
  <si>
    <t>4981254047309-a</t>
  </si>
  <si>
    <t>Anker MagGo Power Bank (10000mAh, Slim) Qi2認証 ワイヤレス充電 最大出力15W MagSafe対応 マグネット式ワイヤレス充電対応 コンパクト 薄型 小型 iPhone 17 / 16 / 15 / 14 / 13 / 12 シリーズ 対応  ホワイト ミントブルー ブラック ピンク</t>
  </si>
  <si>
    <t>ピンク</t>
  </si>
  <si>
    <t>b0db1hfzlk</t>
  </si>
  <si>
    <t>7557,7588,7540,7571/6390</t>
  </si>
  <si>
    <t>B0DB1JV955</t>
  </si>
  <si>
    <t>ブラウン メンズシェーバー シリーズ9 SPORT 9360cc 6in1アルコール洗浄システム付 シェーバーケース付 ブラック 電動 髭剃り メンズ  防水設計 充電式 コードレス</t>
  </si>
  <si>
    <t>b0dsjb2627</t>
  </si>
  <si>
    <t>4987176283993-h-a</t>
  </si>
  <si>
    <t>B0DSJB2627</t>
  </si>
  <si>
    <t>レノア アロマジュエル HOTEL ホワイトティーの香り 詰め替え 1410mL×2個セット 香り付けビーズ 衣類用香りづけ剤 大容量 洗濯ビーズ アロマビーズ 消臭 部屋干し 洗濯 香り 長続き 柔軟剤と一緒に使える 詰替え 衣類 ケア ランドリー 洗濯用品 日用品 まとめ買い ストック</t>
  </si>
  <si>
    <t>b0csctf87w-2</t>
  </si>
  <si>
    <t>4987176228697-2</t>
  </si>
  <si>
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</si>
  <si>
    <t>b0cx4c1tvk</t>
  </si>
  <si>
    <t>B0CX4FKYCS</t>
  </si>
  <si>
    <t>B0CX4PBCKH</t>
  </si>
  <si>
    <t>【正規品】Nature Republic (ネイチャーリパブリック) マイルド&amp;モイスチャーアロエビッグトナー 500ml 大容量 菌活化粧水 とろみテクスチャー</t>
  </si>
  <si>
    <t>b0bl26m3s6</t>
  </si>
  <si>
    <t>8880/1287</t>
  </si>
  <si>
    <t>【セット品】クーリア しずくちゃん ボンボンドロップシール  （ミニ）　4種セット 正規品  うるおいちゃん みるみるちゃん しずくの森のなかまたち ボンドロ かわいい 立体 シール ぷっくり ぷくぷく シール交換 収集 本物 本家</t>
  </si>
  <si>
    <t>2821,2838,2845,2852/ 1160</t>
  </si>
  <si>
    <t>DJI アクションカメラ Osmo Action 4 エッセンシャルコンボ 4K/120fps対応 防水アクションカメラ 1/1.3インチセンサー搭載 驚きの低照度性能 10-bit &amp; D-Log M カラーパフォーマンス 長時間駆動の1770 mAhバッテリー カメラ 防水</t>
  </si>
  <si>
    <t>b0ds2b3p2b</t>
  </si>
  <si>
    <t>【6種セット】クーリア クリアジェムステッカー エンジェル ストロベリー レモン グレープ ソーダ プラネット デコレーションシール クリアステッカー ジェムシール シール 手帳 ノート アルバム スマホケース ラッピング まとめ買い 公式 本物 正規品</t>
  </si>
  <si>
    <t>b0hc1kzx44</t>
  </si>
  <si>
    <t>93-84SQ-JQ69-a</t>
  </si>
  <si>
    <t>ブラウン シェーバー 替刃 シリーズ5 F/C52B-b ブラック 髭剃り メンズ ひげ 髭</t>
  </si>
  <si>
    <t>b08gp5xftt</t>
  </si>
  <si>
    <t>8768/3771</t>
  </si>
  <si>
    <t>Anker Soundcore P40i (Bluetooth 5.3) 【完全ワイヤレスイヤホン/ウルトラノイズキャンセリング 2.0 / マルチポイント接続 / 最大60時間再生 / PSE技術基準適合】オフホワイト ネイビー ブラック ピンク</t>
  </si>
  <si>
    <t>オフホワイト</t>
  </si>
  <si>
    <t>b0cp4rhk7x</t>
  </si>
  <si>
    <t>7555,7562,7548,7579/6490</t>
  </si>
  <si>
    <t>B0CP4RHK7X</t>
  </si>
  <si>
    <t>いなば CIAO ちゅ〜るごはん シニア猫用 バラエティ 14g×36本 総合栄養食 猫用おやつ シニア猫 高齢猫 乳酸菌配合 グレインフリー 無着色 無香料 化学調味料不使用 キャットフード 大容量 チャオちゅーる 国産 【簡易梱包】</t>
  </si>
  <si>
    <t>b0f2t1wvdb</t>
  </si>
  <si>
    <t>8187/1630-a</t>
  </si>
  <si>
    <t>B0F2T1WVDB</t>
  </si>
  <si>
    <t>【ブラウン】オーラルB 電動歯ブラシ D6015253P 回転式 電動歯ブラシ 歯垢除去 ホワイトニング 歯ぐきケア 充電式 防水設計 デンタルケア 口腔ケア Oral-B オーラルケア 歯ブラシ 電動ブラシ 替えブラシ対応 旅行 出張 身だしなみ ケア</t>
  </si>
  <si>
    <t>b075ssnk1l</t>
  </si>
  <si>
    <t>3693/4780</t>
  </si>
  <si>
    <t>ブラウン シリーズ5 電気シェーバー 52-M1200s ミント 髭剃り メンズ 電動シェーバー 防水 充電式 コードレス キワゾリトリマー ディープキャッチ網刃 深剃り 肌にやさしい 剃刀 シェービング 男性用 ヒゲ剃り フェイスケア スキンケア 旅行 出張 ケア トラベルケース付き</t>
  </si>
  <si>
    <t>b0ctq1xfrl</t>
  </si>
  <si>
    <t>4987176180261-a</t>
  </si>
  <si>
    <t>フィリップス ソニッケアー プロテクトクリーンプレミアム ホワイト HX6877/56 歯磨き ケア 口臭</t>
  </si>
  <si>
    <t>b0c8hbc8q7</t>
  </si>
  <si>
    <t>8710103994503-a</t>
  </si>
  <si>
    <t>【4個セット】アリエール 液体洗剤 漂白剤レベル洗浄 エリそで&amp;くすみ 詰め替え 超ウルトラジャンボ 1720g×4個セット 洗濯洗剤 液体 詰替え 大容量 黄ばみ くすみ エリ汚れ 皮脂汚れ 消臭 部屋干し 抗菌 衣類用洗剤 洗濯 ランドリー 日用品 まとめ買い ストック</t>
  </si>
  <si>
    <t>b0fcfk55zk-4</t>
  </si>
  <si>
    <t>4987176309099-4-a</t>
  </si>
  <si>
    <t>いなば  チャオ CIAO ピュアちゅ~る まぐろバラエティ 14g×20本 猫 猫用 液状 おやつ 着色料 香料 化学調味料 不使用 グレインフリー キャットフード 大容量 人気 水分補給</t>
  </si>
  <si>
    <t>b0f2sgdgr1</t>
  </si>
  <si>
    <t>7409/396-a</t>
  </si>
  <si>
    <t>B0F2SGDGR1</t>
  </si>
  <si>
    <t>ブラウン(Braun) ボディグルーマー PRO X XT5300-b ボディ ボディシェーバー 自然な長さに整える 剃り上げる 進化した4Dブレード カッティングエリアの面積が2倍に 腕 指 脚 ワキ デリケートゾーン 顔 6つのアタッチメント ボディ トリマー BRAUN</t>
  </si>
  <si>
    <t>b0by19x8s3</t>
  </si>
  <si>
    <t>4987176171184-a</t>
  </si>
  <si>
    <t>【6個セット】IROKA イロカ フレアフレグランス ネイキッドリリーの香り 詰め替え 1200mL×6個セット 花王 柔軟剤 大容量 液体 詰替え 超特大 香水のような香り 上質 透明感 消臭 抗菌 防臭 衣類ケア ふんわり 静電気防止 シワ防止 ランドリー 日用品 まとめ買い ストック</t>
  </si>
  <si>
    <t>b0915ngd2j-6</t>
  </si>
  <si>
    <t>4901301397355-6</t>
  </si>
  <si>
    <t>F-01 英樹確認 2026-09-21: 1個 1,256円 × 6個セット = 7,536円(8月実績KPI原価の確認。商品マスターは変更しない。一次根拠未照合)</t>
  </si>
  <si>
    <t>ビオレ 冷タオル 無香性 5本入×5個セット 冷感シート 冷却シート 首掛けタオル 暑さ対策 熱中対策 ひんやりシート ロングサイズ 個包装 夏対策 スポーツ観戦 屋外作業 通勤 通学 アウトドア クールダウン 冷感グッズ 日本製</t>
  </si>
  <si>
    <t>b0byzjmth8</t>
  </si>
  <si>
    <t>4901301421401-5-a</t>
  </si>
  <si>
    <t>【セット品】ライオン ソフラン エアリス プールサイド 本体480ml＋詰め替え810mlセット 柔軟剤 部屋干し 防臭 抗菌 静電気防止 ネモフィラ ウォーターリリーの香り 洗濯 衣類ケア 赤ちゃん ベビー服対応 詰替え 大容量 ソフランAiris</t>
  </si>
  <si>
    <t>b0bxbplt8t</t>
  </si>
  <si>
    <t>358-a</t>
  </si>
  <si>
    <t>B0BXBPLT8T</t>
  </si>
  <si>
    <t>ニベア ロイヤルブルー ボディミルク 美容ケア 200g 〔医薬部外品〕【乾燥によってくすみがちな肌に】 ロイヤルブルーガーデンの香り</t>
  </si>
  <si>
    <t>b08bscmwln</t>
  </si>
  <si>
    <t>0174/1267</t>
  </si>
  <si>
    <t>【全4種セット】【正規品】 クーリア ボンボンドロップシール ちょこみん まじょねこ ういっしゅ すいーつ シール セット ボンドロ かわいい キラキラ 3D立体 ぷっくり ぷくぷく ご褒美シール 女の子 平成女子 シール帳 シール交換 収集 本物 本家 【新商品】</t>
  </si>
  <si>
    <t>AST-0008</t>
  </si>
  <si>
    <t>ユニ・チャーム エルディ フィンガーレギュラー 多い日 60個 生理 用品 生理用品</t>
  </si>
  <si>
    <t>b002jthwco</t>
  </si>
  <si>
    <t>8286/1978-a</t>
  </si>
  <si>
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</si>
  <si>
    <t>スカイブルー</t>
  </si>
  <si>
    <t>b0d7zlpsjg</t>
  </si>
  <si>
    <t>4324,4693,4709,4723/13990</t>
  </si>
  <si>
    <t>B0D7YTG5V2</t>
  </si>
  <si>
    <t>ホワイト</t>
  </si>
  <si>
    <t>B0DB1HFZLK</t>
  </si>
  <si>
    <t>ブルドッグ オリジナル 替刃 4個入 カミソリ替刃 5枚刃 アロエ配合 スムーザー 首振りヘッド キワ剃りトリマー シェービング 替え刃 メンズ 男性用 深剃り 肌にやさしい フェイスケア グルーミング バンブーホルダー対応 グラスホルダー対応 交換用 カートリッジ 純正 替え刃</t>
  </si>
  <si>
    <t>b0bs3k6d56</t>
  </si>
  <si>
    <t>4891228313036-a</t>
  </si>
  <si>
    <t>きんだい 冷ひやネックタオル 100本入り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</si>
  <si>
    <t>b0f6xtgtgp-1</t>
  </si>
  <si>
    <t>4533141407514-100</t>
  </si>
  <si>
    <t>B0F6XTGTGP-1</t>
  </si>
  <si>
    <t>Amazon Fire TV Stick 4K Plus Alexa対応音声認識リモコン付 ストリーミングメディアプレーヤー Wi-Fi 6 4K Ultra HD Dolby Vision HDR10+ Dolby Atmos HDMI テレビ 動画配信 Netflix Prime Video YouTube TVer ABEMA U-NEXT Disney+ 音声操作</t>
  </si>
  <si>
    <t>b0g2tqzmy1</t>
  </si>
  <si>
    <t>【セット品】いなば CIAO ちゅ～るスープ 5種セット 35g×40袋 まぐろ かつお&amp;かつお節 まぐろ&amp;貝柱 とりささみ&amp;しらす とりささみ&amp;サーモン 猫 猫用 猫用おやつ 猫用スープ ウェットフード 水分補給 乳酸菌配合 パウチ キャットフード バラエティ アソート まとめ買い</t>
  </si>
  <si>
    <t>b0fv817dg5</t>
  </si>
  <si>
    <t>3684,3707,3691,3714,3721/1338-a</t>
  </si>
  <si>
    <t>熱さまシート ストロング 大人用 12枚×2個セット 小林製薬 冷凍庫用 強冷感 冷却シート 冷感シート 発熱対策 熱中症対策 暑さ対策 おでこ用 ジェルシート 長時間冷却 ひんやりシート 日本製 常備用</t>
  </si>
  <si>
    <t>b06xprwsz5</t>
  </si>
  <si>
    <t>4987072048986-2</t>
  </si>
  <si>
    <t>【2個セット】パナソニック 極ラク汚れはがし N-GY1 900mL×2個セット 洗濯用洗浄強化剤 トリプル自動投入対応機種専用 つけおき不要 予洗い不要 エリ汚れ そで汚れ 食べこぼし 皮脂汚れ 加齢臭対策 洗濯補助剤 ドラム式洗濯機専用 洗濯用品 家事時短 まとめ買い ストック</t>
  </si>
  <si>
    <t>b0fgmhtkkm</t>
  </si>
  <si>
    <t>4549980884737-2-a</t>
  </si>
  <si>
    <t>KATE ケイト ナチュラル ジェル プロテクションエキスパート 30グラム×3個セット 化粧下地 SPF50+/PA+++</t>
  </si>
  <si>
    <t>b07npnrnbc</t>
  </si>
  <si>
    <t>5487/2970-a</t>
  </si>
  <si>
    <t>サボン ボディスクラブ 600g(デリケートジャスミン・ラベンダーアップル) 化粧品 コスメ 体 ボディーケア ボディー</t>
  </si>
  <si>
    <t>ラベンダーアップル</t>
  </si>
  <si>
    <t>b0cxj4tsk8</t>
  </si>
  <si>
    <t>5995,8101/2915</t>
  </si>
  <si>
    <t>サボン ボディスクラブ ローズティー 600g 化粧品 コスメ BODY SCRUB ROSE TEA SABON</t>
  </si>
  <si>
    <t>b089flf3cm</t>
  </si>
  <si>
    <t>5937/3849</t>
  </si>
  <si>
    <t>【セット品】ペットライン 懐石 2つのごほうび 4種セット 600g×4個 猫用 キャットフード 国産 総合栄養食 ドライフード 小分け包装 アソート バラエティ 食べ比べ 成猫用 ネコ ねこ 猫餌 大容量 ストック 買い置き 多頭飼い まとめ買い ペットフード 人気 毛玉ケア 尿路配慮</t>
  </si>
  <si>
    <t>b0fh715wj6</t>
  </si>
  <si>
    <t>2588-a</t>
  </si>
  <si>
    <t>L'Oreal paris ウォータートリートメント ジャンボサイズ 400ml トリートメント ヘアケア ケア</t>
  </si>
  <si>
    <t>b0c7vp75s6</t>
  </si>
  <si>
    <t>5829/1210-a</t>
  </si>
  <si>
    <t>【セット品】いなば ちゅ～る トッパー ドライ 3種アソート 180g×3袋セット 犬用おやつ ドッグフード トッピング 乳酸菌配合 食いつきアップ チキン ビーフ チーズ 食べ比べ ごはんふりかけ 小型犬 シニア犬 成犬 犬用フード ペットフード 愛犬用 まとめ買い</t>
  </si>
  <si>
    <t>b0fl244hk2</t>
  </si>
  <si>
    <t>3516,3530,3523/874-a</t>
  </si>
  <si>
    <t>トランスペアレントレッド</t>
  </si>
  <si>
    <t>B0D3KSC8MK</t>
  </si>
  <si>
    <t>【セット品】懐石 2つのごほうび 6種セット 国産 キャットフード 総合栄養食 650g×6個 小分け アソート バラエティ 猫用 ドライフード 食べ比べ 大容量 まとめ買い 成猫用 毛玉ケア 多頭飼い ご褒美 猫餌 ペットフード 小袋タイプ 保存便利 お得セット 人気 定番</t>
  </si>
  <si>
    <t>b0fh7137w6</t>
  </si>
  <si>
    <t>3882-a</t>
  </si>
  <si>
    <t>NEXXUS(ネクサス) リペアアンドカラープロテクト シャンプー トリートメント セット 各440g ２本セット ポンプ ケア ヘアケア</t>
  </si>
  <si>
    <t>b0ct9kdbfs</t>
  </si>
  <si>
    <t>6620,6637/2081</t>
  </si>
  <si>
    <t>【2個セット】アタックZERO 部屋干し 詰め替え 1460g×2個セット 花王 洗濯洗剤 液体洗剤 部屋干し専用 超特大 大容量 詰替え 24時間部屋干し臭防止 抗菌 洗濯槽防カビ 洗濯槽除菌 自動投入対応 生乾き臭 ニオイ対策 ランドリー 日用品 まとめ買い</t>
  </si>
  <si>
    <t>b0gm6xjjst-2</t>
  </si>
  <si>
    <t>4901301466426-2</t>
  </si>
  <si>
    <t>B0GM6XJJST-2</t>
  </si>
  <si>
    <t>【セット品】レノア アロマジュエル Perfume N°7 ジャスミンローズの香り 本体420mL 詰め替え1410mL 超特大 香り付けビーズ 衣類用 香りビーズ フレグランスビーズ 洗濯ビーズ 柔軟剤 香り 長続き 洗濯用品 ランドリー 部屋干し ドラム式 縦型洗濯機 大容量 P&amp;G</t>
  </si>
  <si>
    <t>b0hd77wvwr</t>
  </si>
  <si>
    <t>SET-4169-4183-a</t>
  </si>
  <si>
    <t>F-04 英樹確認 2026-09-21: 現在値で正しい(補足「セット販売価格」= 用語混在に注意: 原価の単位はセット1販売分の意味と解釈、販売価格ではない。一次根拠未照合)</t>
  </si>
  <si>
    <t>いなば チャオ(CIAO)ちゅ～るごはん とりささみ 総合栄養食 14g×4P ６袋セット 猫 猫用 おやつ 国産 液状 キャットフード 人気 グレインフリー</t>
  </si>
  <si>
    <t>b0bltqq367</t>
  </si>
  <si>
    <t>4901133415722-6</t>
  </si>
  <si>
    <t>ヤーマン 洗顔ブラシ ミーゼ mysé クレンズリフト ローズ MS70R 洗顔 リフトケア 美容</t>
  </si>
  <si>
    <t>b07yc8cj3y</t>
  </si>
  <si>
    <t>7835/8000-a</t>
  </si>
  <si>
    <t>B07YC8CJ3Y</t>
  </si>
  <si>
    <t>Anker Soundcore 2 (USB Type-C充電 12W Bluetooth 5 スピーカー 24時間連続再生)【完全ワイヤレスステレオ対応/強化された低音 / IPX7防水規格 / デュアルドライバー/マイク内蔵】(ブラック)</t>
  </si>
  <si>
    <t>b01navanrx</t>
  </si>
  <si>
    <t>2512184180/3990</t>
  </si>
  <si>
    <t>【2個セット】ファブリーズ 消臭スプレー 布用 PREMIUM シトラス＆ガーデン 詰め替え 特大 640mL×2 大容量 布製品 消臭 除菌 生活臭 ペット臭 タバコ臭 部屋干し臭 ソファ カーテン 寝具 消臭剤 速効消臭 家庭用 P&amp;G 日本製 まとめ買い 日用品 ストック用品</t>
  </si>
  <si>
    <t>b0cthfllth</t>
  </si>
  <si>
    <t>3288/1600</t>
  </si>
  <si>
    <t>小林製薬 熱さまシート 強冷感 大人用 12枚×3個セット 冷却シート 冷えピタ おでこ 熱 冷却シート ひんやりシート 発熱対策 夏 暑さ対策 冷感グッズ 熱中症対策 風邪</t>
  </si>
  <si>
    <t>b0f3n7p243</t>
  </si>
  <si>
    <t>8806/1239-a</t>
  </si>
  <si>
    <t>いなば まぐろジュレ 乳酸菌入り バラエティ 3種アソート 65g×4個×3箱セット 猫用 ウェットフード キャットフード パウチ まぐろ かつお ささみ 乳酸菌配合 水分補給 おやつ ごはん トッピング 食べ比べ バラエティセット 成猫 シニア猫 猫 猫用 おやつ 猫用おやつ</t>
  </si>
  <si>
    <t>b0fd9lygtk</t>
  </si>
  <si>
    <t>2526,2540,2533/1182-a</t>
  </si>
  <si>
    <t>【2026年限定】ランドリン 柔軟剤 フレッシュモヒート 600mL 本体 液体 柔軟仕上げ剤 夏季限定 サマー 清涼感 爽やか 甘い香り 部屋干し 抗菌 防臭 静電気抑制 花粉 ホコリ オーガニック植物エキス 赤ちゃん衣類 フレグランス 洗濯 衣類ケア ネイチャーラボ</t>
  </si>
  <si>
    <t>b0gvxq7xpv</t>
  </si>
  <si>
    <t>4580632133896-a</t>
  </si>
  <si>
    <t>F-05 英樹確認 2026-09-21: 現在値で正しい(単品価格。一次根拠未照合)</t>
  </si>
  <si>
    <t>Echo Spot（2024年発売） スマートアラームクロック with Alexa ブラック オーシャンブルー グレーシャーホワイト 目覚まし時計 時計 スマートスピーカー スピーカー</t>
  </si>
  <si>
    <t>ブラック</t>
  </si>
  <si>
    <t>b0c2s4k41g</t>
  </si>
  <si>
    <t>B0C2S4K41G</t>
  </si>
  <si>
    <t>オーシャンブルー</t>
  </si>
  <si>
    <t>B0C2S4D67B</t>
  </si>
  <si>
    <t>アイリスオーヤマ カイロ レギュラー 10個入×2個セット 使い捨てカイロ 貼らないタイプ 防寒 寒さ対策 冬 防災 備蓄 ぽかぽか家族 ホッカイロ まとめ買い あったかグッズ</t>
  </si>
  <si>
    <t>b00xtzzlei</t>
  </si>
  <si>
    <t>4905009678938-2</t>
  </si>
  <si>
    <t>B00XTZZLEI</t>
  </si>
  <si>
    <t>Anker Eufy SmartTrack Card E30 スマートタグ 紛失防止トラッカー カード型 充電式 財布用 忘れ物防止 Apple探す対応 iPhone対応 Bluetoothトラッカー 薄型 軽量 防水 盗難防止 紛失対策 探し物 財布 紛失発見 スマホを探す 持ち物管理 コンパクト ユーフィ</t>
  </si>
  <si>
    <t>b0dwmpnclc-1</t>
  </si>
  <si>
    <t>B0DWMPNCLC-1</t>
  </si>
  <si>
    <t>Anker Eufy ユーフィ SmartTrack Card E30×2個セット 充電式紛失防止トラッカー スマートタグ 盗難防止タグ スマホが見つかる スマホ鳴らす 充電対応</t>
  </si>
  <si>
    <t>b0dwmpnclc</t>
  </si>
  <si>
    <t>0194644233532-2</t>
  </si>
  <si>
    <t>クーリア とうめいシールバインダー ホワイト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</si>
  <si>
    <t>クリア</t>
  </si>
  <si>
    <t>b0fl25cnbg</t>
  </si>
  <si>
    <t>0646,0653/504-a</t>
  </si>
  <si>
    <t>B0FL297CY2</t>
  </si>
  <si>
    <t>Echo Show 5 (エコーショー5) 第3世代 - スマートディスプレイ with Alexa、2メガピクセルカメラ付き グレーシャーホワイト クラウドブルー チャコール ディスプレイ スマートフォトフレーム</t>
  </si>
  <si>
    <t>チャコール</t>
  </si>
  <si>
    <t>b09b2rlplv</t>
  </si>
  <si>
    <t>B09B2PF8S4</t>
  </si>
  <si>
    <t>パープル</t>
  </si>
  <si>
    <t>B0CP4RLMDB</t>
  </si>
  <si>
    <t>B0CP4RQZ3L</t>
  </si>
  <si>
    <t>【国内正規品】玄人志向 NVMe SSD クローンスタンド USB3.2 Gen2 外付け M.2 SSDケース データ移行 高速10Gbps 最大4TB対応 KURO-DACHI CLONE NVMe</t>
  </si>
  <si>
    <t>b0d1q8zb4d</t>
  </si>
  <si>
    <t>7768/6752</t>
  </si>
  <si>
    <t>アマゾン Ring Stick Up Cam Battery (リング スティックアップカム バッテリーモデル)  カメラ 防犯 監視カメラ セキュリティーカメラ</t>
  </si>
  <si>
    <t>b0bls11y97</t>
  </si>
  <si>
    <t>4852/5990</t>
  </si>
  <si>
    <t>B09HSP95NG</t>
  </si>
  <si>
    <t>【まとめ買い】 日本カルシウム工業 冷水筒浄水パック×4個セット 浄水パック 冷水筒用 浄水器 カルキ除去 水質改善 アルカリイオン水 日本製 節約 エコ 水道水 美味しく 防災対策 【お茶パック付き】</t>
  </si>
  <si>
    <t>b00noxldh4</t>
  </si>
  <si>
    <t>2927/2728-a</t>
  </si>
  <si>
    <t>B00NOXLDH4</t>
  </si>
  <si>
    <t>帝人フロンティア 3D着圧サポーター 男性用レギンス 1枚入り ブラックM レギンス 日本製 シェイプアップ 股関節負担軽減 運動 サポーター</t>
  </si>
  <si>
    <t>b0844pnth7</t>
  </si>
  <si>
    <t>5510/1650-a</t>
  </si>
  <si>
    <t>エレコム ワイヤレス トラックボールマウス EX-G 握りの極み 6ボタン ブラック(黒) M-XT3DRBK 親指 2.4GHz 無線 34mm 玉 チルトホイール 横スクロール 減速ボタン OMRON社製スイッチ リモートワーク 在宅 テレワーク オフィス 新生活 マウス パソコン</t>
  </si>
  <si>
    <t>b016qcpnuw</t>
  </si>
  <si>
    <t>4953103473683-a</t>
  </si>
  <si>
    <t>B016QCPNUW</t>
  </si>
  <si>
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</si>
  <si>
    <t>集合</t>
  </si>
  <si>
    <t>AST-0012</t>
  </si>
  <si>
    <t>B0GSQ9KN3R-8106</t>
  </si>
  <si>
    <t>【セット品】 ラックス バスグロウ ストレート＆シャイン シャンプー トリートメント 詰め替えセット 大容量(1000g) うねり ケア つや 髪 ヘア ヘアケア</t>
  </si>
  <si>
    <t>b0f3wyss1s</t>
  </si>
  <si>
    <t>レノア オードリュクス 柔軟剤 シダーウッド&amp;ベルガモットハーブの香り 詰め替え 1050ml×2個 約2.8か月分 部屋干し 雨の日 部屋 かろやか 香る きれい 清潔 衣類 静電気 防臭 抗菌 赤ちゃん ベビー  洗濯</t>
  </si>
  <si>
    <t>b0f62wsprm</t>
  </si>
  <si>
    <t>7978/2126-a</t>
  </si>
  <si>
    <t>B0DB17C63X</t>
  </si>
  <si>
    <t>フィリップス ソニッケアー プロテクトクリーン HX6803/72 ライトブルー 電動歯ブラシ 音波歯ブラシ 音波水流 過圧防止センサー 充電式 歯垢除去 歯ぐきケア 口腔ケア オーラルケア 歯磨き 歯周ケア ブラシ交換お知らせ機能 海外対応 AC100-240V Philips Sonicare</t>
  </si>
  <si>
    <t>b0b9wr58ry</t>
  </si>
  <si>
    <t>4459/6630-a</t>
  </si>
  <si>
    <t>いなば ちゅ~るボール 5種アソート 犬用おやつ 10g×3袋×5種セット とりささみ 野菜入り 軟骨入り チーズ入り ビーフ入り ドッグフード トッパー トッピング バラエティセット 食べ比べ 小分け 個包装 ご褒美 間食 犬用スナック 愛犬 ペットフード 人気 まとめ買い</t>
  </si>
  <si>
    <t>b0fcb8nrrt</t>
  </si>
  <si>
    <t>785-a</t>
  </si>
  <si>
    <t>セガフェイブ meスマホ+ サンリオキャラクターズ スマホトイ 充電式 カメラ ゲーム 音楽 アラーム 音声メッセージ 写真撮影 知育玩具 子ども用スマホ キッズトイ ハローキティ マイメロディ クロミ シナモロール ポムポムプリン</t>
  </si>
  <si>
    <t>b0d8pmzsgc</t>
  </si>
  <si>
    <t>【2個セット】レノア アロマジュエル Perfume ブルーミングブロッサムの香り 詰め替え 1410mL×2個セット 香り付けビーズ 衣類用香りづけ剤 大容量 洗濯ビーズ アロマビーズ 消臭 防臭 洗濯 香り 長続き 詰替え ランドリー 衣類ケア 洗濯用品 日用品 まとめ買い ストック</t>
  </si>
  <si>
    <t>b0g4mfq7cw-2</t>
  </si>
  <si>
    <t>4987176364166-2</t>
  </si>
  <si>
    <t>F-06 英樹確認 2026-09-21: 現在値で正しい(単価1,688円×2。一次根拠未照合)</t>
  </si>
  <si>
    <t>レノア 超消臭 煮沸レベル 抗菌ビーズ スポーツ クールリフレッシュ＆シトラス 詰め替え 超特大 1410mL×2個セット 香り付けビーズ 衣類用 消臭ビーズ 抗菌ビーズ 洗濯ビーズ ニオイ対策 部屋干し スポーツウェア 汗臭 大容量 詰替え 洗濯用品 日用品 まとめ買い ストック</t>
  </si>
  <si>
    <t>b0d6g9rw9y-2</t>
  </si>
  <si>
    <t>4987176243928-2</t>
  </si>
  <si>
    <t>F-07 英樹確認 2026-09-21: 現在値で正しい(単価1,688円×2。一次根拠未照合)</t>
  </si>
  <si>
    <t>ブルー</t>
  </si>
  <si>
    <t>B0CX4ZPLPK</t>
  </si>
  <si>
    <t>B0CX4C1TVK</t>
  </si>
  <si>
    <t>Anker Nano Power Bank 5000mAh, MagGo, Slim ホワイト ブラック Qi2認証 ワイヤレス充電 最大出力15W MagSafe対応 マグネット式ワイヤレス充電対応 コンパクト 薄型 8.6mm 小型 iPhone 17 / 16 / 15シリーズ / Air 対応</t>
  </si>
  <si>
    <t>b0f6lbdfc7</t>
  </si>
  <si>
    <t>9664,9657/5490</t>
  </si>
  <si>
    <t>B0F6LBT3ZX</t>
  </si>
  <si>
    <t>Amazon Fire TV Stick 4K ストリーミングメディアプレイヤー ファイヤーtvスティック amazonファイヤースティック</t>
  </si>
  <si>
    <t>b0cjlfprmh</t>
  </si>
  <si>
    <t>B0CJLFPRMH</t>
  </si>
  <si>
    <t>ICY ZAP アイシーザップ クーリングスクエアパック 100枚入り（50セット）×2個セット</t>
  </si>
  <si>
    <t>b0f8bcmypc</t>
  </si>
  <si>
    <t>9134/1316-a</t>
  </si>
  <si>
    <t>アイスノン シャツミスト ICE KING 本体300ml＋詰替280ml セット 冷感スプレー 衣類用 消臭 除菌 瞬間冷却 熱中症対策 暑さ対策 通勤 通学 スポーツ 白元アース</t>
  </si>
  <si>
    <t>b09tdkbh5f</t>
  </si>
  <si>
    <t>SET-4916-5050-a</t>
  </si>
  <si>
    <t>レノア オードリュクス 香り付け専用ビーズ マインドフルネス サンデー 詰め替え 特大(855ml) 部屋干し 雨の日 部屋 かろやか 香る きれい 清潔 衣類 静電気 防臭 抗菌 赤ちゃん ベビー  洗濯</t>
  </si>
  <si>
    <t>b0cvxcgv99</t>
  </si>
  <si>
    <t>1160/860-a</t>
  </si>
  <si>
    <t>ドクターズチョイス 納豆菌ジャーキー 4種アソート 150g×4袋セット 犬用おやつ 国産 ジャーキー 納豆菌配合 野菜入り にんじん ほうれん草 かぼちゃ 紫いも 食べ比べ バラエティセット ご褒美 間食 トッピング ドッグフード 愛犬用 まとめ買い</t>
  </si>
  <si>
    <t>b0dkt1zkb4</t>
  </si>
  <si>
    <t>4571,1365,1369,1372/1690-a</t>
  </si>
  <si>
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</si>
  <si>
    <t>b0fnrs5wb2</t>
  </si>
  <si>
    <t>1543,1581,1574/4990</t>
  </si>
  <si>
    <t>B0FNRM8LHT-1574</t>
  </si>
  <si>
    <t>B0FNRS5WB2-1543</t>
  </si>
  <si>
    <t>NEXXUS インテンスダメージリペア トリートメント ポンプ 440g×2個セット ケア ヘアケア ネクサス うねりケア</t>
  </si>
  <si>
    <t>b0bqtwtpp8</t>
  </si>
  <si>
    <t>2448/1998</t>
  </si>
  <si>
    <t>B0BQTWTPP8</t>
  </si>
  <si>
    <t>Gillette ジレット フュージョン 電動タイプ 替刃8コ入 替刃 ひげ 髭剃り シェーバー まとめ買い 大容量</t>
  </si>
  <si>
    <t>b09dc7q6kl</t>
  </si>
  <si>
    <t>2454/3179</t>
  </si>
  <si>
    <t>NEXXUS(ネクサス) インテンスダメージリペア シャンプー 詰め替え用 350g×2個セット ケア ヘアケア</t>
  </si>
  <si>
    <t>b0bqtg8vt7</t>
  </si>
  <si>
    <t>2479/1612</t>
  </si>
  <si>
    <t>いなば ちゅ～る トッパー ドライ チーズ味 180g×6袋 犬用おやつ 犬 おやつ ドッグフード トッピング ご褒美 チーズ味 国産 小粒 総合栄養食 まとめ買い</t>
  </si>
  <si>
    <t>b0cwsm72s7</t>
  </si>
  <si>
    <t>3530/1296-a</t>
  </si>
  <si>
    <t>B0CWSM72S7</t>
  </si>
  <si>
    <t>ドギーマン 無添加良品 アキレススティック 100g 犬 おやつ 無添加 鳥すじ肉100％ 歯磨きガム デンタルケア 長持ち ハードタイプ 国産 犬用おやつ ご褒美 噛むおやつ</t>
  </si>
  <si>
    <t>b0f2fpd2td</t>
  </si>
  <si>
    <t>7484/1242-a</t>
  </si>
  <si>
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</si>
  <si>
    <t>b01mrd6y9t</t>
  </si>
  <si>
    <t>4901080194619-3-a</t>
  </si>
  <si>
    <t>【セット品】 わんわん チョイめし シリーズ 人気5種 80g X10 犬用 ドックフード おやつ アソート お試し 犬 犬用 おやつ ドックフード 大容量 人気 国産</t>
  </si>
  <si>
    <t>b0fj2hvbtl</t>
  </si>
  <si>
    <t>830-a</t>
  </si>
  <si>
    <t>Anker Nano Power Bank (10000mAh, 45W, 巻取り式 USB-Cケーブル) 10000mAh ホワイト ブラック 45W出力 LEDディスプレイ搭載 USB-Cケーブル一体型 巻取り式ケーブル iPhone iPhoneAir Android iPad その他各種機器対応</t>
  </si>
  <si>
    <t>b0dnlr2nyn</t>
  </si>
  <si>
    <t>6954,6947/4990,4990</t>
  </si>
  <si>
    <t>B0DNLR2NYN</t>
  </si>
  <si>
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</si>
  <si>
    <t>b0c5jb3rjm</t>
  </si>
  <si>
    <t>8080,8097/4490</t>
  </si>
  <si>
    <t>B0C5JJDLTD</t>
  </si>
  <si>
    <t>ファブリーズ 消臭スプレー PREMIUM パステルフローラル＆ブロッサムの香り 布用  詰め替え 特大 610mL×2 除菌 P&amp;Gジャパン</t>
  </si>
  <si>
    <t>b0f3d2l45v-1</t>
  </si>
  <si>
    <t>5701/1116</t>
  </si>
  <si>
    <t>b0f3d2l45v</t>
  </si>
  <si>
    <t>【2個セット】DERMASHARE ダーマシェア バクチオール マルチバーム 13g 美容液スティック スティックバーム 保湿美容液 エイジングケア 保湿 乾燥対策 ハリ ツヤ CICA ナイアシンアミド 韓国コスメ フェイスケア スキンケア 化粧 化粧品 ケア</t>
  </si>
  <si>
    <t>b0f9dzl2mg</t>
  </si>
  <si>
    <t>4533898731665-2</t>
  </si>
  <si>
    <t>F-08 英樹確認 2026-09-21: 現在値で正しい(単価658円×2。一次根拠未照合)</t>
  </si>
  <si>
    <t>タイムシークレット ミネラルエッセンス BB SPF25 PA++ 12g ナチュラルオークル/ミディアムオークル ファンデーション ファンデ</t>
  </si>
  <si>
    <t>ミディアムオークル</t>
  </si>
  <si>
    <t>b09871bcr4</t>
  </si>
  <si>
    <t>3649,3632/1188</t>
  </si>
  <si>
    <t>B0986W9XVZ</t>
  </si>
  <si>
    <t>ソフラン エアリス バルコニー 本体 480ml×2個セット 部屋干し 雨の日 部屋 かろやか 香る きれい 清潔 衣類 静電気 防臭 抗菌 赤ちゃん ベビー ネクタリン フリージア 洗濯 ライオン</t>
  </si>
  <si>
    <t>b0bxbq71wb-1</t>
  </si>
  <si>
    <t>4903301344193-2-a</t>
  </si>
  <si>
    <t>B0BXBQ71WB-1</t>
  </si>
  <si>
    <t>ペティオ (Petio) Self Trimmer コードレスバリカン 犬・猫用 ディテール ホワイト 散髪 トリミング バリカン お手入れ カット</t>
  </si>
  <si>
    <t>b087lzdd59</t>
  </si>
  <si>
    <t>5036/1273</t>
  </si>
  <si>
    <t>B087LZDD59</t>
  </si>
  <si>
    <t>アリエール MiRAi 洗濯洗剤 濃縮 漂白剤級の洗浄プラス* 詰め替え 約2.2倍/640g×3個セット [タテ・ドラム式OK] 洗濯 洗剤 洗浄 抗菌</t>
  </si>
  <si>
    <t>b0czxfsh7d-2</t>
  </si>
  <si>
    <t>4215/1380</t>
  </si>
  <si>
    <t>B0CZXFSH7D-2</t>
  </si>
  <si>
    <t>チャオ (CIAO) ちゅ〜るごはん かつおバラエティ 14g×20本 猫 猫用 国産 総合栄養食 おやつ 液状  キャットフード  人気 大容量</t>
  </si>
  <si>
    <t>b0bw9bdd5k</t>
  </si>
  <si>
    <t>8101/396</t>
  </si>
  <si>
    <t>B0BW9BDD5K</t>
  </si>
  <si>
    <t>【セット品】IROKA イロカ ミュゲインザエア 本体540mL+詰め替え650mLセット 花王 柔軟剤 液体柔軟剤 香水のような香り ミュゲ リリー 上質 透明感 限定 詰替え 消臭 静電気防止 シワ防止 衣類ケア フレグランス 大容量 ランドリー 日用品 ギフト まとめ買い</t>
  </si>
  <si>
    <t>b0h9qjns2q</t>
  </si>
  <si>
    <t>SET-5931-5924-a</t>
  </si>
  <si>
    <t>いなば CIAO (チャオ) こだわり焼かつおディナー 4種 バラエティセット 30g×16袋 （各4袋） 猫 猫用 パウチ ウェット キャットフード 国産 人気 焼かつお だし ほたて かつお節 しらす</t>
  </si>
  <si>
    <t>b0fcbgt5fs</t>
  </si>
  <si>
    <t>1161,1192,1178,1185/1152-a</t>
  </si>
  <si>
    <t>ジョーゼン(Jozen) ダートマックスカム 1/24スケールラジコン ジープラングラー ルビコン ラジコン ジープ ラングラー</t>
  </si>
  <si>
    <t>b08f2zf5cv</t>
  </si>
  <si>
    <t>1632/2499</t>
  </si>
  <si>
    <t>アース製薬 カメムシコロリ  300ml ×3個セット ニオイを出す前に一発撃退! ガーデン 害虫対策 駆除 虫 殺虫剤</t>
  </si>
  <si>
    <t>b00layzmas</t>
  </si>
  <si>
    <t>1012/2211</t>
  </si>
  <si>
    <t>【3個セット】アイスノン ICE KING 極冷えボディミスト 金木犀の香り 詰替用 140mL×3個セット 冷感ミスト ボディスプレー 冷却スプレー ひんやり メントール配合 暑さ対策 熱中対策 猛暑対策 通勤 通学 スポーツ アウトドア 日本製 白元アース</t>
  </si>
  <si>
    <t>b0dwfmjjwh</t>
  </si>
  <si>
    <t>5166/2067</t>
  </si>
  <si>
    <t>CIAOちゅ〜る＆ハローキティ ラウンドベッド 【限定品】</t>
  </si>
  <si>
    <t>9567/770</t>
  </si>
  <si>
    <t>レノア リセット セラム ホワイトリリーの香り つめかえ 特大 750mL×2個セット 柔軟剤 部屋干し 雨の日 部屋 かろやか 香る きれい 清潔 衣類 静電気 防臭 抗菌 赤ちゃん ベビー  洗濯</t>
  </si>
  <si>
    <t>b0dfyjnwjt</t>
  </si>
  <si>
    <t>4987176260635-2</t>
  </si>
  <si>
    <t>F-10 英樹確認 2026-09-21: 現在値で正しい(単価928円×2。一次根拠未照合)</t>
  </si>
  <si>
    <t>スキンアクア(SKIN AQUA) トーンアップUVエッセンスミントグリーン 80g×3個セット 透明感アップ カラーコントロールUV 日焼け止め SPF50+ PA++++ 化粧下地</t>
  </si>
  <si>
    <t>b07sqfg1yg</t>
  </si>
  <si>
    <t>2130/1641</t>
  </si>
  <si>
    <t>Anker PowerLine III Flow  1.8m USB-C &amp; USB-C ケーブル Anker絡まないケーブル 240W ミッドナイトブラック クラウドホワイト アイスブルー ミントグリーン ラベンダーグレー ライトパープル 結束バンド付き USB PD対応 シリコン素材採用 iPhone 17 / 16 / 15 Galaxy iPad</t>
  </si>
  <si>
    <t>クラウドホワイト</t>
  </si>
  <si>
    <t>b093l5cmmt</t>
  </si>
  <si>
    <t>5286/1390</t>
  </si>
  <si>
    <t>B093L53HM4</t>
  </si>
  <si>
    <t>さらふあ マスク用とりかえシート ５０枚入り×2個セット 日本製 シート 予防</t>
  </si>
  <si>
    <t>b085fy17qh</t>
  </si>
  <si>
    <t>3615/850-2-a</t>
  </si>
  <si>
    <t>Lenor レノア オードリュクス 香り付け専用ビーズ マインドフルネスシリーズ リラックス 本体 520mL×2個セット 部屋干し 雨の日 部屋 かろやか 香る きれい 清潔 衣類 静電気 防臭 抗菌 赤ちゃん ベビー  洗濯</t>
  </si>
  <si>
    <t>b01mze6x6h-1</t>
  </si>
  <si>
    <t>0700/2172</t>
  </si>
  <si>
    <t>B01MZE6X6H-1</t>
  </si>
  <si>
    <t>【6個セット】和みのうるうる 水綿棒 50本入×6個セット 日本製 水綿棒 ウェット綿棒 個包装 耳掃除 耳ケア 綿棒 水含浸タイプ 清潔 衛生 使い捨て 携帯用 持ち運び便利 旅行 外出先 日用品 まとめ買い ストック</t>
  </si>
  <si>
    <t>b0b3xh69v8</t>
  </si>
  <si>
    <t>3588/844-a</t>
  </si>
  <si>
    <t>コーエーテクモゲームス 信長の野望・大志 パワーアップキット Win版 ゲーム 戦国</t>
  </si>
  <si>
    <t>b07gy9vzc2</t>
  </si>
  <si>
    <t>8875/5293</t>
  </si>
  <si>
    <t>【セット品】アイスノン ICE KING 極冷えボディミスト 金木犀の香り 本体150mL 詰替用140mL セット 冷感ミスト メントール高配合 ボディ用化粧水 クールスプレー ヒアルロン酸 コラーゲン配合 暑さ対策 汗対策 通勤 通学 レジャー スポーツ後 リフレッシュ 日本製</t>
  </si>
  <si>
    <t>b0d9xp3w5n-1</t>
  </si>
  <si>
    <t>AST-0002-a</t>
  </si>
  <si>
    <t>B0D9XP3W5N-1</t>
  </si>
  <si>
    <t>【3個セット】アイスノン 頭を冷やすスプレーGOLD 95g×3個 冷却スプレー 冷感スプレー 頭皮 クールダウン 暑さ対策 汗ケア ひんやり 通勤 通学 スポーツ 屋外作業</t>
  </si>
  <si>
    <t>b0cx8nh3m2</t>
  </si>
  <si>
    <t>4902407024299-3-a</t>
  </si>
  <si>
    <t>コスメテックスローランド 柑橘王子 ピーリングジェルSP 230ml×2本 ピーリングジェル 角質ケア 毛穴ケア 洗顔 角質除去 さっぱり</t>
  </si>
  <si>
    <t>b0bgs64g46</t>
  </si>
  <si>
    <t>6424/1654</t>
  </si>
  <si>
    <t>Echo Pop (エコーポップ) - コンパクトスマートスピーカー グレーシャーホワイト チャコール ティールグリーン with Alexa スピーカー Bluetooth接続 Bluetooth スマート端末</t>
  </si>
  <si>
    <t>b09zx764zl</t>
  </si>
  <si>
    <t>2034,1389,6508,7410/2980</t>
  </si>
  <si>
    <t>B09WX3PJ3X</t>
  </si>
  <si>
    <t>【4個セット】サラテクト 虫よけスプレー 無香料 400mL×4個セット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</si>
  <si>
    <t>b00u2eyim0-1</t>
  </si>
  <si>
    <t>4901080186317-4-a</t>
  </si>
  <si>
    <t>B00U2EYIM0-1</t>
  </si>
  <si>
    <t>【セット品】肌ラボ 白潤プレミアム 化粧水170ml ＋ 乳液140ml ＋ クリーム50g 3点セット 化粧 ケア 肌 肌ケア 保湿</t>
  </si>
  <si>
    <t>b08wshptwz</t>
  </si>
  <si>
    <t>2691-a</t>
  </si>
  <si>
    <t>【2個セット】プライバシー UVパウダー SPF50+ PA++++ メイクの上から使える UVカット フェイスパウダー テカリ防止 化粧直し 日焼け止め 紫外線対策 ウォータープルーフ 透明パウダー 毛穴カバー 皮脂吸着 顔用 化粧品 UVケア メイクキープ 黒龍堂</t>
  </si>
  <si>
    <t>b0hb31z1y8</t>
  </si>
  <si>
    <t>4901477705435-2-a</t>
  </si>
  <si>
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</si>
  <si>
    <t>b084rvttlr</t>
  </si>
  <si>
    <t>4901080023414-2-a</t>
  </si>
  <si>
    <t>【2個セット】アース製薬 ダニがホイホイ 3枚入×2個セット ダニ捕りシート ダニ対策 ダニ取り ダニ捕獲シート 誘引剤配合 粘着シート 殺虫成分不使用 布団 ベッド マットレス ソファ カーペット ハウスダスト対策 約3ヵ月持続 日本製</t>
  </si>
  <si>
    <t>b08rdrw831</t>
  </si>
  <si>
    <t>4619/1596</t>
  </si>
  <si>
    <t>【セット品】アース モンスーン 虫よけ線香 100巻 保存缶セット アース製薬 防虫 蚊取り線香 線香立て付き 缶入り 屋外 キャンプ ガーデニング ベランダ 庭 アウトドア 虫除け 蚊 ハエ ブヨ ヤブ蚊 対策 大容量 まとめ買い</t>
  </si>
  <si>
    <t>set-0004</t>
  </si>
  <si>
    <t>1317,3716/2649-a</t>
  </si>
  <si>
    <t>アース製薬 マモルームエッセンス 虫よけパール 180日用 500g 3種セット やわらかいクリーンムスク すっきりハッカ 澄んだレモン 天然精油配合 ユスリカ対策 消臭 芳香剤 置き型 大容量 虫対策 室内用 玄関用 リビング 寝室 クローゼット トイレ 長期間持続 防虫対策 香り付</t>
  </si>
  <si>
    <t>b0bwdnysh3-1</t>
  </si>
  <si>
    <t>AST-0004-8712,9115,9118-a</t>
  </si>
  <si>
    <t>B0BWDNYSH3-1</t>
  </si>
  <si>
    <t>B0FL25CNBG</t>
  </si>
  <si>
    <t>いなば ちゅ～るボール とりささみ チーズ 犬用 6袋セット 犬 おやつ ドックフード トッパー</t>
  </si>
  <si>
    <t>b0d14f2hvy</t>
  </si>
  <si>
    <t>9018/942-a</t>
  </si>
  <si>
    <t>B0D14F2HVY</t>
  </si>
  <si>
    <t>【2個セット】アリエール ジェルボール4D 微香 詰め替え メガジャンボ 83個×2個セット P&amp;G 洗濯洗剤 ジェルボール 洗剤 4D 抗菌 消臭 部屋干し すすぎ1回 詰替え 大容量 まとめ買い 黄ばみ 黒ずみ エリそで汚れ 洗濯槽防カビ ドラム式 縦型 ランドリー 日用品 ストック</t>
  </si>
  <si>
    <t>b0ckj4fcmh-2</t>
  </si>
  <si>
    <t>4987176194398-2-a</t>
  </si>
  <si>
    <t>F-11 英樹確認 2026-09-21: 現在値で正しい(単価1,632円×2。楽天在庫リストの単価3,770との差は残す。在庫リストは変更しない。一次根拠未照合)</t>
  </si>
  <si>
    <t>小林製薬 熱中対策 シャツクール 冷感ストロング 詰め替えパウチ 250ml×3個セット 熱中症対策 衣類にスプレーするだけ 汗をかくとひんやり続く 冷感スプレー</t>
  </si>
  <si>
    <t>b0f3nwgtwl</t>
  </si>
  <si>
    <t>4901548604421-3-a</t>
  </si>
  <si>
    <t>B0F3NWGTWL</t>
  </si>
  <si>
    <t>【2個セット】ロート製薬 バリアビオソープ 詰め替え 150ml×2個セット フローラルの香り デリケートゾーンソープ デリケートゾーンケア デリケート部位用ジェルソープ フェムケア 乳酸菌配合 弱酸性 防腐剤フリー 敏感肌 敏感肌  ボディソープ 洗浄料 まとめ買い</t>
  </si>
  <si>
    <t>b0dwxlfl51</t>
  </si>
  <si>
    <t>6715/1356-a</t>
  </si>
  <si>
    <t>カクレモモジリ＆スモモノウチ</t>
  </si>
  <si>
    <t>B0GSQBDVWX-8090</t>
  </si>
  <si>
    <t>【6種セット】クーリア ウォーターシール スイートマジカル はむはむハムちゃん チャーミングルーム きらりんエナガマーチ ももいろみるく マイスパークル デコレーションシール シール 手帳 ノート アルバム スマホケース ステッカー まとめ買い 公式 本物 正規品</t>
  </si>
  <si>
    <t>b0hc1dp7rm</t>
  </si>
  <si>
    <t>AST-1759-1766-1773-1780-1797-a</t>
  </si>
  <si>
    <t>小林製薬 糸ようじ スルッと入るタイプ Y字型 大容量 32本×3個セット デンタルフロス 歯間フロス 歯間ケア 歯垢除去 食べカス除去 オーラルケア 口臭対策 虫歯予防 歯周病予防 奥歯対応 狭い歯間 初心者向け 持ち手付き マルチグリップ 細いフロス 毎日ケア まとめ買い</t>
  </si>
  <si>
    <t>b0ch9zh48v</t>
  </si>
  <si>
    <t>4987072089279-3-a</t>
  </si>
  <si>
    <t>チャオ (CIAO) ちゅ~るごはん まぐろバラエティ 14g×20本 猫 猫用 国産 総合栄養食 おやつ 液状  キャットフード  人気 大容量</t>
  </si>
  <si>
    <t>b0bw9d1gcl</t>
  </si>
  <si>
    <t>8095/396-a</t>
  </si>
  <si>
    <t>【4個セット】日本カルシウム工業 ヘルシーウォーターEX 38g×4個セット ペットボトル用 浄水パック 携帯浄水器 カルキ除去 水質改善 アルカリイオン水 ミネラル水 浄水 水道水 飲料水 防災グッズ 災害対策 非常用 アウトドア キャンプ 節約 日本製 お茶パック付 まとめ買い</t>
  </si>
  <si>
    <t>b07q6pwrkm</t>
  </si>
  <si>
    <t>3214/1760-a</t>
  </si>
  <si>
    <t>B07Q6PWRKM</t>
  </si>
  <si>
    <t>ファブリーズ プレミアム 消臭スプレー クールアクアの香り 詰め替え 超特大 1240mL (衣類・布用) 【 消臭＋除菌成分最高レベル配合 】除菌 P&amp;Gジャパン スプレー</t>
  </si>
  <si>
    <t>b0f3d1nryv</t>
  </si>
  <si>
    <t>B0F3D1NRYV</t>
  </si>
  <si>
    <t>ニチドウ Dr.PRO. ドクター・プロ ベビーミルク スーパーIGP 幼犬用 100g ドックフード サプリメント</t>
  </si>
  <si>
    <t>b0dgqkzlc8</t>
  </si>
  <si>
    <t>3353/1254-a</t>
  </si>
  <si>
    <t>ソフラン エアリス プールサイド (ネモフィラ＆ウォーターリリーの香り) 柔軟剤 本体 480ml×2個セット 部屋干し 雨の日 部屋 かろやか 香る きれい 清潔 衣類 静電気 防臭 抗菌 赤ちゃん ベビー ネモフィラ ウォーターリリー 洗濯 ライオン</t>
  </si>
  <si>
    <t>b0bxbplt8t-1</t>
  </si>
  <si>
    <t>4254/358-a</t>
  </si>
  <si>
    <t>【セット品】クーリア パフィーバルーンステッカー 6種セット パステル ブルー ピンク パープル グリーン オーロラ ボンドロ かわいい 立体 シール ぷっくり ぷくぷく シール交換 収集 正規品 本物 本家</t>
  </si>
  <si>
    <t>AST-0009</t>
  </si>
  <si>
    <t>F-12 英樹確認 2026-09-21: 現在値で正しい(単価255円×6。一次根拠未照合)</t>
  </si>
  <si>
    <t>【セット品】デビフ おさんぽくん 犬 おやつ 60g(15g×4袋)×4袋セット ササミ 鶏肉 レバー 国産 犬用おやつ 小分け ご褒美 トレーニング 散歩 dbf アソート</t>
  </si>
  <si>
    <t>b0dq7vk36r</t>
  </si>
  <si>
    <t>3585,3592/624</t>
  </si>
  <si>
    <t>銀のスプーン お魚味クリーム どーにゃつ まぐろ入りチキン味 24g×5袋セット 猫 猫用 おやつ 国産 ドライ キャットフード 人気 まとめ買い</t>
  </si>
  <si>
    <t>b0dfmgm2n9</t>
  </si>
  <si>
    <t>1415/828</t>
  </si>
  <si>
    <t>【2個セット】グレイシアハイジーン ニトリルグローブ XS GH-01 125枚入×2個セット ニトリル手袋 パウダーフリー ラテックスフリー 食品衛生法適合 使い捨て手袋 左右兼用 耐油 耐薬品 指先グリップ加工 食品調理 介護 清掃 検査 精密作業 衛生管理 コーンフラワーブルー</t>
  </si>
  <si>
    <t>b07bgstt34</t>
  </si>
  <si>
    <t>4582300930752-2-a</t>
  </si>
  <si>
    <t>【セット品】NEXXUS インテンスダメージリペア シャンプー+コンディショナー(トリートメント) 各440g ダメージ補修 うねりケア くせ毛 まとまり 広がり抑制 ヘアケア ネクサス サロン品質 しっとり 保湿 ツヤ髪 ダメージ集中補修 まとまり感アップ</t>
  </si>
  <si>
    <t>b0dmz5q8r7</t>
  </si>
  <si>
    <t>2431,2448/1980</t>
  </si>
  <si>
    <t>B0DMZ5Q8R7</t>
  </si>
  <si>
    <t>【2個セット】肌ラボ 白潤プレミアム 薬用浸透美白クリーム 50g×2個 医薬部外品 薬用クリーム フェイスクリーム 美白クリーム シミ対策 メラニン対策 保湿クリーム スキンケア フェイスケア うるおい 乾燥対策 美容クリーム ロート製薬 ハダラボ まとめ買い</t>
  </si>
  <si>
    <t>b08wshqwl8</t>
  </si>
  <si>
    <t>4987241168453-2-a</t>
  </si>
  <si>
    <t>B08WSHQWL8</t>
  </si>
  <si>
    <t>【2個セット】アタックZERO ドラム式専用 詰め替え 1460g×2個セット 花王 洗濯洗剤 液体洗剤 部屋干し 消臭 抗菌 ドラム式洗濯機専用 超特大 大容量 詰替え 衣類から洗濯槽まで 最高峰の消臭 エリ汚れ 皮脂汚れ ニオイ対策 洗濯 ランドリー 日用品 まとめ買い ストック</t>
  </si>
  <si>
    <t>b0gm6xmjmn-2</t>
  </si>
  <si>
    <t>4901301466280-2</t>
  </si>
  <si>
    <t>いなば ちゅ~るごはん とりささみビーフバラエティ 20本 総合栄養食 犬 犬用おやつ ドックフード 大容量 人気</t>
  </si>
  <si>
    <t>b086yfc21v</t>
  </si>
  <si>
    <t>1790/598-a</t>
  </si>
  <si>
    <t>B086YFC21V</t>
  </si>
  <si>
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</si>
  <si>
    <t>b000o7lk1c</t>
  </si>
  <si>
    <t>【6個セット】ビオレ 毛穴すっきりパック 鼻用 白色タイプ 10枚×6個セット 花王 毛穴パック 鼻パック 角栓 黒ずみ 毛穴ケア 小鼻 皮脂 角栓除去 毛穴汚れ いちご鼻 毛穴シート スキンケア フェイスケア メンズ レディース まとめ買い 大容量 正規品 Biore 人気 おすすめ</t>
  </si>
  <si>
    <t>b00j7kii1m-6</t>
  </si>
  <si>
    <t>4901301200211-6-a</t>
  </si>
  <si>
    <t>肌ラボ 白潤プレミアム薬用浸透美白乳液 140ml×3 化粧 ケア 肌 肌ケア 保湿</t>
  </si>
  <si>
    <t>b0c656jxkd</t>
  </si>
  <si>
    <t>8507/2283-a</t>
  </si>
  <si>
    <t>B0C656JXKD</t>
  </si>
  <si>
    <t>アイリスオーヤマ ぽかぽか家族 使い捨てカイロ 貼る レギュラー 10枚入り×６個セット 冬 防寒 防災 カイロ ホッカイロ まとめ買い</t>
  </si>
  <si>
    <t>b0djyp58pw</t>
  </si>
  <si>
    <t>3698/972-a</t>
  </si>
  <si>
    <t>アイメディア(Aimedia) 風呂水ポンプまとめてキレイ 3回分×3個セット 風呂洗剤 洗濯機 風呂水 給水ポンプ ホース 洗浄剤 ヌメリ フィルター</t>
  </si>
  <si>
    <t>b07b9c6fzv</t>
  </si>
  <si>
    <t>4070/1311-a</t>
  </si>
  <si>
    <t>【セット品】NEXXUS スムースアンドマネージャブル シャンプー＆トリートメント 各440g ２本セット ポンプ ケア ヘアケア ネクサス うねりケア</t>
  </si>
  <si>
    <t>b0bqtsq4t8</t>
  </si>
  <si>
    <t>SET-2509-2516</t>
  </si>
  <si>
    <t>Anker Eufy Security SmartTrack Card 紛失防止タグ Apple 探す対応 iPhone用 スマートタグ カード型 薄型 財布用 忘れ物防止 盗難防止 置き忘れ防止 Bluetooth トラッカー 探し物 スマホを探す GPS 財布 紛失対策 軽量 コンパクト ユーフィ AirTag代用 持ち物管理 ブラック</t>
  </si>
  <si>
    <t>b0bjcqcq7z</t>
  </si>
  <si>
    <t>4398/2345</t>
  </si>
  <si>
    <t>ケイト リップモンスター １０４ 桜色のひと時 KATE プレゼント ギフト 限定 口紅 落ちにくい 高発色 保湿</t>
  </si>
  <si>
    <t>b0c4gbw2cr</t>
  </si>
  <si>
    <t>5687/2430-a</t>
  </si>
  <si>
    <t>【2本セット】ムシクリン カメムシ用ジャンボエアゾール 550ml アース製薬 カメムシ対策 侵入防止 スプレー 屋外用 網戸 玄関 外壁 不快害虫駆除 速効効果 予防 長時間持続 大容量 ジャンボサイズ 家庭用 虫よけ 季節害虫対策 日本製 まとめ買い</t>
  </si>
  <si>
    <t>b0dynl9bd5</t>
  </si>
  <si>
    <t>4533/2323-a</t>
  </si>
  <si>
    <t>レノア オードリュクス 柔軟剤 リリー&amp;ジャスミンの香り 詰め替え 1050ml×2個セット 約2.8か月分 部屋干し 雨の日 部屋 かろやか 香る きれい 清潔 衣類 静電気 防臭 抗菌 赤ちゃん ベビー  洗濯</t>
  </si>
  <si>
    <t>b0f62pwtlz</t>
  </si>
  <si>
    <t>8081/2126</t>
  </si>
  <si>
    <t>アトリックス ハンドミルキーローション 140g×3個セット ハンドクリーム 保湿 手荒れ ケア ポンプタイプ 花王 ハンド クリーム</t>
  </si>
  <si>
    <t>b0cjfl5j9t-1</t>
  </si>
  <si>
    <t>4051/1542-a</t>
  </si>
  <si>
    <t>B0CJFL5J9T-1</t>
  </si>
  <si>
    <t>【3個セット】わきの下冷却 わきアイス 大人用2A 男女兼用 WIL2A-24×3個 脇冷却 暑さ対策 熱中対策 冷却グッズ 保冷剤 クールダウン 冷感グッズ 夏対策 通勤 通学 屋外作業 スポーツ アウトドア 繰り返し使用可能 日本製</t>
  </si>
  <si>
    <t>b0c2vsxhy9</t>
  </si>
  <si>
    <t>0679/2211</t>
  </si>
  <si>
    <t>Anker 332 USB-C ハブ (5-in-1) 100W USB PD対応 4K HDMIポート5Gbps 高速データ転送 USB-C/USB-Aポート搭載</t>
  </si>
  <si>
    <t>b0bqmsxfp7</t>
  </si>
  <si>
    <t>【2個セット】アリエール 洗濯洗剤 液体 部屋干し スポーツ 漂白剤級消臭 詰め替え 1400g×2 大容量 抗菌 洗浄 生乾き臭 消臭 洗剤 液体洗剤 まとめ買い</t>
  </si>
  <si>
    <t>b0f4kkg4jh</t>
  </si>
  <si>
    <t>9211/1542</t>
  </si>
  <si>
    <t>【2個セット】柑橘王子 メラノサーチ VitaC洗顔 120g×2本 洗顔フォーム メンズ ビタミンC誘導体 毛穴 ケア 皮脂 テカリ 黒ずみ くすみ 保湿 濃密泡 泡洗顔 さっぱり 男性用 フェイスウォッシュ スキンケア 洗顔料 毛穴汚れ 角質ケア 毎日の洗顔 まとめ買い</t>
  </si>
  <si>
    <t>b0c3ytglhd</t>
  </si>
  <si>
    <t>4936201107612-2-a</t>
  </si>
  <si>
    <t>【2個セット】ファブリーズ W除菌+消臭スプレー 衣類・布製品用 無香料 アルコール成分配合 本体 370mL×2個セット P&amp;G 布用消臭剤 除菌スプレー ウイルス対策 シワ取り 衣類 ソファ カーテン クッション 布団 枕 ラグ ニオイ対策 消臭 清潔 日用品 まとめ買い ストック</t>
  </si>
  <si>
    <t>b0dqxnd1qs</t>
  </si>
  <si>
    <t>4987176286284-2</t>
  </si>
  <si>
    <t>【セット品】 ファブリーズ おそうじエイド ハウスダストをまとめて固めるスプレー 無香料 本体370ml+詰替320mlセット 除菌 ハウスダスト対策 布製品 ソファ カーペット ふとん 寝具 室内 清潔 掃除 お手入れ スプレータイプ 本体+詰替 セット P&amp;G</t>
  </si>
  <si>
    <t>b098mjm99x-1</t>
  </si>
  <si>
    <t>5041,4914/533</t>
  </si>
  <si>
    <t>レノア オードリュクス アロマジュエル リラックスの香り 520ml イノセントビジュ リリー ジャスミン ベルガモット 部屋干し 雨の日 部屋 かろやか 香る きれい 清潔 衣類 静電気 防臭 抗菌 赤ちゃん ベビー  洗濯</t>
  </si>
  <si>
    <t>b01mze6x6h</t>
  </si>
  <si>
    <t>0700/1086</t>
  </si>
  <si>
    <t>チャオ (CIAO) CIAO (チャオ) こだわり焼かつおディナー かつお節入り ほたて味 30g×16袋 (ボール販売) ほたて 猫 パウチ ウェット キャットフード</t>
  </si>
  <si>
    <t>b0dhk76cmg</t>
  </si>
  <si>
    <t>3814/1152-a</t>
  </si>
  <si>
    <t>いなば とろみ （とりささみ・野菜入り・牛肉入り） 80g 24缶セット 犬 犬用  缶詰 ウェット 国産 ドックフード 人気 大容量</t>
  </si>
  <si>
    <t>とりささみ野菜入り</t>
  </si>
  <si>
    <t>b00x555xya</t>
  </si>
  <si>
    <t>1420,1437/2191,2208,2208-a</t>
  </si>
  <si>
    <t>B00X555XYA</t>
  </si>
  <si>
    <t>Nuxe(ニュクス) プロディジュー フローラル オイル 50ml ヘア ボディ フェイス 全身用 マルチ 香り 保湿 乾燥 潤い ツヤ肌 さらさら まとまり フレグランス ギフト フローラル</t>
  </si>
  <si>
    <t>b0866fcr7t</t>
  </si>
  <si>
    <t>【セット品】 肌ラボ 白潤 美白化粧水 しっとりタイプ 本体400mL＋詰め替え170mL セット 化粧水 ケア 肌 肌ケア 保湿</t>
  </si>
  <si>
    <t>b0cwg8s8y8</t>
  </si>
  <si>
    <t>4490,7570/1999-a</t>
  </si>
  <si>
    <t>【3個セット】いなば ちゅ〜る トッパー ドライ チキン味 180g×3個セット 犬用おやつ ドッグフード トッピング 乳酸菌配合 お腹の健康維持 犬用フード 総合栄養食 チキン 小型犬 中型犬 大型犬 成犬 シニア犬 ごはんふりかけ ペットフード 犬用品 まとめ買い</t>
  </si>
  <si>
    <t>b0cx42rm63</t>
  </si>
  <si>
    <t>3516/874-a</t>
  </si>
  <si>
    <t>【2個セット】めぐりズム 蒸気でホットアイマスク PoKeMoN企画品 小さめサイズ 5枚入×2個セット 花王 ポケモン ポケットモンスター ホットアイマスク アイマスク 温熱 蒸気 リラックス 目元ケア 休憩 就寝前 個包装 男女兼用 簡易包装</t>
  </si>
  <si>
    <t>4901301438683-2</t>
  </si>
  <si>
    <t>【選べる6種】ファブリーズ トイレ用 消臭芳香剤 消臭＋抗菌 置き型 6.3mL×2個 フレッシュクリーンラベンダー ウルトラフレッシュシャボン グリーンシトラスガーデン ナチュラルマウンテンエア フルーティクラシックブーケ フレッシュブルーシャボン 匂いケア ケア トイレ</t>
  </si>
  <si>
    <t>ウルトラ・フレッシュ・シャボン</t>
  </si>
  <si>
    <t>br-0001</t>
  </si>
  <si>
    <t>BR-0001-a</t>
  </si>
  <si>
    <t>B0CB68MNFL</t>
  </si>
  <si>
    <t>【4個セット】ロッシ馬油ナチュラルミルクローション 485ml 大容量 馬油 保湿ローション 全身用 ボディミルク 乾燥肌 スキンケア 家族用 しっとり 無香料 日本製</t>
  </si>
  <si>
    <t>b074zbsyx3</t>
  </si>
  <si>
    <t>7773/1560-a</t>
  </si>
  <si>
    <t>【セット品】NEXXUS ネクサス ケラフィックスリペア シャンプー トリートメント セット 440g×2 ダメージ補修 うねりケア ヘアケア ケラチン配合 サロン品質 まとまり ツヤ髪 美容室品質</t>
  </si>
  <si>
    <t>b0fnm4k5lr</t>
  </si>
  <si>
    <t>4512-a</t>
  </si>
  <si>
    <t>Nuxe(ニュクス) プロディジューオイル 50mL ヘアオイル ボディオイル フェイスオイル 全身用 マルチ美容オイル ドライオイル 保湿 乾燥 潤い ツヤ肌 さらさら まとまり フレグランスオイル 魅惑の香り ロングセラー ギフト</t>
  </si>
  <si>
    <t>b06y13f2sg</t>
  </si>
  <si>
    <t>花王 ニベア ロイヤルブルーリップ しっとりもっちりタイプ リップクリーム 2g リップ ケア 保湿 乾燥</t>
  </si>
  <si>
    <t>b08cb7bqp9</t>
  </si>
  <si>
    <t>0860/980-a</t>
  </si>
  <si>
    <t>B08CB7BQP9</t>
  </si>
  <si>
    <t>【3個セット】ファーファ 乾燥機対応 洗濯洗剤 液体洗剤 詰替 850g×3個セット ウォータリーブーケの香り 自動投入対応 ドラム式対応 縮み防止 衣類ケア 洗濯用洗剤 液体タイプ 詰め替え 大容量 まとめ買い ランドリー用品 日用品 ストック 柔軟剤併用可</t>
  </si>
  <si>
    <t>b0dhj8bx53</t>
  </si>
  <si>
    <t>7505/330</t>
  </si>
  <si>
    <t>KATE(ケイト)ピンポイントカラースナイパー GN コンシーラー ペンシル型</t>
  </si>
  <si>
    <t>b0bbgw4k9w</t>
  </si>
  <si>
    <t>8723/768-a</t>
  </si>
  <si>
    <t>ファブリーズ 消臭スプレー PREMIUM パステルフローラル＆ブロッサムの香り 布用  詰め替え 特大 610mL 除菌 P&amp;Gジャパン</t>
  </si>
  <si>
    <t>【3個セット】メリットキッズ 泡で出てくるシャンプー つめかえ用 270mL×3個セット 花王 キッズシャンプー 子供用 泡タイプ 詰替え用 弱酸性 ノンシリコーン パラベンフリー 合成着色料フリー 汗対策 ニオイケア 地肌ケア 毎日のお風呂 ヘアケア</t>
  </si>
  <si>
    <t>b0dxnblx52-3</t>
  </si>
  <si>
    <t>4901301450135-3</t>
  </si>
  <si>
    <t>Diane Be True ダイアン ビートゥルー ボディミルク 400ml×2個セット グリーン&amp;ムスクの香り 無添加 ボディケア 保湿 乾燥対策 ボディローション ボディクリーム リッチモイスチャー 天然由来成分 植物性セラミド サボテンオイル 敏感肌 うるおい</t>
  </si>
  <si>
    <t>b0bkspc5sk-1</t>
  </si>
  <si>
    <t>4580632115106-2-a</t>
  </si>
  <si>
    <t>B0BKSPC5SK-1</t>
  </si>
  <si>
    <t>【セット品】ファブリーズ W除菌+消臭スプレー 衣類・布製品用 無香料 アルコール成分配合 本体370mL＋つめかえ4回分1280mL P&amp;G 布用 消臭スプレー 除菌スプレー 衣類 ソファ カーテン ベッド クッション 部屋干し タバコ 汗 ニオイ対策 大容量 詰替え まとめ買い</t>
  </si>
  <si>
    <t>set-0006</t>
  </si>
  <si>
    <t>6284,6345/1736</t>
  </si>
  <si>
    <t>SET-0006</t>
  </si>
  <si>
    <t>国泰ジャパン secret base ベーカリーバッグ キャットハウス 爪とぎ付き 猫 猫用 爪 爪とぎ 部屋</t>
  </si>
  <si>
    <t>b0chvnf9pj</t>
  </si>
  <si>
    <t>5742/935-a</t>
  </si>
  <si>
    <t>【セット品】ファブリーズ W除菌+消臭スプレー 衣類・布製品用 香りが残らない 本体370mL＋つめかえ4回分1280mL P&amp;G 布用 消臭スプレー 除菌スプレー 衣類 ソファ カーテン ベッド クッション 部屋干し タバコ 汗 ニオイ対策 大容量 詰替え まとめ買い</t>
  </si>
  <si>
    <t>set-0007</t>
  </si>
  <si>
    <t>6307,6383/1736</t>
  </si>
  <si>
    <t>SET-0007</t>
  </si>
  <si>
    <t>リッツ リバイバル オーバーナイトセラム 夜用美容液 20g EGF 植物幹細胞 保湿 ハリ 弾力 エイジングケア ナイトセラム 無添加 アロマの香り LITS スキンケア 乾燥対策 うるおい 角質ケア 夜間集中ケア フェイスセラム</t>
  </si>
  <si>
    <t>b08f5bq5yd</t>
  </si>
  <si>
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</si>
  <si>
    <t>しまえなが</t>
  </si>
  <si>
    <t>2164,2171,2188,2195,2201/1072</t>
  </si>
  <si>
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</si>
  <si>
    <t>ホワイト(ラメ入り)</t>
  </si>
  <si>
    <t>b0fl297cy2</t>
  </si>
  <si>
    <t>0646,0653/1014</t>
  </si>
  <si>
    <t>B0FL25CNBG-0646</t>
  </si>
  <si>
    <t>Biore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</si>
  <si>
    <t>b0by2sypqr</t>
  </si>
  <si>
    <t>3109/1633</t>
  </si>
  <si>
    <t>【3個セット】小林製薬 熱中対策 シャツクール 冷感ストロング 100ml 衣類用冷感スプレー 冷却スプレー ひんやり 消臭 汗対策 通勤 通学 スポーツ 屋外作業 暑さ対策 夏用品 まとめ買い</t>
  </si>
  <si>
    <t>b086q1mhhp</t>
  </si>
  <si>
    <t>3080/1167-a</t>
  </si>
  <si>
    <t>Gyutto （ギュット） コルセットヘアマスク 200g×2個セット トステアトリートメント うねりケア 縮毛 ダメージ補修 ヘアマスク ヘアパック ヘアトリートメント</t>
  </si>
  <si>
    <t>b0d5cmg6tl</t>
  </si>
  <si>
    <t>5183/2090-a</t>
  </si>
  <si>
    <t>アイスブルー</t>
  </si>
  <si>
    <t>B09FXXKNKZ</t>
  </si>
  <si>
    <t>ペッツルート もっと虫よけ エリアスマイル 70日 140日 210日 うさぎ くま 超小型犬・小型犬・中型犬・大型犬の散歩用 犬 S M サイズ</t>
  </si>
  <si>
    <t>70日 x うさぎ(超小型犬・小型犬)</t>
  </si>
  <si>
    <t>b0f2sy4r29</t>
  </si>
  <si>
    <t>621,1148,1480,589,932,1216-a</t>
  </si>
  <si>
    <t>B0F2SN45YZ</t>
  </si>
  <si>
    <t>ニベア ロイヤルブルーリップ しっとりなめらかタイプ【医薬部外品】 リップクリーム 2g 保湿 唇</t>
  </si>
  <si>
    <t>b08cb75nz3</t>
  </si>
  <si>
    <t>0853/584-a</t>
  </si>
  <si>
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</si>
  <si>
    <t>b000vicipq</t>
  </si>
  <si>
    <t>2505/1112</t>
  </si>
  <si>
    <t>B000VICIPQ</t>
  </si>
  <si>
    <t>エクセル コスモスラクト バード 30ml 鳥用 乳酸菌生成エキス インコ サプリメント 小鳥サプリ 鳥サプリ 栄養補給 腸内環境 健康維持 健康管理 セキセイインコ オカメインコ 文鳥 フィンチ 換羽期 栄養補助食品 乳酸菌サプリ 小鳥用品 鳥用品 ペットサプリ 国産</t>
  </si>
  <si>
    <t>b0d1p44ht9</t>
  </si>
  <si>
    <t>4542750119701-a</t>
  </si>
  <si>
    <t>【セット品】いなば チャオ 焼かつおディナー 高齢猫用 2種アソートセット 50g×16袋 国産 猫 猫用 キャットフード パウチ ウェットフード シニア猫 老猫 ほたて貝柱入り かつお節・ほたて貝柱入り 水分補給 食べ切り 個包装 キャットフード まとめ買い バラエティ 多頭飼い</t>
  </si>
  <si>
    <t>b0gycl5f3r</t>
  </si>
  <si>
    <t>9656,8703/1584-a</t>
  </si>
  <si>
    <t>【まとめ買い】いなば CIAO チャオ 焼かつおディナー 高齢猫用 ほたて貝柱入り 50g×16袋 ウェットフード キャットフード 高齢猫 高齢 シニア猫用 老猫用 やわらか パウチ 国産 ねこ用 ごはん えさ 食事 ペットフード 猫用品 猫 猫用 おやつ ストック まとめ買い</t>
  </si>
  <si>
    <t>b01lxsdhmm</t>
  </si>
  <si>
    <t>9659/1584-a</t>
  </si>
  <si>
    <t>デビフ おすわりくん 超小粒 ササミ ７５ｇ ×４袋セット 犬用 おやつ</t>
  </si>
  <si>
    <t>b0dq889rzt</t>
  </si>
  <si>
    <t>3530/780-a</t>
  </si>
  <si>
    <t>アリエール MiRAi 洗濯洗剤 濃縮 漂白剤級の洗浄プラス* 詰め替え 約2.2倍/640g[タテ・ドラム式OK] 洗濯 洗剤 洗浄 抗菌</t>
  </si>
  <si>
    <t>b0czxfsh7d</t>
  </si>
  <si>
    <t>4215/460</t>
  </si>
  <si>
    <t>ニチドウ 毛玉クリーン 60g 猫用 毛玉ケア ヘアボール対策 毛づくろい 毛玉排出 サポート 猫 おやつ ペーストタイプ キャットフード 国産 ニチドウ</t>
  </si>
  <si>
    <t>b01m7nsmri</t>
  </si>
  <si>
    <t>6117/522-a</t>
  </si>
  <si>
    <t>シッカロールキュア ペビーパウダー 赤ちゃん 汗疹 薬用 シッカロール</t>
  </si>
  <si>
    <t>1個</t>
  </si>
  <si>
    <t>b000v2fg38</t>
  </si>
  <si>
    <t>4987244145055-a</t>
  </si>
  <si>
    <t>B000V2FG38</t>
  </si>
  <si>
    <t>いなば チャオ (CIAO) エナジーちゅ~る まぐろ海鮮ミックス 14g (x 20) 猫 猫用 おやつ 国産 ちゅ〜る まぐろ 海鮮 ミックス キャットフード 水分補給 栄養補給 人気</t>
  </si>
  <si>
    <t>b079z1ccm6</t>
  </si>
  <si>
    <t>B079Z1CCM6</t>
  </si>
  <si>
    <t>【2個セット】ハイスキン ぷるっとワセリン モイストジェルN フローラル 190g 全身保湿ジェル 顔 体 手 ベタつかない ワセリン由来 保湿 乾燥肌対策 ハンドクリーム ボディケア オールインワン スキンケア 大容量 日本製 まとめ買い 日用品</t>
  </si>
  <si>
    <t>b0g5gjxzjg</t>
  </si>
  <si>
    <t>4901477100445-2-a</t>
  </si>
  <si>
    <t>ペティオ (Petio) 猫用ハンモック necoco広々涼めるキャットハンモックHNA 猫 人気 夏用 冷感 熱中症対策 ひんやり</t>
  </si>
  <si>
    <t>グレイ＆ネイビー</t>
  </si>
  <si>
    <t>b0dz2g6jdy</t>
  </si>
  <si>
    <t>6033,6040/803,803-a</t>
  </si>
  <si>
    <t>B0DZ2G6JDY</t>
  </si>
  <si>
    <t>カクレモモジリ/チラシ</t>
  </si>
  <si>
    <t>B0GSQJBZ71-8083</t>
  </si>
  <si>
    <t>ビオレu 泡ハンドソープ シトラスの香り つめかえ用 770ml×2個セット 詰め替え 手洗い 殺菌 消毒</t>
  </si>
  <si>
    <t>b0by2pjqg2</t>
  </si>
  <si>
    <t>6087/612</t>
  </si>
  <si>
    <t>リッツ リバイバル うるおい玉 EGF 6回分×2個セット フリーズドライ 美容液 無添加 無香料  エイジングケア ケア</t>
  </si>
  <si>
    <t>b08f5bdmfl-1</t>
  </si>
  <si>
    <t>1902/1314-a</t>
  </si>
  <si>
    <t>B08F5BDMFL-1</t>
  </si>
  <si>
    <t>リセッシュ除菌EX デオドラントパワー 香りが残らないタイプ つめかえ用 680ml×2個セット 消臭芳香剤 液体 消臭スプレー</t>
  </si>
  <si>
    <t>b08m3st1rj</t>
  </si>
  <si>
    <t>8544/1292</t>
  </si>
  <si>
    <t>ソフラン アロマリッチ 柔軟剤 金木犀の香り つめかえ用 950ml×2 特大容量 部屋干し 雨の日 部屋 かろやか 香る きれい 清潔 衣類 防臭 抗菌 金木犀  洗濯</t>
  </si>
  <si>
    <t>b0dq55rncd</t>
  </si>
  <si>
    <t>4903301366959-2</t>
  </si>
  <si>
    <t>【2個セット】友和 Tipo's 超撥水コーティング剤 弾き！ つめかえ用 500ml 撥水 コーティング剤 詰め替え 掃除 水回り シンク 洗面台 浴室 鏡 キッチン 蛇口 窓ガラス 車 ガラス 防汚 水アカ対策 汚れ防止 お手入れ 日本製 ティポス</t>
  </si>
  <si>
    <t>b0c3l32wkr-2</t>
  </si>
  <si>
    <t>6562/1116</t>
  </si>
  <si>
    <t>レック(LEC) サンリオ クロミ ウエットティシュケース×2個セット 純水99.9% ウエットティシュ 付き</t>
  </si>
  <si>
    <t>b0cqp26kkq</t>
  </si>
  <si>
    <t>6737/1094-a</t>
  </si>
  <si>
    <t>ファブリーズ PREMIUM 消臭スプレー 布用 清潔なランドリー 詰め替え 特大(610mL×2セット)  除菌 P&amp;Gジャパン スプレー</t>
  </si>
  <si>
    <t>b0f3d2q8sz</t>
  </si>
  <si>
    <t>1505/1116</t>
  </si>
  <si>
    <t>B0F3D2Q8SZ</t>
  </si>
  <si>
    <t>レック(LEC) 熱中レスキュー 激冷えくん ボディクールシート 鬼クールタイプ (20枚ｘ2P) ×5個セット メントールでひんやり冷感</t>
  </si>
  <si>
    <t>b09wxwcrp4</t>
  </si>
  <si>
    <t>7704/895</t>
  </si>
  <si>
    <t>【まとめ買い】 日本カルシウム工業 ダイエットイオン整水器 24g 4個セット 水質改善 浄水パック ペットボトル用 携帯浄水 浄水スティック カルキ除去 アルカリイオン水 日本製 節約 防災対策 水道水 美味しく【お茶パック付き】</t>
  </si>
  <si>
    <t>b001ai51n2</t>
  </si>
  <si>
    <t>2330/1220-a</t>
  </si>
  <si>
    <t>B001AI51N2</t>
  </si>
  <si>
    <t>アース・ペット 猫スタミノール 食欲 50g×2本セット 猫 猫用 おやつ ウェット キャットフード 人気</t>
  </si>
  <si>
    <t>b0dgy42sr6</t>
  </si>
  <si>
    <t>1106/1278-a</t>
  </si>
  <si>
    <t>ドクターズチョイス ゴートミルク 120g ヤギミルク 犬 猫 無添加 ペットミルク 粉末ミルク 子犬 子猫 シニア犬 シニア猫 水分補給 栄養補給 カルシウム補給 トッピング 全年齢対応</t>
  </si>
  <si>
    <t>b075gk2mzw</t>
  </si>
  <si>
    <t>4514610005035-a</t>
  </si>
  <si>
    <t>資生堂 インテグレート プロフィニッシュリキッド オークル10 30mL ファンデーション リキッドファンデーション ベースメイク 毛穴カバー くずれにくい ツヤ肌 自然な仕上がり カバー力 化粧下地併用 メイクアップ オークル SPF配合 化粧品 コスメ 資生堂ファンデーション</t>
  </si>
  <si>
    <t>b07tr6ft6t</t>
  </si>
  <si>
    <t>3590/1099</t>
  </si>
  <si>
    <t>NANOXone 本体大600g＋超特大１６８０ｇ/ナノックス 洗剤 ニオイ 洗濯 洗濯洗剤 部屋干し 雨の日 部屋 きれい 清潔 衣類 静電気 防臭 抗菌 赤ちゃん ベビー  洗濯 ライオン</t>
  </si>
  <si>
    <t>7597/1020</t>
  </si>
  <si>
    <t>ファブリーズ プレミアム 消臭スプレー 清潔なランドリーの香り 詰め替え 超特大 1240mL (衣類・布用) 【 消臭＋除菌成分最高レベル配合 】 除菌 P&amp;Gジャパン スプレー</t>
  </si>
  <si>
    <t>b0f3d2psfp</t>
  </si>
  <si>
    <t>歯磨き堂 薬用 フレッシュ ペースト フレッシュミント味 60g 【医薬部外品】 口臭予防 口臭ケア 美白 知覚過敏 歯磨き粉</t>
  </si>
  <si>
    <t>b0f1mwdn83</t>
  </si>
  <si>
    <t>8110/979</t>
  </si>
  <si>
    <t>【全6種セット】【正規品】クーリア キラシャカ ジュエリーシール クラウドポップタイム ミータイムホーミーズ フラッフィーコットンキャンディ ナイトミャウ キャンディツインズ きらりんエナガマーチ ボンボンドロップシール ボンドロ かわいい キラキラ 3D立体 ぷっくり</t>
  </si>
  <si>
    <t>2053,2060,2077,2084,2091/1116</t>
  </si>
  <si>
    <t>【2本セット】ビュクレール クレンジングローション 500mL メイク落とし クレンジングウォーター 拭き取りクレンジング W洗顔不要 オイルフリー まつエクOK 化粧水 保湿 ブライトニング 大容量 毛穴汚れ 角質ケア 日本製 BEAUCLAIR</t>
  </si>
  <si>
    <t>b01mtemme0</t>
  </si>
  <si>
    <t>4589530701046-2</t>
  </si>
  <si>
    <t>GOAT'S MILK ハンドソープ フォーミング 泡ハンドソープ スイートベビーパウダーの香り 600ml ハンドソープ 泡 手洗い</t>
  </si>
  <si>
    <t>b0czpjdzv4</t>
  </si>
  <si>
    <t>6761/330</t>
  </si>
  <si>
    <t>【医薬部外品】ニベアＵＶ 薬用ジェル_ほてりを防ぐ消炎剤配合（ＳＰＦ３５／ＰＡ＋＋＋） 日焼け止め 消炎剤 UVカット</t>
  </si>
  <si>
    <t>b0btrnfdzg</t>
  </si>
  <si>
    <t>4305/660-a</t>
  </si>
  <si>
    <t>香り長持ちシャンプー ローズ 犬用(400ml) 犬 犬用 ケア お風呂 犬用シャンプー</t>
  </si>
  <si>
    <t>b071w69zkt</t>
  </si>
  <si>
    <t>9577/1010-a</t>
  </si>
  <si>
    <t>NEXXUS(ネクサス) リペアアンドカラープロテクト トリートメント 440g ポンプ ケア ヘアケア</t>
  </si>
  <si>
    <t>b0ctb8t88q</t>
  </si>
  <si>
    <t>4902111776637-a</t>
  </si>
  <si>
    <t>B0CTB8T88Q</t>
  </si>
  <si>
    <t>【4個セット】らくハピ いれるだけバブルーン トイレボウル 180g×4個セット トイレ洗浄剤 発泡洗浄 泡洗浄 トイレ掃除 便器洗浄 便器クリーナー 黒ずみ対策 汚れ落とし 除菌 消臭 トイレクリーナー 洗浄剤 トイレ用洗剤 掃除用品 日用品 まとめ買い アース製薬</t>
  </si>
  <si>
    <t>b07w34d7gh-4</t>
  </si>
  <si>
    <t>4901080686411-4-a</t>
  </si>
  <si>
    <t>B07W34D7GH-4</t>
  </si>
  <si>
    <t>【2本セット】レブロン カラーステイ マルチプレイヤー アイ ペンシル 405 フォートレス 0.9g メタリックカーキ アイライナー アイシャドウ ウォータープルーフ ブレンディングブラシ シャープナー付き 高発色 落ちにくい にじみにくい 密着 アイメイク コスメ 化粧品</t>
  </si>
  <si>
    <t>b0cw1d1cmg-2</t>
  </si>
  <si>
    <t>1241/998</t>
  </si>
  <si>
    <t>虫よけ泡マーカー コールマン Coleman 虫除けスプレー キャンプ アウトドア(150ml) 不快害虫用 忌避 ハーブの香り 泡 害虫忌避 嫌な虫 寄せ付けない キャンプ アウトドア 屋外 虫除け</t>
  </si>
  <si>
    <t>b0cscsyb94</t>
  </si>
  <si>
    <t>4613/768-a</t>
  </si>
  <si>
    <t>オーシャントリコ シークレットメイク BBクリーム カバー 30グラム×2個セット 化粧 下地 化粧下地 ケア 肌 肌ケア</t>
  </si>
  <si>
    <t>b0b7wm5n8n</t>
  </si>
  <si>
    <t>0331/438-a</t>
  </si>
  <si>
    <t>フレッシュ・ブルー・シャボン</t>
  </si>
  <si>
    <t>B0CSMGSZ94</t>
  </si>
  <si>
    <t>フレッシュ・クリーン・ラベンダー</t>
  </si>
  <si>
    <t>B0CB65N8RC</t>
  </si>
  <si>
    <t>クラシエホームプロダクツ いち髪 ペアセット(なめらか) 480ml+480g ダメージケア ダメージ予防 ダメージ補修 保湿</t>
  </si>
  <si>
    <t>b0f2hx697z</t>
  </si>
  <si>
    <t>4901417788832-a</t>
  </si>
  <si>
    <t>B0F2HX697Z</t>
  </si>
  <si>
    <t>【5個セット】ビオレ さらさらパウダーシート さわやかせっけんの香り 携帯用 10枚 制汗シート ボディシート 汗拭きシート デオドラントシート ボディペーパー 汗ふきシート さらさら ベタつき ニオイ対策 外出 通勤 通学 スポーツ 花王</t>
  </si>
  <si>
    <t>b0b4nfdgn7</t>
  </si>
  <si>
    <t>4901301347541-5-h</t>
  </si>
  <si>
    <t>【セット品】 いなば トッパーまぜて ちゅ〜るボール 5種 (まぐろ/かつお/とりささみ/まぐろかつお節味/とりささみ本格だし) 猫 猫用 おやつ キャットフード アソート まとめ買い</t>
  </si>
  <si>
    <t>b0fv7ts5y7</t>
  </si>
  <si>
    <t>8485/835-a</t>
  </si>
  <si>
    <t>【6袋セット】いなば ちゅーるボール とりささみ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</si>
  <si>
    <t>b0d141dc21</t>
  </si>
  <si>
    <t>8974/942-a</t>
  </si>
  <si>
    <t>いなば ちゅ～るボール とりささみ ビーフ 犬用 6袋セット 犬 おやつ ドックフード トッパー</t>
  </si>
  <si>
    <t>b0d144dgjh</t>
  </si>
  <si>
    <t>B0D144DGJH</t>
  </si>
  <si>
    <t>【6袋セット】いなば ちゅーるボール とりささみ 軟骨入り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</si>
  <si>
    <t>b0d14cywpx</t>
  </si>
  <si>
    <t>8998/942-a</t>
  </si>
  <si>
    <t>いなば ちゅ~るボール とりささみ 野菜入り (10g×3袋) 6袋セット 犬 犬用 おやつ ちゅーる トッパー ドライ ドックフード  ささみ ふりかけ 人気</t>
  </si>
  <si>
    <t>b0d13t16hn</t>
  </si>
  <si>
    <t>6001/858-a</t>
  </si>
  <si>
    <t>いなば ちゅ~るごはん とりささみ チキンミックス味 20本 犬 犬用 おやつ ドックフード 大容量 人気 国産 液体 ペースト 水分補給</t>
  </si>
  <si>
    <t>b086yh6x3b</t>
  </si>
  <si>
    <t>4901133441769-a</t>
  </si>
  <si>
    <t>【全6種セット】【正規品】クーリア ぷちぷにらいふしーる 6種セット がーりーらいふ ゆにらいふ はぴはむらいふ えながらいふ ぱんらいふ きゃわうさらいふ シールセット ぷっくりシール 立体シール デコシール 手帳デコ トレカデコ スマホデコ ぷちぷに ボンボンドロップ</t>
  </si>
  <si>
    <t>AST-0010</t>
  </si>
  <si>
    <t>マルカン クマさんのジェルクッション 犬 犬用 人気 夏用 冷感 熱中症対策 ひんやり ベット シート マット 夏物 大型 小型 中型 超小型 水洗い</t>
  </si>
  <si>
    <t>M</t>
  </si>
  <si>
    <t>b0c3zk69b1</t>
  </si>
  <si>
    <t>6624,6631/385,660-a</t>
  </si>
  <si>
    <t>B0C3ZK69B1</t>
  </si>
  <si>
    <t>JUSO KURO PORE CLEANSING SCRUB 30g 毛穴クレンジング 毛穴汚れ 角栓 黒ずみ マンナンスクラブ入り 重曹毛穴クレンジング 重曹 炭 鼻用</t>
  </si>
  <si>
    <t>b0by8b2ghs</t>
  </si>
  <si>
    <t>6317/439</t>
  </si>
  <si>
    <t>ファブリーズ 消臭芳香剤 車用 イージークリップ さくらフローラル 2.4mLｘ2個 消臭 芳香剤</t>
  </si>
  <si>
    <t>b0dkf48flp</t>
  </si>
  <si>
    <t>9599/660-a</t>
  </si>
  <si>
    <t>つるつる 美肌の湯 2個入り×3個 お風呂 入浴剤 美肌 温泉 アトピー 冷え性 リウマチ 神経痛</t>
  </si>
  <si>
    <t>b07w752w8x</t>
  </si>
  <si>
    <t>6216/711-a</t>
  </si>
  <si>
    <t>【4個セット】デビフ おさんぽくん ササミ シニア犬用 60g（15g×4袋）×4袋セット 犬 おやつ 国産 小分け 高齢犬 シニア犬 ごほうび トレーニング 散歩 携帯用 おやつ 犬用スナック</t>
  </si>
  <si>
    <t>b0dq7zx95d</t>
  </si>
  <si>
    <t>3608/624-a</t>
  </si>
  <si>
    <t>ドクターズチョイス おいしい納豆菌 ふりかけタイプ 80g 犬 犬用 おやつ 納豆 ふりかけ</t>
  </si>
  <si>
    <t>b0dksxgxnz</t>
  </si>
  <si>
    <t>0979/695-a</t>
  </si>
  <si>
    <t>B0DKSXGXNZ-1</t>
  </si>
  <si>
    <t>ライオン ソフラン エアリス パティオ 本体 480ml 柔軟剤 ふんわり仕上げ 衣類柔軟剤 洗濯用品 部屋干し対応 いい香り 長続き 香り控えめ ふわふわ仕上げ 静電気防止 日用品 まとめ買い ストック用 ランドリー用品 洗濯柔軟仕上げ剤</t>
  </si>
  <si>
    <t>b0bxbnhlfy-1</t>
  </si>
  <si>
    <t>4223/358</t>
  </si>
  <si>
    <t>B0BXBNHLFY-1</t>
  </si>
  <si>
    <t>【6個セット】GOAT’S MILK ゴートミルク ソープ 6個セット スイートベビーパウダーの香り 固形石鹸 ヤギミルク 保湿 しっとり 洗顔 ボディケア スキンケア 全身用 乾燥肌 ケア ヒアルロン酸 コラーゲン シアバター まとめ買い 女性 男性 家族用</t>
  </si>
  <si>
    <t>b0d6gckfcp</t>
  </si>
  <si>
    <t>4549777709625-6-a</t>
  </si>
  <si>
    <t>【2個セット】ダストマン○(マル) 浅型 30枚×2個セット 抗菌 水切りネット 排水口ネット 水切りゴミ袋 ストッキングタイプ 浅型排水口用 三角コーナー 生ごみ処理 キッチン シンク 水切れ抜群 細かい網目 ゴミキャッチ ヌメリ対策 清潔 衛生用品 台所用品 日用品 まとめ買い</t>
  </si>
  <si>
    <t>b003m76vj2</t>
  </si>
  <si>
    <t>1112/446</t>
  </si>
  <si>
    <t>ファブリーズ おそうじエイド ハウスダストをまとめて固めるスプレー 香料無添加 370ml 本体 除菌 P&amp;Gジャパン スプレー</t>
  </si>
  <si>
    <t>b098mjm99x</t>
  </si>
  <si>
    <t>5041/285</t>
  </si>
  <si>
    <t>ペッツルート もっと虫よけ エリアスマイル 60日 120日 うさぎ コアラ 超小型犬・小型犬・中型犬・大型犬 散歩用 犬 犬用 S M 長い 蚊対策 虫刺され 防虫 簡単 かわいい</t>
  </si>
  <si>
    <t>60日 x うさぎ(超小型犬・小型犬)</t>
  </si>
  <si>
    <t>b0cc8ltjkm</t>
  </si>
  <si>
    <t>605,858,638,891-a</t>
  </si>
  <si>
    <t>B0CC8LTJKM</t>
  </si>
  <si>
    <t>チョイでかＨＨささみチーズ入６０ｇ×3袋 犬 犬用 おやつ ジャーキー 人気 国産 ドックフード まとめ買い</t>
  </si>
  <si>
    <t>b00w3axuam</t>
  </si>
  <si>
    <t>6031/612-a</t>
  </si>
  <si>
    <t>B00W3AXUAM</t>
  </si>
  <si>
    <t>ファブリーズ おそうじエイド ハウスダストをまとめて固めるスプレー 洗いたてのリネンの香り 370ml 本体 除菌 P&amp;Gジャパン スプレー</t>
  </si>
  <si>
    <t>b098mh987h</t>
  </si>
  <si>
    <t>4723/294</t>
  </si>
  <si>
    <t>60日 x コアラ(中型犬・大型犬)</t>
  </si>
  <si>
    <t>B0D4DPY659</t>
  </si>
  <si>
    <t>CANMAKE キャンメイク プランプリップケアスクラブ 03 みかんイエロー 角質ケア 保湿 唇</t>
  </si>
  <si>
    <t>b09ltnc8bs</t>
  </si>
  <si>
    <t>4679/328</t>
  </si>
  <si>
    <t>ナノックスワン NANOXone PRO 洗濯洗剤 詰め替え ウルトラジャンボ(1400g) 洗濯 洗剤 洗濯洗剤</t>
  </si>
  <si>
    <t>b0cksbjbrp</t>
  </si>
  <si>
    <t>0811/1200-a</t>
  </si>
  <si>
    <t>広告費</t>
  </si>
  <si>
    <t>ポイント費用</t>
  </si>
  <si>
    <t>クーポン利用額</t>
  </si>
  <si>
    <t>クーポン利用手数料</t>
  </si>
  <si>
    <t>F-14 英樹確認 2026-09-21: 確認済みの0円。理由=手数料発生条件(利用数)に達していない</t>
  </si>
  <si>
    <t>合計</t>
  </si>
  <si>
    <t>送料</t>
  </si>
  <si>
    <t>梱包資材</t>
  </si>
  <si>
    <t>限界利益</t>
  </si>
  <si>
    <t>限界利益率</t>
  </si>
  <si>
    <t>2026年04月から2026年04月</t>
  </si>
  <si>
    <t>利益率</t>
  </si>
  <si>
    <t>【セット品】 クーリア ボンボンドロップシール 14種セット はちみつ にーはお ゆにこん しまえな ばけばけ みずいろ ぷかぷか ほかほか わんわん ももいろ きぐるみ はむはむ しろくろ よるねこ ボンドロ かわいい 立体 シール ぷっくり ぷくぷく シール交換 収集 正規品</t>
  </si>
  <si>
    <t>0400,0417,0424,1816,1823/3080</t>
  </si>
  <si>
    <t>【全4種セット】【正規品】 クーリア ボンボンドロップシール パールベール きらめき ほわいと ぴんきー よるえな シール セット ボンドロ かわいい キラキラ 3D立体 ぷっくり ぷくぷく ご褒美シール 女の子 平成女子 シール帳 シール交換 収集 本物 本家 【新商品】</t>
  </si>
  <si>
    <t>2176,2183,2190,2206/1000</t>
  </si>
  <si>
    <t>2121,2138,2145,2152/928</t>
  </si>
  <si>
    <t>クーリア ボンボンドロップシール 12種セット 正規品 はちみつ ゆにこん しまえな ばけばけ みずいろ ぷかぷか ほかほか わんわん ももいろ きぐるみ はむはむ よるねこ ボンドロ かわいい 立体 シール ぷっくり ぷくぷく シール交換 収集 本物 本家</t>
  </si>
  <si>
    <t>0394,0424,1816,1823,1830/2640</t>
  </si>
  <si>
    <t>クーリア ボンボンドロップシール 10種セット 正規品 はちみつ ゆにこん ばけばけ みずいろ ぷかぷか ほかほか ももいろ きぐるみ はむはむ よるねこ ボンドロ かわいい 立体 シール ぷっくり ぷくぷく シール交換 収集 本物 本家</t>
  </si>
  <si>
    <t>0349,0417,1816,1823/2200</t>
  </si>
  <si>
    <t>クーリア ボンボンドロップシール 9種セット 正規品 はちみつ ゆにこん ばけばけ みずいろ ぷかぷか ほかほか ももいろ きぐるみ よるねこ ボンドロ かわいい 立体 シール ぷっくり ぷくぷく シール交換 収集  本物 本家</t>
  </si>
  <si>
    <t>0394,0417,1816,1823,1830/1980</t>
  </si>
  <si>
    <t>ブラウン 電気シェーバー シリーズ7 72-C1500s チタニウムゴールド 電動 髭剃り メンズ  防水設計 充電式 コードレス 急速 急速充電</t>
  </si>
  <si>
    <t>b0ctqdnsp7</t>
  </si>
  <si>
    <t>0155/14880</t>
  </si>
  <si>
    <t>4503/10800</t>
  </si>
  <si>
    <t>ブラウン メンズシェーバー シリーズ5 51-M1200S-V 電動 髭剃り メンズ 51-M1200s-V  キワゾリトリマー 防水設計 充電式 コードレス ディープキャッチ網刃</t>
  </si>
  <si>
    <t>b0c6ld957k</t>
  </si>
  <si>
    <t>CIAO すごい乳酸菌ちゅ〜る 総合栄養食バラエティ 14g×30本  猫用　簡易梱包</t>
  </si>
  <si>
    <t>b0939ms64g</t>
  </si>
  <si>
    <t>ShotNavi Evolve PRO(ショットナビ) ブラック 大画面カラー液晶 最新GPSチップ「M10」 ゴルフ</t>
  </si>
  <si>
    <t>b0bls3hvdz</t>
  </si>
  <si>
    <t>1877/19800</t>
  </si>
  <si>
    <t>XD-SX6510GD EX-word(エクスワード)生活・教養モデル ゴールド 辞書 電子辞書 勉強</t>
  </si>
  <si>
    <t>b0d86pqwjj</t>
  </si>
  <si>
    <t>7015/19350</t>
  </si>
  <si>
    <t>7978/2126</t>
  </si>
  <si>
    <t>クーリア しずくちゃん ボンボンドロップシール  （ミニ）　4種セット 正規品  うるおいちゃん みるみるちゃん しずくの森のなかまたち ボンドロ かわいい 立体 シール ぷっくり ぷくぷく シール交換 収集 本物 本家</t>
  </si>
  <si>
    <t>富士フイルム(FUJIFILM) フジカラーレンズ付フィルム 写ルンです スタンダードタイプ 3個セット 27枚撮り LF JDV1 SP FL 27SH 1 まとめ買い</t>
  </si>
  <si>
    <t>b0f1slwhqg</t>
  </si>
  <si>
    <t>0955/7794</t>
  </si>
  <si>
    <t>タイガー 5.5合炊き 可変W圧力IHジャー炊飯器 炊きたて ご泡火炊き JPI-S100-KT ブラック 国産</t>
  </si>
  <si>
    <t>b0bj93nj2k</t>
  </si>
  <si>
    <t>4345/34800</t>
  </si>
  <si>
    <t>エレコム ワイヤレス トラックボールマウス EX-G 握りの極み 6ボタン ブラック(黒) M-XT3DRBK 親指 2.4GHz 無線 34mm 玉 チルトホイール 横スクロール 減速ボタン OMRON社製スイッチ リモートワーク 在宅 テレワーク オフィス 新生活 マウス パソコン Bluetooth</t>
  </si>
  <si>
    <t>花王 ワイドハイター 消臭専用ジェル グリーンシトラスの香り つめかえ用 500ml×3個セット 消臭 衣類 消臭剤</t>
  </si>
  <si>
    <t>b09w5z2l1m</t>
  </si>
  <si>
    <t>5173/1359</t>
  </si>
  <si>
    <t>オーディオテクニカ ATH-CKS50TW2 GG グローグー スター・ウォーズ ワイヤレスイヤホン Bluetooth 5.3 ノイズキャンセリング 重低音 ルーカスフィルムスタジオ公認デザイン 限定音声ガイダンス マグネティックスイッチ 約65時間再生 LE Audio 防水防塵 マルチポイント</t>
  </si>
  <si>
    <t>b0f24774w6</t>
  </si>
  <si>
    <t>4096/14482</t>
  </si>
  <si>
    <t>TOSHIBA(東芝) 炊飯器 炎匠炊き 5.5合 RC-10VSV(W) ホワイト 高火力 米 お米 ごはん</t>
  </si>
  <si>
    <t>b0ccl5ydc8</t>
  </si>
  <si>
    <t>0060/27100</t>
  </si>
  <si>
    <t>【セット品】クーリア ボンボンドロップシール 7種セット 正規品 ゆにこん みずいろ ぷかぷか ほかほか ももいろ きぐるみ よるねこ ボンドロ かわいい 立体 シール ぷっくり ぷくぷく シール交換 収集  本物 本家</t>
  </si>
  <si>
    <t>0417,1823,1830,0526,0564/1540</t>
  </si>
  <si>
    <t>【セット品】 クーリア スペシャルもっちもちシール 6種セット キャンディツインズ みずいろうさベビー ナイトミャウ パクッとモグモグフード ハムハムエンジェル キャロットうさちゃん ボンボンドロップ ボンドロ かわいい 立体 シール ぷっくり ぷくぷく 正規品 本物 本家</t>
  </si>
  <si>
    <t>1926,1933,1940,1957,1964/1224</t>
  </si>
  <si>
    <t>パナソニック ラムダッシュPRO ES-LV5J-S メンズシェーバー 5枚刃 シルバー 充電中でも剃れる   髭そり</t>
  </si>
  <si>
    <t>b0bzxvf56j</t>
  </si>
  <si>
    <t>2870/22800</t>
  </si>
  <si>
    <t>ブラウン 電気シェーバ 3枚刃  52-A1200S Series5 メンズシェーバー キワゾリトリマー 防水設計 充電式 コードレス ディープキャッチ網刃  BRAUN シリーズ5</t>
  </si>
  <si>
    <t>b0fq3g4hyb</t>
  </si>
  <si>
    <t>0292/7907</t>
  </si>
  <si>
    <t>NEWクレラップ お徳用 レギュラー 30cm×50m×3個セット クレラップ ラップ まとめ買い 食品保存 キッチン用品 台所用品 日用品 消耗品</t>
  </si>
  <si>
    <t>b0012vqlky</t>
  </si>
  <si>
    <t>3502/1370</t>
  </si>
  <si>
    <t>Anker Prime Wall Charger (67W, 3 ports, GaN) (ブラック) 充電器 ポート タイプC USB PowerIQ4.0 GanPrime 急速充電 コンパクト 持ち運び便利 小型</t>
  </si>
  <si>
    <t>b0c5cbv6l3</t>
  </si>
  <si>
    <t>フィリップス 電動歯ブラシ ソニッケアー ダイヤモンドクリーン9000 HX9911/71 ホワイト (携帯用トラベルケース付き)  歯磨き ケア 持ち運び 旅行</t>
  </si>
  <si>
    <t>b0d28n991r</t>
  </si>
  <si>
    <t>NEWクレラップ お徳用 22cm×50m 3本セット クレラップ ラップ 日本製 キッチンラップ 食品保存 電子レンジ対応 まとめ買い 日用品 消耗品 ストック 主婦 人気</t>
  </si>
  <si>
    <t>Anker Power Bank ブラック 10000mAh Fusion Built-In USB-C ケーブル 30W出力モバイルバッテリー搭載 30W出力USB充電器 LEDディスプレイ搭載 ケーブル一体型 コンセント一体型 折りたたみ式プラグ 1台3役 iPhone 17 16 15 Android iPad その他各種機器対応</t>
  </si>
  <si>
    <t>9665/5590</t>
  </si>
  <si>
    <t>ブラウン メンズシェーバー シリーズ5 51-W1200S-V 電動 髭剃り メンズ 51-M1200s-V  キワゾリトリマー 防水設計 充電式 コードレス ディープキャッチ網刃</t>
  </si>
  <si>
    <t>b0c7gg37qv</t>
  </si>
  <si>
    <t>1641/9952</t>
  </si>
  <si>
    <t>1184/8480</t>
  </si>
  <si>
    <t>パナソニック 電気毛布 掛け敷き兼用 シングル 188×137cm ベージュ DB-RM3M-C 室温センサー搭載 8段階温度調節 ダニ対策 丸洗い可</t>
  </si>
  <si>
    <t>b00es82oxq</t>
  </si>
  <si>
    <t>4566/15640</t>
  </si>
  <si>
    <t>フィリップス 9000シリーズ 電動 髭剃り メンズ 72枚刃 回転式 お風呂剃り 丸洗い可 電動シェーバー 電気シェーバー 360-D フレックスヘッド S9696/31 PHILIPS ブラック 深剃り シェービング 回転刃 肌の負担低減 切れ味 ヒゲ密度感知システム コードレス洗浄</t>
  </si>
  <si>
    <t>b0b6j14csv</t>
  </si>
  <si>
    <t>3278/18621</t>
  </si>
  <si>
    <t>6620,6637/630</t>
  </si>
  <si>
    <t>Anker Eufy ユーフィ SmartTrack Card E30 充電式紛失防止トラッカー スマートタグ 盗難防止タグ スマホが見つかる スマホ鳴らす</t>
  </si>
  <si>
    <t>3532/2990</t>
  </si>
  <si>
    <t>グレーシャーホワイト</t>
  </si>
  <si>
    <t>B09ZX764ZL</t>
  </si>
  <si>
    <t>パールホワイト</t>
  </si>
  <si>
    <t>B0D7ZMNRFY</t>
  </si>
  <si>
    <t>Anker 521 Power Bank PowerCore Fusion, 45W ブラック 5000mAh 20W出力モバイルバッテリー搭載 45W出力USB充電器 コンセント一体型/PSE認証済/PowerIQ 3.0 (Gen2) 搭載/USB PD対応/折りたたみ式プラグ</t>
  </si>
  <si>
    <t>b0b4gvlw6d</t>
  </si>
  <si>
    <t>4412/4990</t>
  </si>
  <si>
    <t>210日 x くま(中型犬・大型犬)</t>
  </si>
  <si>
    <t>B0F2SLHZNB</t>
  </si>
  <si>
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</si>
  <si>
    <t>キャンディツインズ</t>
  </si>
  <si>
    <t>b0gsqcp1mx</t>
  </si>
  <si>
    <t>2220,2237,2244,2251/1148</t>
  </si>
  <si>
    <t>B0GSQCP1MX</t>
  </si>
  <si>
    <t>エナガマーチ</t>
  </si>
  <si>
    <t>B0GSQHQRV7</t>
  </si>
  <si>
    <t>CeraVe フォーミングフェイシャルクレンザー 473ml ジェル 洗顔 メイク落とし</t>
  </si>
  <si>
    <t>b07c5zk1d5</t>
  </si>
  <si>
    <t>メラノCC ディープクリア酵素洗顔 130g×5個セット 酵素×ビタミンC配合 洗顔フォーム 毛穴ケア</t>
  </si>
  <si>
    <t>b09py4134y</t>
  </si>
  <si>
    <t>3242/2935</t>
  </si>
  <si>
    <t>5510/1650</t>
  </si>
  <si>
    <t>6087/884</t>
  </si>
  <si>
    <t>Anker Nano USB-C ハブ(7-in-1, 4K, HDMI) HDMIポート4K 60Hz対応、5Gbps 高速データ転送 USB-Cポート、USB-Aポート搭載</t>
  </si>
  <si>
    <t>b0f1mm3fm6</t>
  </si>
  <si>
    <t>1013/3690</t>
  </si>
  <si>
    <t>ナイトミャウ</t>
  </si>
  <si>
    <t>B0GSQ2Q1RY</t>
  </si>
  <si>
    <t>Beats Solo Buds Bluetoothワイヤレスイヤフォン マットブラック ストームグレイ アークティックパープル トランスペアレントレッド 完全 ワイヤレス  Bluetooth接続 マイク付 最大18時間再生 急速充電</t>
  </si>
  <si>
    <t>ストームグレイ</t>
  </si>
  <si>
    <t>B0D3L1R7HD</t>
  </si>
  <si>
    <t>【セット品】ペットライン 懐石 2つのごほうび 6種セット 総合栄養食 国産 小分けタイプ 650g×6個 猫 猫用  アソート バラエティ キャットフード ドライ 大容量 まとめ買い おやつ</t>
  </si>
  <si>
    <t>いなば ちゅ~るボール 5種 アソート (10g×3袋) 合計5袋 犬 犬用 おやつ ちゅーる トッパー ドライ ドックフード まとめ買い バラエティセット 人気 とりささみ</t>
  </si>
  <si>
    <t>クーリア とうめいシールバインダー ホワイト クリア ボンドロ かわいい 立体 シール ぷっくり ぷくぷく シール交換 収集</t>
  </si>
  <si>
    <t>0646,0653/504</t>
  </si>
  <si>
    <t>Amazon Fire TV Stick 4K Max(マックス) ストリーミングメディアプレイヤー ファイヤーtvスティック amazonファイヤースティック</t>
  </si>
  <si>
    <t>b0bw37qy2v</t>
  </si>
  <si>
    <t>4051/1542</t>
  </si>
  <si>
    <t>大作商事 ソニックオール(sonicall) SA-5-BL ブルー いつもの歯ブラシを音波振動化 音波振動アタッチメント</t>
  </si>
  <si>
    <t>b0bwr4dmjn</t>
  </si>
  <si>
    <t>7162/2200</t>
  </si>
  <si>
    <t>肌ラボ 極潤 ハリパーフェクトゲル 高機能オールインワン 無香料 100g×2個セット ゲル 保湿 肌ケア 肌 ケア エイジング</t>
  </si>
  <si>
    <t>b09c86l9jt-1</t>
  </si>
  <si>
    <t>1323/2134</t>
  </si>
  <si>
    <t>クリニーク モイスチャー サージ ハイドロ ローション 200ml 化粧品 コスメ 肌 肌ケア ケア</t>
  </si>
  <si>
    <t>b09tftxjfv</t>
  </si>
  <si>
    <t>アリエール MiRAi 洗濯洗剤 濃縮 漂白剤級の消臭プラス* 詰め替え 約4.3倍/1.22kg×2個セット[タテ・ドラム式OK] 洗濯 洗剤 洗浄 抗菌</t>
  </si>
  <si>
    <t>b0czxqnbmh-2</t>
  </si>
  <si>
    <t>4147/2550</t>
  </si>
  <si>
    <t>【セット品】クーリア ボンボンドロップシール 2種セット 正規品 ゆにこん ももいろ ボンドロ かわいい 立体 シール ぷっくり ぷくぷく シール交換 収集  本物 本家</t>
  </si>
  <si>
    <t>0417,0564/440</t>
  </si>
  <si>
    <t>ラボン(Lavons) トゥザムーン to the Moon ベッドルーム&amp;ファブリックミスト ノクターナルブルーの香り 詰め替え 大容量 600ml×2 アロマ スプレー フレグランス リラックス</t>
  </si>
  <si>
    <t>b0cvm4kzvr</t>
  </si>
  <si>
    <t>3927/1480</t>
  </si>
  <si>
    <t>【セット品】ロート製薬 ラビオーム バリアビオソープ 本体＋詰替セット フローラルの香り デリケート部位用ジェルソープ 乳酸菌 弱酸性 防腐剤フリー 敏感肌パッチテスト済 敏感 敏感肌 肌</t>
  </si>
  <si>
    <t>b0dnm4fzyy-1</t>
  </si>
  <si>
    <t>6708,6715/903,678</t>
  </si>
  <si>
    <t>きんだい(Kindai) ウェットタオル 冷ひやネックタオル 56×20cm 50本入り 日本製 大判 防災 使い捨て 個包装 暑さ対策 熱中症</t>
  </si>
  <si>
    <t>7514/1300</t>
  </si>
  <si>
    <t>1012/1884</t>
  </si>
  <si>
    <t>ビオレu 泡ハンドソープ シトラスの香り つめかえ用 770ml 詰め替え 手洗い 殺菌 消毒</t>
  </si>
  <si>
    <t>b0by2pjqg2-1</t>
  </si>
  <si>
    <t>6087/454</t>
  </si>
  <si>
    <t>M-8984/806</t>
  </si>
  <si>
    <t>ママクック フリーズドライ ムネ肉レバーミックス 130g×2個セット 猫 猫用 おやつ 国産 ドライフード  キャットフード  人気 大容量</t>
  </si>
  <si>
    <t>b0cxhp2db2</t>
  </si>
  <si>
    <t>4184/3740</t>
  </si>
  <si>
    <t>【訳あり】いなば ちゅ~る 総合栄養食 とりささみ チキンミックス味 20本 犬 犬用 おやつ ドックフード 大容量 人気 国産 水分補給　※賞味期限2025・12月末〜</t>
  </si>
  <si>
    <t>b07hqgbs89</t>
  </si>
  <si>
    <t>6698/670</t>
  </si>
  <si>
    <t>花王 ワイドハイター クリアヒーロー 消臭ジェル フレッシュフローラルの香り 詰替 500ml×3個セット 消臭 衣類 消臭剤</t>
  </si>
  <si>
    <t>b0fjlg3fpt</t>
  </si>
  <si>
    <t>4171/1182</t>
  </si>
  <si>
    <t>トイレのルック つめかえ用 350ml トイレ 掃除 洗剤 トイレ用洗剤</t>
  </si>
  <si>
    <t>3個</t>
  </si>
  <si>
    <t>b01chxcqa4</t>
  </si>
  <si>
    <t>3336/109</t>
  </si>
  <si>
    <t>B01CHXCQA4-2</t>
  </si>
  <si>
    <t>いなば チャオ ちゅ〜る 毛玉配慮セレクション 14g×66本 猫 猫用 国産 おやつ 液状 キャットフード 人気 大容量 水分補給 まとめ買い</t>
  </si>
  <si>
    <t>0190/1980</t>
  </si>
  <si>
    <t>CIAO (チャオ) 香り立つクランキーちゅ〜る和え BOX 4種セット シーフード とりささみ まぐろ 猫</t>
  </si>
  <si>
    <t>b0dhfnf2n9</t>
  </si>
  <si>
    <t>いなば ちゅ~る 軟骨・野菜バラエティ 20本 総合栄養食 犬 犬用おやつ ドックフード 大容量 人気</t>
  </si>
  <si>
    <t>b09v2k6w2v-a</t>
  </si>
  <si>
    <t>1117/253</t>
  </si>
  <si>
    <t>フィリップス ソニッケアー プロテクトクリーン ライトブルー HX6803/72 歯磨き ケア 口臭</t>
  </si>
  <si>
    <t>4459/6630</t>
  </si>
  <si>
    <t>HAKU ハク メラノフォーカスEV 45g 本体 医薬部外品 化粧品 肌 肌ケア ケア</t>
  </si>
  <si>
    <t>b0bthtbcrn</t>
  </si>
  <si>
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</si>
  <si>
    <t>b0cxny69dc</t>
  </si>
  <si>
    <t>4377,3070/4790</t>
  </si>
  <si>
    <t>B0CXNVT5J4</t>
  </si>
  <si>
    <t>B0CXNY69DC</t>
  </si>
  <si>
    <t>いなば   チャオ (CIAO) ちゅ~る 水分補給 まぐろ 海鮮ミックス味 20本 猫 猫用 おやつ 国産 液体 キャットフード 栄養補給 夏バテ ゼリー ペースト 高齢 大容量 人気</t>
  </si>
  <si>
    <t>b07xgg8fvx</t>
  </si>
  <si>
    <t>9424/783</t>
  </si>
  <si>
    <t>いなば まぐろジュレ 乳酸菌入り バラエティ 3種 アソート （65g×4個） 3箱セット 猫 ウェット キャットフード お試し</t>
  </si>
  <si>
    <t>2526,2540,2533/1182</t>
  </si>
  <si>
    <t>ゼットフェイス バイタライジング ミネラルエッセンス [ ライザップ 表情筋 トレーニング 導入美容液 ]70ml スキンケア ケア 顔 フェイス フェイストレーニング</t>
  </si>
  <si>
    <t>b0d9ygx2f9</t>
  </si>
  <si>
    <t>0621/1650</t>
  </si>
  <si>
    <t>P&amp;G ジレット プロシールド5+1 パワー ホルダー 電動タイプ (1本) 本体 替刃6個付 電動 シェーバー メンズ</t>
  </si>
  <si>
    <t>b08l79wrhm</t>
  </si>
  <si>
    <t>【セット品】花王 ワイドハイター 消臭専用ジェル グリーンシトラスの香り 本体 570ml＋詰替500mL セット 消臭 衣類 消臭剤</t>
  </si>
  <si>
    <t>b09w61jm5n</t>
  </si>
  <si>
    <t>5166,5173/950</t>
  </si>
  <si>
    <t>210日 x うさぎ(超小型犬・小型犬)</t>
  </si>
  <si>
    <t>B0F2SHYQ8W-a</t>
  </si>
  <si>
    <t>1604/1319</t>
  </si>
  <si>
    <t>ミントブルー</t>
  </si>
  <si>
    <t>B0DB1RBQM4</t>
  </si>
  <si>
    <t>いなば CIAO(チャオ) 焼かつおディナー 高齢猫用ほたて貝柱入り 50g×16袋  猫 猫 猫用 おやつ ウェット キャットフード 人気 高齢 シニア 老猫</t>
  </si>
  <si>
    <t>【セット品】クーリア ボンボンドロップシール 5種セット 正規品 ゆにこん ぷかぷか ほかほか ももいろ きぐるみ ボンドロ かわいい 立体 シール ぷっくり ぷくぷく シール交換 収集  本物 本家</t>
  </si>
  <si>
    <t>0417,1830,0526,0564,1226/1110</t>
  </si>
  <si>
    <t>サボン ボディスクラブ S デリケート・ジャスミン 320g 化粧品 コスメ 体 ボディー ケア</t>
  </si>
  <si>
    <t>b0cxj4xysz</t>
  </si>
  <si>
    <t>6008/2915</t>
  </si>
  <si>
    <t>【セット品】花王 ワイドハイター 消臭専用ジェル フレッシュフローラルの香り 本体 570ml＋詰替500mL セット 消臭 衣類 消臭剤</t>
  </si>
  <si>
    <t>b086hc58gm</t>
  </si>
  <si>
    <t>4164,4171/950</t>
  </si>
  <si>
    <t>4305/660</t>
  </si>
  <si>
    <t>4613/347</t>
  </si>
  <si>
    <t>いなば CIAO(チャオ) 焼かつおディナー 高齢猫用かつお節・ほたて貝柱入り 50g×16 キャットフード パウチ 高齢猫 猫 ウェット</t>
  </si>
  <si>
    <t>b00jrnm0ng</t>
  </si>
  <si>
    <t>8703/1584</t>
  </si>
  <si>
    <t>4215/690</t>
  </si>
  <si>
    <t>ライオン ソフラン エアリス プールサイド 本体 480ml+詰め替え810mlセット 部屋干し 雨の日 部屋 かろやか 香る きれい 清潔 衣類 静電気 防臭 抗菌 赤ちゃん ベビー ネモフィラ ウォーターリリー 洗濯</t>
  </si>
  <si>
    <t>9599/660</t>
  </si>
  <si>
    <t>7409/396</t>
  </si>
  <si>
    <t>コスメテックスローランド 浪蘭堂 薬用和ハッカ 水ミスト 250mL×4個セット 化粧水 ケア 肌 肌ケア</t>
  </si>
  <si>
    <t>b092dqrjkb</t>
  </si>
  <si>
    <t>5878/1892</t>
  </si>
  <si>
    <t>ドクターズチョイス 納豆菌ジャーキー スティックタイプ 4種 150g×4袋セット 犬用 犬用おやつ 犬のおやつ ドッグフード 犬用品 ギフト 犬オヤツ ジャーキー ペットフード 人気 アソート まとめ買い 国産</t>
  </si>
  <si>
    <t>4571,1365,1369,1372/1220</t>
  </si>
  <si>
    <t>【選べる】NUXE プロディジュー オイル 50mL（定番/フローラル/ゴールド）ボディケア 美容 ケア</t>
  </si>
  <si>
    <t>フローラルオイル(ピンク) x 選択しない x 選択しない</t>
  </si>
  <si>
    <t>3264680009761-26</t>
  </si>
  <si>
    <t>フローラルオイル(ピンク) x フローラルオイル(ピンク) x 選択しない</t>
  </si>
  <si>
    <t>3264680009761-21</t>
  </si>
  <si>
    <t>ママクック フリーズドライのムネ肉スナギモミックス 130g 猫 猫用 おやつ 国産 ドライフード  キャットフード  人気 大容量</t>
  </si>
  <si>
    <t>b09zp5bzgq</t>
  </si>
  <si>
    <t>3842/1660</t>
  </si>
  <si>
    <t>【セット品】メラノCC  薬用しみ対策美白化粧水(しっとり)170mL＋美白乳液120mL 化粧水 スキンケア 肌 肌ケア ケア</t>
  </si>
  <si>
    <t>b0fdq59t55</t>
  </si>
  <si>
    <t>8924,8833/1356</t>
  </si>
  <si>
    <t>いなば ちゅ〜る トッパー ドライ チキン味 180g×3個 犬用 おやつ ドックフード</t>
  </si>
  <si>
    <t>3516/648</t>
  </si>
  <si>
    <t>いなば CIAO ちゅ〜るごはん まぐろ 14g×4本 6袋セット 猫 猫用 国産 総合栄養食 おやつ 液状  キャットフード  人気 大容量 まとめ買い 水分補給</t>
  </si>
  <si>
    <t>b0blvdxqgy</t>
  </si>
  <si>
    <t>8033/768</t>
  </si>
  <si>
    <t>いなば ちゅ～る トッパー ドライ 3種 (180g×3) 合計３袋セット 犬用 おやつ ドックフード アソート まとめ買い</t>
  </si>
  <si>
    <t>3516,3530,3523/648</t>
  </si>
  <si>
    <t>1543/1319</t>
  </si>
  <si>
    <t>象印マホービン クールボトル 水筒 1.55L スポーツタイプ SD-AJ15-AZ SD-AJ15-PZ 運動 水分補給 夏</t>
  </si>
  <si>
    <t>ダイヤピンク</t>
  </si>
  <si>
    <t>b085f3fwhh</t>
  </si>
  <si>
    <t>8414,8421/2980</t>
  </si>
  <si>
    <t>B085F3Z2P1</t>
  </si>
  <si>
    <t>フリーズドライのササミ猫用１５０ｇ 猫 猫用 おやつ 国産 ドライフード  キャットフード  人気 大容量</t>
  </si>
  <si>
    <t>b01dn6u8j0</t>
  </si>
  <si>
    <t>3378/1660</t>
  </si>
  <si>
    <t>バイタライジング ミネラルクリーム [ ライザップ 表情筋 トレーニング オールインワンスキンクリーム ]100g スキンケア ケア 顔 フェイス フェイストレーニング</t>
  </si>
  <si>
    <t>b0d9w4hhzm</t>
  </si>
  <si>
    <t>0614/1650</t>
  </si>
  <si>
    <t>レノア リセット セラム ホワイトピーチ&amp;カモミールの香り つめかえ 特大 750mL×2個セット 柔軟剤 部屋干し 雨の日 部屋 かろやか 香る きれい 清潔 衣類 静電気 防臭 抗菌 赤ちゃん ベビー  洗濯</t>
  </si>
  <si>
    <t>b0dktchdgk</t>
  </si>
  <si>
    <t>0659/1856</t>
  </si>
  <si>
    <t>【セット品】肌ラボ 極潤 薬用ハリ化粧水170ml ＋ 薬用ハリ乳液140ml セット 化粧 ケア 肌 肌ケア 保湿</t>
  </si>
  <si>
    <t>b09c7lpc7m</t>
  </si>
  <si>
    <t>1255,1286/1508</t>
  </si>
  <si>
    <t>極みのAg+抗菌綿棒 紙の個包装 100本入×5個セット 綿棒 個包装 ケア 耳掃除</t>
  </si>
  <si>
    <t>b0bd43nw2j</t>
  </si>
  <si>
    <t>3557/764</t>
  </si>
  <si>
    <t>ファブリーズ おそうじエイド ハウスダストをまとめて固めるスプレー 香料無添加 370ml 除菌 P&amp;Gジャパン スプレー</t>
  </si>
  <si>
    <t>【訳あり】 モンプチ プチリュクスパウチ 15歳以上 贅沢まぐろバラエティ 30ｇ×6P 高齢猫 猫 猫用 パウチ ウェット キャットフード 人気 まぐろ かつお だし ささみ しらす ※賞味期限2026.04末</t>
  </si>
  <si>
    <t>b09cckbv78</t>
  </si>
  <si>
    <t>4575/353</t>
  </si>
  <si>
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</si>
  <si>
    <t>アイスブルー×2個</t>
  </si>
  <si>
    <t>b093lnhzq2-1</t>
  </si>
  <si>
    <t>5309/2580</t>
  </si>
  <si>
    <t>B09G2XKXFF-1</t>
  </si>
  <si>
    <t>140日 x くま(中型犬・大型犬)</t>
  </si>
  <si>
    <t>B0F2SL3945</t>
  </si>
  <si>
    <t>いなば チャオ(CIAO)ちゅ〜るごはん とりささみ 総合栄養食 14g×4P ６袋セット 猫 猫用 おやつ 国産 液状 キャットフード 人気 グレインフリー</t>
  </si>
  <si>
    <t>5722/870</t>
  </si>
  <si>
    <t>ペティオ (Petio) 犬猫用マット 電気を使わない アルミ＆ジェル ソフトクールマット 猫 犬 人気 夏用 冷感 熱中症対策 ひんやり</t>
  </si>
  <si>
    <t>L</t>
  </si>
  <si>
    <t>b0cxhysh9b</t>
  </si>
  <si>
    <t>3919,3926,3933/495,528,693</t>
  </si>
  <si>
    <t>B0CXJ22BSS</t>
  </si>
  <si>
    <t>太陽のさち ポケットデオ デオドラント ケア 匂い 匂いケア</t>
  </si>
  <si>
    <t>b0bwq4kpg4</t>
  </si>
  <si>
    <t>2706/273</t>
  </si>
  <si>
    <t>いなば ちゅ〜るボール とりささみ ビーフ 犬用 6袋セット 犬 おやつ ドックフード トッパー</t>
  </si>
  <si>
    <t>8974/942</t>
  </si>
  <si>
    <t>ダストマン○(マル)浅型 30枚×2個セット スタンド 三角コーナー 水切り ゴミ袋</t>
  </si>
  <si>
    <t>1112/244</t>
  </si>
  <si>
    <t>ティールグリーン</t>
  </si>
  <si>
    <t>B09ZXFLZ74</t>
  </si>
  <si>
    <t>ブラザー工業インクカートリッジ4色パック(エコパッケージ) LC411-4PK-E インク プリント</t>
  </si>
  <si>
    <t>b09lv978my</t>
  </si>
  <si>
    <t>0370/3847</t>
  </si>
  <si>
    <t>モンプチ バッグ ナチュラル 5種 アソート (500g×5袋) 猫 猫用 無添加 着色料 不使用 （チキン・ターキー・ラム・かつお ・小魚 ） ドライ キャットフード 人気 まとめ買い</t>
  </si>
  <si>
    <t>b07pcq697v</t>
  </si>
  <si>
    <t>わんわん チョイあげ 国産 13種 バラエティ アソート セット  犬用 おやつ</t>
  </si>
  <si>
    <t>b0f2hpb231-1</t>
  </si>
  <si>
    <t>5829/1210</t>
  </si>
  <si>
    <t>いなば チャオ (CIAO) ちゅ~るごはん シニア猫用バラエティ 14g×36本 猫用おやつ BOX 猫 液状 おやつ 乳酸菌 着色料 香料 化学調味料 不使用 グレインフリー シニア 高齢猫 総合栄養食 キャットフード 大容量 人気 【簡易梱包】</t>
  </si>
  <si>
    <t>いなば チャオ ちゅ〜る まぐろセレクション 14g×66本セット 猫 猫用 国産 おやつ 液状 キャットフード 人気 大容量 水分補給 まとめ買い マグロ まぐろ</t>
  </si>
  <si>
    <t>0176/1980</t>
  </si>
  <si>
    <t>1902/1314</t>
  </si>
  <si>
    <t>いなば わがまま猫缶 細かめフレーク かつお・まぐろ 115g 24個セット 猫缶 猫 まぐろ かつお ウェット</t>
  </si>
  <si>
    <t>b013jdg8cs</t>
  </si>
  <si>
    <t>0675/2904</t>
  </si>
  <si>
    <t>ペティオ (Petio) 犬猫用ベッド ひんやりサマーベッド 猫 犬 人気 夏用 冷感 熱中症対策 ひんやり 手洗い</t>
  </si>
  <si>
    <t>バナナボート</t>
  </si>
  <si>
    <t>b0cxj31y65</t>
  </si>
  <si>
    <t>4022,4039,1373,1120/1265,1485</t>
  </si>
  <si>
    <t>B0BX48JZDM</t>
  </si>
  <si>
    <t>ペティオ (Petio) プレシャンテ ラバーブラシ ペット用 ペット用 犬 猫 犬用 猫用 グルーミング ブラシ</t>
  </si>
  <si>
    <t>b004vk6oxc</t>
  </si>
  <si>
    <t>8840/555</t>
  </si>
  <si>
    <t>いなば 魚づくし まぐろ・かつお 6種 アソート (60ｇ×3袋) 合計６袋セット 猫 猫用 パウチ おやつ ウェット ソフトゼリー キャットフード 人気 バラエティ まとめ買い</t>
  </si>
  <si>
    <t>b0fdgc838r</t>
  </si>
  <si>
    <t>ペティオ (Petio) プレシャンテ 犬用ネイルカッター ストッパー付 犬用 M サイズ 犬 爪切り ケア</t>
  </si>
  <si>
    <t>b00ihqis9y</t>
  </si>
  <si>
    <t>7439/833</t>
  </si>
  <si>
    <t>ラボン(Lavons) トゥザムーン to the Moon ベッドルーム&amp;ファブリックミスト ノクターナルブルーの香り 詰め替え 大容量 600ml×3 アロマ スプレー フレグランス リラックス</t>
  </si>
  <si>
    <t>b0cvm4kzvr-1</t>
  </si>
  <si>
    <t>3927/2220</t>
  </si>
  <si>
    <t>ドクターズチョイス ゴートミルク(ヤギミルク) 犬猫用みるく 120g 犬 猫 犬用 猫用 ペット</t>
  </si>
  <si>
    <t>送料無料</t>
  </si>
  <si>
    <t>5035/1130</t>
  </si>
  <si>
    <t>B075GK2MZW-2</t>
  </si>
  <si>
    <t>【セット品】花王 ハミングフレア リラックス ラベンダー&amp;ジャスミン 本体510mL＋詰替350mL セット 部屋干し 雨の日 部屋 かろやか 香る きれい 清潔 衣類 静電気 防臭 抗菌 赤ちゃん ベビー  洗濯</t>
  </si>
  <si>
    <t>b0d9zg3zkm</t>
  </si>
  <si>
    <t>8140,7198/398</t>
  </si>
  <si>
    <t>【並行輸入品】ニュクス プロディジュー ネロリ オイル 100ml ボディケア 美容 ケア</t>
  </si>
  <si>
    <t>4993/2893</t>
  </si>
  <si>
    <t>アース・ペット スタミノール 食欲がない時に 犬・猫用 100g</t>
  </si>
  <si>
    <t>b0dgqqh4tt</t>
  </si>
  <si>
    <t>0703/1100</t>
  </si>
  <si>
    <t>8095/396</t>
  </si>
  <si>
    <t>8286/1978</t>
  </si>
  <si>
    <t>NEXXUS スムースアンドマネージャブル ヘアマスク トリートメント 本体 220g×2個セット ケア ヘアケア ネクサス うねりケア</t>
  </si>
  <si>
    <t>b0bqt8pr1d</t>
  </si>
  <si>
    <t>2523/1998</t>
  </si>
  <si>
    <t>肌ラボ 白潤プレミアム薬用浸透美白化粧水 170ml×3 化粧 ケア 肌 肌ケア 保湿</t>
  </si>
  <si>
    <t>b08wshptwz-1</t>
  </si>
  <si>
    <t>8446/2283</t>
  </si>
  <si>
    <t>クロスカットシュレッダー_SHR-X205B 00-5175 シュレッダー コンパクト 細断 A4対応 家庭用 オーム電気</t>
  </si>
  <si>
    <t>b07mft77b9</t>
  </si>
  <si>
    <t>1751/2199</t>
  </si>
  <si>
    <t>【福袋】 【計4種セット】 【正規品】  クーリア 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</si>
  <si>
    <t>b0gsqjtck2</t>
  </si>
  <si>
    <t>2367/1014</t>
  </si>
  <si>
    <t>B0GSQCP1MR</t>
  </si>
  <si>
    <t>エナガシロップ</t>
  </si>
  <si>
    <t>B0GSQCQXXY</t>
  </si>
  <si>
    <t>シュガーミエル</t>
  </si>
  <si>
    <t>B0GSQ5TGBD</t>
  </si>
  <si>
    <t>東レ ポット型浄水器 トレビーノ用カートリッジ PTC.SV2J (2個入り)  交換用 浄水器 浄水 浄水ポット 高除去</t>
  </si>
  <si>
    <t>b00kw6usng</t>
  </si>
  <si>
    <t>9283/2713</t>
  </si>
  <si>
    <t>HAKU ハク メラノディープモイスチャー 美白化粧水 100g ジェル状 薬用 美白 化粧水 シミ予防 保湿 角層ケア うるおい</t>
  </si>
  <si>
    <t>b073w8rhb7</t>
  </si>
  <si>
    <t>花王 アタックZERO ワンハンド 800g 大容量タイプ 洗濯 洗剤 洗浄 抗菌</t>
  </si>
  <si>
    <t>5154/384</t>
  </si>
  <si>
    <t>4254/358</t>
  </si>
  <si>
    <t>【医薬部外品】ちふれ 美白化粧水 VC&amp;AR さっぱりタイプ 180mL アルブチン ビタミンC誘導体 美白ローション シミ ソバカス 透明感 スキンケア 日本製</t>
  </si>
  <si>
    <t>b0c842d5zh</t>
  </si>
  <si>
    <t>7514/825</t>
  </si>
  <si>
    <t>ソフラン アロマリッチ キャサリン 本体＋詰替セット 部屋干し 雨の日 部屋 かろやか 香る きれい 清潔 衣類 防臭 抗菌 金木犀  洗濯</t>
  </si>
  <si>
    <t>b0chyd2hnt</t>
  </si>
  <si>
    <t>3058/327</t>
  </si>
  <si>
    <t>【医薬部外品】ちふれ 美白クリーム VC&amp;AR 35g アルブチン ビタミンC誘導体 美白クリーム シミ ソバカス 保湿 スキンケア 日本製</t>
  </si>
  <si>
    <t>b0c84lb74r</t>
  </si>
  <si>
    <t>8313/825</t>
  </si>
  <si>
    <t>3615/672</t>
  </si>
  <si>
    <t>【医薬部外品】ちふれ 美白美容液 VC&amp;AR 30mL アルブチン ビタミンC誘導体 美白美容液 シミ ソバカス スキンケア 日本製</t>
  </si>
  <si>
    <t>b0c84d5xlg</t>
  </si>
  <si>
    <t>8115/825</t>
  </si>
  <si>
    <t>【12個セット】 いなばペットフード いなば 焼きミックスちゅ～る和え まぐろ味とえび味 10g×3袋</t>
  </si>
  <si>
    <t>b0dfcpljq7</t>
  </si>
  <si>
    <t>【セット品】 ファブリーズ おそうじエイド ハウスダストをまとめて固めるスプレー 無香料 本体370ml＋詰替320mlセット 除菌 P&amp;Gジャパン スプレー</t>
  </si>
  <si>
    <t>5041,4914/283,250</t>
  </si>
  <si>
    <t>ケアセラ(CareCera) APフェイス&amp;ボディ乳液 本体 200ml×3個セット セラミドプラス×8種の天然型セラミド配合 ボディ ボディケア ケア 保湿 まとめ買い</t>
  </si>
  <si>
    <t>b074qqc44s</t>
  </si>
  <si>
    <t>5620/2514</t>
  </si>
  <si>
    <t>【セット品】 ユニ・チャーム 銀のスプーン三ツ星グルメおやつ にゃんSpoon 無添加 3種アソート まぐろ&amp;鶏ささみ＆かつお味 80g (40g×2) 猫用おやつ</t>
  </si>
  <si>
    <t>b0dpjtm18z</t>
  </si>
  <si>
    <t>NEXXUS(ネクサス) インテンスダメージリペア シャンプー 詰め替え用 350g×3個セット ケア ヘアケア</t>
  </si>
  <si>
    <t>b0bqtg8vt7-1</t>
  </si>
  <si>
    <t>2479/2418</t>
  </si>
  <si>
    <t>ペティオ (Petio) プレシャンテ ソフトスリッカーブラシ 長毛犬・長毛猫用 S サイズ 犬 猫 犬用 猫用 コーミング ブラシ</t>
  </si>
  <si>
    <t>b004vk6me8</t>
  </si>
  <si>
    <t>8789/486</t>
  </si>
  <si>
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</si>
  <si>
    <t>b0frs8q4sr</t>
  </si>
  <si>
    <t>B0FRSBPK5W</t>
  </si>
  <si>
    <t>120日 x コアラ(中型犬・大型犬)</t>
  </si>
  <si>
    <t>B0C3ZYYHGW</t>
  </si>
  <si>
    <t>フェイストレーニング ミネラルクリーム [ ライザップ 表情筋 トレーニング クリーム ]100g スキンケア ケア 顔 フェイス フェイストレーニング</t>
  </si>
  <si>
    <t>b0d9w4dwf5</t>
  </si>
  <si>
    <t>0607/1650</t>
  </si>
  <si>
    <t>DRハニー ブラックビー モイスト リペア シャンプー &amp; トリートメント 増量 [ 510mL / 510mg ] 詰替セット まとめ買い ポンプ ケア ヘアケア</t>
  </si>
  <si>
    <t>b0dhzc5tgv</t>
  </si>
  <si>
    <t>2095,2101/534</t>
  </si>
  <si>
    <t>リボンクローゼット</t>
  </si>
  <si>
    <t>B0GSQC8JP3</t>
  </si>
  <si>
    <t>トリコロール W stem(ダブルステム) REVIVAL ヒト幹細胞エキス配合 保湿クリーム 50g×2個セット 肌 肌ケア ケア</t>
  </si>
  <si>
    <t>b014kk2b98</t>
  </si>
  <si>
    <t>0312/1978</t>
  </si>
  <si>
    <t>いなば チャオ (CIAO) Cozy Life (コージーライフ) ちゅ〜る バラエティ 14g×36本  猫 猫用 液状 ペースト おやつ キャットフード 大容量 BOX 人気 簡易包装</t>
  </si>
  <si>
    <t>b0f2sltbh8</t>
  </si>
  <si>
    <t>0133/715</t>
  </si>
  <si>
    <t>【医薬部外品】ちふれ 薬用リンクルジェルクリーム 103g  本体　ナイアシンアミド シワ改善 シミ予防 オールインワンジェル 保湿 スキンケア 日本製 化粧水 美容液 乳液 クリーム マスク アイクリーム ネッククリーム 無香料 無着色</t>
  </si>
  <si>
    <t>b0c84g8z52</t>
  </si>
  <si>
    <t>5316/1375</t>
  </si>
  <si>
    <t>きらりんエナガマーチ</t>
  </si>
  <si>
    <t>B0FRS9RLPL</t>
  </si>
  <si>
    <t>【訳あり】いなば チャオ (CIAO) ちゅ~る まぐろバラエティ 14グラムx 40本 猫 猫用 国産 おやつ 液状  マグロ キャットフード  人気 大容量 水分補給※賞味期限2026・3月末</t>
  </si>
  <si>
    <t>b014r0g9iu</t>
  </si>
  <si>
    <t>0444/1280</t>
  </si>
  <si>
    <t>いなば ちゅ~る 総合栄養食 とりささみ ビーフミックス味 20本 犬 犬用 国産 おやつ 液体 ドックフード 大容量 人気 水分補給</t>
  </si>
  <si>
    <t>b07hqdv94l</t>
  </si>
  <si>
    <t>6704/750</t>
  </si>
  <si>
    <t>マルカン ペンギンさんの涼マット ワイド ペット 夏用 冷感 ひんやり 涼しい 冷たい ベッド シート ハウス マット おしゃれ 可愛い 手洗い 犬 猫 さらさら 大きい クッション  メッシュ生地 リバーシブル ふんわり</t>
  </si>
  <si>
    <t>3枚セット</t>
  </si>
  <si>
    <t>b07ppvc59y</t>
  </si>
  <si>
    <t>8056/286</t>
  </si>
  <si>
    <t>B07PPVC59Y-4</t>
  </si>
  <si>
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</si>
  <si>
    <t>0635/1856</t>
  </si>
  <si>
    <t>スキンアクア(SKIN AQUA) トーンアップ UV エッセンス 日焼け止め 透明感 色白感UP ブルー 80g×3個セット SPF50+ PA++++</t>
  </si>
  <si>
    <t>b0dt4gr197</t>
  </si>
  <si>
    <t>6432/1641</t>
  </si>
  <si>
    <t>ゴールドオイル</t>
  </si>
  <si>
    <t>3264680009761-c</t>
  </si>
  <si>
    <t>いなば チャオ (CIAO) ちゅ~るごはん まぐろ・かつおバラエティ 14g×60本N 猫 猫用 国産 おやつ 液状  キャットフード  人気 大容量</t>
  </si>
  <si>
    <t>b0f2st9gvk</t>
  </si>
  <si>
    <t>【まとめ買い】 日本カルシウム工業 ペットボトル用浄水器 クリスタルH2O 4個セット 浄水パック ペットボトル用 携帯浄水器 カルキ除去 水質改善 アルカリイオン水 防災 災害対策 節約 水道水 美味しく 日本製【お茶パック付き】</t>
  </si>
  <si>
    <t>b01cnbx6x6</t>
  </si>
  <si>
    <t>3092/1848</t>
  </si>
  <si>
    <t>B01CNBX6X6-2</t>
  </si>
  <si>
    <t>チャオ CIAO ちゅーる ラウンドベッド イエロー ペット用 【限定品】</t>
  </si>
  <si>
    <t>9581/770</t>
  </si>
  <si>
    <t>ミントグリーン</t>
  </si>
  <si>
    <t>B093L6MJKJ</t>
  </si>
  <si>
    <t>NEWクレラップ レギュラー 30cm×20m×8個セット ラップ クレラップ 台所 料理</t>
  </si>
  <si>
    <t>b0018b5c30</t>
  </si>
  <si>
    <t>3205/1540</t>
  </si>
  <si>
    <t>ミッドナイトブラック</t>
  </si>
  <si>
    <t>B093L5CMMT</t>
  </si>
  <si>
    <t>NEXXUS(ネクサス) リペアアンドカラープロテクト 洗い流さないトリートメントオイル 100ml×2個セット ２本セット ケア ヘアケア</t>
  </si>
  <si>
    <t>b0ctb5p54t</t>
  </si>
  <si>
    <t>6644/574</t>
  </si>
  <si>
    <t>ロッシ馬油ナチュラルミルクローション 485ml×4個セット 馬油 ミルク ローション</t>
  </si>
  <si>
    <t>7773/1560</t>
  </si>
  <si>
    <t>1415/0720</t>
  </si>
  <si>
    <t>2個</t>
  </si>
  <si>
    <t>B01CHXCQA4-1</t>
  </si>
  <si>
    <t>ライトパープル×2個</t>
  </si>
  <si>
    <t>B09G2XJQG2-1</t>
  </si>
  <si>
    <t>ミントグリーン×2個</t>
  </si>
  <si>
    <t>B093L81YVZ-1</t>
  </si>
  <si>
    <t>ライオン ソフラン エアリス バルコニー 本体 480ml+詰め替え810mlセット 部屋干し 雨の日 部屋 かろやか 香る きれい 清潔 衣類 静電気 防臭 抗菌 赤ちゃん ベビー ネクタリン フリージア 洗濯</t>
  </si>
  <si>
    <t>b0bxbq71wb</t>
  </si>
  <si>
    <t>ラベンダーグレー×2個</t>
  </si>
  <si>
    <t>B093L878QZ-1</t>
  </si>
  <si>
    <t>ミッドナイトブラック×2個</t>
  </si>
  <si>
    <t>B093L6298K-1</t>
  </si>
  <si>
    <t>ホワイト×2個</t>
  </si>
  <si>
    <t>B093LNHZQ2-1</t>
  </si>
  <si>
    <t>【医薬部外品】ちふれ 薬用リンクルジェルクリーム(詰替用) 103ml ジェル クリーム 化粧水 美容液 乳液 マスク アイクリーム ネッククリーム</t>
  </si>
  <si>
    <t>b0c8471g15</t>
  </si>
  <si>
    <t>5415/1540</t>
  </si>
  <si>
    <t>NEXXUS スムースアンドマネージャブル コンディショナー(トリートメント) 詰め替え用 350g×3個セット ケア ヘアケア ネクサス うねりケア</t>
  </si>
  <si>
    <t>b0bqtg4wsq</t>
  </si>
  <si>
    <t>2554/1740</t>
  </si>
  <si>
    <t>わんわん チョイあげ 国産 14種 バラエティ アソート セット  犬用 おやつ スティック ささみ ジャーキー ペットフード【まとめ買い】</t>
  </si>
  <si>
    <t>b0fcb839t7</t>
  </si>
  <si>
    <t>エクセル 乳酸菌生成エキス コスモスラクト バード 30ml 鳥用 インコ サプリ 栄養補給</t>
  </si>
  <si>
    <t>9701/1287</t>
  </si>
  <si>
    <t>B0D1P44HT9-2</t>
  </si>
  <si>
    <t>ナチュラルペットフーズ エクセル セキセイインコ 1.3kg×2袋セット インコ 餌 主食 まとめ買い 大容量</t>
  </si>
  <si>
    <t>b0g2xtw9p2</t>
  </si>
  <si>
    <t>6104/1320</t>
  </si>
  <si>
    <t>INTEX(インテックス) 空気入れ ポンプ AC エレクトリックポンプ 100V 66639 [日本正規品] 浮き輪 プール ボール</t>
  </si>
  <si>
    <t>b07q5846pr</t>
  </si>
  <si>
    <t>6106/1429</t>
  </si>
  <si>
    <t>ジョイペット JOYPET シャワーでアミノリンスインシャンプー 本体350mL+詰替280mL セット ペット 犬 犬用</t>
  </si>
  <si>
    <t>b09rmsry66</t>
  </si>
  <si>
    <t>5600,5709/168</t>
  </si>
  <si>
    <t>ロート製薬 バリアビオソープ 詰め替え 150ml×2 フローラルの香り デリケート部位用ジェルソープ 乳酸菌 弱酸性 防腐剤フリー 敏感肌パッチテスト済 敏感 敏感肌 肌 まとめ買い</t>
  </si>
  <si>
    <t>6715/1356</t>
  </si>
  <si>
    <t>スクラビングバブル トイレスタンプ 消臭成分in クリアジャスミン 本体×3個セット トイレ洗剤 掃除 付け替え用</t>
  </si>
  <si>
    <t>b0cnkfjw3j</t>
  </si>
  <si>
    <t>6057/657</t>
  </si>
  <si>
    <t>カミオジャパン ズートピア2 ウォーターインシール デコレーションシール かわいい 立体 シール ぷっくり ぷくぷく シール交換 収集 正規品 本物 本家</t>
  </si>
  <si>
    <t>b0g3pz55fx</t>
  </si>
  <si>
    <t>3325/549</t>
  </si>
  <si>
    <t>ファブリーズ おそうじエイド ハウスダストをまとめて固めるスプレー 洗いたてのリネンの香り 370ml 除菌 P&amp;Gジャパン スプレー</t>
  </si>
  <si>
    <t>歯磨撫子 重曹すっきり洗口液 口臭ケア 毛穴撫子 マウスウォッシュ lemon 200ml 口 口臭 口臭ケア ケア</t>
  </si>
  <si>
    <t>b076vdntgg</t>
  </si>
  <si>
    <t>6182/825</t>
  </si>
  <si>
    <t>1161,1192,1178,1185/1152</t>
  </si>
  <si>
    <t>いなば 鶏づくし とりささみ 5種 (180ｇ×5袋) 合計5袋セット 猫 猫用 ウェット ゼリー キャットフード 人気 まとめ買い</t>
  </si>
  <si>
    <t>b0fl6wtk7g</t>
  </si>
  <si>
    <t>いなば ちゅ~る とりささみバラエティ 20本 総合栄養食 犬 犬用おやつ ドックフード 大容量 人気</t>
  </si>
  <si>
    <t>b07phx85j9</t>
  </si>
  <si>
    <t>6803/598</t>
  </si>
  <si>
    <t>いなば チャオ CIAO ちゅ～る 子ねこ用 まぐろ 14g×20本 猫 猫用 子猫 国産 栄養補完食 おやつ 液状  キャットフード  人気 大容量</t>
  </si>
  <si>
    <t>b00l4z6sag</t>
  </si>
  <si>
    <t>ナーセリー ダブル クレンジングジェル ゆず 200ml クレンジング 洗顔</t>
  </si>
  <si>
    <t>b00g5g2nik</t>
  </si>
  <si>
    <t>0672/580</t>
  </si>
  <si>
    <t>何も入れないささみだけのたまの伝説 70g ×8個セット 猫 猫用 国産 おやつ 缶詰 キャットフード 人気 大容量 まとめ買い</t>
  </si>
  <si>
    <t>b08lgjljsk</t>
  </si>
  <si>
    <t>1155/1136</t>
  </si>
  <si>
    <t>歯磨撫子 重曹つるつるハミガキ 黄ばみ 重曹 白い歯 ペースト 歯磨き粉 140g ペパーミント 歯磨き ケア 口臭 口内 口臭ケア</t>
  </si>
  <si>
    <t>b00x3e44d4</t>
  </si>
  <si>
    <t>4539/660</t>
  </si>
  <si>
    <t>いなば チャオ (CIAO) ちゅ~る まぐろ・かつおバラエティ 14グラムx40本 猫 猫用 国産 おやつ 液状  キャットフード  人気 大容量 水分補給</t>
  </si>
  <si>
    <t>b014r0fzn0</t>
  </si>
  <si>
    <t>0451/1280</t>
  </si>
  <si>
    <t>6637/630</t>
  </si>
  <si>
    <t>ゴン太の歯磨き専用ガムSSサイズ L8020乳酸菌入り ４種 アソート 120g×4個セット いちごミルク ブルーベリー 乳酸菌 クロロフィル 国産品</t>
  </si>
  <si>
    <t>b0f9932wn7</t>
  </si>
  <si>
    <t>ICY ZAP アイシーザップ ネッククーラー サマーシャーベットの香り 9mL ×2個セット ネック クーラー ネッククーラー 首</t>
  </si>
  <si>
    <t>b0f937h5mn</t>
  </si>
  <si>
    <t>9103/788</t>
  </si>
  <si>
    <t>いなば  チャオ CIAO ピュアちゅ~る とりささみ 14g×4本 6個セット 猫 猫用 液状 おやつ 着色料 香料 化学調味料 不使用 グレインフリー 国産 キャットフード  大容量 人気</t>
  </si>
  <si>
    <t>b0bynpnh2m</t>
  </si>
  <si>
    <t>3856/642</t>
  </si>
  <si>
    <t>【セット品】 クーリア スペシャルもっちもちシール 4種セット みずいろうさベビー パクッとモグモグフード ハムハムエンジェル キャロットうさちゃん ボンボンドロップ ボンドロ かわいい 立体 シール ぷっくり ぷくぷく 正規品 本物 本家</t>
  </si>
  <si>
    <t>1926,1940,1957,1964/816</t>
  </si>
  <si>
    <t>ライフ すきまスッキリ綿棒 とんがりタイプ 100本入り×5個 掃除 隙間</t>
  </si>
  <si>
    <t>b0bdz3h15k</t>
  </si>
  <si>
    <t>7135/1023</t>
  </si>
  <si>
    <t>ファーファ 柔軟剤(濃縮) ベビーフローラルの香り 詰替 540ml ベビー 赤ちゃん 洗濯 洗剤 柔軟剤</t>
  </si>
  <si>
    <t>b00sb677cy</t>
  </si>
  <si>
    <t>3145/100</t>
  </si>
  <si>
    <t>B00SB677CY-1</t>
  </si>
  <si>
    <t>柑橘王子 メラノサーチVitaC洗顔 120g×2個セット 洗顔 泡洗顔 保湿 毛穴ケア さっぱり</t>
  </si>
  <si>
    <t>7612/473</t>
  </si>
  <si>
    <t>4193/358</t>
  </si>
  <si>
    <t>いなば わがまま猫とろみ まぐろ かつお節入り 140g×3個 ※旧パッケージ</t>
  </si>
  <si>
    <t>b0bj6qmwly</t>
  </si>
  <si>
    <t>140日 x うさぎ(超小型犬・小型犬)</t>
  </si>
  <si>
    <t>B0F2SY4R29-a</t>
  </si>
  <si>
    <t>ペティオ (Petio) NEW ノミ・ダニ取りスプレー犬用 M サイズ 犬 犬用 予防 寝床 ベッド スプレー</t>
  </si>
  <si>
    <t>b004sl1dc6</t>
  </si>
  <si>
    <t>7539/605</t>
  </si>
  <si>
    <t>花王 ニベア ロイヤルブルーリップ 濃密美容ケア 6g リップ ケア 保湿 乾燥</t>
  </si>
  <si>
    <t>b09dg57xpv</t>
  </si>
  <si>
    <t>4378/980</t>
  </si>
  <si>
    <t>【6袋入り】いなば ちゅ~るボール とりささみ 軟骨入り 10g×3袋 犬用</t>
  </si>
  <si>
    <t>8998/432</t>
  </si>
  <si>
    <t>いなば ちゅ〜るボール とりささみ 犬用 6袋セット 犬 おやつ ドックフード トッパー</t>
  </si>
  <si>
    <t>Diane(ダイアン) デオドラントスプレー ボディ用 ドライシャンプー [UVケア]グレープフルーツ&amp;ペパーミントの香り 95g +BODY プラスボディ 制汗 スプレー</t>
  </si>
  <si>
    <t>b0cv7jshcw</t>
  </si>
  <si>
    <t>8268/605</t>
  </si>
  <si>
    <t>レノア オードリュクス アロマジュエル イノセントビジュの香り 520ml 部屋干し 雨の日 部屋 かろやか 香る きれい 清潔 衣類 静電気 防臭 抗菌 赤ちゃん ベビー  洗濯</t>
  </si>
  <si>
    <t>B0FRS9YW3T</t>
  </si>
  <si>
    <t>【セット品】クーリア  マイシールバインダー + シール台紙 セット キャンディツインズ ボンドロ かわいい 立体 シール ぷっくり ぷくぷく シール交換 収集</t>
  </si>
  <si>
    <t>2374,2466/347,157</t>
  </si>
  <si>
    <t>【セット品】わんわん チョイあげ チョイでか シリーズ 4種 犬用 ドックフード おやつ アソート お試し 犬 犬用 おやつ ドックフード 大容量 人気 国産</t>
  </si>
  <si>
    <t>b0fj2dpg8y</t>
  </si>
  <si>
    <t>【セット品】クーリア  マイシールバインダー + シール台紙 セット キャンディツインズ/スター ボンドロ かわいい 立体 シール ぷっくり ぷくぷく シール交換 収集</t>
  </si>
  <si>
    <t>2367,2459/347,157</t>
  </si>
  <si>
    <t>チョイでかささみガムの星７本×3袋 犬 犬用 おやつ 歯磨き ガム 人気 国産 ドックフード まとめ買い</t>
  </si>
  <si>
    <t>b00w3axkse</t>
  </si>
  <si>
    <t>5805/612</t>
  </si>
  <si>
    <t>もふころりん/ねこ</t>
  </si>
  <si>
    <t>B0FRS8BY3V</t>
  </si>
  <si>
    <t>リッツ リバイバル うるおい玉 EGF 6回分 フリーズドライ 美容液 無添加 無香料 エイジングケア ケア</t>
  </si>
  <si>
    <t>b08f5bdmfl</t>
  </si>
  <si>
    <t>1902/657</t>
  </si>
  <si>
    <t>ピジョン 泡ぶくミトン 赤ちゃん お風呂</t>
  </si>
  <si>
    <t>b000bneqxs</t>
  </si>
  <si>
    <t>2346/596</t>
  </si>
  <si>
    <t>青単品</t>
  </si>
  <si>
    <t>B07PPVC59Y-1</t>
  </si>
  <si>
    <t>いなば ちゅ~る 水分補給 とりささみ チキンミックス味 20本 犬 犬用 おやつ ドックフード 大容量 人気 国産 水分補給</t>
  </si>
  <si>
    <t>b0c2bv3dlk</t>
  </si>
  <si>
    <t>5352/630</t>
  </si>
  <si>
    <t>ペティオ (Petio) プレシャンテ ダブルラバーブラシ ペット用 犬 猫 犬用 猫用 グルーミング ブラシ コーミング</t>
  </si>
  <si>
    <t>b004vk3ch8</t>
  </si>
  <si>
    <t>8963/550</t>
  </si>
  <si>
    <t>0979/695</t>
  </si>
  <si>
    <t>ぺティオ (Petio) 大満足祭 ササミ＆レバーチップス 120g 2種セット 犬 犬用 おやつ ドックフード 人気 小型犬 シニア犬 全犬種 国産  チーズ入り 間食 チップス</t>
  </si>
  <si>
    <t>b0bbvg791q-1</t>
  </si>
  <si>
    <t>0440,0457/280,250</t>
  </si>
  <si>
    <t>いなば チャオ (CIAO) ちゅ~る 水分補給 とりささみ 海鮮ミックス味 20本 国産 猫 猫用 おやつ キャットフード 栄養補給 夏バテ ゼリー ペースト 高齢 大容量 人気</t>
  </si>
  <si>
    <t>b07xfhrygt</t>
  </si>
  <si>
    <t>いなば やわらか 鶏レバー プレーン 30g×6個セット 犬 犬用 おやつ レバー ドックフード 人気 大容量 ひと口 やわらか ソフト 無添加 保存料 着色料 発色剤不使用</t>
  </si>
  <si>
    <t>b0cx41fsy8</t>
  </si>
  <si>
    <t>3530/780</t>
  </si>
  <si>
    <t>デビフ おすわりくん ササミ ７５ｇ ×４袋セット 犬用 おやつ</t>
  </si>
  <si>
    <t>b0dq83k574</t>
  </si>
  <si>
    <t>3516/780</t>
  </si>
  <si>
    <t>【セット品】クーリア  マイシールバインダー + シール台紙 セット シュガーミエル ボンドロ かわいい 立体 シール ぷっくり ぷくぷく シール交換 収集</t>
  </si>
  <si>
    <t>2411,2503/347,157</t>
  </si>
  <si>
    <t>1769/638</t>
  </si>
  <si>
    <t>【まとめ買い】 日本カルシウム工業 ヘルシーウォーターEX 38g×4個セット 浄水パック ペットボトル用 携帯浄水器 カルキ除去 水質改善 アルカリイオン水 ミネラル水 防災 災害対策 節約 水道水 美味しく 日本製【お茶パック付き】</t>
  </si>
  <si>
    <t>3214/1760</t>
  </si>
  <si>
    <t>期限4.30 いなば ほぐし身 焼ささみ チキンスープ味 14g 6個セット  猫 おやつ キャットフード トッパー</t>
  </si>
  <si>
    <t>b0cx4755m2</t>
  </si>
  <si>
    <t>4782/324</t>
  </si>
  <si>
    <t>レイス(Race) ちいかわ はがせるマニキュア3本セット マニキュア 爪 おしゃれ おもちゃ</t>
  </si>
  <si>
    <t>b0c5x3dvgm</t>
  </si>
  <si>
    <t>5151/502</t>
  </si>
  <si>
    <t>いなば ちゅ~る さつまいもバラエティ 20本 犬 犬用おやつ ドックフード 大容量 人気 液体 水分補給</t>
  </si>
  <si>
    <t>b0cw5wfp7z</t>
  </si>
  <si>
    <t>3330/598</t>
  </si>
  <si>
    <t>いなば ちゅ~るごはん とりささみバラエティ 20本 総合栄養食 犬 犬用おやつ ドックフード 大容量 人気</t>
  </si>
  <si>
    <t>b086z33zz8</t>
  </si>
  <si>
    <t>1783/598</t>
  </si>
  <si>
    <t>1790/598</t>
  </si>
  <si>
    <t>いなば チャオ(CIAO)ちゅ〜る 贅沢サーモン 北海道産ほたて貝柱入り （14g×4本）6袋セット 猫 猫用 おやつ 国産 液状 キャットフード 人気</t>
  </si>
  <si>
    <t>b0cr5sccj1</t>
  </si>
  <si>
    <t>0886/128</t>
  </si>
  <si>
    <t>ファブリーズ おそうじエイド ハウスダストをまとめて固めるスプレー 洗い立てリネンの香り つめかえ 320ml 除菌 P&amp;Gジャパン スプレー</t>
  </si>
  <si>
    <t>b098qfn95n</t>
  </si>
  <si>
    <t>5027/220</t>
  </si>
  <si>
    <t>ファブリーズ おそうじエイド ハウスダストをまとめて固めるスプレー 香料無添加 つめかえ 320ml 除菌 P&amp;Gジャパン スプレー</t>
  </si>
  <si>
    <t>b098qhm24d</t>
  </si>
  <si>
    <t>4914/250</t>
  </si>
  <si>
    <t>いなばペットフード CIAOすごい乳酸菌パウチ ささみほたて味 40g×7個セット 猫 猫用 国産 おやつ 液状 パウチ 水分補給  キャットフード  人気 大容量 まとめ買い 猫スナック</t>
  </si>
  <si>
    <t>チャオ (CIAO) ちゅ~ぶ 猫用おやつ まぐろ</t>
  </si>
  <si>
    <t>b08j32w66k</t>
  </si>
  <si>
    <t>0842/110</t>
  </si>
  <si>
    <t>ペティオ (Petio) ハッピークリーン 犬・猫ペット臭さ 消臭&amp;除菌EX 300ml</t>
  </si>
  <si>
    <t>b0851vtm89</t>
  </si>
  <si>
    <t>2180/143</t>
  </si>
  <si>
    <t>焼ミックス ちゅ〜る和え まぐろ味とえび味 10g×3袋 ［ちゅーる］</t>
  </si>
  <si>
    <t>b0cb459xr2</t>
  </si>
  <si>
    <t>【訳あり】いなば CIAO チャオプレミアム 子ねこ用 まぐろミックス味 200g 猫 猫用 キャットフード ドライ 子猫 総合栄養食 国産 チャック付き ※賞味期限2026.３末</t>
  </si>
  <si>
    <t>b0f2fq6lp7</t>
  </si>
  <si>
    <t>6230/199</t>
  </si>
  <si>
    <t>ペティオ (Petio) ハッピークリーン 犬・猫ペット臭さ 消臭&amp;除菌EX 250ml</t>
  </si>
  <si>
    <t>b0851znxtl</t>
  </si>
  <si>
    <t>2197/99</t>
  </si>
  <si>
    <t>１</t>
  </si>
  <si>
    <t>2026年05月から2026年05月</t>
  </si>
  <si>
    <t>バルサン ちいかわ 虫こないもん 吊り＆置きタイプ 270日 3種セット ちいかわ ハチワレ うさぎ 虫よけ 虫除け 吊り下げ 置き型 防虫グッズ 虫対策 ベランダ 玄関 室内 火不要 電池不要 コンセント不要 長持ち 日本製 キャラクター雑貨 夏対策 かわいい 防虫用品 まとめ買い</t>
  </si>
  <si>
    <t>b0gmpz962k</t>
  </si>
  <si>
    <t>2990,2976,2983/3224</t>
  </si>
  <si>
    <t>2121,2138,2145,2152/1020</t>
  </si>
  <si>
    <t>Biore ビオレZero お風呂で使う汗ケアローション 無香性 200ml×2個セット 無香性 汗ケア お風呂 浴室</t>
  </si>
  <si>
    <t>b0cvs37jdk-1</t>
  </si>
  <si>
    <t>2223/876</t>
  </si>
  <si>
    <t>【セット品】クーリア ボンボンドロップシール 5種セット 正規品 ゆにこん ぷかぷか ほかほか ももいろ きぐるみ ボンドロ かわいい 立体 シール ぷっくり ぷくぷく シール交換 収集 本物 本家</t>
  </si>
  <si>
    <t>【セット品】クーリア ボンボンドロップシール 7種セット 正規品 ゆにこん みずいろ ぷかぷか ほかほか ももいろ きぐるみ よるねこ ボンドロ かわいい 立体 シール ぷっくり ぷくぷく シール交換 収集 本物 本家</t>
  </si>
  <si>
    <t>ブラウン 電気シェーバー シリーズ7 72-C1500s チタニウムゴールド 電動 髭剃り メンズ 防水設計 充電式 コードレス 急速 急速充電</t>
  </si>
  <si>
    <t>0155/15540</t>
  </si>
  <si>
    <t>【3個セット】ビオレZero お風呂で使う汗ケアローション 無香性 200ml Biore ビオレ ゼロ 汗対策 ベタつき防止 制汗 ボディケア 浴室用 夏対策 まとめ買い</t>
  </si>
  <si>
    <t>b0cvs37jdk-2</t>
  </si>
  <si>
    <t>2223/1314</t>
  </si>
  <si>
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</si>
  <si>
    <t>フィリップス 電動歯ブラシ ソニッケアー ダイヤモンドクリーン9000 HX9911/71 ホワイト (携帯用トラベルケース付き) 歯磨き ケア 持ち運び 旅行</t>
  </si>
  <si>
    <t>7410/18621</t>
  </si>
  <si>
    <t>Bose QuietComfort Ultra Headphones LE 完全 ワイヤレス 空間オーディオ ヘッドホン ノイズキャンセリング Bluetooth接続 マイク付 最大24時間再生 急速充電 ルナブルー、サンドストーン</t>
  </si>
  <si>
    <t>サンドストーン</t>
  </si>
  <si>
    <t>b0dbqn8sl3</t>
  </si>
  <si>
    <t>0307.9561/37800</t>
  </si>
  <si>
    <t>B0CL4Q4RGS</t>
  </si>
  <si>
    <t>【セット品】クーリア しずくちゃん ボンボンドロップシール （ミニ） 4種セット 正規品 うるおいちゃん みるみるちゃん しずくの森のなかまたち ボンドロ かわいい 立体 シール ぷっくり ぷくぷく シール交換 収集 本物 本家</t>
  </si>
  <si>
    <t>【セット品】クーリア こびとづかん キラリンウォーターシール 2種セット 正規品 集合 カクレモモジリ かわいい 立体 シール ぷっくり ぷくぷく シール交換 収集 本物 本家 平成女子 女児 女子</t>
  </si>
  <si>
    <t>6508,6515/638</t>
  </si>
  <si>
    <t>Anker Power Bank (10000mAh, Fusion, Built-In USB-C ケーブル) モバイルバッテリー USB-C ケーブル一体型 30W 急速充電 コンセント一体型 USB充電器 PD対応 LEDディスプレイ 折りたたみプラグ iPhone Android iPad MacBook対応 小型 軽量 PSE認証 旅行 出張 防災 ブラック</t>
  </si>
  <si>
    <t>小林製薬 熱中対策 シャツクール 冷感ストロング 本体 100ml×3個セット 衣類にスプレーするだけ 汗をかくとひんやり続く 冷感スプレー</t>
  </si>
  <si>
    <t>3080/1167</t>
  </si>
  <si>
    <t>ハズブロ(HASBRO) スター・ウォーズ ブラックシリーズ ダース・ベイダー プレミアム エレクトロニックヘルメット F8103 スター・ウォーズ:オビ=ワン・ケノービロールプレイアイテム 電動</t>
  </si>
  <si>
    <t>b09wwsx3gb</t>
  </si>
  <si>
    <t>5809/13050</t>
  </si>
  <si>
    <t>エレコム SSD 外付け 1TB USB3.2(Gen2) ブラック ESD-EMA1000GBK アルミ筐体 スライド式 キャップレス PS5 PS4 テレビ録画 読込速度500MB/秒 高速 転送 耐衝撃 コンパクト</t>
  </si>
  <si>
    <t>b0bsdy8wdk</t>
  </si>
  <si>
    <t>日立 ふとん乾燥機 アッとドライ HFK-CV1A T ライトブラウン コンパクト 軽量モデル オールインワン収納 乾燥 軽量 温風 送風</t>
  </si>
  <si>
    <t>b09mpvksww</t>
  </si>
  <si>
    <t>7102/7540</t>
  </si>
  <si>
    <t>Anker Prime Wall Charger 67W 3ports GaN ブラック USB充電器 急速充電 Type-C USB-C PowerIQ4.0 GanPrime 3ポート 小型 コンパクト PD対応 持ち運び便利 ノートPC MacBook iPhone Android PSE認証 折りたたみプラグ 高出力 スマホ タブレット USBアダプタ 旅行用軽量充電器</t>
  </si>
  <si>
    <t>7595/5490</t>
  </si>
  <si>
    <t>CIAO すごい乳酸菌ちゅ〜る 総合栄養食バラエティ 14g×30本 猫用 簡易梱包</t>
  </si>
  <si>
    <t>ブラウン メンズシェーバー シリーズ5 51-W1200S-V 電動 髭剃り メンズ 51-M1200s-V キワゾリトリマー 防水設計 充電式 コードレス ディープキャッチ網刃</t>
  </si>
  <si>
    <t>【全4種セット】【正規品】 サンリオ サンリオキャラクターズ ストーンシール ミニ クロミ シナモロール MXマシュグミ ハローキティ ボンボンドロップシール ボンドロ かわいい 立体 シール ぷっくり ぷくぷく シール交換 収集 キラキラ コレクション 女の子 プレゼント</t>
  </si>
  <si>
    <t>b0gzfws395</t>
  </si>
  <si>
    <t>2318,2301,2332,2325/2852</t>
  </si>
  <si>
    <t>【セット品】クーリア ボンボンドロップシール 2種セット 正規品 ゆにこん ももいろ ボンドロ かわいい 立体 シール ぷっくり ぷくぷく シール交換 収集 本物 本家</t>
  </si>
  <si>
    <t>サラテクト 虫よけスプレー 無香料 400ml×2個セット 大容量 虫除けスプレー サラサラ パウダーin アウトドア 蚊 ブヨ マダニ トコジラミ 忌避 アース製薬</t>
  </si>
  <si>
    <t>b00u2eyim0</t>
  </si>
  <si>
    <t>6317/1522</t>
  </si>
  <si>
    <t>3683/2790</t>
  </si>
  <si>
    <t>2095,2101/1318</t>
  </si>
  <si>
    <t>【セット品】ペットライン 懐石 2つのごほうび 4種セット キャットフード ドライ 総合栄養食 猫 猫用 国産 小分けタイプ 600g ×4個 アソート バラエティ 大容量 まとめ買い</t>
  </si>
  <si>
    <t>メラノCC ディープクリア酵素洗顔 130g×5個セット 酵素洗顔 洗顔フォーム 毛穴ケア ビタミンC配合 酵素配合 クレイ配合 角栓 黒ずみ 毛穴汚れ くすみ対策 透明感 うるおい洗顔 柑橘系 日本製 ロート製薬 まとめ買い</t>
  </si>
  <si>
    <t>B0D7ZLPSJG</t>
  </si>
  <si>
    <t>BURTLE バートル アイスクラフト ベスト＆ペルチェセット ブラック 冷却ウェア 電動冷却ベスト ペルチェ式 首元冷却 背中冷却 夏用 作業服対応 熱中症対策 屋外作業 男女兼用</t>
  </si>
  <si>
    <t>b0dv35n5cc</t>
  </si>
  <si>
    <t>4465/9980</t>
  </si>
  <si>
    <t>COSME DECORTE コスメデコルテ リポソーム アドバンスト リペアクリーム パープルリボン 2025 限定セット 美容液 化粧水 美肌ケア 美容 クリスマス コフレ 【数量限定】</t>
  </si>
  <si>
    <t>3796/11550</t>
  </si>
  <si>
    <t>B0F6LBDFC7</t>
  </si>
  <si>
    <t>【4種セット】スクイーズ 作成キット パキパキ ロウ ASMR おもちゃ DIY ステーキ アイス りんご飴 バター 食品サンプル 低反発 ストレス解消 子供 プレゼント</t>
  </si>
  <si>
    <t>14214143s1</t>
  </si>
  <si>
    <t>【3個セット】ラボン(Lavons) トゥザムーン to the Moon ベッドルーム&amp;ファブリックミスト ノクターナルブルーの香り 詰め替え 大容量 600ml×3 アロマ スプレー フレグランス リラックス</t>
  </si>
  <si>
    <t>3927/2271</t>
  </si>
  <si>
    <t>いなば チャオ (CIAO) Cozy Life (コージーライフ) ちゅ〜る バラエティ 14g×36本 猫 猫用 液状 ペースト おやつ キャットフード 大容量 BOX 人気 簡易包装</t>
  </si>
  <si>
    <t>4299/1205</t>
  </si>
  <si>
    <t>JILL STUART ジル スチュアート リボンファッションショー コレクション 2025 化粧品 コスメ ジルスチュアート</t>
  </si>
  <si>
    <t>b0fyct4ql2</t>
  </si>
  <si>
    <t>7214/11071</t>
  </si>
  <si>
    <t>1401/1980</t>
  </si>
  <si>
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</si>
  <si>
    <t>Echo Dot (エコードット) 第5世代 - Alexa、センサー搭載、鮮やかなサウンド チャコール グレーシャーホワイト ディープシーブルー 時計 スピーカー スマートスピーカー</t>
  </si>
  <si>
    <t>ディープシーブルー</t>
  </si>
  <si>
    <t>b09b8szllg</t>
  </si>
  <si>
    <t>B09B97Q4NX</t>
  </si>
  <si>
    <t>スキンアクア スーパーモイスチャーUVミスト 60ml×3個セット UV UVケア ケア 肌 肌ケア</t>
  </si>
  <si>
    <t>b0ct5mt6vf</t>
  </si>
  <si>
    <t>4377/1314</t>
  </si>
  <si>
    <t>2L</t>
  </si>
  <si>
    <t>B0CXJHK4WN</t>
  </si>
  <si>
    <t>【2個セット】ラボン(Lavons) トゥザムーン to the Moon ベッドルーム&amp;ファブリックミスト ノクターナルブルーの香り 詰め替え 大容量 600ml×2 アロマ スプレー フレグランス リラックス</t>
  </si>
  <si>
    <t>3927/1514</t>
  </si>
  <si>
    <t>エージーデオ24 デオドラントボディミルク(ヴァン ミニョン) 180ml×2個セット 匂い 匂いケア ニオイケア ケア ニオイ</t>
  </si>
  <si>
    <t>b0bsgcftgz</t>
  </si>
  <si>
    <t>4995/1534</t>
  </si>
  <si>
    <t>レノア オードリュクス 柔軟剤 シダーウッド&amp;ベルガモットハーブの香り 詰め替え 1050ml×2個 約2.8か月分 部屋干し 雨の日 部屋 かろやか 香る きれい 清潔 衣類 静電気 防臭 抗菌 赤ちゃん ベビー 洗濯</t>
  </si>
  <si>
    <t>THREE(スリー) [フェイスパウダー ] アルティメイトダイアフェネス ルースパウダー グロー 02 17g 化粧 化粧品 顔 フェイス フェイスパウダー</t>
  </si>
  <si>
    <t>b00l3xeczm</t>
  </si>
  <si>
    <t>4649/3578</t>
  </si>
  <si>
    <t>【2個セット】ショーワグローブ ニトリル手袋 No.882 ニトリスト・タッチ LLサイズ 100枚入×2個セット ブルー 粉なし 食品衛生適合 作業用 使い捨て 手袋 ニトリルグローブ 調理 掃除 介護 美容 衛生 食品 食事 料理 清掃 園芸 メンテ メンテナンス 整備 美容</t>
  </si>
  <si>
    <t>b00bes4t40</t>
  </si>
  <si>
    <t>0930/2418</t>
  </si>
  <si>
    <t>サラテクト 虫よけシート 虫よけウェットティッシュ BIGサイズシート 20枚入×2セット 携帯用 蚊・ブヨ・トコジラミなど 忌避</t>
  </si>
  <si>
    <t>3414/730</t>
  </si>
  <si>
    <t>NEWクレラップ ミニ 15cm×50m×6個セット ラップ クレラップ 台所 料理</t>
  </si>
  <si>
    <t>b0018b8fx4</t>
  </si>
  <si>
    <t>1508/1544</t>
  </si>
  <si>
    <t>ブラウン メンズシェーバー シリーズ5 51-M1200S-V 電動 髭剃り メンズ 51-M1200s-V キワゾリトリマー 防水設計 充電式 コードレス ディープキャッチ網刃</t>
  </si>
  <si>
    <t>1801/8980</t>
  </si>
  <si>
    <t>クラウドポップタイム</t>
  </si>
  <si>
    <t>B0GSQCBT5P</t>
  </si>
  <si>
    <t>ミツエイ フレグランスムスク FRAGRANCE MUSK 柔軟剤 洗濯用洗剤2袋セット キンモクセイの香り 2000ml つめかえ用 金木犀 詰め替え 部屋干し 雨の日 部屋 かろやか 香る きれい 清潔 衣類 静電気 防臭 抗菌 赤ちゃん ベビー 洗濯</t>
  </si>
  <si>
    <t>b0dh2hl1mv</t>
  </si>
  <si>
    <t>1391/1208</t>
  </si>
  <si>
    <t>もふころりん/にゃんこ</t>
  </si>
  <si>
    <t>B0GSQDN987</t>
  </si>
  <si>
    <t>マルカン ペンギンさんの涼マット ワイド ペット 夏用 冷感 ひんやり 涼しい 冷たい ベッド シート ハウス マット おしゃれ 可愛い 手洗い 犬 猫 さらさら 大きい クッション メッシュ生地 リバーシブル ふんわり</t>
  </si>
  <si>
    <t>【セット品】メラノCC 薬用しみ対策美白化粧水(しっとり)170mL＋美白乳液120mL 化粧水 スキンケア 肌 肌ケア ケア</t>
  </si>
  <si>
    <t>和みのうるうる 水綿棒 50本入×6個セット 綿棒 耳 ケア 耳ケア</t>
  </si>
  <si>
    <t>3588/765</t>
  </si>
  <si>
    <t>エージーデオ24 デオドラントボディミルク フローラルブーケ 180ml×2個セット 匂い 匂いケア ニオイケア ケア ニオイ</t>
  </si>
  <si>
    <t>b0bsgcdmp7</t>
  </si>
  <si>
    <t>4988/1534</t>
  </si>
  <si>
    <t>いなば チャオ CIAO ピュアちゅ~る まぐろバラエティ 14g×20本 猫 猫用 液状 おやつ 着色料 香料 化学調味料 不使用 グレインフリー キャットフード 大容量 人気 水分補給</t>
  </si>
  <si>
    <t>ブラウン 電気シェーバ 3枚刃 52-A1200S Series5 メンズシェーバー キワゾリトリマー 防水設計 充電式 コードレス ディープキャッチ網刃 BRAUN シリーズ5</t>
  </si>
  <si>
    <t>フィリップス 5000Xシリーズ X5007/00 ブラック 電動 髭剃り メンズ 27枚刃 回転式 お風呂剃り 丸洗い可 電動シェーバー 電気シェーバー マイクロビーズコーティング 360-Dフレックスヘッド</t>
  </si>
  <si>
    <t>【セット品】 肌ラボ 極潤 ヒアルロン酸 化粧水 本体400mL＋詰め替え170mL セット ケア 肌 肌ケア 保湿</t>
  </si>
  <si>
    <t>b074gy15hn</t>
  </si>
  <si>
    <t>5767,5729/1999</t>
  </si>
  <si>
    <t>ヤーマン 洗顔ブラシ ミーゼ mysé クレンズリフト ピンク MS70P 洗顔 リフトケア 美容</t>
  </si>
  <si>
    <t>b07yc7gs5k</t>
  </si>
  <si>
    <t>7934/9100</t>
  </si>
  <si>
    <t>ネイビー</t>
  </si>
  <si>
    <t>B0CP4SRM8K</t>
  </si>
  <si>
    <t>【2個セット】はだまも お肌の虫よけ ミスト 200ml×2個セット 虫除けスプレー 顔 体 お肌にやさしい 弱酸性 4種のうるおい成分たっぷり 虫よけスプレー 蚊 トコジラミ</t>
  </si>
  <si>
    <t>b0dtphk44d</t>
  </si>
  <si>
    <t>4019/836</t>
  </si>
  <si>
    <t>【3個セット】新日本製薬 Wの健康青汁 31本入×3個セット 乳酸菌 ビフィズス菌 国産 粉末 機能性表示食品 エラグ酸 GABA</t>
  </si>
  <si>
    <t>b098ktkd6n</t>
  </si>
  <si>
    <t>0296/10947</t>
  </si>
  <si>
    <t>フィリップス 5000シリーズ S5445/03 ブラック 電動シェーバー 電動 髭剃り メンズ 27枚刃 回転式 お風呂剃り 丸洗い可 360-Dフレックスヘッド</t>
  </si>
  <si>
    <t>b09tpstjlv</t>
  </si>
  <si>
    <t>6508,6515,8076,8083,8090/1130</t>
  </si>
  <si>
    <t>3615/850</t>
  </si>
  <si>
    <t>レノア リセット セラム ホワイトリリーの香り つめかえ 特大 750mL×2個セット 柔軟剤 部屋干し 雨の日 部屋 かろやか 香る きれい 清潔 衣類 静電気 防臭 抗菌 赤ちゃん ベビー 洗濯</t>
  </si>
  <si>
    <t>アイスノン シャツミスト ICE KING 詰め替え280ml×3個セット 冷感スプレー 衣類用 消臭 除菌 熱中症対策 暑さ対策 通勤 通学 スポーツ アウトドア 白元アース</t>
  </si>
  <si>
    <t>b0bx43t8hq</t>
  </si>
  <si>
    <t>5050/1725</t>
  </si>
  <si>
    <t>Bioré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</si>
  <si>
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</si>
  <si>
    <t>もふころりん/うさぎ</t>
  </si>
  <si>
    <t>B0GSQ99VRS</t>
  </si>
  <si>
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</si>
  <si>
    <t>平成レトロ キャンディツインズ</t>
  </si>
  <si>
    <t>b0frs9w3ft</t>
  </si>
  <si>
    <t>1469,1476,1360,3903,2131/1133</t>
  </si>
  <si>
    <t>B0FRS8PB58-1469</t>
  </si>
  <si>
    <t>デオコ スカルプケア シャンプー コンディショナー セット 450g＋450g うねり ケア 髪 ヘアケア ヘア</t>
  </si>
  <si>
    <t>b0cw3c9tyd</t>
  </si>
  <si>
    <t>3943,3967/1956</t>
  </si>
  <si>
    <t>【2個セット】肌ラボ 白潤プレミアム 薬用浸透美白クリーム 50g×2個セット 化粧 ケア 肌 肌ケア 保湿</t>
  </si>
  <si>
    <t>8453/2338</t>
  </si>
  <si>
    <t>B0C5JB3RJM</t>
  </si>
  <si>
    <t>ファブリーズ PREMIUM 消臭スプレー 布用 シトラス 詰め替え 特大(610mL×2セット) 除菌 P&amp;Gジャパン スプレー</t>
  </si>
  <si>
    <t>b0f3d1zw85</t>
  </si>
  <si>
    <t>5732/1116</t>
  </si>
  <si>
    <t>J スーパーハードジェル 330g ジェル スタイリング</t>
  </si>
  <si>
    <t>b000fqoryy</t>
  </si>
  <si>
    <t>6936/383</t>
  </si>
  <si>
    <t>【訳あり】いなば ちゅ~る 総合栄養食 とりささみ チキンミックス味 20本 犬 犬用 おやつ ドックフード 大容量 人気 国産 水分補給 ※賞味期限2025・12月末〜</t>
  </si>
  <si>
    <t>いなば チャオ (CIAO) ちゅ~る 乳酸菌入り まぐろ海鮮ミックス 14g (x 20) 猫 猫用 おやつ 液状 ペースト キャットフード 乳酸菌 まぐろ 海鮮 ミックス 大容量 人気 水分補給</t>
  </si>
  <si>
    <t>b079ylfx6f</t>
  </si>
  <si>
    <t>M-8991/730</t>
  </si>
  <si>
    <t>Anker Nano II 65W (PD 充電器 USB-C) ブラック 充電器 ポート タイプC USB 急速充電 コンパクト 持ち運び便利 小型</t>
  </si>
  <si>
    <t>b08x11gd52</t>
  </si>
  <si>
    <t>4968/2990</t>
  </si>
  <si>
    <t>【大容量】ビオレU やさしいフレッシュフローラルの香り つめかえ 詰替え用 1.35リットル×4個セット ボディソープ 泡 大容量 赤ちゃん ベビー まとめ買い</t>
  </si>
  <si>
    <t>b0743gxhy6-4</t>
  </si>
  <si>
    <t>9850/599</t>
  </si>
  <si>
    <t>【セット品】クーリア ボンボンドロップシール 3種セット 正規品 ゆにこん きぐるみ ももいろ ボンドロ かわいい 立体 シール ぷっくり ぷくぷく シール交換 収集 本物 本家</t>
  </si>
  <si>
    <t>0417,0526,0564/660</t>
  </si>
  <si>
    <t>小林製薬 糸ようじ スルッと入るタイプ お徳用60本×3個セット 歯 歯間 ようじ 歯ケア ケア</t>
  </si>
  <si>
    <t>b01fqca29k</t>
  </si>
  <si>
    <t>2779/1698</t>
  </si>
  <si>
    <t>5183/2090</t>
  </si>
  <si>
    <t>4916,5050/1270</t>
  </si>
  <si>
    <t>9134/1316</t>
  </si>
  <si>
    <t>アース製薬 カメムシコロリ 300ml ×3個セット ニオイを出す前に一発撃退! ガーデン 害虫対策 駆除 虫 殺虫剤</t>
  </si>
  <si>
    <t>レノア リセット セラム ミネラルジャスミンの香 つめかえ 特大 750mL×2個セット 柔軟剤 部屋干し 雨の日 部屋 かろやか 香る きれい 清潔 衣類 静電気 防臭 抗菌 赤ちゃん ベビー 洗濯</t>
  </si>
  <si>
    <t>b0dkjk26lh</t>
  </si>
  <si>
    <t>0666/1856</t>
  </si>
  <si>
    <t>ファブリーズ 消臭芳香剤 トイレ用 ブルー・シャボン 6mL×2個 トイレ 消臭 芳香剤 まとめ買い</t>
  </si>
  <si>
    <t>b07qlxgty9</t>
  </si>
  <si>
    <t>8414/528</t>
  </si>
  <si>
    <t>8983/416</t>
  </si>
  <si>
    <t>2927/2728</t>
  </si>
  <si>
    <t>NEWクレラップ お徳用 レギュラー 30cm×50m 6本セット 食品ラップ キッチンラップ 日用品 まとめ買い ストック 保存用 送料無料 保存用ラップ ラップ まとめ買い 食品保存 キッチン用品 台所用品 消耗品</t>
  </si>
  <si>
    <t>4421/1164</t>
  </si>
  <si>
    <t>小林製薬 やわらか歯間ブラシ SS～Mサイズ お徳用 40本入×3個セット 歯 歯間 ブラシ 歯間ブラシ ケア</t>
  </si>
  <si>
    <t>b003al01iw</t>
  </si>
  <si>
    <t>1725/1575</t>
  </si>
  <si>
    <t>いなば ちゅ~る さつまいも にんじん入り （14g×4本 ）×6袋セット 犬 犬用 ドックフード 国産 おやつ</t>
  </si>
  <si>
    <t>b0cx3vy31k-a</t>
  </si>
  <si>
    <t>3361/66</t>
  </si>
  <si>
    <t>ペティオ (Petio) 犬猫用ベッド 電気のいらない ひんやり ひみつ基地 猫 犬 人気 夏用 冷感 熱中症対策</t>
  </si>
  <si>
    <t>b0dz2jvcb9</t>
  </si>
  <si>
    <t>6026/2145</t>
  </si>
  <si>
    <t>6033,6040/803,803</t>
  </si>
  <si>
    <t>ファブリーズ 消臭スプレー PREMIUM パステルフローラル＆ブロッサムの香り 布用 詰め替え 特大 610mL×2 除菌 P&amp;Gジャパン</t>
  </si>
  <si>
    <t>ユニ・チャーム ウェーブ ハンディワイパー 本体＋取り替えシート12枚×2個セット 掃除 ハンディモップ ホコリ取り 抗菌 ダスター ほこり取り すき間掃除 家具 家電 ブラック お掃除用品 まとめ買い</t>
  </si>
  <si>
    <t>b0gbtpj63f</t>
  </si>
  <si>
    <t>1208,3632/1394</t>
  </si>
  <si>
    <t>ペティオ (Petio) 猫用ベッド ひんやりくつろぎベッド フチ付 ネコ耳ラウンド マット 猫 人気 夏用 冷感 手洗い</t>
  </si>
  <si>
    <t>b0cxj31y62</t>
  </si>
  <si>
    <t>4015/2700</t>
  </si>
  <si>
    <t>【2個セット】ショーワグローブ No.882 ニトリスト・タッチ 100枚入×2個セット ブルー Mサイズ 作業 作業用 衛生 食品 食事 料理 調理 掃除 清掃 園芸 メンテ メンテナンス 整備 美容 介護</t>
  </si>
  <si>
    <t>b009khwmdm</t>
  </si>
  <si>
    <t>0916/2418</t>
  </si>
  <si>
    <t>ドクターズチョイス 納豆菌ジャーキー スティックタイプ 4種 150g×4袋セット にんじん ほうれん草 かぼちゃ 紫いも 犬用 犬用おやつ 犬のおやつ ドッグフード 犬用品 ギフト 犬オヤツ ジャーキー ペットフード 人気 アソート まとめ買い 国産</t>
  </si>
  <si>
    <t>4571,1365,1369,1372/1619</t>
  </si>
  <si>
    <t>3353/1254</t>
  </si>
  <si>
    <t>ONPO(温泡) 炭酸 入浴剤 [80錠入] 詰め合わせ (森・ゆず・桃・ローズ) 血行促進 肩のこり 腰痛 緩和 医薬部外品 入浴剤 お風呂 リラックス 疲労</t>
  </si>
  <si>
    <t>b0bhdcqnd4</t>
  </si>
  <si>
    <t>9514/2198</t>
  </si>
  <si>
    <t>【2個セット】ショーワグローブ No.882 ニトリスト・タッチ Lサイズ 100枚入×2個セット ブルー ニトリル手袋 使い捨て手袋 粉なし 食品衛生対応 調理 掃除 介護 作業用 食事 料理 調理 美容 介護</t>
  </si>
  <si>
    <t>b009ki3dfm</t>
  </si>
  <si>
    <t>0923/2418</t>
  </si>
  <si>
    <t>【並行輸入品】ニュクス プロディジュー オイル リッチ 100ml ボディケア 美容 ケア</t>
  </si>
  <si>
    <t>9808/2762</t>
  </si>
  <si>
    <t>いなば ちゅ~る さつまいも にんじん入り 14g×4本 犬 犬用 ドックフード 国産 おやつ ※賞味期限2027.2末</t>
  </si>
  <si>
    <t>b0cx3vy31k</t>
  </si>
  <si>
    <t>チャオ (CIAO) ちゅ~るごはん まぐろバラエティ 14g×20本 猫 猫用 国産 総合栄養食 おやつ 液状 キャットフード 人気 大容量</t>
  </si>
  <si>
    <t>【セット品】肌ラボ 極潤 ハリパーフェクトゲル＋パーフェクトゲル セット 各100g ゲル 保湿 肌ケア 肌 ケア エイジング</t>
  </si>
  <si>
    <t>b09c86l9jt</t>
  </si>
  <si>
    <t>1323,5774/1067,994</t>
  </si>
  <si>
    <t>【セット品】NEXXUS スムースアンドマネージャブル シャンプー＆コンディショナー 各440g ２本セット ポンプ ケア ヘアケア ネクサス うねりケア</t>
  </si>
  <si>
    <t>2509,2516/1534</t>
  </si>
  <si>
    <t>肌ラボ 極潤 薬用ハリ乳液140ml×3個セット 化粧 ケア 肌 肌ケア 保湿</t>
  </si>
  <si>
    <t>b09c7n8clj</t>
  </si>
  <si>
    <t>1286/2262</t>
  </si>
  <si>
    <t>This is 嵐 初回限定盤 Blu-ray Disc付 ＣＤ JACA-5872 CD アイドル ライブ</t>
  </si>
  <si>
    <t>b09rq372pn</t>
  </si>
  <si>
    <t>【セット品】NEXXUS インテンスダメージリペア シャンプー+コンディショナー(トリートメント) 各440g ケア ヘアケア ネクサス うねりケア</t>
  </si>
  <si>
    <t>しずくパーク</t>
  </si>
  <si>
    <t>B0FW4K6VZY-3903</t>
  </si>
  <si>
    <t>【最短当日発送】カイロ ミニ 60個（10個入×6）アイリスオーヤマ ぽかぽか家族 貼らない 使い捨てカイロ 防寒 寒さ対策 冬用品 防災 備蓄 持ち運び ホッカイロ 小型 まとめ買い</t>
  </si>
  <si>
    <t>b00xtvxexw</t>
  </si>
  <si>
    <t>8969/1182</t>
  </si>
  <si>
    <t>3698/972</t>
  </si>
  <si>
    <t>0811/1200</t>
  </si>
  <si>
    <t>4070/1311</t>
  </si>
  <si>
    <t>B0DVSV4W6Q-2131</t>
  </si>
  <si>
    <t>8507/2283</t>
  </si>
  <si>
    <t>肌ラボ 極潤 薬用ハリ化粧水170ml×3個セット 化粧 ケア 肌 肌ケア 保湿</t>
  </si>
  <si>
    <t>b09c7lpc7m-1</t>
  </si>
  <si>
    <t>1255/2262</t>
  </si>
  <si>
    <t>NEXXUS スムースアンドマネージャブル 洗い流さないトリートメントオイル ヘアオイル 本体 100ml×2個セット ケア ヘアケア ネクサス うねりケア</t>
  </si>
  <si>
    <t>b0bqv2x83n</t>
  </si>
  <si>
    <t>2530/1644</t>
  </si>
  <si>
    <t>肌ラボ 極潤 薬用ハリクリーム50g×2個セット 化粧 ケア 肌 肌ケア 保湿 まとめ買い</t>
  </si>
  <si>
    <t>b09c7nhgqm</t>
  </si>
  <si>
    <t>1316/1030</t>
  </si>
  <si>
    <t>おやすみバニー</t>
  </si>
  <si>
    <t>B0GSQ67Z26</t>
  </si>
  <si>
    <t>ロート製薬 50の恵 養潤液 プレミアム 本体 230ml×2個セット しわ 肌 肌ケア ケア まとめ買い</t>
  </si>
  <si>
    <t>b09c7pdggm-1</t>
  </si>
  <si>
    <t>1484/2110</t>
  </si>
  <si>
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</si>
  <si>
    <t>ミルキーシャイキャット</t>
  </si>
  <si>
    <t>b0frs8pb58</t>
  </si>
  <si>
    <t>B0FRS8X8M7-1360</t>
  </si>
  <si>
    <t>NEXXUS スムースアンドマネージャブル シャンプー 440g ２本セット ポンプ ケア ヘアケア ネクサス うねりケア</t>
  </si>
  <si>
    <t>b0bqth3gg9</t>
  </si>
  <si>
    <t>2509/1534</t>
  </si>
  <si>
    <t>【100本×5個セット】極みのAg+抗菌綿棒 紙個包装 個包装綿棒 抗菌 綿棒 耳掃除 衛生 清潔 携帯 業務用 使い捨て 日本製 ケア用品</t>
  </si>
  <si>
    <t>スカルプD マスカラ ロングロング（モカブラウン）6g お湯で落ちる カールキープ 上向き セパレート まつ毛ケア成分 パラベン アルコール ファイバー フリー コンパクトカールブラシ ロング まつげ</t>
  </si>
  <si>
    <t>b0cwgcb64b</t>
  </si>
  <si>
    <t>6044/891</t>
  </si>
  <si>
    <t>5487/2970</t>
  </si>
  <si>
    <t>ダストマン 兼用 30枚×3個セット スタンド 三角コーナー 水切り ゴミ袋</t>
  </si>
  <si>
    <t>b0bjvwq6lg</t>
  </si>
  <si>
    <t>1211/439</t>
  </si>
  <si>
    <t>いなば とろみ （とりささみ・野菜入り・牛肉入り） 80g 24缶セット 犬 犬用 缶詰 ウェット 国産 ドックフード 人気 大容量</t>
  </si>
  <si>
    <t>とりささみ牛肉入り</t>
  </si>
  <si>
    <t>1420,1437/2191,2208,2208</t>
  </si>
  <si>
    <t>B00HVQ3EPE</t>
  </si>
  <si>
    <t>5722/970</t>
  </si>
  <si>
    <t>デ・オウ 薬用プロテクト デオジャム 50g×3個セット 直塗り制汗剤 ジェル シトラス 24時間快適ケア W殺菌成分配合</t>
  </si>
  <si>
    <t>b01bm1uuby</t>
  </si>
  <si>
    <t>7168/1881</t>
  </si>
  <si>
    <t>柑橘王子 フェイシャルクリアホイップSP レフィル 詰め替え 300ml×4個セット 洗顔 泡洗顔 保湿 毛穴ケア さっぱり</t>
  </si>
  <si>
    <t>b0cjq45rcv</t>
  </si>
  <si>
    <t>6448/1931</t>
  </si>
  <si>
    <t>3516,3530,3523/874</t>
  </si>
  <si>
    <t>コスメテックスローランド 柑橘王子 薬用メラノサーチクリーム【医薬部外品】180mL 薬用 クリーム メンズ</t>
  </si>
  <si>
    <t>b0bfc89kyf</t>
  </si>
  <si>
    <t>7261/438</t>
  </si>
  <si>
    <t>ぺティオ (Petio) 大満足祭 ササミ＆レバーチップス 120g 2種セット 犬 犬用 おやつ ドックフード 人気 小型犬 シニア犬 全犬種 国産 チーズ入り 間食 チップス</t>
  </si>
  <si>
    <t>デオタンニング 薬用ストロングソープ 100g×3個セット 石鹸 足 脇 臭い 臭いケア ケア まとめ買い</t>
  </si>
  <si>
    <t>b00xd8fy8o</t>
  </si>
  <si>
    <t>4244/1593</t>
  </si>
  <si>
    <t>ペティオ (Petio) 犬猫用マット 広々寝そべれるクールアルミピローシートHNZ 猫 犬 人気 夏用 冷感 熱中症対策 ひんやり</t>
  </si>
  <si>
    <t>b0cxj3y11l</t>
  </si>
  <si>
    <t>3889,3896/1155,1287</t>
  </si>
  <si>
    <t>B0CXJ3Y11L</t>
  </si>
  <si>
    <t>ロート製薬 バリアビオソープ ポンプ本体 180ml×2 フローラルの香り デリケート部位用ジェルソープ 乳酸菌 弱酸性 防腐剤フリー 敏感肌パッチテスト済 敏感 敏感肌 肌</t>
  </si>
  <si>
    <t>b0dnm4fzyy</t>
  </si>
  <si>
    <t>6708/1884</t>
  </si>
  <si>
    <t>ミヨシ石鹸 そよ風 液体せっけん 詰替 1000ml×3個セット 無添加 洗濯洗剤 ベビー 赤ちゃん 敏感肌 大容量 まとめ買い 柔軟剤不要 部屋干しOK</t>
  </si>
  <si>
    <t>b01nguindv</t>
  </si>
  <si>
    <t>1797/990</t>
  </si>
  <si>
    <t>はちみつ</t>
  </si>
  <si>
    <t>【2個セット】PANTENE パンテーン エフォートレス クイックリペアカプセル ヴィタミルク 90ml×2 洗い流さないトリートメント ヘアミルク ダメージ補修 パサつき うねり 広がり 集中補修 サラサラ しっとり アウトバス ヘアケア 美容乳液 トリートメント 保湿 艶髪</t>
  </si>
  <si>
    <t>b07vv4cmrb</t>
  </si>
  <si>
    <t>【セット品】 クーリア スペシャルもっちもちシール 3種セット パクッとモグモグフード ハムハムエンジェル キャロットうさちゃん ボンボンドロップ ボンドロ かわいい 立体 シール ぷっくり ぷくぷく 正規品 本物 本家</t>
  </si>
  <si>
    <t>1940,1957,1964/612</t>
  </si>
  <si>
    <t>メイベリン リップ シャインコンパルジョン SPK21 チェリーピンク ツヤ 口紅 リップ</t>
  </si>
  <si>
    <t>b07l3syz5m</t>
  </si>
  <si>
    <t>1075/660</t>
  </si>
  <si>
    <t>マンダム ハッピーデオ 極氷冷ドライシャンプー アイスシトラス＆ミント40g ［ドライシャンプー］ シャンプー 夏 クール</t>
  </si>
  <si>
    <t>3806/140</t>
  </si>
  <si>
    <t>レモンイエロー×2個</t>
  </si>
  <si>
    <t>B09G2YH53K-1</t>
  </si>
  <si>
    <t>ミニマルランド ひんやりクールアルミロフト うさぎ</t>
  </si>
  <si>
    <t>b07b7xlh97</t>
  </si>
  <si>
    <t>5024/660</t>
  </si>
  <si>
    <t>B07B7XLH97-2</t>
  </si>
  <si>
    <t>エージーデオ24 デオドラントボディミルク 無香性 180ml×2個セット 匂い 匂いケア ニオイケア ケア ニオイ</t>
  </si>
  <si>
    <t>b0bsgb956y</t>
  </si>
  <si>
    <t>4971/1534</t>
  </si>
  <si>
    <t>いなばペットフード 焼かつおディナー 子ねこ用 かつお節・ほたて貝柱入り 50g×16コ 子猫 かつお パウチ ウェット</t>
  </si>
  <si>
    <t>b00jrnm1du</t>
  </si>
  <si>
    <t>8710/1800</t>
  </si>
  <si>
    <t>Biore ビオレZero お風呂で使う汗ケアローション 無香性 200ml 無香性 汗ケア お風呂 浴室</t>
  </si>
  <si>
    <t>b0cvs37jdk</t>
  </si>
  <si>
    <t>2223/438</t>
  </si>
  <si>
    <t>わんわん チョイあげ 国産 14種 バラエティ アソート セット 犬用 おやつ スティック ささみ ジャーキー ペットフード【まとめ買い】</t>
  </si>
  <si>
    <t>いなば CIAO(チャオ) 焼ささみディナー かにかま・ほたて貝柱入り 50g×16コ 猫 猫 猫用 おやつ ウェット キャットフード 人気</t>
  </si>
  <si>
    <t>b01dlx3hso</t>
  </si>
  <si>
    <t>9380/1584</t>
  </si>
  <si>
    <t>アイリスオーヤマ IRIS 真空断熱ダイレクトボトル 1L ピンク DBR-1000 運動 水分補給 水筒</t>
  </si>
  <si>
    <t>b0dq9t581y</t>
  </si>
  <si>
    <t>9122/1480</t>
  </si>
  <si>
    <t>ミノン薬用ヘアシャンプー つめかえ用 380mL 敏感肌 かゆみ フケ 保湿 乾燥対策 弱酸性 低刺激性</t>
  </si>
  <si>
    <t>b0132tf3no</t>
  </si>
  <si>
    <t>7378/620</t>
  </si>
  <si>
    <t>ミノン薬用ヘアシャンプー つめかえ用 380mL×2個セット 敏感肌 かゆみ フケ 保湿 乾燥対策 弱酸性 低刺激性</t>
  </si>
  <si>
    <t>b0132tf3no-1</t>
  </si>
  <si>
    <t>7378/1642</t>
  </si>
  <si>
    <t>ソフラン アロマリッチ 柔軟剤 金木犀の香り つめかえ用 950ml×2 特大容量 部屋干し 雨の日 部屋 かろやか 香る きれい 清潔 衣類 防臭 抗菌 金木犀 洗濯</t>
  </si>
  <si>
    <t>6959/876</t>
  </si>
  <si>
    <t>IROKA(イロカ) フレアフレグランス メイクアップフレグランス フェムバニラの香り 本体90ml×2個セット 洗濯 洗剤 香り付剤</t>
  </si>
  <si>
    <t>b09fz2jz2n</t>
  </si>
  <si>
    <t>1809/768</t>
  </si>
  <si>
    <t>いなば ちゅ~る 水分補給 とりささみ ビーフミックス味 &amp; とりささみ チキンミックス味 2種 アソート (各1個) 計40本 犬 犬用 おやつ 液体 ドックフード 大容量 人気 国産 水分補給 夏バテ まとめ買い</t>
  </si>
  <si>
    <t>b0c2bv491c-1</t>
  </si>
  <si>
    <t>5369,5352/798,630</t>
  </si>
  <si>
    <t>6737/547</t>
  </si>
  <si>
    <t>アリエール MiRAi 洗濯洗剤 濃縮 漂白剤級の洗浄プラス* 詰め替え 約2.2倍/640g×2個セット [タテ・ドラム式OK] 洗濯 洗剤 洗浄 抗菌</t>
  </si>
  <si>
    <t>b0czxfsh7d-1</t>
  </si>
  <si>
    <t>4215/920</t>
  </si>
  <si>
    <t>アイスノン シャツミスト ICE KING 300ml×2個セット 衣類用冷感スプレー 超冷感 極冷 クールスプレー 暑さ対策 熱中対策 消臭 除菌 ミントの香り 冷感ミスト 通勤 通学 屋外作業 スポーツ アウトドア 夏対策 ひんやり 日本製</t>
  </si>
  <si>
    <t>b09tdkbh5f-1</t>
  </si>
  <si>
    <t>4916/1188</t>
  </si>
  <si>
    <t>いなば チャオ ちゅ〜る とりささみセレクション 14g×66本 猫 猫用 国産 おやつ 液状 キャットフード 人気 大容量 水分補給 まとめ買い</t>
  </si>
  <si>
    <t>0813/1980</t>
  </si>
  <si>
    <t>グレイ＆ブルー</t>
  </si>
  <si>
    <t>B0DZ2LRXCK</t>
  </si>
  <si>
    <t>ファブリーズ PREMIUM 消臭スプレー 布用 清潔なランドリー 詰め替え 特大(610mL×2セット) 除菌 P&amp;Gジャパン スプレー</t>
  </si>
  <si>
    <t>ICY ZAP アイシーザップ クーリングスカルプセラム サマーシャーベットの香り 100mL×2個セット 頭皮用美容液</t>
  </si>
  <si>
    <t>b0f937ntly</t>
  </si>
  <si>
    <t>9097/1096</t>
  </si>
  <si>
    <t>PRO ADVANCE セキセイインコ 650g×2個セット 鳥 とり バード 国産 フード 餌 えさ 種 穀類 総合栄養食 高タンパク インコ 主食</t>
  </si>
  <si>
    <t>b0dnt4kt8f</t>
  </si>
  <si>
    <t>4335/1100</t>
  </si>
  <si>
    <t>ロート製薬 50の恵 養潤液 プレミアム 詰め替え 200ml×2個セット しわ 肌 肌ケア ケア まとめ買い</t>
  </si>
  <si>
    <t>b09c73x1l2</t>
  </si>
  <si>
    <t>1491/1718</t>
  </si>
  <si>
    <t>肌美精 【医薬部外品】 CHOI クレンジングオイル 薬用 ニキビケア 詰め替え 130ml | W洗顔不要 マツエクok クレンジング メイク落とし スキンケア 肌荒れ 殺菌 消炎 毛穴 角質 角栓 黒ずみ</t>
  </si>
  <si>
    <t>b0cblklgx7</t>
  </si>
  <si>
    <t>9791/576</t>
  </si>
  <si>
    <t>いなば チャオ CIAO こだわり焼かつおディナー しらす入り ほたて味 30g×16袋 (ボール販売) 猫 焼かつお かつお しらす ウェット キャットフード パウチ</t>
  </si>
  <si>
    <t>b0dhk59r3g</t>
  </si>
  <si>
    <t>1185/1152</t>
  </si>
  <si>
    <t>キャンメイク(CANMAKE) グロウフルールチークス 16 ライラックフルール(6.0g) 化粧 化粧品 肌 チーク</t>
  </si>
  <si>
    <t>b09dyk9369</t>
  </si>
  <si>
    <t>アリエール MiRAi 洗濯洗剤 濃縮 漂白剤級の消臭プラス* 詰め替え 約4.3倍/1.22kg[タテ・ドラム式OK] 洗濯 洗剤 洗浄 抗菌</t>
  </si>
  <si>
    <t>b0czxqnbmh</t>
  </si>
  <si>
    <t>4147/1275</t>
  </si>
  <si>
    <t>1604/1429</t>
  </si>
  <si>
    <t>NANOXone 本体大600g＋超特大１６８０ｇ/ナノックス 洗剤 ニオイ 洗濯 洗濯洗剤 部屋干し 雨の日 部屋 きれい 清潔 衣類 静電気 防臭 抗菌 赤ちゃん ベビー 洗濯 ライオン</t>
  </si>
  <si>
    <t>ソフラン アロマリッチ キャサリン 本体＋詰替セット 部屋干し 雨の日 部屋 かろやか 香る きれい 清潔 衣類 防臭 抗菌 金木犀 洗濯</t>
  </si>
  <si>
    <t>熱冷却シート 16枚×3個セット 大人 子供 兼用 熱さましシート 発熱対策 ひんやりシート 冷却ジェルシート 長時間 日本製</t>
  </si>
  <si>
    <t>b09lqp2343</t>
  </si>
  <si>
    <t>3569/981</t>
  </si>
  <si>
    <t>Anker USB3.0 ウルトラスリム 4ポートハブ USB ハブ 60cm ブラック ケーブル 5Gbps高速転送 バスパワー 軽量 コンパクト MacBook/iMac/Surface Pro 等 ノートPC 他対応 USBハブ テレワーク リモート 在宅勤務</t>
  </si>
  <si>
    <t>b07st84pf5</t>
  </si>
  <si>
    <t>4365/990</t>
  </si>
  <si>
    <t>ペティオ (Petio) 犬猫用マット クールアルミシート HNZ 猫 犬 人気 夏用 冷感 熱中症対策 ひんやり ベット シート マット 夏物 大型 小型 中型</t>
  </si>
  <si>
    <t>b0cxhrsst2</t>
  </si>
  <si>
    <t>3841,3858,3865/825,1045,1760</t>
  </si>
  <si>
    <t>B0CXHRSST2</t>
  </si>
  <si>
    <t>【医薬部外品】ちふれ 美白乳液 VC&amp;AR 150mL 医薬部外品 美白 乳液 ビタミンC誘導体 アルブチン シミ ソバカス対策 保湿 無香料</t>
  </si>
  <si>
    <t>b0c84ctnbk</t>
  </si>
  <si>
    <t>7910/825</t>
  </si>
  <si>
    <t>2554/1608</t>
  </si>
  <si>
    <t>0860/980</t>
  </si>
  <si>
    <t>8485/835</t>
  </si>
  <si>
    <t>強力カビハイター 排水口スッキリ 粉末発泡タイプ 大容量 40g×6袋入【浴室の排水口用】 ハイター 掃除 清掃 除菌</t>
  </si>
  <si>
    <t>b09fjltc7c</t>
  </si>
  <si>
    <t>3663/548</t>
  </si>
  <si>
    <t>ペティオ (Petio) ペット用コーム プレシャンテ のみとりコーム ペット用 M サイズ 犬 猫 犬用 猫用 コーミング ノミ</t>
  </si>
  <si>
    <t>b004vk7a44</t>
  </si>
  <si>
    <t>8697/539</t>
  </si>
  <si>
    <t>B0CXHYSH9B</t>
  </si>
  <si>
    <t>抗菌セレブにゃんこ毛布 猫 猫用 猫用毛布 抗菌 あったか</t>
  </si>
  <si>
    <t>b0bjtktp1s</t>
  </si>
  <si>
    <t>7140/550</t>
  </si>
  <si>
    <t>【セット品】花王 ハミングフレア リラックス ラベンダー&amp;ジャスミン 本体510mL＋詰替350mL セット 部屋干し 雨の日 部屋 かろやか 香る きれい 清潔 衣類 静電気 防臭 抗菌 赤ちゃん ベビー 洗濯</t>
  </si>
  <si>
    <t>レノア 煮沸レベル超消臭 抗菌ビーズ SPORTS クールリフレッシュ&amp;シトラスの香り 本体 420mL 柔軟剤と一緒に使って効果長続き</t>
  </si>
  <si>
    <t>b0f2ffw7yc</t>
  </si>
  <si>
    <t>1246/329</t>
  </si>
  <si>
    <t>いなば  チャオ (CIAO) ちゅ~る 水分補給 まぐろ 海鮮ミックス味 20本 猫 猫用 おやつ 国産 液体 キャットフード 栄養補給 夏バテ ゼリー ペースト 高齢 大容量 人気</t>
  </si>
  <si>
    <t>トーラス 小動物の知恵 脱臭食 30ml 糞尿臭を消すサプリメント 国産 糞便臭 うんち オシッコ 臭い 消臭 サプリメン うさぎ モルモット ハムスター チンチラ フェレット リス 小動物 液体 日本製</t>
  </si>
  <si>
    <t>b0812dyt68</t>
  </si>
  <si>
    <t>0403/440</t>
  </si>
  <si>
    <t>ニチドウ 毛玉クリーン60g</t>
  </si>
  <si>
    <t>6117/522</t>
  </si>
  <si>
    <t>花王 フレアフレグランス ハミングフレア リッチフローラル 本体 520ml 部屋干し 雨の日 部屋 かろやか 香る きれい 清潔 衣類 静電気 防臭 抗菌 赤ちゃん ベビー 洗濯</t>
  </si>
  <si>
    <t>b0d9znvl7q</t>
  </si>
  <si>
    <t>1720/219</t>
  </si>
  <si>
    <t>いなば チャオ (CIAO) CIAOスティック まぐろ 海鮮ミックス味 20本 猫 猫用 ゼリー おやつ キャットフード 人気 大容量</t>
  </si>
  <si>
    <t>b0c2bs133t</t>
  </si>
  <si>
    <t>5112/861</t>
  </si>
  <si>
    <t>いなば チャオ(CIAO)ちゅ～るごはん とりささみ 総合栄養食 14g×4P 4袋セット 猫 猫用 おやつ 国産 液状 キャットフード 人気 グレインフリー</t>
  </si>
  <si>
    <t>b0bltqq367-1</t>
  </si>
  <si>
    <t>5722/580</t>
  </si>
  <si>
    <t>いなば CIAO チャオ ちゅ〜る 猫用おやつ まぐろ 贅沢セレクト 14g×20本 猫 猫用 国産 無添加 液状スナック おやつ キャットフード 人気 大容量</t>
  </si>
  <si>
    <t>b079yplcvj</t>
  </si>
  <si>
    <t>いなば チャオ だしスープ 4連パック 本格かつおだし(35g×4袋)×2 合計8袋セット</t>
  </si>
  <si>
    <t>b08b5pp7dd</t>
  </si>
  <si>
    <t>3615/193</t>
  </si>
  <si>
    <t>いなば ちゅ~る 総合栄養食 とりささみバラエティ 40本 犬 犬用おやつ ドックフード 大容量 人気</t>
  </si>
  <si>
    <t>b086ykjmkl</t>
  </si>
  <si>
    <t>7730/1280</t>
  </si>
  <si>
    <t>2026年06月から2026年06月</t>
  </si>
  <si>
    <t>7410/19800</t>
  </si>
  <si>
    <t>パナソニック 電動歯ブラシ ドルツ ハイグレードモデル W音波振動 歯垢除去 黒 EW-NDPD6-K 歯磨き 口臭 口内 ケア</t>
  </si>
  <si>
    <t>b0dffzzxqw</t>
  </si>
  <si>
    <t>0715/17800</t>
  </si>
  <si>
    <t>ソウイジャパン 本格コーヒー生豆焙煎機 SOUYI コーヒー焙煎機(微調整機能付き)  SY-121N コーヒー コンパクト 家庭用</t>
  </si>
  <si>
    <t>b09gvt2ls1</t>
  </si>
  <si>
    <t>7698/16700</t>
  </si>
  <si>
    <t>4503/10524</t>
  </si>
  <si>
    <t>ブラウン メンズシェーバー シリーズ5 51-W1200S-V 電動 髭剃り メンズ キワゾリトリマー 防水設計 充電式 コードレス ディープキャッチ網刃</t>
  </si>
  <si>
    <t>ルナブルー</t>
  </si>
  <si>
    <t>B0DBQN8SL3</t>
  </si>
  <si>
    <t>きんだい 冷ひやネックタオル 200本入り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</si>
  <si>
    <t>7514/5200</t>
  </si>
  <si>
    <t>3971/5890</t>
  </si>
  <si>
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</si>
  <si>
    <t>b084rvttlr-1</t>
  </si>
  <si>
    <t>3414/2190</t>
  </si>
  <si>
    <t>ブラウン 電気シェーバー シリーズ8 8560cc 5 in 1 100％防水設計 4+1 ブラック アルコール洗浄システム付 シェーバーケース付 電動 髭剃り メンズ  防水設計 充電式 コードレス</t>
  </si>
  <si>
    <t>b0cbpdcqlf</t>
  </si>
  <si>
    <t>5589/22800</t>
  </si>
  <si>
    <t>フィリップス 9000シリーズ 電動 髭剃り メンズ 72枚刃 回転式 お風呂剃り 丸洗い可 電動シェーバー 電気シェーバー 洗浄機付き 360-D フレックスヘッド S9696/50 PHILIPS ブラック 深剃り シェービング 回転刃 肌の負担低減 切れ味 ヒゲ密度感知システム コードレス洗浄</t>
  </si>
  <si>
    <t>b0blghwbvt</t>
  </si>
  <si>
    <t>花王 ワイドハイター クリアヒーロー 消臭ジェル フレッシュフローラルの香り 詰替 500ml×2個セット 消臭 衣類 消臭剤</t>
  </si>
  <si>
    <t>3278/18800</t>
  </si>
  <si>
    <t>フィリップス 5000シリーズ S5882/66 メンズ 回転式 充電式 電動シェーバー 電気シェーバー 髭剃り 45枚刃 パーソナルフィット・シェイビング 洗浄器付き /Skin IQ テクノロジー ぺトロールブルー 髭剃り</t>
  </si>
  <si>
    <t>b0c57z1xl4</t>
  </si>
  <si>
    <t>7534/13980</t>
  </si>
  <si>
    <t>【2個セット】NEXXUS ネクサス スムースアンドマネージャブル ヘアマスク トリートメント 本体 220g×2個セット うねりケア くせ毛ケア ダメージ補修 集中補修 保湿 パサつき 広がり まとまり ツヤ髪 サロン品質 美容室品質 ヘアケア ヘアパック 洗い流す 毛先ケア 乾燥対策</t>
  </si>
  <si>
    <t>【2個セット】イヤな虫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</si>
  <si>
    <t>b0c2p37k82</t>
  </si>
  <si>
    <t>2414/2344</t>
  </si>
  <si>
    <t>ディープグリーン</t>
  </si>
  <si>
    <t>B0D7YT9MB2</t>
  </si>
  <si>
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</si>
  <si>
    <t>7595/6490</t>
  </si>
  <si>
    <t>B0C5BXMRFZ</t>
  </si>
  <si>
    <t>8986/852</t>
  </si>
  <si>
    <t>ファブリーズ PREMIUM 消臭スプレー 布用 シトラス 詰め替え 特大(610mL×2セット)  除菌 P&amp;Gジャパン スプレー</t>
  </si>
  <si>
    <t>5732/1538</t>
  </si>
  <si>
    <t>【セット品】クーリア こびとづかん キラリンウォーターシール 2種セット 正規品  集合 カクレモモジリ かわいい 立体 シール ぷっくり ぷくぷく シール交換 収集 本物 本家 平成女子 女児 女子</t>
  </si>
  <si>
    <t>資生堂 HAKU ハク メラノフォーカスEV 45g 本体 医薬部外品 美容液 薬用美白美容液 スキンケア 美白ケア シミ予防 そばかす予防 保湿ケア 透明感 うるおい 肌荒れ予防 フェイスケア 基礎化粧品 薬用美容液 資生堂スキンケア</t>
  </si>
  <si>
    <t>P&amp;G ジレット プロシールド5+1 パワー ホルダー 電動タイプ 本体 替刃6個付 メンズシェーバー カミソリ 髭剃り 電動シェーバー 5枚刃 深剃り 密着剃り 電動振動 替刃付き 男性用シェーバー メンズカミソリ ヒゲソリ シェービング ひげ剃り Gillette まとめ買い</t>
  </si>
  <si>
    <t>Anker MagGo Wireless Charging Station (Foldable 3-in-1) Qi2対応 マグネット式 3-in-1 ワイヤレス充電ステーション/ワイヤレス出力/Apple Watchホルダー付 iPhone MagSafe対応 iPhone 17 / 17 Pro / 17 Pro Max / 16 / 15 / 14 / 13 ブラック</t>
  </si>
  <si>
    <t>b0cm66ly5f</t>
  </si>
  <si>
    <t>9724/9490</t>
  </si>
  <si>
    <t>TP-Link WiFi ルーター 無線LAN WiFi6 11AX AX6000 4804 + 1148Mbps 2.5Gbps  Archer AX80/A 縦型  縦型 IPv6 IPoE VPN OneMesh 対応</t>
  </si>
  <si>
    <t>b0bls9fnwh</t>
  </si>
  <si>
    <t>0868/10990</t>
  </si>
  <si>
    <t>フローラルオイル(ピンク)</t>
  </si>
  <si>
    <t>3264680009761-b</t>
  </si>
  <si>
    <t>8187/1630</t>
  </si>
  <si>
    <t>ラボン トゥザムーン ファブリックミスト 詰め替え 600ml×3個セット ノクターナルブルー 大容量 消臭スプレー ルームスプレー 芳香剤 アロマ フレグランスミスト 寝室 衣類 ソファ カーテン 布製品 リラックス まとめ買い</t>
  </si>
  <si>
    <t>621,1148,1480,589,932,1216</t>
  </si>
  <si>
    <t>9279/1140</t>
  </si>
  <si>
    <t>8712/1272</t>
  </si>
  <si>
    <t>3588/844</t>
  </si>
  <si>
    <t>【2個セット】ライオン ソフラン エアリス パティオ 本体 480ml×2個セット ライオン 柔軟剤 ふんわり仕上げ 衣類柔軟剤 洗濯用品 部屋干し対応 いい香り 長続き 香り控えめ ふわふわ仕上げ 静電気防止 日用品 まとめ買い ストック用 ランドリー用品 洗濯柔軟仕上げ剤</t>
  </si>
  <si>
    <t>4299/1494</t>
  </si>
  <si>
    <t>3532/3590</t>
  </si>
  <si>
    <t>はだまも お肌の虫よけ ミスト 200ml×3個セット 虫除けスプレー 顔 体 お肌にやさしい 弱酸性 4種のうるおい成分たっぷり 虫よけスプレー 蚊 トコジラミ</t>
  </si>
  <si>
    <t>b0dtpclhwh</t>
  </si>
  <si>
    <t>4019/1275</t>
  </si>
  <si>
    <t>4737/2230</t>
  </si>
  <si>
    <t>アース製薬 マモルームエッセンス 虫よけパール 180日用 やわらかいクリーンムスク 500g×3個セット 天然精油配合 消臭 虫よけ 置き型 大容量 ユスリカ対策 化学合成殺虫成分不使用 玄関 リビング 寝室 室内 芳香剤 ムスクの香り 長期間持続 クリーン空間 ニオイ対策</t>
  </si>
  <si>
    <t>b0bwdnysh3</t>
  </si>
  <si>
    <t>サラ ヘアクリームＲ いい香り うるおい 浸透 べたつかない 髪 スタイリング しっとり まとまる カネボウ SALA 国産</t>
  </si>
  <si>
    <t>b008kbayg6</t>
  </si>
  <si>
    <t>7533/490</t>
  </si>
  <si>
    <t>B0BLS11Y97</t>
  </si>
  <si>
    <t>【セット品】モンプチ バッグ ナチュラル 5種アソート 500g×5袋セット 猫 ドライフード 無添加 着色料不使用 チキン ターキー ラム かつお 小魚 キャットフード 総合栄養食 成猫用 食べ比べ バラエティ 大容量 2.5kg ネスレ ピュリナ 猫ごはん 猫餌 ペットフード まとめ買い</t>
  </si>
  <si>
    <t>9656,8703/1584</t>
  </si>
  <si>
    <t>6284/814</t>
  </si>
  <si>
    <t>アース製薬 らくハピ お部屋の防カビ剤 カチッとおすだけ 無香料 60mL×3個セット 防カビ対策 カビ予防 除菌 ハウスダスト対策 空間ケア リビング 寝室 子供部屋 押入れ クローゼット トイレ 洗面所 玄関 4～10畳用 約2ヵ月持続 煙が出ない エアゾールタイプ まとめ買い</t>
  </si>
  <si>
    <t>2512/1659</t>
  </si>
  <si>
    <t>【セット品】肌ラボ 極潤 薬用ハリ化粧水170mL＋薬用ハリ乳液140mL セット 保湿 化粧水 乳液 薬用スキンケア 高保湿 エイジングケア ハリ うるおい 乾燥対策 フェイスケア 基礎化粧品 無香料 日本製 ロート製薬 レディース メンズ 年齢肌 潤い キメ ツヤ ハリ不足 肌荒れ対策</t>
  </si>
  <si>
    <t>【セット品】メラノCC 薬用しみ対策 美白化粧水しっとり 170mL＋美白乳液120mL セット 薬用美白 ビタミンC誘導体 保湿 しっとり 潤い 毛穴対策 化粧水 乳液 スキンケア フェイスケア 基礎化粧品 乾燥対策 キメ ハリ ツヤ 日本製 ロート製薬</t>
  </si>
  <si>
    <t>THREE(スリー) [フェイスパウダー ] アルティメイトダイアフェネス ルースパウダー グロー 01 17g 化粧 化粧品 顔 フェイス フェイスパウダー</t>
  </si>
  <si>
    <t>b07v84nlzf</t>
  </si>
  <si>
    <t>4632/</t>
  </si>
  <si>
    <t>【2個セット】サラテクト 虫よけスプレー 無香料 400mL×2個セット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</si>
  <si>
    <t>4377,3070/5990</t>
  </si>
  <si>
    <t>【2個セット】ジレット フュージョン 電動タイプ 替刃 8コ入×2セット 合計16個 Gillette 髭剃り カミソリ 替え刃 シェーバー メンズシェービング 深剃り 剃刀 刃交換 ヒゲ剃り 男性用 カミソリ替刃 スキンガード 剃り味長持ち まとめ買い ストック 正規品 メンズ 男性 男</t>
  </si>
  <si>
    <t>b09dc7q6kl-1</t>
  </si>
  <si>
    <t>2454/6000</t>
  </si>
  <si>
    <t>【2個セット】ラボン トゥザムーン ベッドルーム&amp;ファブリックミスト ノクターナルブルー 詰め替え 大容量 600ml×2個セット ファブリックスプレー ルームスプレー 芳香剤 アロマ フレグランス 消臭 寝室 リビング 衣類 布製品 ルームフレグランス リラックス まとめ買い</t>
  </si>
  <si>
    <t>8806/1239</t>
  </si>
  <si>
    <t>Anker 523 Charger Nano 3 47W ブラック A2039N11 USB-C 急速充電器 GaN PD対応 最大47W 2ポート USB充電器 Type-C 折りたたみ式 コンパクト 小型 MacBook iPad iPhone Android ノートPC タブレット対応 USB-C充電アダプター 高速充電 持ち運び Anker</t>
  </si>
  <si>
    <t>4838/3848</t>
  </si>
  <si>
    <t>B0FNRL2QMT-1574</t>
  </si>
  <si>
    <t>【まとめ買い60個】アイリスオーヤマ カイロ ミニ 10個入×6個セット ぽかぽか家族 使い捨てカイロ 貼らないタイプ 防寒 寒さ対策 冬 防災 非常用 持ち運び コンパクト ハンドウォーマー</t>
  </si>
  <si>
    <t>b01lzqkw6a</t>
  </si>
  <si>
    <t>8983/1116</t>
  </si>
  <si>
    <t>0211/2160</t>
  </si>
  <si>
    <t>【2個セット】ファブリーズ W除菌+消臭スプレー 衣類・布製品用 ほのかな緑茶の香り 本体 370mL×2個セット P&amp;G 布用消臭剤 除菌スプレー シワ取り 衣類 ソファ カーテン クッション 布団 枕 ラグ タバコ臭 汗臭 食べ物臭 ニオイ対策 清潔ケア 日用品 まとめ買い ストック</t>
  </si>
  <si>
    <t>b0dqxmpx2g</t>
  </si>
  <si>
    <t>6260/436</t>
  </si>
  <si>
    <t>【2個セット】ファブリーズ W除菌+消臭スプレー 衣類・布製品用 香りが残らない 本体 370mL×2個セット P&amp;G 布用消臭剤 除菌スプレー ウイルス除去 シワ取り 衣類 ソファ カーテン クッション 布団 枕 ラグ タバコ臭 汗臭 食べ物臭 消臭対策 日用品 まとめ買い ストック</t>
  </si>
  <si>
    <t>b0dqxrwnzc</t>
  </si>
  <si>
    <t>6307/436</t>
  </si>
  <si>
    <t>4019/850</t>
  </si>
  <si>
    <t>8938/416</t>
  </si>
  <si>
    <t>B0DNLVY85L</t>
  </si>
  <si>
    <t>Anker SoundCore ブラック ポータブル Bluetooth5.0 スピーカー 24時間連続再生可能【デュアルドライバー / IPX5防水規格 / ワイヤレススピーカー/内蔵マイク搭載】</t>
  </si>
  <si>
    <t>b016xkhlck</t>
  </si>
  <si>
    <t>6985/3500</t>
  </si>
  <si>
    <t>クリアストーン(Clearstone) レディアニマル コスプレ ハロウィン ナース×うさぎ レディース ホワイト レディース 女性用</t>
  </si>
  <si>
    <t>b0b536nd1z</t>
  </si>
  <si>
    <t>【まとめ買い】 日本カルシウム工業 アルカリイオン水素水×4個セット 浄水スティック 浄水パック ペットボトル用 携帯浄水器 水質改善 カルキ除去 アルカリイオン水 日本製 節約 防災対策 【お茶パック付き】</t>
  </si>
  <si>
    <t>b01gzq2xyi</t>
  </si>
  <si>
    <t>3153/3652</t>
  </si>
  <si>
    <t>タカラトミー(TAKARA TOMY) リカちゃん ドール おでかけワンピースいっぱいセット 着せ替え おままごと おもちゃ 3歳以上</t>
  </si>
  <si>
    <t>b0f65744tw</t>
  </si>
  <si>
    <t>2111/3500</t>
  </si>
  <si>
    <t>山善 YAMAZEN 電気毛布 電気敷毛布 130×80cm 丸洗い可能 ダニ退治機能 温度調節機能 ホワイト×ベージュ YMS-16 ダニ 丸洗い 毛布</t>
  </si>
  <si>
    <t>b09c1ph1wz</t>
  </si>
  <si>
    <t>3322/3900</t>
  </si>
  <si>
    <t>【セット品】ロート製薬 ラビオーム バリアビオソープ 本体＋詰替セット フローラルの香り デリケートゾーン ソープ ジェルソープ 乳酸菌配合 弱酸性 ボディソープ 詰め替え 保湿 敏感肌 パッチテスト済 防腐剤フリー デリケートケア ボディケア 清潔 女性用 まとめ買い</t>
  </si>
  <si>
    <t>【3個セット】アイスノン ICE KING 極冷えボディミスト 金木犀の香り 150mL×3個 白元アース メントール配合 ヒアルロン酸Na 加水分解コラーゲン配合 冷感スプレー ボディ用 日本製 夏用 暑さ対策 猛暑対策 熱中対策 通勤 通学 スポーツ アウトドア レジャー クールケア 爽快</t>
  </si>
  <si>
    <t>b0d9xp3w5n</t>
  </si>
  <si>
    <t>5111/1941</t>
  </si>
  <si>
    <t>カクレモモジリ/アップ</t>
  </si>
  <si>
    <t>B0GSQ8G4Q2-8076</t>
  </si>
  <si>
    <t>【8個セット】NEWクレラップ レギュラー 30cm×20m×8個セット クレラップ ラップ 食品保存ラップ キッチンラップ 保存用ラップ 電子レンジ対応 冷凍保存 食材保存 作り置き お弁当 キッチン用品 台所用品 日用品 消耗品 ストック まとめ買い 家庭用 クレハ KUREHA</t>
  </si>
  <si>
    <t>7514/2600</t>
  </si>
  <si>
    <t>オーシャントリコ シークレットメイク BBクリーム ナチュラル 30グラム 化粧 下地 化粧下地 ケア 肌 肌ケア</t>
  </si>
  <si>
    <t>b0b7wq9y46</t>
  </si>
  <si>
    <t>0324/219</t>
  </si>
  <si>
    <t>3361/396</t>
  </si>
  <si>
    <t>【2個セット】ママクック フリーズドライ ササミ 犬用 150g×2個セット 犬 犬用 おやつ ドライ フード ドライフード 高タンパク・国産素材・DFD製法｜食いつき ヘルシーおやつ</t>
  </si>
  <si>
    <t>b01dn6zigi</t>
  </si>
  <si>
    <t>3385/3320</t>
  </si>
  <si>
    <t>【2個セット】犬用 おやつ おいしい納豆菌 280g×2個 無添加 ふりかけ 腸内環境 口臭対策 便臭改善 国産 ドッグフード トッピング ペット用品 健康サポート</t>
  </si>
  <si>
    <t>b0070at8ss-1</t>
  </si>
  <si>
    <t>0900/3060</t>
  </si>
  <si>
    <t>3325/550</t>
  </si>
  <si>
    <t>【2個セット】ショーワグローブ No.882 ニトリスト・タッチ 100枚入×2個セット ブルー Mサイズ  作業 作業用 衛生 食品 食事 料理 調理 掃除 清掃 園芸 メンテ メンテナンス 整備 美容 介護</t>
  </si>
  <si>
    <t>Gyutto （ギュット） コルセットヘアマスク 200g×3個セット トステアトリートメント うねりケア 縮毛 ダメージ補修 ヘアマスク ヘアパック ヘアトリートメント</t>
  </si>
  <si>
    <t>b0d5cmg6tl-1</t>
  </si>
  <si>
    <t>5183/3135</t>
  </si>
  <si>
    <t>Speedo(スピード) 【競泳用】ファストスキンスピードソケット2ミラー SE01907 ネイビー／エメラルド レッドシルバー ブラック ホワイト ゴーグル 水泳 スイミング</t>
  </si>
  <si>
    <t>b0dnjrzdt9</t>
  </si>
  <si>
    <t>0831/2873</t>
  </si>
  <si>
    <t>B07L9YL3X7</t>
  </si>
  <si>
    <t>1106/1278</t>
  </si>
  <si>
    <t>スズキ機工 LSベルハンマーゴールド スプレー420ml 潤滑剤 潤滑油 潤滑オイル 自転車 バイク チェーン 自動車</t>
  </si>
  <si>
    <t>b079fnj832</t>
  </si>
  <si>
    <t>0203/3069</t>
  </si>
  <si>
    <t>【セット品】いなば 鶏づくし とりささみ 5種 180g×5袋 合計5袋セット 猫用ウェットフード 猫用おやつ キャットフード ささみ ゼリータイプ 国産 食べ比べ バラエティアソート まぐろ チキン チーズ 貝柱 かつお節 水分補給 副食 間食 猫ごはん 成猫 シニア猫 まとめ買い</t>
  </si>
  <si>
    <t>8453/2600</t>
  </si>
  <si>
    <t>【2個セット】ショーワグローブ ニトリル手袋 No.882 ニトリスト・タッチ LLサイズ 100枚入×2個セット ブルー 粉なし 食品衛生適合 作業用 使い捨て 手袋 ニトリルグローブ 調理 掃除 介護 美容  衛生 食品 食事 料理 清掃 園芸 メンテ メンテナンス 整備 美容</t>
  </si>
  <si>
    <t>ANKER Anker 322 高耐久ナイロン USB-C &amp; USB-C ケーブル 1.8m ブラック×2個セット A81F6N11 PD対応 最大60W 急速充電 Type-C USB-Cケーブル 高耐久 ナイロン編み 断線防止 スマホ タブレット ノートPC Switch対応 充電コード データ転送 USB-IF認証 ロングケーブル 黒</t>
  </si>
  <si>
    <t>5552/2197</t>
  </si>
  <si>
    <t>NEXXUS インテンスダメージリペア シャンプー ポンプ 440g×2個セット ケア ヘアケア ネクサス うねりケア</t>
  </si>
  <si>
    <t>b0bqtp6fl5</t>
  </si>
  <si>
    <t>2431/1534</t>
  </si>
  <si>
    <t>ミツエイ フレグランスムスク FRAGRANCE MUSK 柔軟剤 洗濯用洗剤2袋セット キンモクセイの香り 2000ml つめかえ用 金木犀 詰め替え 部屋干し 雨の日 部屋 かろやか 香る きれい 清潔 衣類 静電気 防臭 抗菌 赤ちゃん ベビー  洗濯</t>
  </si>
  <si>
    <t>肌ラボ 極潤 ハリパーフェクトゲル 100g×2個セット 高機能オールインワンゲル 無香料 保湿 スキンケア エイジングケア オールインワンジェル 化粧水 美容液 乳液 クリーム パック フェイスケア 乾燥対策 潤い ハリ 弾力 保湿ゲル 高保湿 基礎化粧品 時短ケア まとめ買い</t>
  </si>
  <si>
    <t>フルフルパピー</t>
  </si>
  <si>
    <t>B0DVSW1YS7-2094</t>
  </si>
  <si>
    <t>肌ラボ 極潤 パーフェクトゲル 高機能オールインワン 100g×2個セット ゲル 保湿 肌ケア 肌 ケア エイジング</t>
  </si>
  <si>
    <t>b0c85n5g1f</t>
  </si>
  <si>
    <t>5774/1988</t>
  </si>
  <si>
    <t>1316/2060</t>
  </si>
  <si>
    <t>さらさ 洗濯洗剤 液体 ほのかでやさしい柑橘系の香り 詰め替え 1490g×2 液体 詰替 衣料用洗剤 液体洗剤 しっかり洗浄 植物由来成分 赤ちゃん すすぎ1回 ペット ほのかでやさしい柑橘系の香り つめかえ用 P&amp;G 送料無料</t>
  </si>
  <si>
    <t>b0fjg6x3h5</t>
  </si>
  <si>
    <t>4834/4552</t>
  </si>
  <si>
    <t>【訳あり】ハーツ チューデント 歯みがきおやつ とことん噛めるもちもちガム チキン味 60g ×3袋 犬 犬用 おやつ 歯磨き ガム 人気 国産 ドックフード ※賞味期限2026.6.23</t>
  </si>
  <si>
    <t>b0d32pg6c1</t>
  </si>
  <si>
    <t>3928/1008</t>
  </si>
  <si>
    <t>7484/1242</t>
  </si>
  <si>
    <t>3516/874</t>
  </si>
  <si>
    <t>6001/858</t>
  </si>
  <si>
    <t>8723/768</t>
  </si>
  <si>
    <t>8998/942</t>
  </si>
  <si>
    <t>いなば ちゅ〜るボール とりささみ チーズ 犬用 6袋セット 犬 おやつ ドックフード トッパー</t>
  </si>
  <si>
    <t>9018/942</t>
  </si>
  <si>
    <t>【4個セット】コスメテックスローランド 浪蘭堂 ハッカミスト 薬用和ハッカ 水ミスト 250mL×4個セット 日本製 薬用化粧水 冷感ミスト 保湿 清涼感 ひんやり 和種薄荷油配合 ミスト化粧水 スプレータイプ 顔 ボディ スキンケア 暑さ対策 夏用 クールミスト まとめ買い</t>
  </si>
  <si>
    <t>【セット品】ミツエイ ホワイトフレグランスムスク 洗濯洗剤 柔軟剤 セット 大容量 1.65kg ＋ 2kg ホワイトムスク 香り 衣類用液体洗剤 柔軟剤 部屋干し 消臭 静電気防止 詰め替え まとめ買い 日本製</t>
  </si>
  <si>
    <t>b0c96849wl</t>
  </si>
  <si>
    <t>1735,1728/1098</t>
  </si>
  <si>
    <t>肌美精 大人のニキビ対策 薬用 美白 クリーム 50g×2個セット ニキビケア ニキビ跡 スキンケア 角質 保湿 殺菌 消炎 ビタミンc</t>
  </si>
  <si>
    <t>b019skzy3u</t>
  </si>
  <si>
    <t>1733/1612</t>
  </si>
  <si>
    <t>小林製薬  糸ようじ スルッと入るタイプ お徳用60本×3個セット 歯 歯間 ようじ 歯ケア ケア</t>
  </si>
  <si>
    <t>2779/1547</t>
  </si>
  <si>
    <t>1797/1284</t>
  </si>
  <si>
    <t>1773/1738</t>
  </si>
  <si>
    <t>3684,3707,3691,3714,3721/1672</t>
  </si>
  <si>
    <t>そらねこ</t>
  </si>
  <si>
    <t>【2個セット】レノア リセット セラム ミネラルジャスミンの香り つめかえ 特大 750mL×2個セット 柔軟剤 詰め替え 大容量 衣類ケア シワ防止 ヨレ戻し 毛玉防止 ダメージケア 香り長続き 消臭 抗菌 部屋干し対応 衣類リセット P&amp;G まとめ買い</t>
  </si>
  <si>
    <t>ペティオ (Petio) ペット用コーム プレシャンテ のみとりコーム ペット用 M サイズ 犬 猫 犬用 猫用 コーミング  ノミ</t>
  </si>
  <si>
    <t>1131,1148,1155,1162,1179,1186</t>
  </si>
  <si>
    <t>1415/720</t>
  </si>
  <si>
    <t>3036/1273</t>
  </si>
  <si>
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</si>
  <si>
    <t>緑単品</t>
  </si>
  <si>
    <t>B07PPVC59Y-3</t>
  </si>
  <si>
    <t>【セット品】わんわん チョイあげ 国産 14種 アソート 犬用おやつ 食べ比べ 豆乳ビスケット ささみコイン ビーフジャーキー かぼちゃん おいもん かつおくん 牛太郎牛タン入り ミルク入りキューブ ささみん チキンスティック SSSC 山羊ミルク入りスティック 鹿肉ジャーキー</t>
  </si>
  <si>
    <t>【2個セット】ナチュラルペットフーズ エクセル セキセイインコ 1.3kg×2袋セット インコ 餌 主食 鳥用フード 小鳥用フード セキセイインコフード 総合栄養食 大容量 まとめ買い 小鳥 鳥 エサ ペットフード バードフード 栄養バランス 健康維持 国産 小鳥用品 鳥用品</t>
  </si>
  <si>
    <t>3530/1296</t>
  </si>
  <si>
    <t>ファブリーズ 消臭スプレー PREMIUM 消臭+除菌 クールアクア 詰め替え 特大(610mL×2セット)  除菌 P&amp;Gジャパン スプレー</t>
  </si>
  <si>
    <t>b0f3d19j9q</t>
  </si>
  <si>
    <t>1598/1116</t>
  </si>
  <si>
    <t>0445/1100</t>
  </si>
  <si>
    <t>【セット品】わんわん チョイあげ 国産 13種 アソート 犬用おやつ 食べ比べ 豆乳ビスケット ささみコイン ビーフジャーキー かぼちゃん おいもん かつおくん 牛太郎牛タン入り ミルク入りキューブ ささみん チキンスティック SSSC 山羊ミルク入りスティック 犬 犬用 おやつ</t>
  </si>
  <si>
    <t>5111,5166/1300</t>
  </si>
  <si>
    <t>IROKA(イロカ) フレアフレグランス メイクアップフレグランス センシュアルアンバーの香り 本体90ml×2個セット 洗濯 洗剤 香り付剤</t>
  </si>
  <si>
    <t>b09fz1rdwv</t>
  </si>
  <si>
    <t>1816/768</t>
  </si>
  <si>
    <t>【5個セット】極みのAg+抗菌綿棒 紙の個包装 100本入×5個セット 個包装綿棒 抗菌綿棒 日本製 Ag+銀イオン配合 耳掃除 耳ケア 衛生用品 携帯用 使い捨て 紙軸 メイク直し 化粧直し ベビー 介護 旅行 出張 防災備蓄 アメニティ 業務用 家庭用 大容量 まとめ買い 清潔 個別包装</t>
  </si>
  <si>
    <t>3557/924</t>
  </si>
  <si>
    <t>アース製薬 らくハピ スキマワイパー 取替え用防カビシート 5枚入×4個セット 防カビ 除菌 消臭 ホコリガード 汚れ除去 エアコン掃除 エアコン清掃 吹出口掃除 送風口掃除 カビ臭対策 エアコン内部クリーニング ウエットシート 無香性 交換用 清潔維持 エアコンの防カビ</t>
  </si>
  <si>
    <t>b0bsl8s15z</t>
  </si>
  <si>
    <t>0318/1412</t>
  </si>
  <si>
    <t>6737/1094</t>
  </si>
  <si>
    <t>トイレのルック 除菌消臭EX つめかえ用 350ml トイレ用洗剤 トイレ洗剤 除菌 消臭 掃除 洗浄 詰替え 詰め替え 洗剤 黄ばみ 黒ずみ 尿石 汚れ対策 フレッシュハーブの香り トイレクリーナー 便器 便座 清掃 日用品 ライオン</t>
  </si>
  <si>
    <t>3058/357</t>
  </si>
  <si>
    <t>【セット品】いなば 魚づくし まぐろ・かつお 6種アソート 60g×3袋×6袋セット 猫用ウェットフード パウチ ソフトゼリー フレークタイプ 魚味バラエティ キャットフード まぐろ かつお 緑茶消臭成分配合 多頭飼い まとめ買い 水分補給 食いつき重視 ストック用 猫ごはん</t>
  </si>
  <si>
    <t>カミオジャパン たまごっち シールシート ドロップブロックシール イエロー かわいい 立体 シール ぷっくり ぷくぷく シール交換 収集 正規品 本物 本家</t>
  </si>
  <si>
    <t>b0f66p8fyc</t>
  </si>
  <si>
    <t>8892/494</t>
  </si>
  <si>
    <t>ファブリーズ プレミアム 消臭スプレー(衣類・布用) 【 消臭＋除菌成分最高レベル配合 】 無香料 詰め替え 超特大 1240mL 除菌 P&amp;Gジャパン スプレー</t>
  </si>
  <si>
    <t>b0f3czw26m</t>
  </si>
  <si>
    <t>1680/1319</t>
  </si>
  <si>
    <t>小林製薬 やわらか歯間ブラシ SSS-Sサイズ 20本×3個セット ゴムタイプ ワイヤー不使用 極細 歯垢除去 食べかす除去 歯周病対策 虫歯予防 口臭対策 歯ぐきケア 歯肉ケア 口腔ケア デンタルケア オーラルケア 歯間清掃 先端先細加工 狭い歯間 柔軟ブラシ 歯周ポケットケア</t>
  </si>
  <si>
    <t>b00xj3iark</t>
  </si>
  <si>
    <t>5581/690</t>
  </si>
  <si>
    <t>【2個セット】アイスノン 極冷えタオル ピンク 2個セット 冷感タオル ひんやりタオル 首掛けタオル 冷却タオル 熱中症対策 暑さ対策 猛暑対策 スポーツ アウトドア 通勤 通学 屋外作業 レディース 女性向け クールタオル 夏用品</t>
  </si>
  <si>
    <t>b08vn5jgjx</t>
  </si>
  <si>
    <t>4787/878</t>
  </si>
  <si>
    <t>アース・バイオケミカル スタミノール 子いぬ・子ねこ用 100g サプリ</t>
  </si>
  <si>
    <t>b09z2v4w29</t>
  </si>
  <si>
    <t>7308/1010</t>
  </si>
  <si>
    <t>9577/1010</t>
  </si>
  <si>
    <t>花王 ハミングフレア リラックス ラベンダー＆ジャスミン つめかえ用 350ml×3個セット 部屋干し 雨の日 部屋 かろやか 香る きれい 清潔 衣類 静電気 防臭 抗菌 赤ちゃん ベビー  洗濯</t>
  </si>
  <si>
    <t>b0dmnwc48r</t>
  </si>
  <si>
    <t>8140/199</t>
  </si>
  <si>
    <t>【2個セット】ハウメル 知覚過敏ケア ペースト 薬用ハミガキ 100g×2個セット 薬用歯みがき 知覚過敏 歯磨き粉 歯周病予防 むし歯予防 口臭予防 口腔ケア オーラルケア デンタルケア 歯ぐきケア 歯垢除去 歯石沈着予防 薬用ハミガキ 医薬部外品 まとめ買い</t>
  </si>
  <si>
    <t>b08x2gkrbk</t>
  </si>
  <si>
    <t>0674/898</t>
  </si>
  <si>
    <t>7612/946</t>
  </si>
  <si>
    <t>フェロー スーパーハードジェル 200g×2個セット ジェル ヘア スタイリング ヘアセット メンズ 男性 髪</t>
  </si>
  <si>
    <t>b07lb61s3v</t>
  </si>
  <si>
    <t>1114/546</t>
  </si>
  <si>
    <t>フマキラー 蚊取り線香 レギュラー 箱 30巻×2個セット 蚊 線香 むし 虫 虫除け</t>
  </si>
  <si>
    <t>b000v2f0aw</t>
  </si>
  <si>
    <t>4430/878</t>
  </si>
  <si>
    <t>8832/549</t>
  </si>
  <si>
    <t>Biore ビオレ UV アクアリッチ ライトアップ エッセンス、ウォータリーエッセンス 100g 日焼け止め SPF50 夏</t>
  </si>
  <si>
    <t>ライトアップエッセンス</t>
  </si>
  <si>
    <t>b0ds7s7p82</t>
  </si>
  <si>
    <t>B0DS7S7P82</t>
  </si>
  <si>
    <t>【訳あり】ドギーマン ホワイデント 長持ち歯みがき ギザ棒ガム S22本×3 犬 犬用 おやつ 歯磨き ガム 人気 ドックフード まとめ買い　※賞味期限2026.03末</t>
  </si>
  <si>
    <t>b0b46fdjyq</t>
  </si>
  <si>
    <t>4650/1260</t>
  </si>
  <si>
    <t>ビオレu ザ ボディ 泡タイプ 華やかな金木犀の香り つめかえ用 ( 780ml )/ ビオレUザボディ 「高潤滑処方の生クリーム泡」 ボディソープ 金木犀の香り 泡 大容量</t>
  </si>
  <si>
    <t>b0bxcstz4s</t>
  </si>
  <si>
    <t>9247/411</t>
  </si>
  <si>
    <t>いなば チャオ ちゅ〜る まぐろ＆贅沢サーモン （14g×4本）×6コ 猫 猫用 国産 おやつ 液状  水分補給 キャットフード  人気 大容量 まとめ買い 猫スナック ペースト</t>
  </si>
  <si>
    <t>b01dlx1vza</t>
  </si>
  <si>
    <t>8533/918</t>
  </si>
  <si>
    <t>いなば チャオ (CIAO) ちゅ~るごはん とりささみバラエティ 14g×20本 猫 猫用 国産 総合栄養食 おやつ 液状  キャットフード  人気 大容量</t>
  </si>
  <si>
    <t>b0bw99xdfz</t>
  </si>
  <si>
    <t>メンソレータムリップ メンソレータム フラッシュティントリップ オレンジ 2g×3個セット(6種のオイル配合 高保湿 美発色 落ちにくい UV対策 SPF26 PA+++) ツヤ 口紅 リップ</t>
  </si>
  <si>
    <t>b0cd1bx571</t>
  </si>
  <si>
    <t>2571/600</t>
  </si>
  <si>
    <t>チャーミングルーム</t>
  </si>
  <si>
    <t>B0FRS98197</t>
  </si>
  <si>
    <t>レノア アロマジュエル WHITE MUSK 香り付けビーズ ホワイトムスクの香り 本体 420mL 部屋干し 雨の日 部屋 かろやか 香る きれい 清潔 衣類 静電気 防臭 抗菌 赤ちゃん ベビー  洗濯</t>
  </si>
  <si>
    <t>b0dth88h1s</t>
  </si>
  <si>
    <t>8418/384</t>
  </si>
  <si>
    <t>クレハ ダストマン ○(マル) 20枚×2個セット スタンド 三角コーナー 水切り ゴミ袋</t>
  </si>
  <si>
    <t>b00xtyr0js</t>
  </si>
  <si>
    <t>0153/396</t>
  </si>
  <si>
    <t>ペティオ (Petio) プレシャンテ スキバサミ ペット用 犬 猫 犬用 猫用 トリミング ハサミ</t>
  </si>
  <si>
    <t>b004vk6m2a</t>
  </si>
  <si>
    <t>8772/550</t>
  </si>
  <si>
    <t>リーゼ ブリーチオンカラー ラナンキュラスオレンジ・さくらピンク・フランネルフラワーベージュ 染粉 ブリーチ ヘアカラー</t>
  </si>
  <si>
    <t>さくらピンク</t>
  </si>
  <si>
    <t>b0cxdjmbsq</t>
  </si>
  <si>
    <t>4050,4043,4067/461</t>
  </si>
  <si>
    <t>B0CXDLHH2D</t>
  </si>
  <si>
    <t>いなば ちゅ~る 水分補給 とりささみ ビーフミックス味 20本 犬 犬用 おやつ 液体 ドックフード 大容量 人気 国産 水分補給</t>
  </si>
  <si>
    <t>b0c2bv491c</t>
  </si>
  <si>
    <t>5369/798</t>
  </si>
  <si>
    <t>ジャノア 【3個セット】 ペッツルート (Petz Route) さつまいもジャーキー 80g 犬用おやつ</t>
  </si>
  <si>
    <t>b08slx423b</t>
  </si>
  <si>
    <t>7441/675</t>
  </si>
  <si>
    <t>【訳あり】【3個セット】ディンゴ (Dingo) 犬 おやつ ミート・イン・ザ・ミドル オリジナルチキン ミニ4本入×3個セット 犬 犬用 おやつ 犬用おやつ ガム ドッグフード ドッグ 人気 ※賞味期限2026・4月末～</t>
  </si>
  <si>
    <t>b01mtcwan4</t>
  </si>
  <si>
    <t>5275/241</t>
  </si>
  <si>
    <t>いなば チャオ(CIAO)ちゅ～るごはんスープとりささみ120g 2個セット 猫 猫用 国産 おやつ 液状  キャットフード  人気 大容量 水分補給</t>
  </si>
  <si>
    <t>b0cx3x3h4m</t>
  </si>
  <si>
    <t>4840/588</t>
  </si>
  <si>
    <t>2026年07月から2026年07月</t>
  </si>
  <si>
    <t>8720689027410-a</t>
  </si>
  <si>
    <t>B0D28N991R</t>
  </si>
  <si>
    <t>シャープ 空気清浄機 KI-SD50-W 除湿加湿空気清浄機 プラズマクラスター25000搭載 21畳 衣類乾燥 SHARP 白 除湿 加湿 PM2.5 花粉運転 KI-TD50の前機種 キャスター付き KISD50 kisd50 コンパクト 空気浄化</t>
  </si>
  <si>
    <t>b0d8kj4pvq</t>
  </si>
  <si>
    <t>パナソニック ラムダッシュPRO メンズシェーバー 5枚刃 シルバー ES-LV7J-S 髭そり</t>
  </si>
  <si>
    <t>b0bzxl5dz7</t>
  </si>
  <si>
    <t>2856/25800-a</t>
  </si>
  <si>
    <t>B0BZXL5DZ7</t>
  </si>
  <si>
    <t>Anker Soundcore Sleep A20 （ワイヤレスイヤホン Bluetooth 5.3）サンドベージュ 睡眠用 完全ワイヤレスイヤホン IPX4防水規格 最大55時間音楽再生 専用アプリ対応 睡眠時モニタリング コンパクト 軽量設計 PSE技術基準適合</t>
  </si>
  <si>
    <t>b0gf6zrvns</t>
  </si>
  <si>
    <t>9473/10990</t>
  </si>
  <si>
    <t>1877/23979</t>
  </si>
  <si>
    <t>SkyPAD Glass 3.0 XL ゲーミング マウスパッド クラウド ロゴ付き ブラック ホワイト プロフェッショナル大型マウスマット 400 x 500mm 精度と速度が向上した特殊なガラス表面</t>
  </si>
  <si>
    <t>b09mj5g5z7</t>
  </si>
  <si>
    <t>4949,2495/7500</t>
  </si>
  <si>
    <t>B09MJ5G5Z7</t>
  </si>
  <si>
    <t>Amazon Fire TV Stick HD Alexa対応音声認識リモコン付 ストリーミングメディアプレーヤー Wi-Fi 6対応 フルHD HDMI 動画配信 Netflix Prime Video YouTube TVer ABEMA U-NEXT Disney+ 音声操作 コンパクト テレビ 接続</t>
  </si>
  <si>
    <t>b0g3ycrjkx</t>
  </si>
  <si>
    <t>2870/22800-a</t>
  </si>
  <si>
    <t>【3個セット】はだまも お肌の虫よけ ミスト 200ml×3個セット 虫除けスプレー 顔 体 お肌にやさしい 弱酸性 4種のうるおい成分配合 蚊 ブユ マダニ トコジラミ 虫よけ 保湿 モイストヴェール アウトドア キャンプ 公園 レジャー 日用品 まとめ買い</t>
  </si>
  <si>
    <t>4901080224019-3-a</t>
  </si>
  <si>
    <t>8720689017534-a</t>
  </si>
  <si>
    <t>3414/2190-a</t>
  </si>
  <si>
    <t>B084RVTTLR-1</t>
  </si>
  <si>
    <t>4987072060674-2</t>
  </si>
  <si>
    <t>【セット品】クーリア ボンボンドロップシール 3種セット 正規品 ゆにこん きぐるみ ももいろ ボンドロ かわいい 立体 シール ぷっくり ぷくぷく シール交換 収集  本物 本家</t>
  </si>
  <si>
    <t>2318,2301,2332,2325/2860</t>
  </si>
  <si>
    <t>B0BQT8PR1D</t>
  </si>
  <si>
    <t>【6個セット】ビオレ 冷タオル 子どもも使える 5本入×6 冷却タオル ひんやりタオル クールタオル 冷感タオル 熱中症対策 暑さ対策 首 冷やす 携帯用 冷感グッズ 外出用 夏 スポーツ アウトドア 通学 通園 部活 運動会 花王 まとめ買い</t>
  </si>
  <si>
    <t>b0h6xvg97y-6</t>
  </si>
  <si>
    <t>4901301448330-6-a</t>
  </si>
  <si>
    <t>8703/1584-a</t>
  </si>
  <si>
    <t>B0C5CBV6L3</t>
  </si>
  <si>
    <t>Wallhack Skypad ブラック SY-001 究極のコントロール スピード パッド &amp; 高精度ゲーミング マウス パッド プロゲーマー向けに強化された表面マウスマット</t>
  </si>
  <si>
    <t>b0ctt9m27s</t>
  </si>
  <si>
    <t>8271/4500</t>
  </si>
  <si>
    <t>4547410550955-3</t>
  </si>
  <si>
    <t>【セット品】いなば 鴨づくし 60g×18袋 3種セット キャットフード 猫用 パウチ ウェットフード かもだし仕立て かも軟骨入り かつお節入り ゼリータイプ 一般食 国産 猫 ごはん ねこ エサ 餌 レトルト パウチフード 水分補給 バラエティ アソート まとめ買い INABA</t>
  </si>
  <si>
    <t>set-0003</t>
  </si>
  <si>
    <t>6996,7009,7016/1182-a</t>
  </si>
  <si>
    <t>フィリップス 5000シリーズ S5445/03 ブラック 電動シェーバー 電動 髭剃り メンズ  27枚刃 回転式 お風呂剃り 丸洗い可 360-Dフレックスヘッド</t>
  </si>
  <si>
    <t>6980-a</t>
  </si>
  <si>
    <t>【4種セット】 クーリア ボンボンドロップシール シールバインダー 4種 キャンディツインズ エナガマーチ ナイトミャウ マイリボンクローゼット ボンドロ かわいい 立体 シール ぷっくり ぷくぷく シール交換 収集</t>
  </si>
  <si>
    <t>b0gsqhqrv7</t>
  </si>
  <si>
    <t>2220,2237,2244,2251/4592-a</t>
  </si>
  <si>
    <t>ブラウン 電動歯ブラシ オーラルB  iOS21D90BK ブラック 歯磨き ケア</t>
  </si>
  <si>
    <t>b0db48cfg7</t>
  </si>
  <si>
    <t>4987176264206-a</t>
  </si>
  <si>
    <t>B0DB48CFG7</t>
  </si>
  <si>
    <t>【まとめ買い】  日本カルシウム工業 パワー水素水×4個セット 水質改善 浄水パック ペットボトル用 携帯浄水器 浄水スティック カルキ除去 アルカリイオン水 日本製 節約 防災対策 水道水 美味しく【お茶パック付き】</t>
  </si>
  <si>
    <t>b0174ujypa</t>
  </si>
  <si>
    <t>2866/5080-a</t>
  </si>
  <si>
    <t>B0174UJYPA</t>
  </si>
  <si>
    <t>3615/850-a</t>
  </si>
  <si>
    <t>AST-0011-a</t>
  </si>
  <si>
    <t>3927/1514-a</t>
  </si>
  <si>
    <t>フィリップス PHILIPS 電気シェーバー X305200 ダークフォレストグリーン 3000Xシリーズ 電動 髭剃り メンズ  27枚刃 回転式 急速充電 丸洗い可 4Dフレックスヘッド</t>
  </si>
  <si>
    <t>4570/5980</t>
  </si>
  <si>
    <t>1484/2110-a</t>
  </si>
  <si>
    <t>B09C7PDGGM-1</t>
  </si>
  <si>
    <t>2530/1988</t>
  </si>
  <si>
    <t>B0BQV2X83N</t>
  </si>
  <si>
    <t>【2個セット】レノア リセット セラム 柔軟剤 さくらフローラルの香り 詰め替え 680mL×2 期間限定 SAKURA 詰替え 大容量 衣類ケア シワ防止 ヨレ防止 毛玉防止 静電気防止 ふんわり 香り長続き 洗濯 ランドリー 部屋干し 花粉対策 防臭 消臭 まとめ買い ストック P&amp;G</t>
  </si>
  <si>
    <t>b0fy1j62w9-2</t>
  </si>
  <si>
    <t>4987176354273-2</t>
  </si>
  <si>
    <t>B0FY1J62W9-2</t>
  </si>
  <si>
    <t>4901080068712-3</t>
  </si>
  <si>
    <t>1255,1286/1508-a</t>
  </si>
  <si>
    <t>クレハ ダストマン抗菌スタンド 20枚×2個セット スタンド 三角コーナー 水切り ゴミ袋</t>
  </si>
  <si>
    <t>b0ckv5gbnc</t>
  </si>
  <si>
    <t>5264/332</t>
  </si>
  <si>
    <t>B079YLFX6F</t>
  </si>
  <si>
    <t>Anker Nano II 65W PD充電器 USB-C ブラック ホワイト GaN II USB-C充電器 急速充電器 Power Delivery PPS対応 Type-C ACアダプター MacBook Air Pro iPad iPhone Android Galaxy Pixel ノートPC 折りたたみプラグ 小型 軽量 コンパクト PSE認証</t>
  </si>
  <si>
    <t>4968/2690</t>
  </si>
  <si>
    <t>【2個セット】ファブリーズ 消臭スプレー 布用 PREMIUM シトラス＆ガーデン 詰め替え 超特大 1240mL×2 大容量 布製品 消臭 除菌 生活臭 ペット臭 タバコ臭 部屋干し臭 ソファ カーテン 寝具 消臭剤 速効消臭 家庭用 P&amp;G 日本製 まとめ買い 日用品 ストック用品</t>
  </si>
  <si>
    <t>b0f3d1zsw8</t>
  </si>
  <si>
    <t>4987176305664-2</t>
  </si>
  <si>
    <t>B0F3D1ZSW8</t>
  </si>
  <si>
    <t>【3個セット】スキンアクア スーパーモイスチャーUVミスト 60mL×3個セット 日焼け止め UVミスト UVスプレー SPF50+ PA++++ 顔 体 髪用 紫外線対策 UVカット スーパーウォータープルーフ 保湿 うるおい メイクの上から 透明タイプ 石けんで落とせる ロート製薬 まとめ買い</t>
  </si>
  <si>
    <t>ビオレ 冷タオル 無香性 5本入×4個セット 冷感シート 冷却シート 首掛けタオル 暑さ対策 熱中対策 ひんやりシート ロングサイズ 個包装 夏対策 スポーツ観戦 屋外作業 通勤 通学 アウトドア クールダウン 冷感グッズ 日本製</t>
  </si>
  <si>
    <t>b0byzjmth8-1</t>
  </si>
  <si>
    <t>4901301421401-4-a</t>
  </si>
  <si>
    <t>B0BYZJMTH8-1</t>
  </si>
  <si>
    <t>6644/574-a</t>
  </si>
  <si>
    <t>4932804366104-2-a</t>
  </si>
  <si>
    <t>クラブ すっぴんパウダーC ホワイトフローラルブーケの香り 26g×3個セット 洗顔不要 フェイスパウダー ナイトパウダー つけたまま寝られる 毛穴カバー 透明感 スキンケアパウダー さらさら 保湿 ベースメイク お泊まりメイク 日本製 コスメ</t>
  </si>
  <si>
    <t>3737/3432</t>
  </si>
  <si>
    <t>【3個セット】ニベア プレミアムボディミルク ホワイトニング 190g 医薬部外品 美白ケア 保湿ケア 乾燥対策 うるおいケア 角質ケア シミ予防対策 ボディスキンケア 薬用ボディミルク 花王 NIVEA まとめ買い 全身保湿ケア 高保湿ケア しっとり保湿肌ケア デイリー保湿ケア</t>
  </si>
  <si>
    <t>b07vmrwjmh-3</t>
  </si>
  <si>
    <t>0204/2154-a</t>
  </si>
  <si>
    <t>4987176309099-4</t>
  </si>
  <si>
    <t>いなば チャオ ちゅ～る まぐろ＆贅沢サーモン （14g×4本）×6コ 猫 猫用 国産 おやつ 液状  水分補給 キャットフード  人気 大容量 まとめ買い 猫スナック ペースト</t>
  </si>
  <si>
    <t>8533/918-a</t>
  </si>
  <si>
    <t>B01DLX1VZA</t>
  </si>
  <si>
    <t>1122-a</t>
  </si>
  <si>
    <t>ファブリーズ プレミアム 消臭スプレー パステルフローラル＆ブロッサムの香り 詰め替え 4倍 1240mL P&amp;G 布用消臭剤 除菌 消臭 衣類 カーペット ソファ 布製品用 大容量 超特大 詰替用 まとめ買い 日用品</t>
  </si>
  <si>
    <t>b0f3d1ls31</t>
  </si>
  <si>
    <t>4580632123927-3-a</t>
  </si>
  <si>
    <t>デ・オウ 薬用プロテクト デオジャム 50g×4個セット 直塗り制汗剤 ジェル シトラス 24時間快適ケア W殺菌成分配合</t>
  </si>
  <si>
    <t>b01bm1uuby-1</t>
  </si>
  <si>
    <t>7168/1927</t>
  </si>
  <si>
    <t>B01BM1UUBY-1</t>
  </si>
  <si>
    <t>ミツエイ フレグランスムスク FRAGRANCE MUSK 柔軟剤 2袋セット キンモクセイの香り 2000ml つめかえ用 金木犀 詰め替え 部屋干し 雨の日 部屋 かろやか 香る きれい 清潔 衣類 静電気 防臭 抗菌 赤ちゃん ベビー  洗濯</t>
  </si>
  <si>
    <t>0930/2418-a</t>
  </si>
  <si>
    <t>B00BES4T40</t>
  </si>
  <si>
    <t>4902407025111-3-a</t>
  </si>
  <si>
    <t>ピジョン チビオンフィット (ベビーわき下体温計) ブルー 体温計 赤ちゃん マタニティー</t>
  </si>
  <si>
    <t>3596/1453</t>
  </si>
  <si>
    <t>4987176286307-2</t>
  </si>
  <si>
    <t>B0BQTG8VT7-1</t>
  </si>
  <si>
    <t>ロート製薬 50の恵 養潤液 プレミアム 本体 230ml ＋ 詰替 200ml セット しわ 肌 肌ケア ケア</t>
  </si>
  <si>
    <t>b09c7pdggm</t>
  </si>
  <si>
    <t>1484,1491/1914-a</t>
  </si>
  <si>
    <t>ペティオ (Petio)Self Trimmer 乾電池式 コードレスバリカン コンパクト 散髪 トリミング バリカン お手入れ カット</t>
  </si>
  <si>
    <t>b09ycldncy</t>
  </si>
  <si>
    <t>7949/1350-a</t>
  </si>
  <si>
    <t>B0CXJ2JXFR</t>
  </si>
  <si>
    <t>ululis(ウルリス) パープル ウォーターコンク エクストラモイスト ハンドクリーム 65g 手 ケア 美容 乾燥</t>
  </si>
  <si>
    <t>3191/539</t>
  </si>
  <si>
    <t>b09v2k6w2v</t>
  </si>
  <si>
    <t>4901080186317-2-a</t>
  </si>
  <si>
    <t>6708,6715/903,678-a</t>
  </si>
  <si>
    <t>4987176305732-2</t>
  </si>
  <si>
    <t>ペティオ (Petio) プレシャンテ部分カットバリカン 犬 猫 犬用 猫用 カット バリカン</t>
  </si>
  <si>
    <t>b0082mtvt4</t>
  </si>
  <si>
    <t>0669/1496</t>
  </si>
  <si>
    <t>【セット品】ムーミン プチドロップステッカー 2種セット 雲と月と星 リトルミイときょうだい カミオジャパン MOOMIN シール ステッカー デコシール 手帳デコ ノートデコ キャラクター雑貨 北欧雑貨 コレクション プレゼント アソートセット 立体 かわいい プチドロップ</t>
  </si>
  <si>
    <t>b0h1x7lkwn</t>
  </si>
  <si>
    <t>7934,7941/1144</t>
  </si>
  <si>
    <t>金星製紙 キッチンペーパー ガーゼロール 不織布 10m×3個セット ミシン目入り 使い捨てガーゼ 料理用 清潔 油切り 水切り 拭き取り キッチン衛生 やわらか 日本製</t>
  </si>
  <si>
    <t>b06xw4t8n4</t>
  </si>
  <si>
    <t>1687/1647</t>
  </si>
  <si>
    <t>4902407024916-2-a</t>
  </si>
  <si>
    <t>B09TDKBH5F-1</t>
  </si>
  <si>
    <t>【2個セット】ファブリーズ 消臭スプレー PREMIUM 衣類 布製品用 370mL 本体 シトラス＆ガーデン 消臭 除菌 最高レベル配合 服 生活臭 タバコ臭 部屋干し臭 対策 スプレー 布用消臭剤 プレミアム処方 P&amp;G 日本製 日用品 まとめ買い ストック用</t>
  </si>
  <si>
    <t>b0f3d1y958</t>
  </si>
  <si>
    <t>4987176301499-2</t>
  </si>
  <si>
    <t>1131,1148,1155,1162,1179,1186-a</t>
  </si>
  <si>
    <t>B0BSGB956Y</t>
  </si>
  <si>
    <t>Bulldog ブルドッグ オリジナル 5枚刃 バンブーホルダー カミソリ 本体 替刃2個付き メンズ 髭剃り シェーバー 竹製ハンドル 首振り式 アロエスムーザー トリマー付き 男性用 シェービング スキンケア</t>
  </si>
  <si>
    <t>b07vl5tf8z</t>
  </si>
  <si>
    <t>小林製薬 熱中対策 シャツクール 冷感ストロング 本体100ml+詰め替え250ml セット衣類にスプレーするだけ 汗をかくとひんやり続く 冷感スプレー</t>
  </si>
  <si>
    <t>b086q1mhhp-1</t>
  </si>
  <si>
    <t>3080,4421/690-a</t>
  </si>
  <si>
    <t>B086Q1MHHP-1</t>
  </si>
  <si>
    <t>【2個セット】 日本カルシウム工業 ダイエットイオン整水器 38g 2個セット 水質改善 浄水パック ペットボトル用 携帯浄水 浄水スティック カルキ除去 アルカリイオン水 日本製 節約 防災対策 水道水 美味しく【お茶パック付き】</t>
  </si>
  <si>
    <t>b001ai51n2-2</t>
  </si>
  <si>
    <t>4544059032330-2-a</t>
  </si>
  <si>
    <t>4335/1100-a</t>
  </si>
  <si>
    <t>9097/1096-a</t>
  </si>
  <si>
    <t>イースター インコセレクション トータルペレット 300g×2個セット 国産 インコ フード 餌 えさ ペレット 総合栄養食 高タンパク 主食 セキセイインコ オカメインコ 小鳥 バードフード</t>
  </si>
  <si>
    <t>b0dntlk9v1</t>
  </si>
  <si>
    <t>2807/1280-a</t>
  </si>
  <si>
    <t>946-a</t>
  </si>
  <si>
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</si>
  <si>
    <t>0703/1100-a</t>
  </si>
  <si>
    <t>B07PHX85J9</t>
  </si>
  <si>
    <t>【4種セット】エターナルジュエリークラウンシール フェアリーブルーコア トゥインクルクラウン ダークムーンエンジェル マジカルドリーミー デコシール ジュエリーシール 立体シール キラキラ シール 手帳 ノート アルバム デコレーション プレゼント ギフト まとめ買い</t>
  </si>
  <si>
    <t>set-0010</t>
  </si>
  <si>
    <t>0561,0578,0585,0592/928</t>
  </si>
  <si>
    <t>【セット品】ファブリーズ おそうじエイド ハウスダストをまとめて固めるスプレー 洗いたてのリネンの香り 本体 370mL 詰め替え 320mL 花粉対策 ダニ対策 ペットの毛 ホコリ対策 布団 カーペット ソファ カーテン クッション 掃除用品 布製品用 P&amp;G 日用 まとめ買い ストック</t>
  </si>
  <si>
    <t>set-0001</t>
  </si>
  <si>
    <t>4723,5027/533</t>
  </si>
  <si>
    <t>SET-0001</t>
  </si>
  <si>
    <t>AST-0006</t>
  </si>
  <si>
    <t>匠のAG+抗菌耳かき綿棒　50本入×5個セット 綿棒 ケア 耳掃除 個包装</t>
  </si>
  <si>
    <t>b0bd42lkyk</t>
  </si>
  <si>
    <t>3564/605</t>
  </si>
  <si>
    <t>858-a</t>
  </si>
  <si>
    <t>アトリックス ハンドミルキーローション 140g ハンドクリーム 保湿 手荒れ ケア ポンプタイプ 花王 ハンド クリーム</t>
  </si>
  <si>
    <t>b0cjfl5j9t</t>
  </si>
  <si>
    <t>4051/514-a</t>
  </si>
  <si>
    <t>【2個セット】オーシャントリコ シークレットメイク BBクリーム ナチュラル 30g×2本 メンズBBクリーム メンズコスメ 化粧下地 ファンデーション 青ひげ クマ ニキビ跡 毛穴 色ムラ テカリ 皮脂 保湿 肌補正 メンズ 化粧 化粧品 男性用 ベースメイク スキンケア まとめ買い</t>
  </si>
  <si>
    <t>b0b7wq9y46-1</t>
  </si>
  <si>
    <t>4580679800324-a</t>
  </si>
  <si>
    <t>B0B7WQ9Y46-1</t>
  </si>
  <si>
    <t>ペティオ (Petio) 犬猫用マット 防ダニ加工 ふれた瞬間ひんやりマット 猫 犬 人気 夏用 冷感 熱中症対策 ひんやり 手洗い</t>
  </si>
  <si>
    <t>b0dz2kqtwy</t>
  </si>
  <si>
    <t>6170,6187/297,572-a</t>
  </si>
  <si>
    <t>B0DZ2K7LCD</t>
  </si>
  <si>
    <t>フルーティ・クラシック・ブーケ</t>
  </si>
  <si>
    <t>B0CB648B93</t>
  </si>
  <si>
    <t>グリーン・シトラス・ガーデン</t>
  </si>
  <si>
    <t>B0CB65SGYG</t>
  </si>
  <si>
    <t>いなば チャオ (CIAO) ちゅ~る まぐろ・とりささみバラエティ 14g×40本 猫 猫用 国産 おやつ 液状  キャットフード  人気 大容量 水分補給</t>
  </si>
  <si>
    <t>b07hlm36wd</t>
  </si>
  <si>
    <t>9219/1577-a</t>
  </si>
  <si>
    <t>B07HLM36WD</t>
  </si>
  <si>
    <t>6902395691075-a</t>
  </si>
  <si>
    <t>2223/438-a</t>
  </si>
  <si>
    <t>B0C2BV491C</t>
  </si>
  <si>
    <t>6087/306</t>
  </si>
  <si>
    <t>B0BY2PJQG2-1</t>
  </si>
  <si>
    <t>キャンメイク グロウフルールチークス 16 ライラックフルール 6.0g CANMAKE チーク パウダーチーク フェイスカラー ラベンダー ピンク 血色感 ツヤ 透明感 パール配合 発色 メイク コスメ 化粧品 頬 メイクアップ 立体感 ナチュラルメイク 人気</t>
  </si>
  <si>
    <t>3917/548</t>
  </si>
  <si>
    <t>いなば ほぐし身 焼ささみ チキンスープ・かにかまバラエティ 14g×5袋 チキン 猫</t>
  </si>
  <si>
    <t>b0dhjq9z29</t>
  </si>
  <si>
    <t>ペティオ (Petio) プレシャンテ 犬用ネイルカッターハサミ式 犬用 M サイズ 犬 爪切り ケア</t>
  </si>
  <si>
    <t>b004vk7cyc</t>
  </si>
  <si>
    <t>8734/434-a</t>
  </si>
  <si>
    <t>【セット品】銀のスプーン 三ツ星グルメ にっぽんSelect とろリッチ 2種のアソート 48g（6g×8本）×2コ</t>
  </si>
  <si>
    <t>b0dpfkqck7</t>
  </si>
  <si>
    <t>4520699635674 -2</t>
  </si>
  <si>
    <t>b0dmrwrwrd</t>
  </si>
  <si>
    <t>サンライズ ゴン太の歯磨き専用おやつ 鶏アキレス 50g 犬用おやつ</t>
  </si>
  <si>
    <t>b0f9fd5b54</t>
  </si>
  <si>
    <t>5861/235-a</t>
  </si>
  <si>
    <t>いなば  チャオ CIAO ピュアちゅ~る とりささみ 14g×4本 猫 猫用 液状 おやつ 着色料 香料 化学調味料 不使用 グレインフリー 国産 キャットフード  大容量 人気</t>
  </si>
  <si>
    <t>b0bynpnh2m-1</t>
  </si>
  <si>
    <t>VB0BYNPNH2M-1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</si>
</sst>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%"/>
    <numFmt numFmtId="177" formatCode="0_);[Red]\(0\)"/>
  </numFmts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2"/>
      <color rgb="FF00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b/>
      <sz val="10"/>
      <color theme="1"/>
      <name val="Arial"/>
      <family val="2"/>
      <scheme val="minor"/>
    </font>
    <font>
      <sz val="10"/>
      <color theme="1"/>
      <name val="Helvetica"/>
      <family val="2"/>
    </font>
    <font>
      <b/>
      <sz val="10"/>
      <color rgb="FF000000"/>
      <name val="Hiragino Kaku Gothic ProN"/>
    </font>
    <font>
      <sz val="10"/>
      <color rgb="FF000000"/>
      <name val="Hiragino Kaku Gothic ProN"/>
    </font>
    <font>
      <b/>
      <sz val="10"/>
      <color rgb="FF000000"/>
      <name val="Arial"/>
      <family val="2"/>
    </font>
    <font>
      <sz val="10"/>
      <color theme="1"/>
      <name val="Hiragino Kaku Gothic ProN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charset val="128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0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76" fontId="7" fillId="0" borderId="0" xfId="0" applyNumberFormat="1" applyFont="1" applyAlignment="1">
      <alignment horizontal="right"/>
    </xf>
    <xf numFmtId="3" fontId="1" fillId="0" borderId="0" xfId="0" applyNumberFormat="1" applyFont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176" fontId="7" fillId="2" borderId="0" xfId="0" applyNumberFormat="1" applyFont="1" applyFill="1" applyAlignment="1">
      <alignment horizontal="right"/>
    </xf>
    <xf numFmtId="0" fontId="8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0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2" fillId="2" borderId="0" xfId="0" applyFont="1" applyFill="1"/>
    <xf numFmtId="0" fontId="13" fillId="0" borderId="1" xfId="0" applyFont="1" applyBorder="1" applyAlignment="1">
      <alignment vertical="top"/>
    </xf>
    <xf numFmtId="1" fontId="5" fillId="0" borderId="0" xfId="0" applyNumberFormat="1" applyFont="1"/>
    <xf numFmtId="3" fontId="9" fillId="0" borderId="1" xfId="0" applyNumberFormat="1" applyFont="1" applyBorder="1" applyAlignment="1">
      <alignment vertical="top"/>
    </xf>
    <xf numFmtId="0" fontId="14" fillId="0" borderId="0" xfId="0" applyFont="1"/>
    <xf numFmtId="1" fontId="14" fillId="0" borderId="0" xfId="0" applyNumberFormat="1" applyFont="1"/>
    <xf numFmtId="0" fontId="6" fillId="0" borderId="2" xfId="0" applyFont="1" applyBorder="1"/>
    <xf numFmtId="0" fontId="14" fillId="0" borderId="3" xfId="0" applyFont="1" applyBorder="1"/>
    <xf numFmtId="10" fontId="1" fillId="0" borderId="4" xfId="0" applyNumberFormat="1" applyFont="1" applyBorder="1"/>
    <xf numFmtId="0" fontId="6" fillId="0" borderId="5" xfId="0" applyFont="1" applyBorder="1"/>
    <xf numFmtId="10" fontId="1" fillId="0" borderId="6" xfId="0" applyNumberFormat="1" applyFont="1" applyBorder="1"/>
    <xf numFmtId="0" fontId="1" fillId="0" borderId="6" xfId="0" applyFont="1" applyBorder="1"/>
    <xf numFmtId="0" fontId="3" fillId="0" borderId="5" xfId="0" applyFont="1" applyBorder="1"/>
    <xf numFmtId="0" fontId="6" fillId="0" borderId="7" xfId="0" applyFont="1" applyBorder="1"/>
    <xf numFmtId="176" fontId="7" fillId="0" borderId="8" xfId="0" applyNumberFormat="1" applyFont="1" applyBorder="1" applyAlignment="1">
      <alignment horizontal="right"/>
    </xf>
    <xf numFmtId="0" fontId="1" fillId="0" borderId="9" xfId="0" applyFont="1" applyBorder="1"/>
    <xf numFmtId="3" fontId="13" fillId="0" borderId="1" xfId="0" applyNumberFormat="1" applyFont="1" applyBorder="1" applyAlignment="1">
      <alignment vertical="top"/>
    </xf>
    <xf numFmtId="177" fontId="0" fillId="0" borderId="0" xfId="0" applyNumberFormat="1"/>
    <xf numFmtId="177" fontId="1" fillId="0" borderId="0" xfId="0" applyNumberFormat="1" applyFont="1"/>
    <xf numFmtId="0" fontId="16" fillId="0" borderId="0" xfId="0" applyFont="1"/>
    <xf numFmtId="0" fontId="5" fillId="5" borderId="0" xfId="0" applyFont="1" applyFill="1"/>
    <xf numFmtId="0" fontId="14" fillId="5" borderId="0" xfId="0" applyFont="1" applyFill="1"/>
    <xf numFmtId="0" fontId="1" fillId="5" borderId="0" xfId="0" applyFont="1" applyFill="1"/>
    <xf numFmtId="0" fontId="17" fillId="0" borderId="0" xfId="0" applyFont="1"/>
    <xf numFmtId="0" fontId="5" fillId="6" borderId="0" xfId="0" applyFont="1" applyFill="1"/>
  </cellXfs>
  <cellStyles count="1">
    <cellStyle name="標準" xfId="0" builtinId="0"/>
  </cellStyles>
  <dxfs count="20">
    <dxf>
      <font>
        <color rgb="FF9900FF"/>
      </font>
    </dxf>
    <dxf>
      <font>
        <color rgb="FFFF0000"/>
      </font>
    </dxf>
    <dxf>
      <font>
        <color rgb="FF9900FF"/>
      </font>
    </dxf>
    <dxf>
      <font>
        <color rgb="FFFF0000"/>
      </font>
    </dxf>
    <dxf>
      <font>
        <color rgb="FFFF9900"/>
      </font>
    </dxf>
    <dxf>
      <font>
        <color rgb="FF9900FF"/>
      </font>
    </dxf>
    <dxf>
      <font>
        <color rgb="FFFF99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5" defaultTableStyle="TableStyleMedium9" defaultPivotStyle="PivotStyleLight16">
    <tableStyle name="月次サマリー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日次管理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商品別管理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週次レポート-style" pivot="0" count="2" xr9:uid="{00000000-0011-0000-FFFF-FFFF03000000}">
      <tableStyleElement type="firstRowStripe" dxfId="10"/>
      <tableStyleElement type="secondRowStripe" dxfId="9"/>
    </tableStyle>
    <tableStyle name="週次レポート-style 2" pivot="0" count="2" xr9:uid="{00000000-0011-0000-FFFF-FFFF04000000}"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workbookViewId="0">
      <pane ySplit="7" topLeftCell="A286" activePane="bottomLeft" state="frozen"/>
      <selection pane="bottomLeft" activeCell="B9" sqref="B9"/>
    </sheetView>
  </sheetViews>
  <sheetFormatPr baseColWidth="10" defaultColWidth="12.6640625" defaultRowHeight="15.75" customHeight="1"/>
  <cols>
    <col min="1" max="1" width="25.6640625" customWidth="1"/>
    <col min="3" max="3" width="14.1640625" customWidth="1"/>
  </cols>
  <sheetData>
    <row r="1" spans="1:26" ht="20" customHeight="1">
      <c r="A1" s="1" t="s">
        <v>0</v>
      </c>
      <c r="I1" s="5"/>
      <c r="J1" s="5"/>
      <c r="K1" s="5"/>
      <c r="L1" s="6"/>
      <c r="M1" s="6"/>
      <c r="N1" s="6"/>
    </row>
    <row r="2" spans="1:26" ht="20" customHeight="1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6"/>
    </row>
    <row r="3" spans="1:26" ht="20" customHeight="1">
      <c r="A3" s="1" t="s">
        <v>2</v>
      </c>
      <c r="B3" s="1" t="s">
        <v>871</v>
      </c>
      <c r="D3" s="5"/>
      <c r="E3" s="5"/>
      <c r="F3" s="5"/>
      <c r="G3" s="5"/>
      <c r="H3" s="5"/>
      <c r="I3" s="5"/>
      <c r="J3" s="5"/>
      <c r="K3" s="5"/>
      <c r="L3" s="6"/>
      <c r="M3" s="6"/>
      <c r="N3" s="6"/>
    </row>
    <row r="4" spans="1:26" ht="20" customHeight="1">
      <c r="A4" s="1" t="s">
        <v>4</v>
      </c>
      <c r="B4" s="1" t="s">
        <v>5</v>
      </c>
      <c r="C4" s="5"/>
      <c r="D4" s="5"/>
      <c r="E4" s="5"/>
      <c r="F4" s="5"/>
      <c r="G4" s="5"/>
      <c r="H4" s="5"/>
      <c r="I4" s="5"/>
      <c r="J4" s="5"/>
      <c r="K4" s="5"/>
      <c r="L4" s="6"/>
      <c r="M4" s="6"/>
      <c r="N4" s="6"/>
    </row>
    <row r="5" spans="1:26" ht="20" customHeight="1">
      <c r="A5" s="1" t="s">
        <v>6</v>
      </c>
      <c r="B5" s="1" t="s">
        <v>7</v>
      </c>
      <c r="C5" s="5"/>
      <c r="D5" s="5"/>
      <c r="E5" s="5"/>
      <c r="F5" s="5"/>
      <c r="G5" s="5"/>
      <c r="H5" s="5"/>
      <c r="I5" s="5"/>
      <c r="J5" s="5"/>
      <c r="K5" s="5"/>
      <c r="L5" s="6"/>
      <c r="M5" s="6"/>
      <c r="N5" s="6"/>
    </row>
    <row r="6" spans="1:26" ht="20" customHeight="1">
      <c r="A6" s="1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6"/>
      <c r="N6" s="6"/>
    </row>
    <row r="7" spans="1:26" ht="13" customHeight="1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7" t="s">
        <v>20</v>
      </c>
      <c r="M7" s="7" t="s">
        <v>21</v>
      </c>
      <c r="N7" s="7" t="s">
        <v>22</v>
      </c>
      <c r="O7" s="4" t="s">
        <v>872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" customHeight="1">
      <c r="A8" s="1" t="s">
        <v>873</v>
      </c>
      <c r="C8" s="1">
        <v>4550391010394</v>
      </c>
      <c r="D8" s="1" t="s">
        <v>874</v>
      </c>
      <c r="G8" s="1">
        <v>20454</v>
      </c>
      <c r="H8" s="1">
        <v>20</v>
      </c>
      <c r="I8" s="1">
        <v>409080</v>
      </c>
      <c r="J8" s="1">
        <v>20</v>
      </c>
      <c r="K8" s="1">
        <f t="shared" ref="K8:K71" si="0">SUM(I8*0.15)</f>
        <v>61362</v>
      </c>
      <c r="L8" s="6">
        <v>3080</v>
      </c>
      <c r="M8" s="6">
        <f t="shared" ref="M8:M71" si="1">SUM(H8*L8)</f>
        <v>61600</v>
      </c>
      <c r="N8" s="6">
        <f t="shared" ref="N8:N71" si="2">SUM(I8-K8-M8)</f>
        <v>286118</v>
      </c>
      <c r="O8" s="8">
        <f t="shared" ref="O8:O71" si="3">IF(I8=0,"",N8/I8)</f>
        <v>0.69941820670773447</v>
      </c>
    </row>
    <row r="9" spans="1:26" ht="20" customHeight="1">
      <c r="A9" s="1" t="s">
        <v>489</v>
      </c>
      <c r="C9" s="1">
        <v>4550391012541</v>
      </c>
      <c r="D9" s="9">
        <v>2.5412558256525699E+23</v>
      </c>
      <c r="E9" s="5"/>
      <c r="F9" s="5"/>
      <c r="G9" s="1">
        <v>4868</v>
      </c>
      <c r="H9" s="1">
        <v>82</v>
      </c>
      <c r="I9" s="1">
        <v>399160</v>
      </c>
      <c r="J9" s="1">
        <v>79</v>
      </c>
      <c r="K9" s="1">
        <f t="shared" si="0"/>
        <v>59874</v>
      </c>
      <c r="L9" s="6">
        <v>1530</v>
      </c>
      <c r="M9" s="6">
        <f t="shared" si="1"/>
        <v>125460</v>
      </c>
      <c r="N9" s="6">
        <f t="shared" si="2"/>
        <v>213826</v>
      </c>
      <c r="O9" s="8">
        <f t="shared" si="3"/>
        <v>0.53568994889267463</v>
      </c>
    </row>
    <row r="10" spans="1:26" ht="17" customHeight="1">
      <c r="A10" s="1" t="s">
        <v>875</v>
      </c>
      <c r="C10" s="1">
        <v>4550391012176</v>
      </c>
      <c r="D10" s="1" t="s">
        <v>876</v>
      </c>
      <c r="G10" s="1">
        <v>4618</v>
      </c>
      <c r="H10" s="1">
        <v>69</v>
      </c>
      <c r="I10" s="1">
        <v>318620</v>
      </c>
      <c r="J10" s="1">
        <v>68</v>
      </c>
      <c r="K10" s="1">
        <f t="shared" si="0"/>
        <v>47793</v>
      </c>
      <c r="L10" s="6">
        <v>1000</v>
      </c>
      <c r="M10" s="6">
        <f t="shared" si="1"/>
        <v>69000</v>
      </c>
      <c r="N10" s="6">
        <f t="shared" si="2"/>
        <v>201827</v>
      </c>
      <c r="O10" s="8">
        <f t="shared" si="3"/>
        <v>0.63344108969932833</v>
      </c>
    </row>
    <row r="11" spans="1:26" ht="17" customHeight="1">
      <c r="A11" s="1" t="s">
        <v>123</v>
      </c>
      <c r="C11" s="1">
        <v>4550391012121</v>
      </c>
      <c r="D11" s="1" t="s">
        <v>877</v>
      </c>
      <c r="G11" s="1">
        <v>5615</v>
      </c>
      <c r="H11" s="1">
        <v>48</v>
      </c>
      <c r="I11" s="1">
        <v>269540</v>
      </c>
      <c r="J11" s="1">
        <v>48</v>
      </c>
      <c r="K11" s="1">
        <f t="shared" si="0"/>
        <v>40431</v>
      </c>
      <c r="L11" s="6">
        <v>928</v>
      </c>
      <c r="M11" s="6">
        <f t="shared" si="1"/>
        <v>44544</v>
      </c>
      <c r="N11" s="6">
        <f t="shared" si="2"/>
        <v>184565</v>
      </c>
      <c r="O11" s="8">
        <f t="shared" si="3"/>
        <v>0.68474066928841726</v>
      </c>
    </row>
    <row r="12" spans="1:26" ht="17" customHeight="1">
      <c r="A12" s="1" t="s">
        <v>878</v>
      </c>
      <c r="C12" s="1">
        <v>4550391010417</v>
      </c>
      <c r="D12" s="1" t="s">
        <v>879</v>
      </c>
      <c r="G12" s="1">
        <v>17980</v>
      </c>
      <c r="H12" s="1">
        <v>10</v>
      </c>
      <c r="I12" s="1">
        <v>179800</v>
      </c>
      <c r="J12" s="1">
        <v>10</v>
      </c>
      <c r="K12" s="1">
        <f t="shared" si="0"/>
        <v>26970</v>
      </c>
      <c r="L12" s="6">
        <v>2640</v>
      </c>
      <c r="M12" s="6">
        <f t="shared" si="1"/>
        <v>26400</v>
      </c>
      <c r="N12" s="6">
        <f t="shared" si="2"/>
        <v>126430</v>
      </c>
      <c r="O12" s="8">
        <f t="shared" si="3"/>
        <v>0.70317018909899887</v>
      </c>
    </row>
    <row r="13" spans="1:26" ht="17" customHeight="1">
      <c r="A13" s="1" t="s">
        <v>880</v>
      </c>
      <c r="C13" s="1">
        <v>4550391811816</v>
      </c>
      <c r="D13" s="1" t="s">
        <v>881</v>
      </c>
      <c r="G13" s="1">
        <v>14980</v>
      </c>
      <c r="H13" s="1">
        <v>10</v>
      </c>
      <c r="I13" s="1">
        <v>149800</v>
      </c>
      <c r="J13" s="1">
        <v>10</v>
      </c>
      <c r="K13" s="1">
        <f t="shared" si="0"/>
        <v>22470</v>
      </c>
      <c r="L13" s="6">
        <v>2200</v>
      </c>
      <c r="M13" s="6">
        <f t="shared" si="1"/>
        <v>22000</v>
      </c>
      <c r="N13" s="6">
        <f t="shared" si="2"/>
        <v>105330</v>
      </c>
      <c r="O13" s="8">
        <f t="shared" si="3"/>
        <v>0.70313751668891855</v>
      </c>
    </row>
    <row r="14" spans="1:26" ht="17" customHeight="1">
      <c r="A14" s="1" t="s">
        <v>882</v>
      </c>
      <c r="C14" s="1">
        <v>4550391911233</v>
      </c>
      <c r="D14" s="1" t="s">
        <v>883</v>
      </c>
      <c r="G14" s="1">
        <v>13230</v>
      </c>
      <c r="H14" s="1">
        <v>10</v>
      </c>
      <c r="I14" s="1">
        <v>132300</v>
      </c>
      <c r="J14" s="1">
        <v>10</v>
      </c>
      <c r="K14" s="1">
        <f t="shared" si="0"/>
        <v>19845</v>
      </c>
      <c r="L14" s="6">
        <v>1980</v>
      </c>
      <c r="M14" s="6">
        <f t="shared" si="1"/>
        <v>19800</v>
      </c>
      <c r="N14" s="6">
        <f t="shared" si="2"/>
        <v>92655</v>
      </c>
      <c r="O14" s="8">
        <f t="shared" si="3"/>
        <v>0.7003401360544218</v>
      </c>
    </row>
    <row r="15" spans="1:26" ht="20" customHeight="1">
      <c r="A15" s="1" t="s">
        <v>884</v>
      </c>
      <c r="C15" s="1" t="s">
        <v>885</v>
      </c>
      <c r="D15" s="1" t="s">
        <v>886</v>
      </c>
      <c r="E15" s="5"/>
      <c r="F15" s="5"/>
      <c r="G15" s="1">
        <v>19800</v>
      </c>
      <c r="H15" s="1">
        <v>4</v>
      </c>
      <c r="I15" s="1">
        <v>79200</v>
      </c>
      <c r="J15" s="1">
        <v>4</v>
      </c>
      <c r="K15" s="1">
        <f t="shared" si="0"/>
        <v>11880</v>
      </c>
      <c r="L15" s="6">
        <v>14880</v>
      </c>
      <c r="M15" s="6">
        <f t="shared" si="1"/>
        <v>59520</v>
      </c>
      <c r="N15" s="6">
        <f t="shared" si="2"/>
        <v>7800</v>
      </c>
      <c r="O15" s="8">
        <f t="shared" si="3"/>
        <v>9.8484848484848481E-2</v>
      </c>
    </row>
    <row r="16" spans="1:26" ht="20" customHeight="1">
      <c r="A16" s="1" t="s">
        <v>96</v>
      </c>
      <c r="C16" s="1" t="s">
        <v>97</v>
      </c>
      <c r="D16" s="1" t="s">
        <v>887</v>
      </c>
      <c r="E16" s="5"/>
      <c r="F16" s="5"/>
      <c r="G16" s="1">
        <v>16800</v>
      </c>
      <c r="H16" s="1">
        <v>4</v>
      </c>
      <c r="I16" s="1">
        <v>67200</v>
      </c>
      <c r="J16" s="1">
        <v>4</v>
      </c>
      <c r="K16" s="1">
        <f t="shared" si="0"/>
        <v>10080</v>
      </c>
      <c r="L16" s="6">
        <v>10524</v>
      </c>
      <c r="M16" s="6">
        <f t="shared" si="1"/>
        <v>42096</v>
      </c>
      <c r="N16" s="6">
        <f t="shared" si="2"/>
        <v>15024</v>
      </c>
      <c r="O16" s="8">
        <f t="shared" si="3"/>
        <v>0.22357142857142856</v>
      </c>
    </row>
    <row r="17" spans="1:15" ht="20" customHeight="1">
      <c r="A17" s="1" t="s">
        <v>888</v>
      </c>
      <c r="C17" s="1" t="s">
        <v>889</v>
      </c>
      <c r="D17" s="1">
        <v>8980</v>
      </c>
      <c r="E17" s="5"/>
      <c r="F17" s="5"/>
      <c r="G17" s="1">
        <v>11980</v>
      </c>
      <c r="H17" s="1">
        <v>5</v>
      </c>
      <c r="I17" s="1">
        <v>59900</v>
      </c>
      <c r="J17" s="1">
        <v>5</v>
      </c>
      <c r="K17" s="1">
        <f t="shared" si="0"/>
        <v>8985</v>
      </c>
      <c r="L17" s="6">
        <v>8980</v>
      </c>
      <c r="M17" s="6">
        <f t="shared" si="1"/>
        <v>44900</v>
      </c>
      <c r="N17" s="6">
        <f t="shared" si="2"/>
        <v>6015</v>
      </c>
      <c r="O17" s="8">
        <f t="shared" si="3"/>
        <v>0.10041736227045076</v>
      </c>
    </row>
    <row r="18" spans="1:15" ht="20" customHeight="1">
      <c r="A18" s="1" t="s">
        <v>890</v>
      </c>
      <c r="C18" s="1" t="s">
        <v>891</v>
      </c>
      <c r="D18" s="1">
        <v>616</v>
      </c>
      <c r="E18" s="5"/>
      <c r="F18" s="5"/>
      <c r="G18" s="1">
        <v>2980</v>
      </c>
      <c r="H18" s="1">
        <v>20</v>
      </c>
      <c r="I18" s="1">
        <v>59600</v>
      </c>
      <c r="J18" s="1">
        <v>12</v>
      </c>
      <c r="K18" s="1">
        <f t="shared" si="0"/>
        <v>8940</v>
      </c>
      <c r="L18" s="6">
        <v>616</v>
      </c>
      <c r="M18" s="6">
        <f t="shared" si="1"/>
        <v>12320</v>
      </c>
      <c r="N18" s="6">
        <f t="shared" si="2"/>
        <v>38340</v>
      </c>
      <c r="O18" s="8">
        <f t="shared" si="3"/>
        <v>0.64328859060402688</v>
      </c>
    </row>
    <row r="19" spans="1:15" ht="20" customHeight="1">
      <c r="A19" s="1" t="s">
        <v>892</v>
      </c>
      <c r="C19" s="1" t="s">
        <v>893</v>
      </c>
      <c r="D19" s="1" t="s">
        <v>894</v>
      </c>
      <c r="E19" s="5"/>
      <c r="F19" s="5"/>
      <c r="G19" s="1">
        <v>19800</v>
      </c>
      <c r="H19" s="1">
        <v>3</v>
      </c>
      <c r="I19" s="1">
        <v>59400</v>
      </c>
      <c r="J19" s="1">
        <v>3</v>
      </c>
      <c r="K19" s="1">
        <f t="shared" si="0"/>
        <v>8910</v>
      </c>
      <c r="L19" s="6">
        <v>19800</v>
      </c>
      <c r="M19" s="6">
        <f t="shared" si="1"/>
        <v>59400</v>
      </c>
      <c r="N19" s="6">
        <f t="shared" si="2"/>
        <v>-8910</v>
      </c>
      <c r="O19" s="8">
        <f t="shared" si="3"/>
        <v>-0.15</v>
      </c>
    </row>
    <row r="20" spans="1:15" ht="20" customHeight="1">
      <c r="A20" s="1" t="s">
        <v>895</v>
      </c>
      <c r="C20" s="1" t="s">
        <v>896</v>
      </c>
      <c r="D20" s="1" t="s">
        <v>897</v>
      </c>
      <c r="E20" s="5"/>
      <c r="F20" s="5"/>
      <c r="G20" s="1">
        <v>25080</v>
      </c>
      <c r="H20" s="1">
        <v>2</v>
      </c>
      <c r="I20" s="1">
        <v>50160</v>
      </c>
      <c r="J20" s="1">
        <v>2</v>
      </c>
      <c r="K20" s="1">
        <f t="shared" si="0"/>
        <v>7524</v>
      </c>
      <c r="L20" s="6">
        <v>19350</v>
      </c>
      <c r="M20" s="6">
        <f t="shared" si="1"/>
        <v>38700</v>
      </c>
      <c r="N20" s="6">
        <f t="shared" si="2"/>
        <v>3936</v>
      </c>
      <c r="O20" s="8">
        <f t="shared" si="3"/>
        <v>7.8468899521531105E-2</v>
      </c>
    </row>
    <row r="21" spans="1:15" ht="20" customHeight="1">
      <c r="A21" s="1" t="s">
        <v>263</v>
      </c>
      <c r="C21" s="1" t="s">
        <v>264</v>
      </c>
      <c r="D21" s="1" t="s">
        <v>898</v>
      </c>
      <c r="E21" s="5"/>
      <c r="F21" s="5"/>
      <c r="G21" s="1">
        <v>4480</v>
      </c>
      <c r="H21" s="1">
        <v>11</v>
      </c>
      <c r="I21" s="1">
        <v>49280</v>
      </c>
      <c r="J21" s="1">
        <v>8</v>
      </c>
      <c r="K21" s="1">
        <f t="shared" si="0"/>
        <v>7392</v>
      </c>
      <c r="L21" s="6">
        <v>2126</v>
      </c>
      <c r="M21" s="6">
        <f t="shared" si="1"/>
        <v>23386</v>
      </c>
      <c r="N21" s="6">
        <f t="shared" si="2"/>
        <v>18502</v>
      </c>
      <c r="O21" s="8">
        <f t="shared" si="3"/>
        <v>0.37544642857142857</v>
      </c>
    </row>
    <row r="22" spans="1:15" ht="17" customHeight="1">
      <c r="A22" s="1" t="s">
        <v>899</v>
      </c>
      <c r="C22" s="1">
        <v>4550391042821</v>
      </c>
      <c r="D22" s="1" t="s">
        <v>72</v>
      </c>
      <c r="G22" s="1">
        <v>5980</v>
      </c>
      <c r="H22" s="1">
        <v>7</v>
      </c>
      <c r="I22" s="1">
        <v>41860</v>
      </c>
      <c r="J22" s="1">
        <v>7</v>
      </c>
      <c r="K22" s="1">
        <f t="shared" si="0"/>
        <v>6279</v>
      </c>
      <c r="L22" s="6">
        <v>1160</v>
      </c>
      <c r="M22" s="6">
        <f t="shared" si="1"/>
        <v>8120</v>
      </c>
      <c r="N22" s="6">
        <f t="shared" si="2"/>
        <v>27461</v>
      </c>
      <c r="O22" s="8">
        <f t="shared" si="3"/>
        <v>0.6560200668896321</v>
      </c>
    </row>
    <row r="23" spans="1:15" ht="20" customHeight="1">
      <c r="A23" s="1" t="s">
        <v>900</v>
      </c>
      <c r="C23" s="1" t="s">
        <v>901</v>
      </c>
      <c r="D23" s="1" t="s">
        <v>902</v>
      </c>
      <c r="E23" s="5"/>
      <c r="F23" s="5"/>
      <c r="G23" s="1">
        <v>9980</v>
      </c>
      <c r="H23" s="1">
        <v>4</v>
      </c>
      <c r="I23" s="1">
        <v>39920</v>
      </c>
      <c r="J23" s="1">
        <v>4</v>
      </c>
      <c r="K23" s="1">
        <f t="shared" si="0"/>
        <v>5988</v>
      </c>
      <c r="L23" s="6">
        <v>7794</v>
      </c>
      <c r="M23" s="6">
        <f t="shared" si="1"/>
        <v>31176</v>
      </c>
      <c r="N23" s="6">
        <f t="shared" si="2"/>
        <v>2756</v>
      </c>
      <c r="O23" s="8">
        <f t="shared" si="3"/>
        <v>6.9038076152304603E-2</v>
      </c>
    </row>
    <row r="24" spans="1:15" ht="20" customHeight="1">
      <c r="A24" s="1" t="s">
        <v>903</v>
      </c>
      <c r="C24" s="1" t="s">
        <v>904</v>
      </c>
      <c r="D24" s="1" t="s">
        <v>905</v>
      </c>
      <c r="E24" s="5"/>
      <c r="F24" s="5"/>
      <c r="G24" s="1">
        <v>39800</v>
      </c>
      <c r="H24" s="1">
        <v>1</v>
      </c>
      <c r="I24" s="1">
        <v>39800</v>
      </c>
      <c r="J24" s="1">
        <v>1</v>
      </c>
      <c r="K24" s="1">
        <f t="shared" si="0"/>
        <v>5970</v>
      </c>
      <c r="L24" s="6">
        <v>34800</v>
      </c>
      <c r="M24" s="6">
        <f t="shared" si="1"/>
        <v>34800</v>
      </c>
      <c r="N24" s="6">
        <f t="shared" si="2"/>
        <v>-970</v>
      </c>
      <c r="O24" s="8">
        <f t="shared" si="3"/>
        <v>-2.4371859296482411E-2</v>
      </c>
    </row>
    <row r="25" spans="1:15" ht="20" customHeight="1">
      <c r="A25" s="1" t="s">
        <v>906</v>
      </c>
      <c r="C25" s="1" t="s">
        <v>254</v>
      </c>
      <c r="D25" s="1">
        <v>2790</v>
      </c>
      <c r="E25" s="5"/>
      <c r="F25" s="5"/>
      <c r="G25" s="1">
        <v>4080</v>
      </c>
      <c r="H25" s="1">
        <v>9</v>
      </c>
      <c r="I25" s="1">
        <v>36720</v>
      </c>
      <c r="J25" s="1">
        <v>9</v>
      </c>
      <c r="K25" s="1">
        <f t="shared" si="0"/>
        <v>5508</v>
      </c>
      <c r="L25" s="6">
        <v>2790</v>
      </c>
      <c r="M25" s="6">
        <f t="shared" si="1"/>
        <v>25110</v>
      </c>
      <c r="N25" s="6">
        <f t="shared" si="2"/>
        <v>6102</v>
      </c>
      <c r="O25" s="8">
        <f t="shared" si="3"/>
        <v>0.16617647058823529</v>
      </c>
    </row>
    <row r="26" spans="1:15" ht="20" customHeight="1">
      <c r="A26" s="1" t="s">
        <v>907</v>
      </c>
      <c r="C26" s="1" t="s">
        <v>908</v>
      </c>
      <c r="D26" s="1" t="s">
        <v>909</v>
      </c>
      <c r="E26" s="5"/>
      <c r="F26" s="5"/>
      <c r="G26" s="1">
        <v>2780</v>
      </c>
      <c r="H26" s="1">
        <v>13</v>
      </c>
      <c r="I26" s="1">
        <v>36140</v>
      </c>
      <c r="J26" s="1">
        <v>12</v>
      </c>
      <c r="K26" s="1">
        <f t="shared" si="0"/>
        <v>5421</v>
      </c>
      <c r="L26" s="6">
        <v>1359</v>
      </c>
      <c r="M26" s="6">
        <f t="shared" si="1"/>
        <v>17667</v>
      </c>
      <c r="N26" s="6">
        <f t="shared" si="2"/>
        <v>13052</v>
      </c>
      <c r="O26" s="8">
        <f t="shared" si="3"/>
        <v>0.36115107913669064</v>
      </c>
    </row>
    <row r="27" spans="1:15" ht="20" customHeight="1">
      <c r="A27" s="1" t="s">
        <v>910</v>
      </c>
      <c r="C27" s="1" t="s">
        <v>911</v>
      </c>
      <c r="D27" s="1" t="s">
        <v>912</v>
      </c>
      <c r="E27" s="5"/>
      <c r="F27" s="5"/>
      <c r="G27" s="1">
        <v>17980</v>
      </c>
      <c r="H27" s="1">
        <v>2</v>
      </c>
      <c r="I27" s="1">
        <v>35960</v>
      </c>
      <c r="J27" s="1">
        <v>2</v>
      </c>
      <c r="K27" s="1">
        <f t="shared" si="0"/>
        <v>5394</v>
      </c>
      <c r="L27" s="6">
        <v>14482</v>
      </c>
      <c r="M27" s="6">
        <f t="shared" si="1"/>
        <v>28964</v>
      </c>
      <c r="N27" s="6">
        <f t="shared" si="2"/>
        <v>1602</v>
      </c>
      <c r="O27" s="8">
        <f t="shared" si="3"/>
        <v>4.4549499443826475E-2</v>
      </c>
    </row>
    <row r="28" spans="1:15" ht="20" customHeight="1">
      <c r="A28" s="1" t="s">
        <v>913</v>
      </c>
      <c r="C28" s="1" t="s">
        <v>914</v>
      </c>
      <c r="D28" s="1" t="s">
        <v>915</v>
      </c>
      <c r="E28" s="5"/>
      <c r="F28" s="5"/>
      <c r="G28" s="1">
        <v>33800</v>
      </c>
      <c r="H28" s="1">
        <v>1</v>
      </c>
      <c r="I28" s="1">
        <v>33800</v>
      </c>
      <c r="J28" s="1">
        <v>1</v>
      </c>
      <c r="K28" s="1">
        <f t="shared" si="0"/>
        <v>5070</v>
      </c>
      <c r="L28" s="6">
        <v>27100</v>
      </c>
      <c r="M28" s="6">
        <f t="shared" si="1"/>
        <v>27100</v>
      </c>
      <c r="N28" s="6">
        <f t="shared" si="2"/>
        <v>1630</v>
      </c>
      <c r="O28" s="8">
        <f t="shared" si="3"/>
        <v>4.8224852071005915E-2</v>
      </c>
    </row>
    <row r="29" spans="1:15" ht="17" customHeight="1">
      <c r="A29" s="1" t="s">
        <v>916</v>
      </c>
      <c r="C29" s="1">
        <v>4550391811823</v>
      </c>
      <c r="D29" s="1" t="s">
        <v>917</v>
      </c>
      <c r="G29" s="1">
        <v>10980</v>
      </c>
      <c r="H29" s="1">
        <v>3</v>
      </c>
      <c r="I29" s="1">
        <v>32940</v>
      </c>
      <c r="J29" s="1">
        <v>3</v>
      </c>
      <c r="K29" s="1">
        <f t="shared" si="0"/>
        <v>4941</v>
      </c>
      <c r="L29" s="6">
        <v>1540</v>
      </c>
      <c r="M29" s="6">
        <f t="shared" si="1"/>
        <v>4620</v>
      </c>
      <c r="N29" s="6">
        <f t="shared" si="2"/>
        <v>23379</v>
      </c>
      <c r="O29" s="8">
        <f t="shared" si="3"/>
        <v>0.70974499089253185</v>
      </c>
    </row>
    <row r="30" spans="1:15" ht="17" customHeight="1">
      <c r="A30" s="1" t="s">
        <v>918</v>
      </c>
      <c r="C30" s="1">
        <v>4550391011919</v>
      </c>
      <c r="D30" s="1" t="s">
        <v>919</v>
      </c>
      <c r="G30" s="1">
        <v>2980</v>
      </c>
      <c r="H30" s="1">
        <v>10</v>
      </c>
      <c r="I30" s="1">
        <v>29800</v>
      </c>
      <c r="J30" s="1">
        <v>10</v>
      </c>
      <c r="K30" s="1">
        <f t="shared" si="0"/>
        <v>4470</v>
      </c>
      <c r="L30" s="6">
        <v>1224</v>
      </c>
      <c r="M30" s="6">
        <f t="shared" si="1"/>
        <v>12240</v>
      </c>
      <c r="N30" s="6">
        <f t="shared" si="2"/>
        <v>13090</v>
      </c>
      <c r="O30" s="8">
        <f t="shared" si="3"/>
        <v>0.43926174496644294</v>
      </c>
    </row>
    <row r="31" spans="1:15" ht="20" customHeight="1">
      <c r="A31" s="1" t="s">
        <v>920</v>
      </c>
      <c r="C31" s="1" t="s">
        <v>921</v>
      </c>
      <c r="D31" s="1" t="s">
        <v>922</v>
      </c>
      <c r="E31" s="5"/>
      <c r="F31" s="5"/>
      <c r="G31" s="1">
        <v>29800</v>
      </c>
      <c r="H31" s="1">
        <v>1</v>
      </c>
      <c r="I31" s="1">
        <v>29800</v>
      </c>
      <c r="J31" s="1">
        <v>1</v>
      </c>
      <c r="K31" s="1">
        <f t="shared" si="0"/>
        <v>4470</v>
      </c>
      <c r="L31" s="6">
        <v>22800</v>
      </c>
      <c r="M31" s="6">
        <f t="shared" si="1"/>
        <v>22800</v>
      </c>
      <c r="N31" s="6">
        <f t="shared" si="2"/>
        <v>2530</v>
      </c>
      <c r="O31" s="8">
        <f t="shared" si="3"/>
        <v>8.4899328859060402E-2</v>
      </c>
    </row>
    <row r="32" spans="1:15" ht="20" customHeight="1">
      <c r="A32" s="1" t="s">
        <v>923</v>
      </c>
      <c r="C32" s="1" t="s">
        <v>924</v>
      </c>
      <c r="D32" s="1" t="s">
        <v>925</v>
      </c>
      <c r="E32" s="5"/>
      <c r="F32" s="5"/>
      <c r="G32" s="1">
        <v>9780</v>
      </c>
      <c r="H32" s="1">
        <v>3</v>
      </c>
      <c r="I32" s="1">
        <v>29340</v>
      </c>
      <c r="J32" s="1">
        <v>3</v>
      </c>
      <c r="K32" s="1">
        <f t="shared" si="0"/>
        <v>4401</v>
      </c>
      <c r="L32" s="6">
        <v>7907</v>
      </c>
      <c r="M32" s="6">
        <f t="shared" si="1"/>
        <v>23721</v>
      </c>
      <c r="N32" s="6">
        <f t="shared" si="2"/>
        <v>1218</v>
      </c>
      <c r="O32" s="8">
        <f t="shared" si="3"/>
        <v>4.1513292433537831E-2</v>
      </c>
    </row>
    <row r="33" spans="1:26" ht="20" customHeight="1">
      <c r="A33" s="10" t="s">
        <v>926</v>
      </c>
      <c r="B33" s="10"/>
      <c r="C33" s="10" t="s">
        <v>927</v>
      </c>
      <c r="D33" s="10" t="s">
        <v>928</v>
      </c>
      <c r="E33" s="11"/>
      <c r="F33" s="11"/>
      <c r="G33" s="10">
        <v>2780</v>
      </c>
      <c r="H33" s="10">
        <v>10</v>
      </c>
      <c r="I33" s="10">
        <v>27800</v>
      </c>
      <c r="J33" s="10">
        <v>8</v>
      </c>
      <c r="K33" s="10">
        <f t="shared" si="0"/>
        <v>4170</v>
      </c>
      <c r="L33" s="12">
        <v>1370</v>
      </c>
      <c r="M33" s="6">
        <f t="shared" si="1"/>
        <v>13700</v>
      </c>
      <c r="N33" s="12">
        <f t="shared" si="2"/>
        <v>9930</v>
      </c>
      <c r="O33" s="13">
        <f t="shared" si="3"/>
        <v>0.35719424460431654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7" customHeight="1">
      <c r="A34" s="1" t="s">
        <v>52</v>
      </c>
      <c r="B34" s="1" t="s">
        <v>133</v>
      </c>
      <c r="C34" s="1" t="s">
        <v>54</v>
      </c>
      <c r="D34" s="1" t="s">
        <v>55</v>
      </c>
      <c r="E34" s="1" t="s">
        <v>134</v>
      </c>
      <c r="G34" s="1">
        <v>8990</v>
      </c>
      <c r="H34" s="1">
        <v>3</v>
      </c>
      <c r="I34" s="1">
        <v>26970</v>
      </c>
      <c r="J34" s="1">
        <v>3</v>
      </c>
      <c r="K34" s="1">
        <f t="shared" si="0"/>
        <v>4045.5</v>
      </c>
      <c r="L34" s="6">
        <v>6390</v>
      </c>
      <c r="M34" s="6">
        <f t="shared" si="1"/>
        <v>19170</v>
      </c>
      <c r="N34" s="6">
        <f t="shared" si="2"/>
        <v>3754.5</v>
      </c>
      <c r="O34" s="8">
        <f t="shared" si="3"/>
        <v>0.13921023359288098</v>
      </c>
    </row>
    <row r="35" spans="1:26" ht="20" customHeight="1">
      <c r="A35" s="10" t="s">
        <v>929</v>
      </c>
      <c r="B35" s="10"/>
      <c r="C35" s="10" t="s">
        <v>930</v>
      </c>
      <c r="D35" s="10">
        <v>4890</v>
      </c>
      <c r="E35" s="11"/>
      <c r="F35" s="11"/>
      <c r="G35" s="10">
        <v>8980</v>
      </c>
      <c r="H35" s="10">
        <v>3</v>
      </c>
      <c r="I35" s="10">
        <v>26940</v>
      </c>
      <c r="J35" s="10">
        <v>3</v>
      </c>
      <c r="K35" s="10">
        <f t="shared" si="0"/>
        <v>4041</v>
      </c>
      <c r="L35" s="12">
        <v>5690</v>
      </c>
      <c r="M35" s="6">
        <f t="shared" si="1"/>
        <v>17070</v>
      </c>
      <c r="N35" s="12">
        <f t="shared" si="2"/>
        <v>5829</v>
      </c>
      <c r="O35" s="13">
        <f t="shared" si="3"/>
        <v>0.21636971046770601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0" customHeight="1">
      <c r="A36" s="1" t="s">
        <v>931</v>
      </c>
      <c r="C36" s="1" t="s">
        <v>932</v>
      </c>
      <c r="D36" s="1">
        <v>18621</v>
      </c>
      <c r="E36" s="5"/>
      <c r="F36" s="5"/>
      <c r="G36" s="1">
        <v>26480</v>
      </c>
      <c r="H36" s="1">
        <v>1</v>
      </c>
      <c r="I36" s="1">
        <v>26480</v>
      </c>
      <c r="J36" s="1">
        <v>1</v>
      </c>
      <c r="K36" s="1">
        <f t="shared" si="0"/>
        <v>3972</v>
      </c>
      <c r="L36" s="6">
        <v>18621</v>
      </c>
      <c r="M36" s="6">
        <f t="shared" si="1"/>
        <v>18621</v>
      </c>
      <c r="N36" s="6">
        <f t="shared" si="2"/>
        <v>3887</v>
      </c>
      <c r="O36" s="8">
        <f t="shared" si="3"/>
        <v>0.14679003021148035</v>
      </c>
    </row>
    <row r="37" spans="1:26" ht="17" customHeight="1">
      <c r="A37" s="1" t="s">
        <v>52</v>
      </c>
      <c r="B37" s="1" t="s">
        <v>212</v>
      </c>
      <c r="C37" s="1" t="s">
        <v>54</v>
      </c>
      <c r="D37" s="1" t="s">
        <v>55</v>
      </c>
      <c r="E37" s="1" t="s">
        <v>266</v>
      </c>
      <c r="G37" s="1">
        <v>8823</v>
      </c>
      <c r="H37" s="1">
        <v>3</v>
      </c>
      <c r="I37" s="1">
        <v>26470</v>
      </c>
      <c r="J37" s="1">
        <v>3</v>
      </c>
      <c r="K37" s="1">
        <f t="shared" si="0"/>
        <v>3970.5</v>
      </c>
      <c r="L37" s="6">
        <v>6390</v>
      </c>
      <c r="M37" s="6">
        <f t="shared" si="1"/>
        <v>19170</v>
      </c>
      <c r="N37" s="6">
        <f t="shared" si="2"/>
        <v>3329.5</v>
      </c>
      <c r="O37" s="8">
        <f t="shared" si="3"/>
        <v>0.12578390630902908</v>
      </c>
    </row>
    <row r="38" spans="1:26" ht="17" customHeight="1">
      <c r="A38" s="1" t="s">
        <v>52</v>
      </c>
      <c r="B38" s="1" t="s">
        <v>53</v>
      </c>
      <c r="C38" s="1" t="s">
        <v>54</v>
      </c>
      <c r="D38" s="1" t="s">
        <v>55</v>
      </c>
      <c r="E38" s="1" t="s">
        <v>56</v>
      </c>
      <c r="G38" s="1">
        <v>8490</v>
      </c>
      <c r="H38" s="1">
        <v>3</v>
      </c>
      <c r="I38" s="1">
        <v>25470</v>
      </c>
      <c r="J38" s="1">
        <v>3</v>
      </c>
      <c r="K38" s="1">
        <f t="shared" si="0"/>
        <v>3820.5</v>
      </c>
      <c r="L38" s="6">
        <v>6390</v>
      </c>
      <c r="M38" s="6">
        <f t="shared" si="1"/>
        <v>19170</v>
      </c>
      <c r="N38" s="6">
        <f t="shared" si="2"/>
        <v>2479.5</v>
      </c>
      <c r="O38" s="8">
        <f t="shared" si="3"/>
        <v>9.7349823321554771E-2</v>
      </c>
    </row>
    <row r="39" spans="1:26" ht="17" customHeight="1">
      <c r="A39" s="1" t="s">
        <v>81</v>
      </c>
      <c r="B39" s="1" t="s">
        <v>82</v>
      </c>
      <c r="C39" s="1" t="s">
        <v>83</v>
      </c>
      <c r="D39" s="1" t="s">
        <v>84</v>
      </c>
      <c r="E39" s="1" t="s">
        <v>85</v>
      </c>
      <c r="G39" s="1">
        <v>8480</v>
      </c>
      <c r="H39" s="1">
        <v>3</v>
      </c>
      <c r="I39" s="1">
        <v>25440</v>
      </c>
      <c r="J39" s="1">
        <v>3</v>
      </c>
      <c r="K39" s="1">
        <f t="shared" si="0"/>
        <v>3816</v>
      </c>
      <c r="L39" s="6">
        <v>6490</v>
      </c>
      <c r="M39" s="6">
        <f t="shared" si="1"/>
        <v>19470</v>
      </c>
      <c r="N39" s="6">
        <f t="shared" si="2"/>
        <v>2154</v>
      </c>
      <c r="O39" s="8">
        <f t="shared" si="3"/>
        <v>8.4669811320754712E-2</v>
      </c>
    </row>
    <row r="40" spans="1:26" ht="20" customHeight="1">
      <c r="A40" s="10" t="s">
        <v>933</v>
      </c>
      <c r="B40" s="10"/>
      <c r="C40" s="10" t="s">
        <v>660</v>
      </c>
      <c r="D40" s="10" t="s">
        <v>661</v>
      </c>
      <c r="E40" s="11"/>
      <c r="F40" s="11"/>
      <c r="G40" s="10">
        <v>2540</v>
      </c>
      <c r="H40" s="10">
        <v>10</v>
      </c>
      <c r="I40" s="10">
        <v>25400</v>
      </c>
      <c r="J40" s="10">
        <v>7</v>
      </c>
      <c r="K40" s="10">
        <f t="shared" si="0"/>
        <v>3810</v>
      </c>
      <c r="L40" s="12">
        <v>1112</v>
      </c>
      <c r="M40" s="6">
        <f t="shared" si="1"/>
        <v>11120</v>
      </c>
      <c r="N40" s="12">
        <f t="shared" si="2"/>
        <v>10470</v>
      </c>
      <c r="O40" s="13">
        <f t="shared" si="3"/>
        <v>0.41220472440944883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0" customHeight="1">
      <c r="A41" s="10" t="s">
        <v>934</v>
      </c>
      <c r="B41" s="10"/>
      <c r="C41" s="10" t="s">
        <v>65</v>
      </c>
      <c r="D41" s="10" t="s">
        <v>935</v>
      </c>
      <c r="E41" s="11"/>
      <c r="F41" s="11"/>
      <c r="G41" s="10">
        <v>7990</v>
      </c>
      <c r="H41" s="10">
        <v>3</v>
      </c>
      <c r="I41" s="10">
        <v>23970</v>
      </c>
      <c r="J41" s="10">
        <v>3</v>
      </c>
      <c r="K41" s="10">
        <f t="shared" si="0"/>
        <v>3595.5</v>
      </c>
      <c r="L41" s="12">
        <v>5590</v>
      </c>
      <c r="M41" s="6">
        <f t="shared" si="1"/>
        <v>16770</v>
      </c>
      <c r="N41" s="12">
        <f t="shared" si="2"/>
        <v>3604.5</v>
      </c>
      <c r="O41" s="13">
        <f t="shared" si="3"/>
        <v>0.15037546933667084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0" customHeight="1">
      <c r="A42" s="1" t="s">
        <v>936</v>
      </c>
      <c r="C42" s="1" t="s">
        <v>937</v>
      </c>
      <c r="D42" s="1" t="s">
        <v>938</v>
      </c>
      <c r="E42" s="5"/>
      <c r="F42" s="5"/>
      <c r="G42" s="1">
        <v>11980</v>
      </c>
      <c r="H42" s="1">
        <v>2</v>
      </c>
      <c r="I42" s="1">
        <v>23960</v>
      </c>
      <c r="J42" s="1">
        <v>2</v>
      </c>
      <c r="K42" s="1">
        <f t="shared" si="0"/>
        <v>3594</v>
      </c>
      <c r="L42" s="6">
        <v>9952</v>
      </c>
      <c r="M42" s="6">
        <f t="shared" si="1"/>
        <v>19904</v>
      </c>
      <c r="N42" s="6">
        <f t="shared" si="2"/>
        <v>462</v>
      </c>
      <c r="O42" s="8">
        <f t="shared" si="3"/>
        <v>1.9282136894824709E-2</v>
      </c>
    </row>
    <row r="43" spans="1:26" ht="20" customHeight="1">
      <c r="A43" s="1" t="s">
        <v>106</v>
      </c>
      <c r="C43" s="1" t="s">
        <v>107</v>
      </c>
      <c r="D43" s="1" t="s">
        <v>939</v>
      </c>
      <c r="E43" s="5"/>
      <c r="F43" s="5"/>
      <c r="G43" s="1">
        <v>11980</v>
      </c>
      <c r="H43" s="1">
        <v>2</v>
      </c>
      <c r="I43" s="1">
        <v>23960</v>
      </c>
      <c r="J43" s="1">
        <v>2</v>
      </c>
      <c r="K43" s="1">
        <f t="shared" si="0"/>
        <v>3594</v>
      </c>
      <c r="L43" s="6">
        <v>8480</v>
      </c>
      <c r="M43" s="6">
        <f t="shared" si="1"/>
        <v>16960</v>
      </c>
      <c r="N43" s="6">
        <f t="shared" si="2"/>
        <v>3406</v>
      </c>
      <c r="O43" s="8">
        <f t="shared" si="3"/>
        <v>0.14215358931552588</v>
      </c>
    </row>
    <row r="44" spans="1:26" ht="20" customHeight="1">
      <c r="A44" s="1" t="s">
        <v>940</v>
      </c>
      <c r="C44" s="1" t="s">
        <v>941</v>
      </c>
      <c r="D44" s="1" t="s">
        <v>942</v>
      </c>
      <c r="E44" s="5"/>
      <c r="F44" s="5"/>
      <c r="G44" s="1">
        <v>22980</v>
      </c>
      <c r="H44" s="1">
        <v>1</v>
      </c>
      <c r="I44" s="1">
        <v>22980</v>
      </c>
      <c r="J44" s="1">
        <v>1</v>
      </c>
      <c r="K44" s="1">
        <f t="shared" si="0"/>
        <v>3447</v>
      </c>
      <c r="L44" s="6">
        <v>15640</v>
      </c>
      <c r="M44" s="6">
        <f t="shared" si="1"/>
        <v>15640</v>
      </c>
      <c r="N44" s="6">
        <f t="shared" si="2"/>
        <v>3893</v>
      </c>
      <c r="O44" s="8">
        <f t="shared" si="3"/>
        <v>0.16940818102697999</v>
      </c>
    </row>
    <row r="45" spans="1:26" ht="20" customHeight="1">
      <c r="A45" s="1" t="s">
        <v>943</v>
      </c>
      <c r="C45" s="1" t="s">
        <v>944</v>
      </c>
      <c r="D45" s="1" t="s">
        <v>945</v>
      </c>
      <c r="E45" s="5"/>
      <c r="F45" s="5"/>
      <c r="G45" s="1">
        <v>22980</v>
      </c>
      <c r="H45" s="1">
        <v>1</v>
      </c>
      <c r="I45" s="1">
        <v>22980</v>
      </c>
      <c r="J45" s="1">
        <v>1</v>
      </c>
      <c r="K45" s="1">
        <f t="shared" si="0"/>
        <v>3447</v>
      </c>
      <c r="L45" s="6">
        <v>18621</v>
      </c>
      <c r="M45" s="6">
        <f t="shared" si="1"/>
        <v>18621</v>
      </c>
      <c r="N45" s="6">
        <f t="shared" si="2"/>
        <v>912</v>
      </c>
      <c r="O45" s="8">
        <f t="shared" si="3"/>
        <v>3.9686684073107048E-2</v>
      </c>
    </row>
    <row r="46" spans="1:26" ht="20" customHeight="1">
      <c r="A46" s="1" t="s">
        <v>177</v>
      </c>
      <c r="C46" s="1" t="s">
        <v>178</v>
      </c>
      <c r="D46" s="1" t="s">
        <v>946</v>
      </c>
      <c r="F46" s="5"/>
      <c r="G46" s="1">
        <v>4280</v>
      </c>
      <c r="H46" s="1">
        <v>5</v>
      </c>
      <c r="I46" s="1">
        <v>21400</v>
      </c>
      <c r="J46" s="1">
        <v>4</v>
      </c>
      <c r="K46" s="1">
        <f t="shared" si="0"/>
        <v>3210</v>
      </c>
      <c r="L46" s="6">
        <v>2081</v>
      </c>
      <c r="M46" s="6">
        <f t="shared" si="1"/>
        <v>10405</v>
      </c>
      <c r="N46" s="6">
        <f t="shared" si="2"/>
        <v>7785</v>
      </c>
      <c r="O46" s="8">
        <f t="shared" si="3"/>
        <v>0.36378504672897194</v>
      </c>
    </row>
    <row r="47" spans="1:26" ht="20" customHeight="1">
      <c r="A47" s="10" t="s">
        <v>947</v>
      </c>
      <c r="B47" s="10"/>
      <c r="C47" s="10" t="s">
        <v>225</v>
      </c>
      <c r="D47" s="10" t="s">
        <v>948</v>
      </c>
      <c r="E47" s="11"/>
      <c r="F47" s="11"/>
      <c r="G47" s="10">
        <v>6780</v>
      </c>
      <c r="H47" s="10">
        <v>3</v>
      </c>
      <c r="I47" s="10">
        <v>20340</v>
      </c>
      <c r="J47" s="10">
        <v>3</v>
      </c>
      <c r="K47" s="10">
        <f t="shared" si="0"/>
        <v>3051</v>
      </c>
      <c r="L47" s="12">
        <v>2990</v>
      </c>
      <c r="M47" s="6">
        <f t="shared" si="1"/>
        <v>8970</v>
      </c>
      <c r="N47" s="12">
        <f t="shared" si="2"/>
        <v>8319</v>
      </c>
      <c r="O47" s="13">
        <f t="shared" si="3"/>
        <v>0.4089970501474926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7" customHeight="1">
      <c r="A48" s="1" t="s">
        <v>422</v>
      </c>
      <c r="B48" s="1" t="s">
        <v>949</v>
      </c>
      <c r="C48" s="1" t="s">
        <v>423</v>
      </c>
      <c r="D48" s="1" t="s">
        <v>424</v>
      </c>
      <c r="E48" s="1" t="s">
        <v>950</v>
      </c>
      <c r="G48" s="1">
        <v>4980</v>
      </c>
      <c r="H48" s="1">
        <v>4</v>
      </c>
      <c r="I48" s="1">
        <v>19920</v>
      </c>
      <c r="J48" s="1">
        <v>3</v>
      </c>
      <c r="K48" s="1">
        <f t="shared" si="0"/>
        <v>2988</v>
      </c>
      <c r="L48" s="6">
        <v>2980</v>
      </c>
      <c r="M48" s="6">
        <f t="shared" si="1"/>
        <v>11920</v>
      </c>
      <c r="N48" s="6">
        <f t="shared" si="2"/>
        <v>5012</v>
      </c>
      <c r="O48" s="8">
        <f t="shared" si="3"/>
        <v>0.25160642570281122</v>
      </c>
    </row>
    <row r="49" spans="1:26" ht="17" customHeight="1">
      <c r="A49" s="1" t="s">
        <v>128</v>
      </c>
      <c r="B49" s="1" t="s">
        <v>951</v>
      </c>
      <c r="C49" s="1" t="s">
        <v>130</v>
      </c>
      <c r="D49" s="1" t="s">
        <v>131</v>
      </c>
      <c r="E49" s="1" t="s">
        <v>952</v>
      </c>
      <c r="G49" s="1">
        <v>19800</v>
      </c>
      <c r="H49" s="1">
        <v>1</v>
      </c>
      <c r="I49" s="1">
        <v>19800</v>
      </c>
      <c r="J49" s="1">
        <v>1</v>
      </c>
      <c r="K49" s="1">
        <f t="shared" si="0"/>
        <v>2970</v>
      </c>
      <c r="L49" s="6">
        <v>13990</v>
      </c>
      <c r="M49" s="6">
        <f t="shared" si="1"/>
        <v>13990</v>
      </c>
      <c r="N49" s="6">
        <f t="shared" si="2"/>
        <v>2840</v>
      </c>
      <c r="O49" s="8">
        <f t="shared" si="3"/>
        <v>0.14343434343434344</v>
      </c>
    </row>
    <row r="50" spans="1:26" ht="20" customHeight="1">
      <c r="A50" s="1" t="s">
        <v>953</v>
      </c>
      <c r="C50" s="1" t="s">
        <v>954</v>
      </c>
      <c r="D50" s="1" t="s">
        <v>955</v>
      </c>
      <c r="E50" s="5"/>
      <c r="F50" s="5"/>
      <c r="G50" s="1">
        <v>9480</v>
      </c>
      <c r="H50" s="1">
        <v>2</v>
      </c>
      <c r="I50" s="1">
        <v>18960</v>
      </c>
      <c r="J50" s="1">
        <v>2</v>
      </c>
      <c r="K50" s="1">
        <f t="shared" si="0"/>
        <v>2844</v>
      </c>
      <c r="L50" s="6">
        <v>4990</v>
      </c>
      <c r="M50" s="6">
        <f t="shared" si="1"/>
        <v>9980</v>
      </c>
      <c r="N50" s="6">
        <f t="shared" si="2"/>
        <v>6136</v>
      </c>
      <c r="O50" s="8">
        <f t="shared" si="3"/>
        <v>0.32362869198312239</v>
      </c>
    </row>
    <row r="51" spans="1:26" ht="17" customHeight="1">
      <c r="A51" s="1" t="s">
        <v>651</v>
      </c>
      <c r="B51" s="1" t="s">
        <v>956</v>
      </c>
      <c r="C51" s="1" t="s">
        <v>653</v>
      </c>
      <c r="D51" s="9">
        <v>6.2111481480589895E+20</v>
      </c>
      <c r="E51" s="1" t="s">
        <v>957</v>
      </c>
      <c r="G51" s="1">
        <v>2102</v>
      </c>
      <c r="H51" s="1">
        <v>9</v>
      </c>
      <c r="I51" s="1">
        <v>18920</v>
      </c>
      <c r="J51" s="1">
        <v>8</v>
      </c>
      <c r="K51" s="1">
        <f t="shared" si="0"/>
        <v>2838</v>
      </c>
      <c r="L51" s="6">
        <v>1216</v>
      </c>
      <c r="M51" s="6">
        <f t="shared" si="1"/>
        <v>10944</v>
      </c>
      <c r="N51" s="6">
        <f t="shared" si="2"/>
        <v>5138</v>
      </c>
      <c r="O51" s="8">
        <f t="shared" si="3"/>
        <v>0.27156448202959832</v>
      </c>
    </row>
    <row r="52" spans="1:26" ht="17" customHeight="1">
      <c r="A52" s="1" t="s">
        <v>958</v>
      </c>
      <c r="B52" s="1" t="s">
        <v>959</v>
      </c>
      <c r="C52" s="1" t="s">
        <v>960</v>
      </c>
      <c r="D52" s="1" t="s">
        <v>961</v>
      </c>
      <c r="E52" s="1" t="s">
        <v>962</v>
      </c>
      <c r="G52" s="1">
        <v>3480</v>
      </c>
      <c r="H52" s="1">
        <v>5</v>
      </c>
      <c r="I52" s="1">
        <v>17400</v>
      </c>
      <c r="J52" s="1">
        <v>5</v>
      </c>
      <c r="K52" s="1">
        <f t="shared" si="0"/>
        <v>2610</v>
      </c>
      <c r="L52" s="6">
        <v>1148</v>
      </c>
      <c r="M52" s="6">
        <f t="shared" si="1"/>
        <v>5740</v>
      </c>
      <c r="N52" s="6">
        <f t="shared" si="2"/>
        <v>9050</v>
      </c>
      <c r="O52" s="8">
        <f t="shared" si="3"/>
        <v>0.52011494252873558</v>
      </c>
    </row>
    <row r="53" spans="1:26" ht="17" customHeight="1">
      <c r="A53" s="1" t="s">
        <v>958</v>
      </c>
      <c r="B53" s="1" t="s">
        <v>963</v>
      </c>
      <c r="C53" s="1" t="s">
        <v>960</v>
      </c>
      <c r="D53" s="1" t="s">
        <v>961</v>
      </c>
      <c r="E53" s="1" t="s">
        <v>964</v>
      </c>
      <c r="G53" s="1">
        <v>3200</v>
      </c>
      <c r="H53" s="1">
        <v>5</v>
      </c>
      <c r="I53" s="1">
        <v>16000</v>
      </c>
      <c r="J53" s="1">
        <v>5</v>
      </c>
      <c r="K53" s="1">
        <f t="shared" si="0"/>
        <v>2400</v>
      </c>
      <c r="L53" s="6">
        <v>1148</v>
      </c>
      <c r="M53" s="6">
        <f t="shared" si="1"/>
        <v>5740</v>
      </c>
      <c r="N53" s="6">
        <f t="shared" si="2"/>
        <v>7860</v>
      </c>
      <c r="O53" s="8">
        <f t="shared" si="3"/>
        <v>0.49125000000000002</v>
      </c>
    </row>
    <row r="54" spans="1:26" ht="20" customHeight="1">
      <c r="A54" s="1" t="s">
        <v>965</v>
      </c>
      <c r="C54" s="1" t="s">
        <v>966</v>
      </c>
      <c r="D54" s="1">
        <v>7357</v>
      </c>
      <c r="E54" s="5"/>
      <c r="F54" s="5"/>
      <c r="G54" s="1">
        <v>3780</v>
      </c>
      <c r="H54" s="1">
        <v>4</v>
      </c>
      <c r="I54" s="1">
        <v>15120</v>
      </c>
      <c r="J54" s="1">
        <v>4</v>
      </c>
      <c r="K54" s="1">
        <f t="shared" si="0"/>
        <v>2268</v>
      </c>
      <c r="L54" s="6"/>
      <c r="M54" s="6">
        <f t="shared" si="1"/>
        <v>0</v>
      </c>
      <c r="N54" s="6">
        <f t="shared" si="2"/>
        <v>12852</v>
      </c>
      <c r="O54" s="8">
        <f t="shared" si="3"/>
        <v>0.85</v>
      </c>
    </row>
    <row r="55" spans="1:26" ht="20" customHeight="1">
      <c r="A55" s="1" t="s">
        <v>967</v>
      </c>
      <c r="C55" s="1" t="s">
        <v>968</v>
      </c>
      <c r="D55" s="1" t="s">
        <v>969</v>
      </c>
      <c r="E55" s="5"/>
      <c r="F55" s="5"/>
      <c r="G55" s="1">
        <v>3780</v>
      </c>
      <c r="H55" s="1">
        <v>4</v>
      </c>
      <c r="I55" s="1">
        <v>15120</v>
      </c>
      <c r="J55" s="1">
        <v>4</v>
      </c>
      <c r="K55" s="1">
        <f t="shared" si="0"/>
        <v>2268</v>
      </c>
      <c r="L55" s="6">
        <v>2935</v>
      </c>
      <c r="M55" s="6">
        <f t="shared" si="1"/>
        <v>11740</v>
      </c>
      <c r="N55" s="6">
        <f t="shared" si="2"/>
        <v>1112</v>
      </c>
      <c r="O55" s="8">
        <f t="shared" si="3"/>
        <v>7.3544973544973538E-2</v>
      </c>
    </row>
    <row r="56" spans="1:26" ht="20" customHeight="1">
      <c r="A56" s="1" t="s">
        <v>250</v>
      </c>
      <c r="C56" s="1" t="s">
        <v>251</v>
      </c>
      <c r="D56" s="1" t="s">
        <v>970</v>
      </c>
      <c r="E56" s="5"/>
      <c r="F56" s="5"/>
      <c r="G56" s="1">
        <v>4980</v>
      </c>
      <c r="H56" s="1">
        <v>3</v>
      </c>
      <c r="I56" s="1">
        <v>14940</v>
      </c>
      <c r="J56" s="1">
        <v>3</v>
      </c>
      <c r="K56" s="1">
        <f t="shared" si="0"/>
        <v>2241</v>
      </c>
      <c r="L56" s="6">
        <v>1650</v>
      </c>
      <c r="M56" s="6">
        <f t="shared" si="1"/>
        <v>4950</v>
      </c>
      <c r="N56" s="6">
        <f t="shared" si="2"/>
        <v>7749</v>
      </c>
      <c r="O56" s="8">
        <f t="shared" si="3"/>
        <v>0.51867469879518069</v>
      </c>
    </row>
    <row r="57" spans="1:26" ht="20" customHeight="1">
      <c r="A57" s="1" t="s">
        <v>699</v>
      </c>
      <c r="C57" s="1" t="s">
        <v>700</v>
      </c>
      <c r="D57" s="1" t="s">
        <v>971</v>
      </c>
      <c r="E57" s="5"/>
      <c r="F57" s="5"/>
      <c r="G57" s="1">
        <v>2480</v>
      </c>
      <c r="H57" s="1">
        <v>6</v>
      </c>
      <c r="I57" s="1">
        <v>14880</v>
      </c>
      <c r="J57" s="1">
        <v>4</v>
      </c>
      <c r="K57" s="1">
        <f t="shared" si="0"/>
        <v>2232</v>
      </c>
      <c r="L57" s="6">
        <v>884</v>
      </c>
      <c r="M57" s="6">
        <f t="shared" si="1"/>
        <v>5304</v>
      </c>
      <c r="N57" s="6">
        <f t="shared" si="2"/>
        <v>7344</v>
      </c>
      <c r="O57" s="8">
        <f t="shared" si="3"/>
        <v>0.49354838709677418</v>
      </c>
    </row>
    <row r="58" spans="1:26" ht="20" customHeight="1">
      <c r="A58" s="10" t="s">
        <v>972</v>
      </c>
      <c r="B58" s="10"/>
      <c r="C58" s="10" t="s">
        <v>973</v>
      </c>
      <c r="D58" s="10" t="s">
        <v>974</v>
      </c>
      <c r="E58" s="11"/>
      <c r="F58" s="11"/>
      <c r="G58" s="10">
        <v>7380</v>
      </c>
      <c r="H58" s="10">
        <v>2</v>
      </c>
      <c r="I58" s="10">
        <v>14760</v>
      </c>
      <c r="J58" s="10">
        <v>2</v>
      </c>
      <c r="K58" s="10">
        <f t="shared" si="0"/>
        <v>2214</v>
      </c>
      <c r="L58" s="12">
        <v>3690</v>
      </c>
      <c r="M58" s="6">
        <f t="shared" si="1"/>
        <v>7380</v>
      </c>
      <c r="N58" s="12">
        <f t="shared" si="2"/>
        <v>5166</v>
      </c>
      <c r="O58" s="13">
        <f t="shared" si="3"/>
        <v>0.35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7" customHeight="1">
      <c r="A59" s="1" t="s">
        <v>958</v>
      </c>
      <c r="B59" s="1" t="s">
        <v>975</v>
      </c>
      <c r="C59" s="1" t="s">
        <v>960</v>
      </c>
      <c r="D59" s="1" t="s">
        <v>961</v>
      </c>
      <c r="E59" s="1" t="s">
        <v>976</v>
      </c>
      <c r="G59" s="1">
        <v>3480</v>
      </c>
      <c r="H59" s="1">
        <v>4</v>
      </c>
      <c r="I59" s="1">
        <v>13920</v>
      </c>
      <c r="J59" s="1">
        <v>3</v>
      </c>
      <c r="K59" s="1">
        <f t="shared" si="0"/>
        <v>2088</v>
      </c>
      <c r="L59" s="6">
        <v>1148</v>
      </c>
      <c r="M59" s="6">
        <f t="shared" si="1"/>
        <v>4592</v>
      </c>
      <c r="N59" s="6">
        <f t="shared" si="2"/>
        <v>7240</v>
      </c>
      <c r="O59" s="8">
        <f t="shared" si="3"/>
        <v>0.52011494252873558</v>
      </c>
    </row>
    <row r="60" spans="1:26" ht="17" customHeight="1">
      <c r="A60" s="10" t="s">
        <v>977</v>
      </c>
      <c r="B60" s="10" t="s">
        <v>978</v>
      </c>
      <c r="C60" s="10" t="s">
        <v>43</v>
      </c>
      <c r="D60" s="10" t="s">
        <v>44</v>
      </c>
      <c r="E60" s="10" t="s">
        <v>979</v>
      </c>
      <c r="F60" s="10"/>
      <c r="G60" s="10">
        <v>13480</v>
      </c>
      <c r="H60" s="10">
        <v>1</v>
      </c>
      <c r="I60" s="10">
        <v>13480</v>
      </c>
      <c r="J60" s="10">
        <v>1</v>
      </c>
      <c r="K60" s="10">
        <f t="shared" si="0"/>
        <v>2022</v>
      </c>
      <c r="L60" s="12">
        <v>9100</v>
      </c>
      <c r="M60" s="6">
        <f t="shared" si="1"/>
        <v>9100</v>
      </c>
      <c r="N60" s="12">
        <f t="shared" si="2"/>
        <v>2358</v>
      </c>
      <c r="O60" s="13">
        <f t="shared" si="3"/>
        <v>0.17492581602373888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0" customHeight="1">
      <c r="A61" s="10" t="s">
        <v>980</v>
      </c>
      <c r="B61" s="10"/>
      <c r="C61" s="10" t="s">
        <v>175</v>
      </c>
      <c r="D61" s="10">
        <v>3882</v>
      </c>
      <c r="E61" s="11"/>
      <c r="F61" s="11"/>
      <c r="G61" s="10">
        <v>6480</v>
      </c>
      <c r="H61" s="10">
        <v>2</v>
      </c>
      <c r="I61" s="10">
        <v>12960</v>
      </c>
      <c r="J61" s="10">
        <v>2</v>
      </c>
      <c r="K61" s="10">
        <f t="shared" si="0"/>
        <v>1944</v>
      </c>
      <c r="L61" s="12">
        <v>3882</v>
      </c>
      <c r="M61" s="6">
        <f t="shared" si="1"/>
        <v>7764</v>
      </c>
      <c r="N61" s="12">
        <f t="shared" si="2"/>
        <v>3252</v>
      </c>
      <c r="O61" s="13">
        <f t="shared" si="3"/>
        <v>0.25092592592592594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0" customHeight="1">
      <c r="A62" s="10" t="s">
        <v>981</v>
      </c>
      <c r="B62" s="10"/>
      <c r="C62" s="10" t="s">
        <v>271</v>
      </c>
      <c r="D62" s="10">
        <v>785</v>
      </c>
      <c r="E62" s="11"/>
      <c r="F62" s="11"/>
      <c r="G62" s="10">
        <v>1580</v>
      </c>
      <c r="H62" s="10">
        <v>8</v>
      </c>
      <c r="I62" s="10">
        <v>12640</v>
      </c>
      <c r="J62" s="10">
        <v>4</v>
      </c>
      <c r="K62" s="10">
        <f t="shared" si="0"/>
        <v>1896</v>
      </c>
      <c r="L62" s="12">
        <v>785</v>
      </c>
      <c r="M62" s="6">
        <f t="shared" si="1"/>
        <v>6280</v>
      </c>
      <c r="N62" s="12">
        <f t="shared" si="2"/>
        <v>4464</v>
      </c>
      <c r="O62" s="13">
        <f t="shared" si="3"/>
        <v>0.35316455696202531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7" customHeight="1">
      <c r="A63" s="10" t="s">
        <v>982</v>
      </c>
      <c r="B63" s="10" t="s">
        <v>228</v>
      </c>
      <c r="C63" s="10" t="s">
        <v>229</v>
      </c>
      <c r="D63" s="10" t="s">
        <v>983</v>
      </c>
      <c r="E63" s="10" t="s">
        <v>231</v>
      </c>
      <c r="F63" s="10"/>
      <c r="G63" s="10">
        <v>1369</v>
      </c>
      <c r="H63" s="10">
        <v>9</v>
      </c>
      <c r="I63" s="10">
        <v>12320</v>
      </c>
      <c r="J63" s="10">
        <v>7</v>
      </c>
      <c r="K63" s="10">
        <f t="shared" si="0"/>
        <v>1848</v>
      </c>
      <c r="L63" s="12">
        <v>504</v>
      </c>
      <c r="M63" s="12">
        <f t="shared" si="1"/>
        <v>4536</v>
      </c>
      <c r="N63" s="12">
        <f t="shared" si="2"/>
        <v>5936</v>
      </c>
      <c r="O63" s="13">
        <f t="shared" si="3"/>
        <v>0.48181818181818181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0" customHeight="1">
      <c r="A64" s="1" t="s">
        <v>984</v>
      </c>
      <c r="C64" s="1" t="s">
        <v>985</v>
      </c>
      <c r="D64" s="1">
        <v>7980</v>
      </c>
      <c r="E64" s="5"/>
      <c r="F64" s="5"/>
      <c r="G64" s="1">
        <v>11980</v>
      </c>
      <c r="H64" s="1">
        <v>1</v>
      </c>
      <c r="I64" s="1">
        <v>11980</v>
      </c>
      <c r="J64" s="1">
        <v>1</v>
      </c>
      <c r="K64" s="1">
        <f t="shared" si="0"/>
        <v>1797</v>
      </c>
      <c r="L64" s="6">
        <v>7980</v>
      </c>
      <c r="M64" s="6">
        <f t="shared" si="1"/>
        <v>7980</v>
      </c>
      <c r="N64" s="6">
        <f t="shared" si="2"/>
        <v>2203</v>
      </c>
      <c r="O64" s="8">
        <f t="shared" si="3"/>
        <v>0.183889816360601</v>
      </c>
    </row>
    <row r="65" spans="1:26" ht="20" customHeight="1">
      <c r="A65" s="1" t="s">
        <v>310</v>
      </c>
      <c r="C65" s="1" t="s">
        <v>311</v>
      </c>
      <c r="D65" s="1" t="s">
        <v>312</v>
      </c>
      <c r="E65" s="5"/>
      <c r="F65" s="5"/>
      <c r="G65" s="1">
        <v>3980</v>
      </c>
      <c r="H65" s="1">
        <v>3</v>
      </c>
      <c r="I65" s="1">
        <v>11940</v>
      </c>
      <c r="J65" s="1">
        <v>3</v>
      </c>
      <c r="K65" s="1">
        <f t="shared" si="0"/>
        <v>1791</v>
      </c>
      <c r="L65" s="6">
        <v>1998</v>
      </c>
      <c r="M65" s="6">
        <f t="shared" si="1"/>
        <v>5994</v>
      </c>
      <c r="N65" s="6">
        <f t="shared" si="2"/>
        <v>4155</v>
      </c>
      <c r="O65" s="8">
        <f t="shared" si="3"/>
        <v>0.3479899497487437</v>
      </c>
    </row>
    <row r="66" spans="1:26" ht="20" customHeight="1">
      <c r="A66" s="1" t="s">
        <v>546</v>
      </c>
      <c r="C66" s="1" t="s">
        <v>547</v>
      </c>
      <c r="D66" s="1" t="s">
        <v>986</v>
      </c>
      <c r="E66" s="5"/>
      <c r="F66" s="5"/>
      <c r="G66" s="1">
        <v>3980</v>
      </c>
      <c r="H66" s="1">
        <v>3</v>
      </c>
      <c r="I66" s="1">
        <v>11940</v>
      </c>
      <c r="J66" s="1">
        <v>3</v>
      </c>
      <c r="K66" s="1">
        <f t="shared" si="0"/>
        <v>1791</v>
      </c>
      <c r="L66" s="6">
        <v>1542</v>
      </c>
      <c r="M66" s="6">
        <f t="shared" si="1"/>
        <v>4626</v>
      </c>
      <c r="N66" s="6">
        <f t="shared" si="2"/>
        <v>5523</v>
      </c>
      <c r="O66" s="8">
        <f t="shared" si="3"/>
        <v>0.46256281407035177</v>
      </c>
    </row>
    <row r="67" spans="1:26" ht="20" customHeight="1">
      <c r="A67" s="1" t="s">
        <v>987</v>
      </c>
      <c r="C67" s="1" t="s">
        <v>988</v>
      </c>
      <c r="D67" s="1" t="s">
        <v>989</v>
      </c>
      <c r="E67" s="5"/>
      <c r="F67" s="5"/>
      <c r="G67" s="1">
        <v>3980</v>
      </c>
      <c r="H67" s="1">
        <v>3</v>
      </c>
      <c r="I67" s="1">
        <v>11940</v>
      </c>
      <c r="J67" s="1">
        <v>3</v>
      </c>
      <c r="K67" s="1">
        <f t="shared" si="0"/>
        <v>1791</v>
      </c>
      <c r="L67" s="6">
        <v>2200</v>
      </c>
      <c r="M67" s="6">
        <f t="shared" si="1"/>
        <v>6600</v>
      </c>
      <c r="N67" s="6">
        <f t="shared" si="2"/>
        <v>3549</v>
      </c>
      <c r="O67" s="8">
        <f t="shared" si="3"/>
        <v>0.29723618090452264</v>
      </c>
    </row>
    <row r="68" spans="1:26" ht="20" customHeight="1">
      <c r="A68" s="10" t="s">
        <v>990</v>
      </c>
      <c r="B68" s="10"/>
      <c r="C68" s="10" t="s">
        <v>991</v>
      </c>
      <c r="D68" s="10" t="s">
        <v>992</v>
      </c>
      <c r="E68" s="11"/>
      <c r="F68" s="11"/>
      <c r="G68" s="10">
        <v>3980</v>
      </c>
      <c r="H68" s="10">
        <v>3</v>
      </c>
      <c r="I68" s="10">
        <v>11940</v>
      </c>
      <c r="J68" s="10">
        <v>3</v>
      </c>
      <c r="K68" s="10">
        <f t="shared" si="0"/>
        <v>1791</v>
      </c>
      <c r="L68" s="12">
        <v>2134</v>
      </c>
      <c r="M68" s="12">
        <f t="shared" si="1"/>
        <v>6402</v>
      </c>
      <c r="N68" s="12">
        <f t="shared" si="2"/>
        <v>3747</v>
      </c>
      <c r="O68" s="13">
        <f t="shared" si="3"/>
        <v>0.31381909547738696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0" customHeight="1">
      <c r="A69" s="1" t="s">
        <v>993</v>
      </c>
      <c r="C69" s="1" t="s">
        <v>994</v>
      </c>
      <c r="D69" s="1">
        <v>5207</v>
      </c>
      <c r="E69" s="5"/>
      <c r="F69" s="5"/>
      <c r="G69" s="1">
        <v>3980</v>
      </c>
      <c r="H69" s="1">
        <v>3</v>
      </c>
      <c r="I69" s="1">
        <v>11940</v>
      </c>
      <c r="J69" s="1">
        <v>3</v>
      </c>
      <c r="K69" s="1">
        <f t="shared" si="0"/>
        <v>1791</v>
      </c>
      <c r="L69" s="6"/>
      <c r="M69" s="6">
        <f t="shared" si="1"/>
        <v>0</v>
      </c>
      <c r="N69" s="6">
        <f t="shared" si="2"/>
        <v>10149</v>
      </c>
      <c r="O69" s="8">
        <f t="shared" si="3"/>
        <v>0.85</v>
      </c>
    </row>
    <row r="70" spans="1:26" ht="20" customHeight="1">
      <c r="A70" s="1" t="s">
        <v>995</v>
      </c>
      <c r="C70" s="1" t="s">
        <v>996</v>
      </c>
      <c r="D70" s="1" t="s">
        <v>997</v>
      </c>
      <c r="E70" s="5"/>
      <c r="F70" s="5"/>
      <c r="G70" s="1">
        <v>3980</v>
      </c>
      <c r="H70" s="1">
        <v>3</v>
      </c>
      <c r="I70" s="1">
        <v>11940</v>
      </c>
      <c r="J70" s="1">
        <v>2</v>
      </c>
      <c r="K70" s="1">
        <f t="shared" si="0"/>
        <v>1791</v>
      </c>
      <c r="L70" s="6">
        <v>2550</v>
      </c>
      <c r="M70" s="6">
        <f t="shared" si="1"/>
        <v>7650</v>
      </c>
      <c r="N70" s="6">
        <f t="shared" si="2"/>
        <v>2499</v>
      </c>
      <c r="O70" s="8">
        <f t="shared" si="3"/>
        <v>0.20929648241206031</v>
      </c>
    </row>
    <row r="71" spans="1:26" ht="20" customHeight="1">
      <c r="A71" s="1" t="s">
        <v>998</v>
      </c>
      <c r="C71" s="1">
        <v>4550391910564</v>
      </c>
      <c r="D71" s="1" t="s">
        <v>999</v>
      </c>
      <c r="F71" s="5"/>
      <c r="G71" s="1">
        <v>3980</v>
      </c>
      <c r="H71" s="1">
        <v>3</v>
      </c>
      <c r="I71" s="1">
        <v>11940</v>
      </c>
      <c r="J71" s="1">
        <v>3</v>
      </c>
      <c r="K71" s="1">
        <f t="shared" si="0"/>
        <v>1791</v>
      </c>
      <c r="L71" s="6">
        <v>440</v>
      </c>
      <c r="M71" s="6">
        <f t="shared" si="1"/>
        <v>1320</v>
      </c>
      <c r="N71" s="6">
        <f t="shared" si="2"/>
        <v>8829</v>
      </c>
      <c r="O71" s="8">
        <f t="shared" si="3"/>
        <v>0.73944723618090458</v>
      </c>
    </row>
    <row r="72" spans="1:26" ht="20" customHeight="1">
      <c r="A72" s="10" t="s">
        <v>1000</v>
      </c>
      <c r="B72" s="10"/>
      <c r="C72" s="10" t="s">
        <v>1001</v>
      </c>
      <c r="D72" s="10" t="s">
        <v>1002</v>
      </c>
      <c r="E72" s="11"/>
      <c r="F72" s="11"/>
      <c r="G72" s="10">
        <v>2980</v>
      </c>
      <c r="H72" s="10">
        <v>4</v>
      </c>
      <c r="I72" s="10">
        <v>11920</v>
      </c>
      <c r="J72" s="10">
        <v>4</v>
      </c>
      <c r="K72" s="10">
        <f t="shared" ref="K72:K135" si="4">SUM(I72*0.15)</f>
        <v>1788</v>
      </c>
      <c r="L72" s="12">
        <v>1480</v>
      </c>
      <c r="M72" s="12">
        <f t="shared" ref="M72:M135" si="5">SUM(H72*L72)</f>
        <v>5920</v>
      </c>
      <c r="N72" s="12">
        <f t="shared" ref="N72:N135" si="6">SUM(I72-K72-M72)</f>
        <v>4212</v>
      </c>
      <c r="O72" s="13">
        <f t="shared" ref="O72:O135" si="7">IF(I72=0,"",N72/I72)</f>
        <v>0.35335570469798655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0" customHeight="1">
      <c r="A73" s="10" t="s">
        <v>1003</v>
      </c>
      <c r="B73" s="10"/>
      <c r="C73" s="10" t="s">
        <v>1004</v>
      </c>
      <c r="D73" s="10" t="s">
        <v>1005</v>
      </c>
      <c r="E73" s="10"/>
      <c r="F73" s="11"/>
      <c r="G73" s="10">
        <v>2980</v>
      </c>
      <c r="H73" s="10">
        <v>4</v>
      </c>
      <c r="I73" s="10">
        <v>11920</v>
      </c>
      <c r="J73" s="10">
        <v>4</v>
      </c>
      <c r="K73" s="10">
        <f t="shared" si="4"/>
        <v>1788</v>
      </c>
      <c r="L73" s="12">
        <v>1581</v>
      </c>
      <c r="M73" s="12">
        <f t="shared" si="5"/>
        <v>6324</v>
      </c>
      <c r="N73" s="12">
        <f t="shared" si="6"/>
        <v>3808</v>
      </c>
      <c r="O73" s="13">
        <f t="shared" si="7"/>
        <v>0.31946308724832218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0" customHeight="1">
      <c r="A74" s="10" t="s">
        <v>1006</v>
      </c>
      <c r="B74" s="10"/>
      <c r="C74" s="10" t="s">
        <v>25</v>
      </c>
      <c r="D74" s="10" t="s">
        <v>1007</v>
      </c>
      <c r="E74" s="11"/>
      <c r="F74" s="11"/>
      <c r="G74" s="10">
        <v>2980</v>
      </c>
      <c r="H74" s="10">
        <v>4</v>
      </c>
      <c r="I74" s="10">
        <v>11920</v>
      </c>
      <c r="J74" s="10">
        <v>1</v>
      </c>
      <c r="K74" s="10">
        <f t="shared" si="4"/>
        <v>1788</v>
      </c>
      <c r="L74" s="12">
        <v>1300</v>
      </c>
      <c r="M74" s="12">
        <f t="shared" si="5"/>
        <v>5200</v>
      </c>
      <c r="N74" s="12">
        <f t="shared" si="6"/>
        <v>4932</v>
      </c>
      <c r="O74" s="13">
        <f t="shared" si="7"/>
        <v>0.41375838926174496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0" customHeight="1">
      <c r="A75" s="10" t="s">
        <v>379</v>
      </c>
      <c r="B75" s="10"/>
      <c r="C75" s="10" t="s">
        <v>380</v>
      </c>
      <c r="D75" s="10" t="s">
        <v>1008</v>
      </c>
      <c r="E75" s="11"/>
      <c r="F75" s="11"/>
      <c r="G75" s="10">
        <v>2980</v>
      </c>
      <c r="H75" s="10">
        <v>4</v>
      </c>
      <c r="I75" s="10">
        <v>11920</v>
      </c>
      <c r="J75" s="10">
        <v>4</v>
      </c>
      <c r="K75" s="10">
        <f t="shared" si="4"/>
        <v>1788</v>
      </c>
      <c r="L75" s="12">
        <v>1884</v>
      </c>
      <c r="M75" s="12">
        <f t="shared" si="5"/>
        <v>7536</v>
      </c>
      <c r="N75" s="12">
        <f t="shared" si="6"/>
        <v>2596</v>
      </c>
      <c r="O75" s="13">
        <f t="shared" si="7"/>
        <v>0.21778523489932886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0" customHeight="1">
      <c r="A76" s="1" t="s">
        <v>1009</v>
      </c>
      <c r="C76" s="1" t="s">
        <v>1010</v>
      </c>
      <c r="D76" s="1" t="s">
        <v>1011</v>
      </c>
      <c r="E76" s="5"/>
      <c r="F76" s="5"/>
      <c r="G76" s="1">
        <v>1280</v>
      </c>
      <c r="H76" s="1">
        <v>9</v>
      </c>
      <c r="I76" s="1">
        <v>11520</v>
      </c>
      <c r="J76" s="1">
        <v>7</v>
      </c>
      <c r="K76" s="1">
        <f t="shared" si="4"/>
        <v>1728</v>
      </c>
      <c r="L76" s="6">
        <v>454</v>
      </c>
      <c r="M76" s="6">
        <f t="shared" si="5"/>
        <v>4086</v>
      </c>
      <c r="N76" s="6">
        <f t="shared" si="6"/>
        <v>5706</v>
      </c>
      <c r="O76" s="8">
        <f t="shared" si="7"/>
        <v>0.49531249999999999</v>
      </c>
    </row>
    <row r="77" spans="1:26" ht="20" customHeight="1">
      <c r="A77" s="1" t="s">
        <v>686</v>
      </c>
      <c r="C77" s="1" t="s">
        <v>687</v>
      </c>
      <c r="D77" s="1" t="s">
        <v>1012</v>
      </c>
      <c r="F77" s="5"/>
      <c r="G77" s="1">
        <v>1140</v>
      </c>
      <c r="H77" s="1">
        <v>10</v>
      </c>
      <c r="I77" s="1">
        <v>11400</v>
      </c>
      <c r="J77" s="1">
        <v>6</v>
      </c>
      <c r="K77" s="1">
        <f t="shared" si="4"/>
        <v>1710</v>
      </c>
      <c r="L77" s="6">
        <v>806</v>
      </c>
      <c r="M77" s="6">
        <f t="shared" si="5"/>
        <v>8060</v>
      </c>
      <c r="N77" s="6">
        <f t="shared" si="6"/>
        <v>1630</v>
      </c>
      <c r="O77" s="8">
        <f t="shared" si="7"/>
        <v>0.14298245614035088</v>
      </c>
    </row>
    <row r="78" spans="1:26" ht="20" customHeight="1">
      <c r="A78" s="1" t="s">
        <v>1013</v>
      </c>
      <c r="C78" s="1" t="s">
        <v>1014</v>
      </c>
      <c r="D78" s="1" t="s">
        <v>1015</v>
      </c>
      <c r="E78" s="5"/>
      <c r="F78" s="5"/>
      <c r="G78" s="1">
        <v>5680</v>
      </c>
      <c r="H78" s="1">
        <v>2</v>
      </c>
      <c r="I78" s="1">
        <v>11360</v>
      </c>
      <c r="J78" s="1">
        <v>2</v>
      </c>
      <c r="K78" s="1">
        <f t="shared" si="4"/>
        <v>1704</v>
      </c>
      <c r="L78" s="6">
        <v>3740</v>
      </c>
      <c r="M78" s="6">
        <f t="shared" si="5"/>
        <v>7480</v>
      </c>
      <c r="N78" s="6">
        <f t="shared" si="6"/>
        <v>2176</v>
      </c>
      <c r="O78" s="8">
        <f t="shared" si="7"/>
        <v>0.19154929577464788</v>
      </c>
    </row>
    <row r="79" spans="1:26" ht="20" customHeight="1">
      <c r="A79" s="1" t="s">
        <v>1016</v>
      </c>
      <c r="C79" s="1" t="s">
        <v>1017</v>
      </c>
      <c r="D79" s="1" t="s">
        <v>1018</v>
      </c>
      <c r="E79" s="5"/>
      <c r="F79" s="5"/>
      <c r="G79" s="1">
        <v>799</v>
      </c>
      <c r="H79" s="1">
        <v>14</v>
      </c>
      <c r="I79" s="1">
        <v>11186</v>
      </c>
      <c r="J79" s="1">
        <v>5</v>
      </c>
      <c r="K79" s="1">
        <f t="shared" si="4"/>
        <v>1677.8999999999999</v>
      </c>
      <c r="L79" s="6">
        <v>670</v>
      </c>
      <c r="M79" s="6">
        <f t="shared" si="5"/>
        <v>9380</v>
      </c>
      <c r="N79" s="6">
        <f t="shared" si="6"/>
        <v>128.10000000000036</v>
      </c>
      <c r="O79" s="8">
        <f t="shared" si="7"/>
        <v>1.1451814768460609E-2</v>
      </c>
    </row>
    <row r="80" spans="1:26" ht="20" customHeight="1">
      <c r="A80" s="1" t="s">
        <v>419</v>
      </c>
      <c r="C80" s="1" t="s">
        <v>420</v>
      </c>
      <c r="D80" s="1" t="s">
        <v>421</v>
      </c>
      <c r="E80" s="5"/>
      <c r="F80" s="5"/>
      <c r="G80" s="1">
        <v>2780</v>
      </c>
      <c r="H80" s="1">
        <v>4</v>
      </c>
      <c r="I80" s="1">
        <v>11120</v>
      </c>
      <c r="J80" s="1">
        <v>4</v>
      </c>
      <c r="K80" s="1">
        <f t="shared" si="4"/>
        <v>1668</v>
      </c>
      <c r="L80" s="6">
        <v>1654</v>
      </c>
      <c r="M80" s="6">
        <f t="shared" si="5"/>
        <v>6616</v>
      </c>
      <c r="N80" s="6">
        <f t="shared" si="6"/>
        <v>2836</v>
      </c>
      <c r="O80" s="8">
        <f t="shared" si="7"/>
        <v>0.25503597122302157</v>
      </c>
    </row>
    <row r="81" spans="1:26" ht="20" customHeight="1">
      <c r="A81" s="1" t="s">
        <v>1019</v>
      </c>
      <c r="C81" s="1" t="s">
        <v>1020</v>
      </c>
      <c r="D81" s="1" t="s">
        <v>1021</v>
      </c>
      <c r="E81" s="5"/>
      <c r="F81" s="5"/>
      <c r="G81" s="1">
        <v>2780</v>
      </c>
      <c r="H81" s="1">
        <v>4</v>
      </c>
      <c r="I81" s="1">
        <v>11120</v>
      </c>
      <c r="J81" s="1">
        <v>3</v>
      </c>
      <c r="K81" s="1">
        <f t="shared" si="4"/>
        <v>1668</v>
      </c>
      <c r="L81" s="6">
        <v>1182</v>
      </c>
      <c r="M81" s="6">
        <f t="shared" si="5"/>
        <v>4728</v>
      </c>
      <c r="N81" s="6">
        <f t="shared" si="6"/>
        <v>4724</v>
      </c>
      <c r="O81" s="8">
        <f t="shared" si="7"/>
        <v>0.42482014388489209</v>
      </c>
    </row>
    <row r="82" spans="1:26" ht="17" customHeight="1">
      <c r="A82" s="1" t="s">
        <v>1022</v>
      </c>
      <c r="B82" s="1" t="s">
        <v>1023</v>
      </c>
      <c r="C82" s="1" t="s">
        <v>1024</v>
      </c>
      <c r="D82" s="1" t="s">
        <v>1025</v>
      </c>
      <c r="E82" s="1" t="s">
        <v>1026</v>
      </c>
      <c r="G82" s="1">
        <v>2180</v>
      </c>
      <c r="H82" s="1">
        <v>5</v>
      </c>
      <c r="I82" s="1">
        <v>10900</v>
      </c>
      <c r="J82" s="1">
        <v>2</v>
      </c>
      <c r="K82" s="1">
        <f t="shared" si="4"/>
        <v>1635</v>
      </c>
      <c r="L82" s="6">
        <v>327</v>
      </c>
      <c r="M82" s="6">
        <f t="shared" si="5"/>
        <v>1635</v>
      </c>
      <c r="N82" s="6">
        <f t="shared" si="6"/>
        <v>7630</v>
      </c>
      <c r="O82" s="8">
        <f t="shared" si="7"/>
        <v>0.7</v>
      </c>
    </row>
    <row r="83" spans="1:26" ht="20" customHeight="1">
      <c r="A83" s="1" t="s">
        <v>78</v>
      </c>
      <c r="C83" s="1" t="s">
        <v>79</v>
      </c>
      <c r="D83" s="1" t="s">
        <v>80</v>
      </c>
      <c r="E83" s="5"/>
      <c r="F83" s="5"/>
      <c r="G83" s="1">
        <v>5280</v>
      </c>
      <c r="H83" s="1">
        <v>2</v>
      </c>
      <c r="I83" s="1">
        <v>10560</v>
      </c>
      <c r="J83" s="1">
        <v>2</v>
      </c>
      <c r="K83" s="1">
        <f t="shared" si="4"/>
        <v>1584</v>
      </c>
      <c r="L83" s="6">
        <v>3771</v>
      </c>
      <c r="M83" s="6">
        <f t="shared" si="5"/>
        <v>7542</v>
      </c>
      <c r="N83" s="6">
        <f t="shared" si="6"/>
        <v>1434</v>
      </c>
      <c r="O83" s="8">
        <f t="shared" si="7"/>
        <v>0.13579545454545455</v>
      </c>
    </row>
    <row r="84" spans="1:26" ht="20" customHeight="1">
      <c r="A84" s="10" t="s">
        <v>239</v>
      </c>
      <c r="B84" s="10"/>
      <c r="C84" s="10" t="s">
        <v>240</v>
      </c>
      <c r="D84" s="10" t="s">
        <v>241</v>
      </c>
      <c r="E84" s="11"/>
      <c r="F84" s="11"/>
      <c r="G84" s="10">
        <v>9980</v>
      </c>
      <c r="H84" s="10">
        <v>1</v>
      </c>
      <c r="I84" s="10">
        <v>9980</v>
      </c>
      <c r="J84" s="10">
        <v>1</v>
      </c>
      <c r="K84" s="10">
        <f t="shared" si="4"/>
        <v>1497</v>
      </c>
      <c r="L84" s="12">
        <v>6752</v>
      </c>
      <c r="M84" s="12">
        <f t="shared" si="5"/>
        <v>6752</v>
      </c>
      <c r="N84" s="12">
        <f t="shared" si="6"/>
        <v>1731</v>
      </c>
      <c r="O84" s="13">
        <f t="shared" si="7"/>
        <v>0.17344689378757516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0" customHeight="1">
      <c r="A85" s="1" t="s">
        <v>1027</v>
      </c>
      <c r="C85" s="1">
        <v>4901133980190</v>
      </c>
      <c r="D85" s="1" t="s">
        <v>1028</v>
      </c>
      <c r="E85" s="5"/>
      <c r="F85" s="5"/>
      <c r="G85" s="1">
        <v>2480</v>
      </c>
      <c r="H85" s="1">
        <v>4</v>
      </c>
      <c r="I85" s="1">
        <v>9920</v>
      </c>
      <c r="J85" s="1">
        <v>4</v>
      </c>
      <c r="K85" s="1">
        <f t="shared" si="4"/>
        <v>1488</v>
      </c>
      <c r="L85" s="6">
        <v>1980</v>
      </c>
      <c r="M85" s="6">
        <f t="shared" si="5"/>
        <v>7920</v>
      </c>
      <c r="N85" s="6">
        <f t="shared" si="6"/>
        <v>512</v>
      </c>
      <c r="O85" s="8">
        <f t="shared" si="7"/>
        <v>5.1612903225806452E-2</v>
      </c>
    </row>
    <row r="86" spans="1:26" ht="20" customHeight="1">
      <c r="A86" s="1" t="s">
        <v>1029</v>
      </c>
      <c r="C86" s="1" t="s">
        <v>1030</v>
      </c>
      <c r="D86" s="9">
        <v>3170316331563180</v>
      </c>
      <c r="E86" s="5"/>
      <c r="F86" s="5"/>
      <c r="G86" s="1">
        <v>1980</v>
      </c>
      <c r="H86" s="1">
        <v>5</v>
      </c>
      <c r="I86" s="1">
        <v>9900</v>
      </c>
      <c r="J86" s="1">
        <v>3</v>
      </c>
      <c r="K86" s="1">
        <f t="shared" si="4"/>
        <v>1485</v>
      </c>
      <c r="L86" s="6">
        <v>1320</v>
      </c>
      <c r="M86" s="6">
        <f t="shared" si="5"/>
        <v>6600</v>
      </c>
      <c r="N86" s="6">
        <f t="shared" si="6"/>
        <v>1815</v>
      </c>
      <c r="O86" s="8">
        <f t="shared" si="7"/>
        <v>0.18333333333333332</v>
      </c>
    </row>
    <row r="87" spans="1:26" ht="20" customHeight="1">
      <c r="A87" s="1" t="s">
        <v>1031</v>
      </c>
      <c r="C87" s="1" t="s">
        <v>1032</v>
      </c>
      <c r="D87" s="1" t="s">
        <v>1033</v>
      </c>
      <c r="E87" s="5"/>
      <c r="F87" s="5"/>
      <c r="G87" s="1">
        <v>1080</v>
      </c>
      <c r="H87" s="1">
        <v>9</v>
      </c>
      <c r="I87" s="1">
        <v>9720</v>
      </c>
      <c r="J87" s="1">
        <v>5</v>
      </c>
      <c r="K87" s="1">
        <f t="shared" si="4"/>
        <v>1458</v>
      </c>
      <c r="L87" s="6">
        <v>253</v>
      </c>
      <c r="M87" s="6">
        <f t="shared" si="5"/>
        <v>2277</v>
      </c>
      <c r="N87" s="6">
        <f t="shared" si="6"/>
        <v>5985</v>
      </c>
      <c r="O87" s="8">
        <f t="shared" si="7"/>
        <v>0.6157407407407407</v>
      </c>
    </row>
    <row r="88" spans="1:26" ht="20" customHeight="1">
      <c r="A88" s="1" t="s">
        <v>1034</v>
      </c>
      <c r="C88" s="1" t="s">
        <v>268</v>
      </c>
      <c r="D88" s="1" t="s">
        <v>1035</v>
      </c>
      <c r="E88" s="5"/>
      <c r="F88" s="5"/>
      <c r="G88" s="1">
        <v>9480</v>
      </c>
      <c r="H88" s="1">
        <v>1</v>
      </c>
      <c r="I88" s="1">
        <v>9480</v>
      </c>
      <c r="J88" s="1">
        <v>1</v>
      </c>
      <c r="K88" s="1">
        <f t="shared" si="4"/>
        <v>1422</v>
      </c>
      <c r="L88" s="6">
        <v>6630</v>
      </c>
      <c r="M88" s="6">
        <f t="shared" si="5"/>
        <v>6630</v>
      </c>
      <c r="N88" s="6">
        <f t="shared" si="6"/>
        <v>1428</v>
      </c>
      <c r="O88" s="8">
        <f t="shared" si="7"/>
        <v>0.15063291139240506</v>
      </c>
    </row>
    <row r="89" spans="1:26" ht="20" customHeight="1">
      <c r="A89" s="1" t="s">
        <v>1036</v>
      </c>
      <c r="C89" s="1" t="s">
        <v>1037</v>
      </c>
      <c r="D89" s="1">
        <v>5538</v>
      </c>
      <c r="E89" s="5"/>
      <c r="F89" s="5"/>
      <c r="G89" s="1">
        <v>9180</v>
      </c>
      <c r="H89" s="1">
        <v>1</v>
      </c>
      <c r="I89" s="1">
        <v>9180</v>
      </c>
      <c r="J89" s="1">
        <v>1</v>
      </c>
      <c r="K89" s="1">
        <f t="shared" si="4"/>
        <v>1377</v>
      </c>
      <c r="L89" s="6"/>
      <c r="M89" s="6">
        <f t="shared" si="5"/>
        <v>0</v>
      </c>
      <c r="N89" s="6">
        <f t="shared" si="6"/>
        <v>7803</v>
      </c>
      <c r="O89" s="8">
        <f t="shared" si="7"/>
        <v>0.85</v>
      </c>
    </row>
    <row r="90" spans="1:26" ht="17" customHeight="1">
      <c r="A90" s="10" t="s">
        <v>1038</v>
      </c>
      <c r="B90" s="10" t="s">
        <v>133</v>
      </c>
      <c r="C90" s="10" t="s">
        <v>1039</v>
      </c>
      <c r="D90" s="10" t="s">
        <v>1040</v>
      </c>
      <c r="E90" s="10" t="s">
        <v>1041</v>
      </c>
      <c r="F90" s="10"/>
      <c r="G90" s="10">
        <v>8980</v>
      </c>
      <c r="H90" s="10">
        <v>1</v>
      </c>
      <c r="I90" s="10">
        <v>8980</v>
      </c>
      <c r="J90" s="10">
        <v>1</v>
      </c>
      <c r="K90" s="10">
        <f t="shared" si="4"/>
        <v>1347</v>
      </c>
      <c r="L90" s="12">
        <v>5990</v>
      </c>
      <c r="M90" s="12">
        <f t="shared" si="5"/>
        <v>5990</v>
      </c>
      <c r="N90" s="12">
        <f t="shared" si="6"/>
        <v>1643</v>
      </c>
      <c r="O90" s="13">
        <f t="shared" si="7"/>
        <v>0.18296213808463252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7" customHeight="1">
      <c r="A91" s="10" t="s">
        <v>1038</v>
      </c>
      <c r="B91" s="10" t="s">
        <v>212</v>
      </c>
      <c r="C91" s="10" t="s">
        <v>1039</v>
      </c>
      <c r="D91" s="10" t="s">
        <v>1040</v>
      </c>
      <c r="E91" s="10" t="s">
        <v>1042</v>
      </c>
      <c r="F91" s="10"/>
      <c r="G91" s="10">
        <v>8980</v>
      </c>
      <c r="H91" s="10">
        <v>1</v>
      </c>
      <c r="I91" s="10">
        <v>8980</v>
      </c>
      <c r="J91" s="10">
        <v>1</v>
      </c>
      <c r="K91" s="10">
        <f t="shared" si="4"/>
        <v>1347</v>
      </c>
      <c r="L91" s="12">
        <v>5990</v>
      </c>
      <c r="M91" s="12">
        <f t="shared" si="5"/>
        <v>5990</v>
      </c>
      <c r="N91" s="12">
        <f t="shared" si="6"/>
        <v>1643</v>
      </c>
      <c r="O91" s="13">
        <f t="shared" si="7"/>
        <v>0.18296213808463252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0" customHeight="1">
      <c r="A92" s="1" t="s">
        <v>1043</v>
      </c>
      <c r="C92" s="1" t="s">
        <v>1044</v>
      </c>
      <c r="D92" s="1" t="s">
        <v>1045</v>
      </c>
      <c r="E92" s="5"/>
      <c r="F92" s="5"/>
      <c r="G92" s="1">
        <v>1280</v>
      </c>
      <c r="H92" s="1">
        <v>7</v>
      </c>
      <c r="I92" s="1">
        <v>8960</v>
      </c>
      <c r="J92" s="1">
        <v>6</v>
      </c>
      <c r="K92" s="1">
        <f t="shared" si="4"/>
        <v>1344</v>
      </c>
      <c r="L92" s="6">
        <v>783</v>
      </c>
      <c r="M92" s="6">
        <f t="shared" si="5"/>
        <v>5481</v>
      </c>
      <c r="N92" s="6">
        <f t="shared" si="6"/>
        <v>2135</v>
      </c>
      <c r="O92" s="8">
        <f t="shared" si="7"/>
        <v>0.23828125</v>
      </c>
    </row>
    <row r="93" spans="1:26" ht="20" customHeight="1">
      <c r="A93" s="10" t="s">
        <v>1046</v>
      </c>
      <c r="B93" s="10"/>
      <c r="C93" s="10" t="s">
        <v>205</v>
      </c>
      <c r="D93" s="10" t="s">
        <v>1047</v>
      </c>
      <c r="E93" s="10"/>
      <c r="F93" s="11"/>
      <c r="G93" s="10">
        <v>2980</v>
      </c>
      <c r="H93" s="10">
        <v>3</v>
      </c>
      <c r="I93" s="10">
        <v>8940</v>
      </c>
      <c r="J93" s="10">
        <v>2</v>
      </c>
      <c r="K93" s="10">
        <f t="shared" si="4"/>
        <v>1341</v>
      </c>
      <c r="L93" s="12">
        <v>1182</v>
      </c>
      <c r="M93" s="12">
        <f t="shared" si="5"/>
        <v>3546</v>
      </c>
      <c r="N93" s="12">
        <f t="shared" si="6"/>
        <v>4053</v>
      </c>
      <c r="O93" s="13">
        <f t="shared" si="7"/>
        <v>0.45335570469798658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0" customHeight="1">
      <c r="A94" s="1" t="s">
        <v>1048</v>
      </c>
      <c r="C94" s="1" t="s">
        <v>1049</v>
      </c>
      <c r="D94" s="1" t="s">
        <v>1050</v>
      </c>
      <c r="E94" s="5"/>
      <c r="F94" s="5"/>
      <c r="G94" s="1">
        <v>2980</v>
      </c>
      <c r="H94" s="1">
        <v>3</v>
      </c>
      <c r="I94" s="1">
        <v>8940</v>
      </c>
      <c r="J94" s="1">
        <v>1</v>
      </c>
      <c r="K94" s="1">
        <f t="shared" si="4"/>
        <v>1341</v>
      </c>
      <c r="L94" s="6">
        <v>1650</v>
      </c>
      <c r="M94" s="6">
        <f t="shared" si="5"/>
        <v>4950</v>
      </c>
      <c r="N94" s="6">
        <f t="shared" si="6"/>
        <v>2649</v>
      </c>
      <c r="O94" s="8">
        <f t="shared" si="7"/>
        <v>0.29630872483221476</v>
      </c>
    </row>
    <row r="95" spans="1:26" ht="20" customHeight="1">
      <c r="A95" s="1" t="s">
        <v>402</v>
      </c>
      <c r="C95" s="1" t="s">
        <v>403</v>
      </c>
      <c r="D95" s="1" t="s">
        <v>569</v>
      </c>
      <c r="E95" s="5"/>
      <c r="F95" s="5"/>
      <c r="G95" s="1">
        <v>2980</v>
      </c>
      <c r="H95" s="1">
        <v>3</v>
      </c>
      <c r="I95" s="1">
        <v>8940</v>
      </c>
      <c r="J95" s="1">
        <v>2</v>
      </c>
      <c r="K95" s="1">
        <f t="shared" si="4"/>
        <v>1341</v>
      </c>
      <c r="L95" s="6">
        <v>2172</v>
      </c>
      <c r="M95" s="6">
        <f t="shared" si="5"/>
        <v>6516</v>
      </c>
      <c r="N95" s="6">
        <f t="shared" si="6"/>
        <v>1083</v>
      </c>
      <c r="O95" s="8">
        <f t="shared" si="7"/>
        <v>0.12114093959731544</v>
      </c>
    </row>
    <row r="96" spans="1:26" ht="20" customHeight="1">
      <c r="A96" s="1" t="s">
        <v>261</v>
      </c>
      <c r="C96" s="1" t="s">
        <v>262</v>
      </c>
      <c r="D96" s="1">
        <v>1782</v>
      </c>
      <c r="E96" s="5"/>
      <c r="F96" s="5"/>
      <c r="G96" s="1">
        <v>2980</v>
      </c>
      <c r="H96" s="1">
        <v>3</v>
      </c>
      <c r="I96" s="1">
        <v>8940</v>
      </c>
      <c r="J96" s="1">
        <v>2</v>
      </c>
      <c r="K96" s="1">
        <f t="shared" si="4"/>
        <v>1341</v>
      </c>
      <c r="L96" s="6">
        <v>1980</v>
      </c>
      <c r="M96" s="6">
        <f t="shared" si="5"/>
        <v>5940</v>
      </c>
      <c r="N96" s="6">
        <f t="shared" si="6"/>
        <v>1659</v>
      </c>
      <c r="O96" s="8">
        <f t="shared" si="7"/>
        <v>0.18557046979865771</v>
      </c>
    </row>
    <row r="97" spans="1:26" ht="20" customHeight="1">
      <c r="A97" s="1" t="s">
        <v>1051</v>
      </c>
      <c r="C97" s="1" t="s">
        <v>1052</v>
      </c>
      <c r="D97" s="1">
        <v>9524</v>
      </c>
      <c r="E97" s="5"/>
      <c r="F97" s="5"/>
      <c r="G97" s="1">
        <v>2980</v>
      </c>
      <c r="H97" s="1">
        <v>3</v>
      </c>
      <c r="I97" s="1">
        <v>8940</v>
      </c>
      <c r="J97" s="1">
        <v>3</v>
      </c>
      <c r="K97" s="1">
        <f t="shared" si="4"/>
        <v>1341</v>
      </c>
      <c r="L97" s="6"/>
      <c r="M97" s="6">
        <f t="shared" si="5"/>
        <v>0</v>
      </c>
      <c r="N97" s="6">
        <f t="shared" si="6"/>
        <v>7599</v>
      </c>
      <c r="O97" s="8">
        <f t="shared" si="7"/>
        <v>0.85</v>
      </c>
    </row>
    <row r="98" spans="1:26" ht="20" customHeight="1">
      <c r="A98" s="1" t="s">
        <v>1053</v>
      </c>
      <c r="C98" s="1" t="s">
        <v>1054</v>
      </c>
      <c r="D98" s="1" t="s">
        <v>1055</v>
      </c>
      <c r="F98" s="5"/>
      <c r="G98" s="1">
        <v>2230</v>
      </c>
      <c r="H98" s="1">
        <v>4</v>
      </c>
      <c r="I98" s="1">
        <v>8920</v>
      </c>
      <c r="J98" s="1">
        <v>4</v>
      </c>
      <c r="K98" s="1">
        <f t="shared" si="4"/>
        <v>1338</v>
      </c>
      <c r="L98" s="6">
        <v>950</v>
      </c>
      <c r="M98" s="6">
        <f t="shared" si="5"/>
        <v>3800</v>
      </c>
      <c r="N98" s="6">
        <f t="shared" si="6"/>
        <v>3782</v>
      </c>
      <c r="O98" s="8">
        <f t="shared" si="7"/>
        <v>0.42399103139013455</v>
      </c>
    </row>
    <row r="99" spans="1:26" ht="17" customHeight="1">
      <c r="A99" s="1" t="s">
        <v>651</v>
      </c>
      <c r="B99" s="1" t="s">
        <v>1056</v>
      </c>
      <c r="C99" s="1" t="s">
        <v>653</v>
      </c>
      <c r="D99" s="9">
        <v>6.2111481480589895E+20</v>
      </c>
      <c r="E99" s="1" t="s">
        <v>1057</v>
      </c>
      <c r="G99" s="1">
        <v>2180</v>
      </c>
      <c r="H99" s="1">
        <v>4</v>
      </c>
      <c r="I99" s="1">
        <v>8720</v>
      </c>
      <c r="J99" s="1">
        <v>4</v>
      </c>
      <c r="K99" s="1">
        <f t="shared" si="4"/>
        <v>1308</v>
      </c>
      <c r="L99" s="6">
        <v>1140</v>
      </c>
      <c r="M99" s="6">
        <f t="shared" si="5"/>
        <v>4560</v>
      </c>
      <c r="N99" s="6">
        <f t="shared" si="6"/>
        <v>2852</v>
      </c>
      <c r="O99" s="8">
        <f t="shared" si="7"/>
        <v>0.32706422018348624</v>
      </c>
    </row>
    <row r="100" spans="1:26" ht="20" customHeight="1">
      <c r="A100" s="10" t="s">
        <v>480</v>
      </c>
      <c r="B100" s="10"/>
      <c r="C100" s="10" t="s">
        <v>481</v>
      </c>
      <c r="D100" s="10" t="s">
        <v>1058</v>
      </c>
      <c r="E100" s="11"/>
      <c r="F100" s="11"/>
      <c r="G100" s="10">
        <v>2180</v>
      </c>
      <c r="H100" s="10">
        <v>4</v>
      </c>
      <c r="I100" s="10">
        <v>8720</v>
      </c>
      <c r="J100" s="10">
        <v>4</v>
      </c>
      <c r="K100" s="10">
        <f t="shared" si="4"/>
        <v>1308</v>
      </c>
      <c r="L100" s="12">
        <v>1429</v>
      </c>
      <c r="M100" s="12">
        <f t="shared" si="5"/>
        <v>5716</v>
      </c>
      <c r="N100" s="12">
        <f t="shared" si="6"/>
        <v>1696</v>
      </c>
      <c r="O100" s="13">
        <f t="shared" si="7"/>
        <v>0.19449541284403671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7" customHeight="1">
      <c r="A101" s="1" t="s">
        <v>52</v>
      </c>
      <c r="B101" s="1" t="s">
        <v>1059</v>
      </c>
      <c r="C101" s="1" t="s">
        <v>54</v>
      </c>
      <c r="D101" s="1" t="s">
        <v>55</v>
      </c>
      <c r="E101" s="1" t="s">
        <v>1060</v>
      </c>
      <c r="G101" s="1">
        <v>8490</v>
      </c>
      <c r="H101" s="1">
        <v>1</v>
      </c>
      <c r="I101" s="1">
        <v>8490</v>
      </c>
      <c r="J101" s="1">
        <v>1</v>
      </c>
      <c r="K101" s="1">
        <f t="shared" si="4"/>
        <v>1273.5</v>
      </c>
      <c r="L101" s="6">
        <v>6390</v>
      </c>
      <c r="M101" s="6">
        <f t="shared" si="5"/>
        <v>6390</v>
      </c>
      <c r="N101" s="6">
        <f t="shared" si="6"/>
        <v>826.5</v>
      </c>
      <c r="O101" s="8">
        <f t="shared" si="7"/>
        <v>9.7349823321554771E-2</v>
      </c>
    </row>
    <row r="102" spans="1:26" ht="20" customHeight="1">
      <c r="A102" s="10" t="s">
        <v>1061</v>
      </c>
      <c r="B102" s="10"/>
      <c r="C102" s="10" t="s">
        <v>670</v>
      </c>
      <c r="D102" s="10">
        <v>1760</v>
      </c>
      <c r="E102" s="11"/>
      <c r="F102" s="11"/>
      <c r="G102" s="10">
        <v>2780</v>
      </c>
      <c r="H102" s="10">
        <v>3</v>
      </c>
      <c r="I102" s="10">
        <v>8340</v>
      </c>
      <c r="J102" s="10">
        <v>2</v>
      </c>
      <c r="K102" s="10">
        <f t="shared" si="4"/>
        <v>1251</v>
      </c>
      <c r="L102" s="12">
        <v>1584</v>
      </c>
      <c r="M102" s="12">
        <f t="shared" si="5"/>
        <v>4752</v>
      </c>
      <c r="N102" s="12">
        <f t="shared" si="6"/>
        <v>2337</v>
      </c>
      <c r="O102" s="13">
        <f t="shared" si="7"/>
        <v>0.2802158273381295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7" customHeight="1">
      <c r="A103" s="1" t="s">
        <v>1062</v>
      </c>
      <c r="C103" s="1">
        <v>4550391811830</v>
      </c>
      <c r="D103" s="1" t="s">
        <v>1063</v>
      </c>
      <c r="G103" s="1">
        <v>7980</v>
      </c>
      <c r="H103" s="1">
        <v>1</v>
      </c>
      <c r="I103" s="1">
        <v>7980</v>
      </c>
      <c r="J103" s="1">
        <v>1</v>
      </c>
      <c r="K103" s="1">
        <f t="shared" si="4"/>
        <v>1197</v>
      </c>
      <c r="L103" s="6">
        <v>1110</v>
      </c>
      <c r="M103" s="6">
        <f t="shared" si="5"/>
        <v>1110</v>
      </c>
      <c r="N103" s="6">
        <f t="shared" si="6"/>
        <v>5673</v>
      </c>
      <c r="O103" s="8">
        <f t="shared" si="7"/>
        <v>0.7109022556390977</v>
      </c>
    </row>
    <row r="104" spans="1:26" ht="20" customHeight="1">
      <c r="A104" s="1" t="s">
        <v>1064</v>
      </c>
      <c r="C104" s="1" t="s">
        <v>1065</v>
      </c>
      <c r="D104" s="1" t="s">
        <v>1066</v>
      </c>
      <c r="E104" s="5"/>
      <c r="F104" s="5"/>
      <c r="G104" s="1">
        <v>3980</v>
      </c>
      <c r="H104" s="1">
        <v>2</v>
      </c>
      <c r="I104" s="1">
        <v>7960</v>
      </c>
      <c r="J104" s="1">
        <v>2</v>
      </c>
      <c r="K104" s="1">
        <f t="shared" si="4"/>
        <v>1194</v>
      </c>
      <c r="L104" s="6">
        <v>2915</v>
      </c>
      <c r="M104" s="6">
        <f t="shared" si="5"/>
        <v>5830</v>
      </c>
      <c r="N104" s="6">
        <f t="shared" si="6"/>
        <v>936</v>
      </c>
      <c r="O104" s="8">
        <f t="shared" si="7"/>
        <v>0.11758793969849246</v>
      </c>
    </row>
    <row r="105" spans="1:26" ht="20" customHeight="1">
      <c r="A105" s="1" t="s">
        <v>1067</v>
      </c>
      <c r="C105" s="1" t="s">
        <v>1068</v>
      </c>
      <c r="D105" s="1" t="s">
        <v>1069</v>
      </c>
      <c r="F105" s="5"/>
      <c r="G105" s="1">
        <v>1980</v>
      </c>
      <c r="H105" s="1">
        <v>4</v>
      </c>
      <c r="I105" s="1">
        <v>7920</v>
      </c>
      <c r="J105" s="1">
        <v>2</v>
      </c>
      <c r="K105" s="1">
        <f t="shared" si="4"/>
        <v>1188</v>
      </c>
      <c r="L105" s="6">
        <v>950</v>
      </c>
      <c r="M105" s="6">
        <f t="shared" si="5"/>
        <v>3800</v>
      </c>
      <c r="N105" s="6">
        <f t="shared" si="6"/>
        <v>2932</v>
      </c>
      <c r="O105" s="8">
        <f t="shared" si="7"/>
        <v>0.3702020202020202</v>
      </c>
    </row>
    <row r="106" spans="1:26" ht="20" customHeight="1">
      <c r="A106" s="1" t="s">
        <v>753</v>
      </c>
      <c r="C106" s="1" t="s">
        <v>754</v>
      </c>
      <c r="D106" s="1" t="s">
        <v>1070</v>
      </c>
      <c r="E106" s="5"/>
      <c r="F106" s="5"/>
      <c r="G106" s="1">
        <v>1580</v>
      </c>
      <c r="H106" s="1">
        <v>5</v>
      </c>
      <c r="I106" s="1">
        <v>7900</v>
      </c>
      <c r="J106" s="1">
        <v>2</v>
      </c>
      <c r="K106" s="1">
        <f t="shared" si="4"/>
        <v>1185</v>
      </c>
      <c r="L106" s="6">
        <v>660</v>
      </c>
      <c r="M106" s="6">
        <f t="shared" si="5"/>
        <v>3300</v>
      </c>
      <c r="N106" s="6">
        <f t="shared" si="6"/>
        <v>3415</v>
      </c>
      <c r="O106" s="8">
        <f t="shared" si="7"/>
        <v>0.43227848101265826</v>
      </c>
    </row>
    <row r="107" spans="1:26" ht="20" customHeight="1">
      <c r="A107" s="1" t="s">
        <v>770</v>
      </c>
      <c r="C107" s="1" t="s">
        <v>771</v>
      </c>
      <c r="D107" s="1" t="s">
        <v>1071</v>
      </c>
      <c r="E107" s="5"/>
      <c r="F107" s="5"/>
      <c r="G107" s="1">
        <v>1560</v>
      </c>
      <c r="H107" s="1">
        <v>5</v>
      </c>
      <c r="I107" s="1">
        <v>7800</v>
      </c>
      <c r="J107" s="1">
        <v>2</v>
      </c>
      <c r="K107" s="1">
        <f t="shared" si="4"/>
        <v>1170</v>
      </c>
      <c r="L107" s="6">
        <v>347</v>
      </c>
      <c r="M107" s="6">
        <f t="shared" si="5"/>
        <v>1735</v>
      </c>
      <c r="N107" s="6">
        <f t="shared" si="6"/>
        <v>4895</v>
      </c>
      <c r="O107" s="8">
        <f t="shared" si="7"/>
        <v>0.62756410256410255</v>
      </c>
    </row>
    <row r="108" spans="1:26" ht="20" customHeight="1">
      <c r="A108" s="10" t="s">
        <v>1072</v>
      </c>
      <c r="B108" s="10"/>
      <c r="C108" s="10" t="s">
        <v>1073</v>
      </c>
      <c r="D108" s="10" t="s">
        <v>1074</v>
      </c>
      <c r="E108" s="11"/>
      <c r="F108" s="11"/>
      <c r="G108" s="10">
        <v>2580</v>
      </c>
      <c r="H108" s="10">
        <v>3</v>
      </c>
      <c r="I108" s="10">
        <v>7740</v>
      </c>
      <c r="J108" s="10">
        <v>2</v>
      </c>
      <c r="K108" s="10">
        <f t="shared" si="4"/>
        <v>1161</v>
      </c>
      <c r="L108" s="12">
        <v>1584</v>
      </c>
      <c r="M108" s="12">
        <f t="shared" si="5"/>
        <v>4752</v>
      </c>
      <c r="N108" s="12">
        <f t="shared" si="6"/>
        <v>1827</v>
      </c>
      <c r="O108" s="13">
        <f t="shared" si="7"/>
        <v>0.23604651162790696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0" customHeight="1">
      <c r="A109" s="1" t="s">
        <v>362</v>
      </c>
      <c r="C109" s="1" t="s">
        <v>363</v>
      </c>
      <c r="D109" s="1" t="s">
        <v>1075</v>
      </c>
      <c r="E109" s="5"/>
      <c r="F109" s="5"/>
      <c r="G109" s="1">
        <v>3780</v>
      </c>
      <c r="H109" s="1">
        <v>2</v>
      </c>
      <c r="I109" s="1">
        <v>7560</v>
      </c>
      <c r="J109" s="1">
        <v>2</v>
      </c>
      <c r="K109" s="1">
        <f t="shared" si="4"/>
        <v>1134</v>
      </c>
      <c r="L109" s="6">
        <v>1380</v>
      </c>
      <c r="M109" s="6">
        <f t="shared" si="5"/>
        <v>2760</v>
      </c>
      <c r="N109" s="6">
        <f t="shared" si="6"/>
        <v>3666</v>
      </c>
      <c r="O109" s="8">
        <f t="shared" si="7"/>
        <v>0.48492063492063492</v>
      </c>
    </row>
    <row r="110" spans="1:26" ht="20" customHeight="1">
      <c r="A110" s="1" t="s">
        <v>1076</v>
      </c>
      <c r="C110" s="1" t="s">
        <v>117</v>
      </c>
      <c r="D110" s="1">
        <v>358</v>
      </c>
      <c r="E110" s="5"/>
      <c r="F110" s="5"/>
      <c r="G110" s="1">
        <v>2480</v>
      </c>
      <c r="H110" s="1">
        <v>3</v>
      </c>
      <c r="I110" s="1">
        <v>7440</v>
      </c>
      <c r="J110" s="1">
        <v>3</v>
      </c>
      <c r="K110" s="1">
        <f t="shared" si="4"/>
        <v>1116</v>
      </c>
      <c r="L110" s="6">
        <v>358</v>
      </c>
      <c r="M110" s="6">
        <f t="shared" si="5"/>
        <v>1074</v>
      </c>
      <c r="N110" s="6">
        <f t="shared" si="6"/>
        <v>5250</v>
      </c>
      <c r="O110" s="8">
        <f t="shared" si="7"/>
        <v>0.70564516129032262</v>
      </c>
    </row>
    <row r="111" spans="1:26" ht="20" customHeight="1">
      <c r="A111" s="1" t="s">
        <v>815</v>
      </c>
      <c r="C111" s="1" t="s">
        <v>816</v>
      </c>
      <c r="D111" s="1" t="s">
        <v>1077</v>
      </c>
      <c r="E111" s="5"/>
      <c r="F111" s="5"/>
      <c r="G111" s="1">
        <v>1480</v>
      </c>
      <c r="H111" s="1">
        <v>5</v>
      </c>
      <c r="I111" s="1">
        <v>7400</v>
      </c>
      <c r="J111" s="1">
        <v>2</v>
      </c>
      <c r="K111" s="1">
        <f t="shared" si="4"/>
        <v>1110</v>
      </c>
      <c r="L111" s="6">
        <v>660</v>
      </c>
      <c r="M111" s="6">
        <f t="shared" si="5"/>
        <v>3300</v>
      </c>
      <c r="N111" s="6">
        <f t="shared" si="6"/>
        <v>2990</v>
      </c>
      <c r="O111" s="8">
        <f t="shared" si="7"/>
        <v>0.40405405405405403</v>
      </c>
    </row>
    <row r="112" spans="1:26" ht="20" customHeight="1">
      <c r="A112" s="1" t="s">
        <v>102</v>
      </c>
      <c r="C112" s="1" t="s">
        <v>103</v>
      </c>
      <c r="D112" s="1" t="s">
        <v>1078</v>
      </c>
      <c r="E112" s="5"/>
      <c r="F112" s="5"/>
      <c r="G112" s="1">
        <v>999</v>
      </c>
      <c r="H112" s="1">
        <v>7</v>
      </c>
      <c r="I112" s="1">
        <v>6993</v>
      </c>
      <c r="J112" s="1">
        <v>5</v>
      </c>
      <c r="K112" s="1">
        <f t="shared" si="4"/>
        <v>1048.95</v>
      </c>
      <c r="L112" s="6">
        <v>396</v>
      </c>
      <c r="M112" s="6">
        <f t="shared" si="5"/>
        <v>2772</v>
      </c>
      <c r="N112" s="6">
        <f t="shared" si="6"/>
        <v>3172.05</v>
      </c>
      <c r="O112" s="8">
        <f t="shared" si="7"/>
        <v>0.45360360360360363</v>
      </c>
    </row>
    <row r="113" spans="1:26" ht="20" customHeight="1">
      <c r="A113" s="10" t="s">
        <v>1079</v>
      </c>
      <c r="B113" s="10"/>
      <c r="C113" s="10" t="s">
        <v>1080</v>
      </c>
      <c r="D113" s="10" t="s">
        <v>1081</v>
      </c>
      <c r="E113" s="11"/>
      <c r="F113" s="11"/>
      <c r="G113" s="10">
        <v>3480</v>
      </c>
      <c r="H113" s="10">
        <v>2</v>
      </c>
      <c r="I113" s="10">
        <v>6960</v>
      </c>
      <c r="J113" s="10">
        <v>2</v>
      </c>
      <c r="K113" s="10">
        <f t="shared" si="4"/>
        <v>1044</v>
      </c>
      <c r="L113" s="12">
        <v>1892</v>
      </c>
      <c r="M113" s="12">
        <f t="shared" si="5"/>
        <v>3784</v>
      </c>
      <c r="N113" s="12">
        <f t="shared" si="6"/>
        <v>2132</v>
      </c>
      <c r="O113" s="13">
        <f t="shared" si="7"/>
        <v>0.30632183908045979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7" customHeight="1">
      <c r="A114" s="10" t="s">
        <v>1082</v>
      </c>
      <c r="B114" s="10"/>
      <c r="C114" s="10" t="s">
        <v>303</v>
      </c>
      <c r="D114" s="10" t="s">
        <v>1083</v>
      </c>
      <c r="E114" s="10"/>
      <c r="F114" s="10"/>
      <c r="G114" s="10">
        <v>2280</v>
      </c>
      <c r="H114" s="10">
        <v>3</v>
      </c>
      <c r="I114" s="10">
        <v>6840</v>
      </c>
      <c r="J114" s="10">
        <v>3</v>
      </c>
      <c r="K114" s="10">
        <f t="shared" si="4"/>
        <v>1026</v>
      </c>
      <c r="L114" s="12">
        <v>1220</v>
      </c>
      <c r="M114" s="12">
        <f t="shared" si="5"/>
        <v>3660</v>
      </c>
      <c r="N114" s="12">
        <f t="shared" si="6"/>
        <v>2154</v>
      </c>
      <c r="O114" s="13">
        <f t="shared" si="7"/>
        <v>0.31491228070175437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7" customHeight="1">
      <c r="A115" s="1" t="s">
        <v>1084</v>
      </c>
      <c r="B115" s="1" t="s">
        <v>1085</v>
      </c>
      <c r="C115" s="1">
        <v>3264680009761</v>
      </c>
      <c r="D115" s="9">
        <v>976143829785</v>
      </c>
      <c r="E115" s="1" t="s">
        <v>1086</v>
      </c>
      <c r="G115" s="1">
        <v>3380</v>
      </c>
      <c r="H115" s="1">
        <v>2</v>
      </c>
      <c r="I115" s="1">
        <v>6760</v>
      </c>
      <c r="J115" s="1">
        <v>2</v>
      </c>
      <c r="K115" s="1">
        <f t="shared" si="4"/>
        <v>1014</v>
      </c>
      <c r="L115" s="6"/>
      <c r="M115" s="6">
        <f t="shared" si="5"/>
        <v>0</v>
      </c>
      <c r="N115" s="6">
        <f t="shared" si="6"/>
        <v>5746</v>
      </c>
      <c r="O115" s="8">
        <f t="shared" si="7"/>
        <v>0.85</v>
      </c>
    </row>
    <row r="116" spans="1:26" ht="17" customHeight="1">
      <c r="A116" s="1" t="s">
        <v>1084</v>
      </c>
      <c r="B116" s="1" t="s">
        <v>1087</v>
      </c>
      <c r="C116" s="1">
        <v>3264680009761</v>
      </c>
      <c r="D116" s="9">
        <v>976143829785</v>
      </c>
      <c r="E116" s="1" t="s">
        <v>1088</v>
      </c>
      <c r="G116" s="1">
        <v>6760</v>
      </c>
      <c r="H116" s="1">
        <v>1</v>
      </c>
      <c r="I116" s="1">
        <v>6760</v>
      </c>
      <c r="J116" s="1">
        <v>1</v>
      </c>
      <c r="K116" s="1">
        <f t="shared" si="4"/>
        <v>1014</v>
      </c>
      <c r="L116" s="6"/>
      <c r="M116" s="6">
        <f t="shared" si="5"/>
        <v>0</v>
      </c>
      <c r="N116" s="6">
        <f t="shared" si="6"/>
        <v>5746</v>
      </c>
      <c r="O116" s="8">
        <f t="shared" si="7"/>
        <v>0.85</v>
      </c>
    </row>
    <row r="117" spans="1:26" ht="20" customHeight="1">
      <c r="A117" s="1" t="s">
        <v>1089</v>
      </c>
      <c r="C117" s="1" t="s">
        <v>1090</v>
      </c>
      <c r="D117" s="1" t="s">
        <v>1091</v>
      </c>
      <c r="E117" s="5"/>
      <c r="F117" s="5"/>
      <c r="G117" s="1">
        <v>3280</v>
      </c>
      <c r="H117" s="1">
        <v>2</v>
      </c>
      <c r="I117" s="1">
        <v>6560</v>
      </c>
      <c r="J117" s="1">
        <v>1</v>
      </c>
      <c r="K117" s="1">
        <f t="shared" si="4"/>
        <v>984</v>
      </c>
      <c r="L117" s="6">
        <v>1660</v>
      </c>
      <c r="M117" s="6">
        <f t="shared" si="5"/>
        <v>3320</v>
      </c>
      <c r="N117" s="6">
        <f t="shared" si="6"/>
        <v>2256</v>
      </c>
      <c r="O117" s="8">
        <f t="shared" si="7"/>
        <v>0.34390243902439022</v>
      </c>
    </row>
    <row r="118" spans="1:26" ht="20" customHeight="1">
      <c r="A118" s="10" t="s">
        <v>1092</v>
      </c>
      <c r="B118" s="10"/>
      <c r="C118" s="10" t="s">
        <v>1093</v>
      </c>
      <c r="D118" s="10" t="s">
        <v>1094</v>
      </c>
      <c r="E118" s="10"/>
      <c r="F118" s="11"/>
      <c r="G118" s="10">
        <v>3280</v>
      </c>
      <c r="H118" s="10">
        <v>2</v>
      </c>
      <c r="I118" s="10">
        <v>6560</v>
      </c>
      <c r="J118" s="10">
        <v>2</v>
      </c>
      <c r="K118" s="10">
        <f t="shared" si="4"/>
        <v>984</v>
      </c>
      <c r="L118" s="12">
        <v>1356</v>
      </c>
      <c r="M118" s="12">
        <f t="shared" si="5"/>
        <v>2712</v>
      </c>
      <c r="N118" s="12">
        <f t="shared" si="6"/>
        <v>2864</v>
      </c>
      <c r="O118" s="13">
        <f t="shared" si="7"/>
        <v>0.43658536585365854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0" customHeight="1">
      <c r="A119" s="1" t="s">
        <v>376</v>
      </c>
      <c r="C119" s="1" t="s">
        <v>377</v>
      </c>
      <c r="D119" s="1" t="s">
        <v>378</v>
      </c>
      <c r="E119" s="5"/>
      <c r="F119" s="5"/>
      <c r="G119" s="1">
        <v>6480</v>
      </c>
      <c r="H119" s="1">
        <v>1</v>
      </c>
      <c r="I119" s="1">
        <v>6480</v>
      </c>
      <c r="J119" s="1">
        <v>1</v>
      </c>
      <c r="K119" s="1">
        <f t="shared" si="4"/>
        <v>972</v>
      </c>
      <c r="L119" s="6">
        <v>2499</v>
      </c>
      <c r="M119" s="6">
        <f t="shared" si="5"/>
        <v>2499</v>
      </c>
      <c r="N119" s="6">
        <f t="shared" si="6"/>
        <v>3009</v>
      </c>
      <c r="O119" s="8">
        <f t="shared" si="7"/>
        <v>0.46435185185185185</v>
      </c>
    </row>
    <row r="120" spans="1:26" ht="20" customHeight="1">
      <c r="A120" s="10" t="s">
        <v>1095</v>
      </c>
      <c r="B120" s="10"/>
      <c r="C120" s="10" t="s">
        <v>584</v>
      </c>
      <c r="D120" s="10" t="s">
        <v>1096</v>
      </c>
      <c r="E120" s="11"/>
      <c r="F120" s="11"/>
      <c r="G120" s="10">
        <v>1580</v>
      </c>
      <c r="H120" s="10">
        <v>4</v>
      </c>
      <c r="I120" s="10">
        <v>6320</v>
      </c>
      <c r="J120" s="10">
        <v>4</v>
      </c>
      <c r="K120" s="10">
        <f t="shared" si="4"/>
        <v>948</v>
      </c>
      <c r="L120" s="12">
        <v>648</v>
      </c>
      <c r="M120" s="12">
        <f t="shared" si="5"/>
        <v>2592</v>
      </c>
      <c r="N120" s="12">
        <f t="shared" si="6"/>
        <v>2780</v>
      </c>
      <c r="O120" s="13">
        <f t="shared" si="7"/>
        <v>0.439873417721519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0" customHeight="1">
      <c r="A121" s="1" t="s">
        <v>1097</v>
      </c>
      <c r="C121" s="1" t="s">
        <v>1098</v>
      </c>
      <c r="D121" s="1" t="s">
        <v>1099</v>
      </c>
      <c r="E121" s="5"/>
      <c r="F121" s="5"/>
      <c r="G121" s="1">
        <v>1580</v>
      </c>
      <c r="H121" s="1">
        <v>4</v>
      </c>
      <c r="I121" s="1">
        <v>6320</v>
      </c>
      <c r="J121" s="1">
        <v>1</v>
      </c>
      <c r="K121" s="1">
        <f t="shared" si="4"/>
        <v>948</v>
      </c>
      <c r="L121" s="6">
        <v>768</v>
      </c>
      <c r="M121" s="6">
        <f t="shared" si="5"/>
        <v>3072</v>
      </c>
      <c r="N121" s="6">
        <f t="shared" si="6"/>
        <v>2300</v>
      </c>
      <c r="O121" s="8">
        <f t="shared" si="7"/>
        <v>0.36392405063291139</v>
      </c>
    </row>
    <row r="122" spans="1:26" ht="20" customHeight="1">
      <c r="A122" s="10" t="s">
        <v>1100</v>
      </c>
      <c r="B122" s="10"/>
      <c r="C122" s="10" t="s">
        <v>170</v>
      </c>
      <c r="D122" s="10" t="s">
        <v>1101</v>
      </c>
      <c r="E122" s="10"/>
      <c r="F122" s="11"/>
      <c r="G122" s="10">
        <v>1580</v>
      </c>
      <c r="H122" s="10">
        <v>4</v>
      </c>
      <c r="I122" s="10">
        <v>6320</v>
      </c>
      <c r="J122" s="10">
        <v>3</v>
      </c>
      <c r="K122" s="10">
        <f t="shared" si="4"/>
        <v>948</v>
      </c>
      <c r="L122" s="12">
        <v>648</v>
      </c>
      <c r="M122" s="12">
        <f t="shared" si="5"/>
        <v>2592</v>
      </c>
      <c r="N122" s="12">
        <f t="shared" si="6"/>
        <v>2780</v>
      </c>
      <c r="O122" s="13">
        <f t="shared" si="7"/>
        <v>0.439873417721519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0" customHeight="1">
      <c r="A123" s="1" t="s">
        <v>740</v>
      </c>
      <c r="C123" s="1" t="s">
        <v>741</v>
      </c>
      <c r="D123" s="1" t="s">
        <v>1102</v>
      </c>
      <c r="E123" s="5"/>
      <c r="F123" s="5"/>
      <c r="G123" s="1">
        <v>2080</v>
      </c>
      <c r="H123" s="1">
        <v>3</v>
      </c>
      <c r="I123" s="1">
        <v>6240</v>
      </c>
      <c r="J123" s="1">
        <v>3</v>
      </c>
      <c r="K123" s="1">
        <f t="shared" si="4"/>
        <v>936</v>
      </c>
      <c r="L123" s="6">
        <v>1319</v>
      </c>
      <c r="M123" s="6">
        <f t="shared" si="5"/>
        <v>3957</v>
      </c>
      <c r="N123" s="6">
        <f t="shared" si="6"/>
        <v>1347</v>
      </c>
      <c r="O123" s="8">
        <f t="shared" si="7"/>
        <v>0.21586538461538463</v>
      </c>
    </row>
    <row r="124" spans="1:26" ht="17" customHeight="1">
      <c r="A124" s="1" t="s">
        <v>1103</v>
      </c>
      <c r="B124" s="1" t="s">
        <v>1104</v>
      </c>
      <c r="C124" s="1" t="s">
        <v>1105</v>
      </c>
      <c r="D124" s="1" t="s">
        <v>1106</v>
      </c>
      <c r="E124" s="1" t="s">
        <v>1107</v>
      </c>
      <c r="G124" s="1">
        <v>5980</v>
      </c>
      <c r="H124" s="1">
        <v>1</v>
      </c>
      <c r="I124" s="1">
        <v>5980</v>
      </c>
      <c r="J124" s="1">
        <v>1</v>
      </c>
      <c r="K124" s="1">
        <f t="shared" si="4"/>
        <v>897</v>
      </c>
      <c r="L124" s="6">
        <v>2980</v>
      </c>
      <c r="M124" s="6">
        <f t="shared" si="5"/>
        <v>2980</v>
      </c>
      <c r="N124" s="6">
        <f t="shared" si="6"/>
        <v>2103</v>
      </c>
      <c r="O124" s="8">
        <f t="shared" si="7"/>
        <v>0.35167224080267556</v>
      </c>
    </row>
    <row r="125" spans="1:26" ht="20" customHeight="1">
      <c r="A125" s="1" t="s">
        <v>1108</v>
      </c>
      <c r="C125" s="1" t="s">
        <v>1109</v>
      </c>
      <c r="D125" s="1" t="s">
        <v>1110</v>
      </c>
      <c r="E125" s="5"/>
      <c r="F125" s="5"/>
      <c r="G125" s="1">
        <v>2980</v>
      </c>
      <c r="H125" s="1">
        <v>2</v>
      </c>
      <c r="I125" s="1">
        <v>5960</v>
      </c>
      <c r="J125" s="1">
        <v>1</v>
      </c>
      <c r="K125" s="1">
        <f t="shared" si="4"/>
        <v>894</v>
      </c>
      <c r="L125" s="6">
        <v>1660</v>
      </c>
      <c r="M125" s="6">
        <f t="shared" si="5"/>
        <v>3320</v>
      </c>
      <c r="N125" s="6">
        <f t="shared" si="6"/>
        <v>1746</v>
      </c>
      <c r="O125" s="8">
        <f t="shared" si="7"/>
        <v>0.29295302013422819</v>
      </c>
    </row>
    <row r="126" spans="1:26" ht="20" customHeight="1">
      <c r="A126" s="1" t="s">
        <v>1111</v>
      </c>
      <c r="C126" s="1" t="s">
        <v>1112</v>
      </c>
      <c r="D126" s="1" t="s">
        <v>1113</v>
      </c>
      <c r="E126" s="5"/>
      <c r="F126" s="5"/>
      <c r="G126" s="1">
        <v>2980</v>
      </c>
      <c r="H126" s="1">
        <v>2</v>
      </c>
      <c r="I126" s="1">
        <v>5960</v>
      </c>
      <c r="J126" s="1">
        <v>2</v>
      </c>
      <c r="K126" s="1">
        <f t="shared" si="4"/>
        <v>894</v>
      </c>
      <c r="L126" s="6">
        <v>1650</v>
      </c>
      <c r="M126" s="6">
        <f t="shared" si="5"/>
        <v>3300</v>
      </c>
      <c r="N126" s="6">
        <f t="shared" si="6"/>
        <v>1766</v>
      </c>
      <c r="O126" s="8">
        <f t="shared" si="7"/>
        <v>0.29630872483221476</v>
      </c>
    </row>
    <row r="127" spans="1:26" ht="20" customHeight="1">
      <c r="A127" s="10" t="s">
        <v>1114</v>
      </c>
      <c r="B127" s="10"/>
      <c r="C127" s="10" t="s">
        <v>1115</v>
      </c>
      <c r="D127" s="10" t="s">
        <v>1116</v>
      </c>
      <c r="E127" s="11"/>
      <c r="F127" s="11"/>
      <c r="G127" s="10">
        <v>2980</v>
      </c>
      <c r="H127" s="10">
        <v>2</v>
      </c>
      <c r="I127" s="10">
        <v>5960</v>
      </c>
      <c r="J127" s="10">
        <v>2</v>
      </c>
      <c r="K127" s="10">
        <f t="shared" si="4"/>
        <v>894</v>
      </c>
      <c r="L127" s="12">
        <v>1856</v>
      </c>
      <c r="M127" s="12">
        <f t="shared" si="5"/>
        <v>3712</v>
      </c>
      <c r="N127" s="12">
        <f t="shared" si="6"/>
        <v>1354</v>
      </c>
      <c r="O127" s="13">
        <f t="shared" si="7"/>
        <v>0.22718120805369127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0" customHeight="1">
      <c r="A128" s="10" t="s">
        <v>1117</v>
      </c>
      <c r="B128" s="10"/>
      <c r="C128" s="10" t="s">
        <v>1118</v>
      </c>
      <c r="D128" s="10" t="s">
        <v>1119</v>
      </c>
      <c r="E128" s="10"/>
      <c r="F128" s="11"/>
      <c r="G128" s="10">
        <v>2980</v>
      </c>
      <c r="H128" s="10">
        <v>2</v>
      </c>
      <c r="I128" s="10">
        <v>5960</v>
      </c>
      <c r="J128" s="10">
        <v>2</v>
      </c>
      <c r="K128" s="10">
        <f t="shared" si="4"/>
        <v>894</v>
      </c>
      <c r="L128" s="12">
        <v>1508</v>
      </c>
      <c r="M128" s="12">
        <f t="shared" si="5"/>
        <v>3016</v>
      </c>
      <c r="N128" s="12">
        <f t="shared" si="6"/>
        <v>2050</v>
      </c>
      <c r="O128" s="13">
        <f t="shared" si="7"/>
        <v>0.34395973154362414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0" customHeight="1">
      <c r="A129" s="1" t="s">
        <v>516</v>
      </c>
      <c r="C129" s="1" t="s">
        <v>517</v>
      </c>
      <c r="D129" s="1">
        <v>9785</v>
      </c>
      <c r="E129" s="5"/>
      <c r="F129" s="5"/>
      <c r="G129" s="1">
        <v>2980</v>
      </c>
      <c r="H129" s="1">
        <v>2</v>
      </c>
      <c r="I129" s="1">
        <v>5960</v>
      </c>
      <c r="J129" s="1">
        <v>2</v>
      </c>
      <c r="K129" s="1">
        <f t="shared" si="4"/>
        <v>894</v>
      </c>
      <c r="L129" s="6"/>
      <c r="M129" s="6">
        <f t="shared" si="5"/>
        <v>0</v>
      </c>
      <c r="N129" s="6">
        <f t="shared" si="6"/>
        <v>5066</v>
      </c>
      <c r="O129" s="8">
        <f t="shared" si="7"/>
        <v>0.85</v>
      </c>
    </row>
    <row r="130" spans="1:26" ht="20" customHeight="1">
      <c r="A130" s="1" t="s">
        <v>68</v>
      </c>
      <c r="C130" s="1" t="s">
        <v>69</v>
      </c>
      <c r="D130" s="1" t="s">
        <v>70</v>
      </c>
      <c r="E130" s="5"/>
      <c r="F130" s="5"/>
      <c r="G130" s="1">
        <v>2980</v>
      </c>
      <c r="H130" s="1">
        <v>2</v>
      </c>
      <c r="I130" s="1">
        <v>5960</v>
      </c>
      <c r="J130" s="1">
        <v>2</v>
      </c>
      <c r="K130" s="1">
        <f t="shared" si="4"/>
        <v>894</v>
      </c>
      <c r="L130" s="6">
        <v>1287</v>
      </c>
      <c r="M130" s="6">
        <f t="shared" si="5"/>
        <v>2574</v>
      </c>
      <c r="N130" s="6">
        <f t="shared" si="6"/>
        <v>2492</v>
      </c>
      <c r="O130" s="8">
        <f t="shared" si="7"/>
        <v>0.41812080536912749</v>
      </c>
    </row>
    <row r="131" spans="1:26" ht="20" customHeight="1">
      <c r="A131" s="1" t="s">
        <v>385</v>
      </c>
      <c r="C131" s="1">
        <v>4965858009567</v>
      </c>
      <c r="D131" s="1" t="s">
        <v>386</v>
      </c>
      <c r="E131" s="5"/>
      <c r="F131" s="5"/>
      <c r="G131" s="1">
        <v>2980</v>
      </c>
      <c r="H131" s="1">
        <v>2</v>
      </c>
      <c r="I131" s="1">
        <v>5960</v>
      </c>
      <c r="J131" s="1">
        <v>1</v>
      </c>
      <c r="K131" s="1">
        <f t="shared" si="4"/>
        <v>894</v>
      </c>
      <c r="L131" s="6">
        <v>770</v>
      </c>
      <c r="M131" s="6">
        <f t="shared" si="5"/>
        <v>1540</v>
      </c>
      <c r="N131" s="6">
        <f t="shared" si="6"/>
        <v>3526</v>
      </c>
      <c r="O131" s="8">
        <f t="shared" si="7"/>
        <v>0.59161073825503352</v>
      </c>
    </row>
    <row r="132" spans="1:26" ht="20" customHeight="1">
      <c r="A132" s="10" t="s">
        <v>1120</v>
      </c>
      <c r="B132" s="10"/>
      <c r="C132" s="10" t="s">
        <v>1121</v>
      </c>
      <c r="D132" s="10" t="s">
        <v>1122</v>
      </c>
      <c r="E132" s="11"/>
      <c r="F132" s="11"/>
      <c r="G132" s="10">
        <v>1980</v>
      </c>
      <c r="H132" s="10">
        <v>3</v>
      </c>
      <c r="I132" s="10">
        <v>5940</v>
      </c>
      <c r="J132" s="10">
        <v>3</v>
      </c>
      <c r="K132" s="10">
        <f t="shared" si="4"/>
        <v>891</v>
      </c>
      <c r="L132" s="12">
        <v>764</v>
      </c>
      <c r="M132" s="12">
        <f t="shared" si="5"/>
        <v>2292</v>
      </c>
      <c r="N132" s="12">
        <f t="shared" si="6"/>
        <v>2757</v>
      </c>
      <c r="O132" s="13">
        <f t="shared" si="7"/>
        <v>0.46414141414141413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0" customHeight="1">
      <c r="A133" s="1" t="s">
        <v>1123</v>
      </c>
      <c r="C133" s="1" t="s">
        <v>839</v>
      </c>
      <c r="D133" s="1" t="s">
        <v>840</v>
      </c>
      <c r="E133" s="5"/>
      <c r="F133" s="5"/>
      <c r="G133" s="1">
        <v>1180</v>
      </c>
      <c r="H133" s="1">
        <v>5</v>
      </c>
      <c r="I133" s="1">
        <v>5900</v>
      </c>
      <c r="J133" s="1">
        <v>4</v>
      </c>
      <c r="K133" s="1">
        <f t="shared" si="4"/>
        <v>885</v>
      </c>
      <c r="L133" s="6">
        <v>285</v>
      </c>
      <c r="M133" s="6">
        <f t="shared" si="5"/>
        <v>1425</v>
      </c>
      <c r="N133" s="6">
        <f t="shared" si="6"/>
        <v>3590</v>
      </c>
      <c r="O133" s="8">
        <f t="shared" si="7"/>
        <v>0.6084745762711864</v>
      </c>
    </row>
    <row r="134" spans="1:26" ht="20" customHeight="1">
      <c r="A134" s="1" t="s">
        <v>1124</v>
      </c>
      <c r="C134" s="1" t="s">
        <v>1125</v>
      </c>
      <c r="D134" s="1" t="s">
        <v>1126</v>
      </c>
      <c r="E134" s="5"/>
      <c r="F134" s="5"/>
      <c r="G134" s="1">
        <v>799</v>
      </c>
      <c r="H134" s="1">
        <v>7</v>
      </c>
      <c r="I134" s="1">
        <v>5593</v>
      </c>
      <c r="J134" s="1">
        <v>1</v>
      </c>
      <c r="K134" s="1">
        <f t="shared" si="4"/>
        <v>838.94999999999993</v>
      </c>
      <c r="L134" s="6">
        <v>353</v>
      </c>
      <c r="M134" s="6">
        <f t="shared" si="5"/>
        <v>2471</v>
      </c>
      <c r="N134" s="26">
        <f t="shared" si="6"/>
        <v>2283.0500000000002</v>
      </c>
      <c r="O134" s="8">
        <f t="shared" si="7"/>
        <v>0.40819774718398</v>
      </c>
    </row>
    <row r="135" spans="1:26" ht="17" customHeight="1">
      <c r="A135" s="1" t="s">
        <v>1127</v>
      </c>
      <c r="B135" s="1" t="s">
        <v>1128</v>
      </c>
      <c r="C135" s="1" t="s">
        <v>1129</v>
      </c>
      <c r="D135" s="1" t="s">
        <v>1130</v>
      </c>
      <c r="E135" s="1" t="s">
        <v>1131</v>
      </c>
      <c r="G135" s="1">
        <v>2780</v>
      </c>
      <c r="H135" s="1">
        <v>2</v>
      </c>
      <c r="I135" s="1">
        <v>5560</v>
      </c>
      <c r="J135" s="1">
        <v>2</v>
      </c>
      <c r="K135" s="1">
        <f t="shared" si="4"/>
        <v>834</v>
      </c>
      <c r="L135" s="6">
        <v>2580</v>
      </c>
      <c r="M135" s="6">
        <f t="shared" si="5"/>
        <v>5160</v>
      </c>
      <c r="N135" s="6">
        <f t="shared" si="6"/>
        <v>-434</v>
      </c>
      <c r="O135" s="8">
        <f t="shared" si="7"/>
        <v>-7.805755395683453E-2</v>
      </c>
    </row>
    <row r="136" spans="1:26" ht="17" customHeight="1">
      <c r="A136" s="1" t="s">
        <v>651</v>
      </c>
      <c r="B136" s="1" t="s">
        <v>1132</v>
      </c>
      <c r="C136" s="1" t="s">
        <v>653</v>
      </c>
      <c r="D136" s="9">
        <v>6.2111481480589895E+20</v>
      </c>
      <c r="E136" s="1" t="s">
        <v>1133</v>
      </c>
      <c r="G136" s="1">
        <v>1780</v>
      </c>
      <c r="H136" s="1">
        <v>3</v>
      </c>
      <c r="I136" s="1">
        <v>5340</v>
      </c>
      <c r="J136" s="1">
        <v>2</v>
      </c>
      <c r="K136" s="1">
        <f t="shared" ref="K136:K199" si="8">SUM(I136*0.15)</f>
        <v>801</v>
      </c>
      <c r="L136" s="6">
        <v>932</v>
      </c>
      <c r="M136" s="6">
        <f t="shared" ref="M136:M199" si="9">SUM(H136*L136)</f>
        <v>2796</v>
      </c>
      <c r="N136" s="6">
        <f t="shared" ref="N136:N199" si="10">SUM(I136-K136-M136)</f>
        <v>1743</v>
      </c>
      <c r="O136" s="8">
        <f t="shared" ref="O136:O199" si="11">IF(I136=0,"",N136/I136)</f>
        <v>0.32640449438202246</v>
      </c>
    </row>
    <row r="137" spans="1:26" ht="20" customHeight="1">
      <c r="A137" s="1" t="s">
        <v>1134</v>
      </c>
      <c r="C137" s="1" t="s">
        <v>189</v>
      </c>
      <c r="D137" s="1" t="s">
        <v>1135</v>
      </c>
      <c r="E137" s="5"/>
      <c r="F137" s="5"/>
      <c r="G137" s="1">
        <v>1780</v>
      </c>
      <c r="H137" s="1">
        <v>3</v>
      </c>
      <c r="I137" s="1">
        <v>5340</v>
      </c>
      <c r="J137" s="1">
        <v>2</v>
      </c>
      <c r="K137" s="1">
        <f t="shared" si="8"/>
        <v>801</v>
      </c>
      <c r="L137" s="6">
        <v>870</v>
      </c>
      <c r="M137" s="6">
        <f t="shared" si="9"/>
        <v>2610</v>
      </c>
      <c r="N137" s="6">
        <f t="shared" si="10"/>
        <v>1929</v>
      </c>
      <c r="O137" s="8">
        <f t="shared" si="11"/>
        <v>0.36123595505617978</v>
      </c>
    </row>
    <row r="138" spans="1:26" ht="17" customHeight="1">
      <c r="A138" s="1" t="s">
        <v>1136</v>
      </c>
      <c r="B138" s="1" t="s">
        <v>1137</v>
      </c>
      <c r="C138" s="1" t="s">
        <v>1138</v>
      </c>
      <c r="D138" s="1" t="s">
        <v>1139</v>
      </c>
      <c r="E138" s="1" t="s">
        <v>1140</v>
      </c>
      <c r="G138" s="1">
        <v>1780</v>
      </c>
      <c r="H138" s="1">
        <v>3</v>
      </c>
      <c r="I138" s="1">
        <v>5340</v>
      </c>
      <c r="J138" s="1">
        <v>3</v>
      </c>
      <c r="K138" s="1">
        <f t="shared" si="8"/>
        <v>801</v>
      </c>
      <c r="L138" s="6">
        <v>495</v>
      </c>
      <c r="M138" s="6">
        <f t="shared" si="9"/>
        <v>1485</v>
      </c>
      <c r="N138" s="6">
        <f t="shared" si="10"/>
        <v>3054</v>
      </c>
      <c r="O138" s="8">
        <f t="shared" si="11"/>
        <v>0.57191011235955058</v>
      </c>
    </row>
    <row r="139" spans="1:26" ht="20" customHeight="1">
      <c r="A139" s="1" t="s">
        <v>1141</v>
      </c>
      <c r="C139" s="1" t="s">
        <v>1142</v>
      </c>
      <c r="D139" s="1" t="s">
        <v>1143</v>
      </c>
      <c r="E139" s="5"/>
      <c r="F139" s="5"/>
      <c r="G139" s="1">
        <v>1020</v>
      </c>
      <c r="H139" s="1">
        <v>5</v>
      </c>
      <c r="I139" s="1">
        <v>5100</v>
      </c>
      <c r="J139" s="1">
        <v>2</v>
      </c>
      <c r="K139" s="1">
        <f t="shared" si="8"/>
        <v>765</v>
      </c>
      <c r="L139" s="6">
        <v>273</v>
      </c>
      <c r="M139" s="6">
        <f t="shared" si="9"/>
        <v>1365</v>
      </c>
      <c r="N139" s="6">
        <f t="shared" si="10"/>
        <v>2970</v>
      </c>
      <c r="O139" s="8">
        <f t="shared" si="11"/>
        <v>0.58235294117647063</v>
      </c>
    </row>
    <row r="140" spans="1:26" ht="20" customHeight="1">
      <c r="A140" s="1" t="s">
        <v>1144</v>
      </c>
      <c r="C140" s="1" t="s">
        <v>794</v>
      </c>
      <c r="D140" s="1" t="s">
        <v>1145</v>
      </c>
      <c r="E140" s="5"/>
      <c r="F140" s="5"/>
      <c r="G140" s="1">
        <v>1680</v>
      </c>
      <c r="H140" s="1">
        <v>3</v>
      </c>
      <c r="I140" s="1">
        <v>5040</v>
      </c>
      <c r="J140" s="1">
        <v>3</v>
      </c>
      <c r="K140" s="1">
        <f t="shared" si="8"/>
        <v>756</v>
      </c>
      <c r="L140" s="6">
        <v>942</v>
      </c>
      <c r="M140" s="6">
        <f t="shared" si="9"/>
        <v>2826</v>
      </c>
      <c r="N140" s="6">
        <f t="shared" si="10"/>
        <v>1458</v>
      </c>
      <c r="O140" s="8">
        <f t="shared" si="11"/>
        <v>0.28928571428571431</v>
      </c>
    </row>
    <row r="141" spans="1:26" ht="20" customHeight="1">
      <c r="A141" s="10" t="s">
        <v>1146</v>
      </c>
      <c r="B141" s="10"/>
      <c r="C141" s="10" t="s">
        <v>836</v>
      </c>
      <c r="D141" s="10" t="s">
        <v>1147</v>
      </c>
      <c r="E141" s="11"/>
      <c r="F141" s="11"/>
      <c r="G141" s="10">
        <v>999</v>
      </c>
      <c r="H141" s="10">
        <v>5</v>
      </c>
      <c r="I141" s="10">
        <v>4995</v>
      </c>
      <c r="J141" s="10">
        <v>1</v>
      </c>
      <c r="K141" s="10">
        <f t="shared" si="8"/>
        <v>749.25</v>
      </c>
      <c r="L141" s="12">
        <v>244</v>
      </c>
      <c r="M141" s="12">
        <f t="shared" si="9"/>
        <v>1220</v>
      </c>
      <c r="N141" s="12">
        <f t="shared" si="10"/>
        <v>3025.75</v>
      </c>
      <c r="O141" s="13">
        <f t="shared" si="11"/>
        <v>0.6057557557557558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7" customHeight="1">
      <c r="A142" s="1" t="s">
        <v>422</v>
      </c>
      <c r="B142" s="1" t="s">
        <v>1148</v>
      </c>
      <c r="C142" s="1" t="s">
        <v>423</v>
      </c>
      <c r="D142" s="1" t="s">
        <v>424</v>
      </c>
      <c r="E142" s="1" t="s">
        <v>1149</v>
      </c>
      <c r="G142" s="1">
        <v>4980</v>
      </c>
      <c r="H142" s="1">
        <v>1</v>
      </c>
      <c r="I142" s="1">
        <v>4980</v>
      </c>
      <c r="J142" s="1">
        <v>1</v>
      </c>
      <c r="K142" s="1">
        <f t="shared" si="8"/>
        <v>747</v>
      </c>
      <c r="L142" s="6">
        <v>2980</v>
      </c>
      <c r="M142" s="6">
        <f t="shared" si="9"/>
        <v>2980</v>
      </c>
      <c r="N142" s="6">
        <f t="shared" si="10"/>
        <v>1253</v>
      </c>
      <c r="O142" s="8">
        <f t="shared" si="11"/>
        <v>0.25160642570281122</v>
      </c>
    </row>
    <row r="143" spans="1:26" ht="20" customHeight="1">
      <c r="A143" s="1" t="s">
        <v>1150</v>
      </c>
      <c r="C143" s="1" t="s">
        <v>1151</v>
      </c>
      <c r="D143" s="1" t="s">
        <v>1152</v>
      </c>
      <c r="E143" s="5"/>
      <c r="F143" s="5"/>
      <c r="G143" s="1">
        <v>4980</v>
      </c>
      <c r="H143" s="1">
        <v>1</v>
      </c>
      <c r="I143" s="1">
        <v>4980</v>
      </c>
      <c r="J143" s="1">
        <v>1</v>
      </c>
      <c r="K143" s="1">
        <f t="shared" si="8"/>
        <v>747</v>
      </c>
      <c r="L143" s="6">
        <v>3647</v>
      </c>
      <c r="M143" s="6">
        <f t="shared" si="9"/>
        <v>3647</v>
      </c>
      <c r="N143" s="6">
        <f t="shared" si="10"/>
        <v>586</v>
      </c>
      <c r="O143" s="8">
        <f t="shared" si="11"/>
        <v>0.1176706827309237</v>
      </c>
    </row>
    <row r="144" spans="1:26" ht="20" customHeight="1">
      <c r="A144" s="10" t="s">
        <v>1153</v>
      </c>
      <c r="B144" s="10"/>
      <c r="C144" s="10" t="s">
        <v>1154</v>
      </c>
      <c r="D144" s="10">
        <v>2490</v>
      </c>
      <c r="E144" s="11"/>
      <c r="F144" s="11"/>
      <c r="G144" s="10">
        <v>4980</v>
      </c>
      <c r="H144" s="10">
        <v>1</v>
      </c>
      <c r="I144" s="10">
        <v>4980</v>
      </c>
      <c r="J144" s="10">
        <v>1</v>
      </c>
      <c r="K144" s="10">
        <f t="shared" si="8"/>
        <v>747</v>
      </c>
      <c r="L144" s="12">
        <v>2490</v>
      </c>
      <c r="M144" s="12">
        <f t="shared" si="9"/>
        <v>2490</v>
      </c>
      <c r="N144" s="12">
        <f t="shared" si="10"/>
        <v>1743</v>
      </c>
      <c r="O144" s="13">
        <f t="shared" si="11"/>
        <v>0.35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0" customHeight="1">
      <c r="A145" s="10" t="s">
        <v>1155</v>
      </c>
      <c r="B145" s="10"/>
      <c r="C145" s="10" t="s">
        <v>1156</v>
      </c>
      <c r="D145" s="10">
        <v>1086</v>
      </c>
      <c r="E145" s="11"/>
      <c r="F145" s="11"/>
      <c r="G145" s="10">
        <v>2480</v>
      </c>
      <c r="H145" s="10">
        <v>2</v>
      </c>
      <c r="I145" s="10">
        <v>4960</v>
      </c>
      <c r="J145" s="10">
        <v>2</v>
      </c>
      <c r="K145" s="10">
        <f t="shared" si="8"/>
        <v>744</v>
      </c>
      <c r="L145" s="12">
        <v>1088</v>
      </c>
      <c r="M145" s="12">
        <f t="shared" si="9"/>
        <v>2176</v>
      </c>
      <c r="N145" s="12">
        <f t="shared" si="10"/>
        <v>2040</v>
      </c>
      <c r="O145" s="13">
        <f t="shared" si="11"/>
        <v>0.41129032258064518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0" customHeight="1">
      <c r="A146" s="1" t="s">
        <v>166</v>
      </c>
      <c r="C146" s="1" t="s">
        <v>167</v>
      </c>
      <c r="D146" s="1" t="s">
        <v>1157</v>
      </c>
      <c r="E146" s="5"/>
      <c r="F146" s="5"/>
      <c r="G146" s="1">
        <v>2480</v>
      </c>
      <c r="H146" s="1">
        <v>2</v>
      </c>
      <c r="I146" s="1">
        <v>4960</v>
      </c>
      <c r="J146" s="1">
        <v>2</v>
      </c>
      <c r="K146" s="1">
        <f t="shared" si="8"/>
        <v>744</v>
      </c>
      <c r="L146" s="6">
        <v>1210</v>
      </c>
      <c r="M146" s="6">
        <f t="shared" si="9"/>
        <v>2420</v>
      </c>
      <c r="N146" s="6">
        <f t="shared" si="10"/>
        <v>1796</v>
      </c>
      <c r="O146" s="8">
        <f t="shared" si="11"/>
        <v>0.36209677419354841</v>
      </c>
    </row>
    <row r="147" spans="1:26" ht="20" customHeight="1">
      <c r="A147" s="1" t="s">
        <v>1158</v>
      </c>
      <c r="C147" s="1" t="s">
        <v>87</v>
      </c>
      <c r="D147" s="1">
        <v>1534</v>
      </c>
      <c r="E147" s="5"/>
      <c r="F147" s="5"/>
      <c r="G147" s="1">
        <v>2480</v>
      </c>
      <c r="H147" s="1">
        <v>2</v>
      </c>
      <c r="I147" s="1">
        <v>4960</v>
      </c>
      <c r="J147" s="1">
        <v>2</v>
      </c>
      <c r="K147" s="1">
        <f t="shared" si="8"/>
        <v>744</v>
      </c>
      <c r="L147" s="6">
        <v>1534</v>
      </c>
      <c r="M147" s="6">
        <f t="shared" si="9"/>
        <v>3068</v>
      </c>
      <c r="N147" s="6">
        <f t="shared" si="10"/>
        <v>1148</v>
      </c>
      <c r="O147" s="8">
        <f t="shared" si="11"/>
        <v>0.2314516129032258</v>
      </c>
    </row>
    <row r="148" spans="1:26" ht="20" customHeight="1">
      <c r="A148" s="1" t="s">
        <v>1159</v>
      </c>
      <c r="C148" s="1">
        <v>4901133980176</v>
      </c>
      <c r="D148" s="1" t="s">
        <v>1160</v>
      </c>
      <c r="E148" s="5"/>
      <c r="F148" s="5"/>
      <c r="G148" s="1">
        <v>2480</v>
      </c>
      <c r="H148" s="1">
        <v>2</v>
      </c>
      <c r="I148" s="1">
        <v>4960</v>
      </c>
      <c r="J148" s="1">
        <v>2</v>
      </c>
      <c r="K148" s="1">
        <f t="shared" si="8"/>
        <v>744</v>
      </c>
      <c r="L148" s="6">
        <v>1980</v>
      </c>
      <c r="M148" s="6">
        <f t="shared" si="9"/>
        <v>3960</v>
      </c>
      <c r="N148" s="6">
        <f t="shared" si="10"/>
        <v>256</v>
      </c>
      <c r="O148" s="8">
        <f t="shared" si="11"/>
        <v>5.1612903225806452E-2</v>
      </c>
    </row>
    <row r="149" spans="1:26" ht="20" customHeight="1">
      <c r="A149" s="1" t="s">
        <v>702</v>
      </c>
      <c r="C149" s="1" t="s">
        <v>703</v>
      </c>
      <c r="D149" s="1" t="s">
        <v>1161</v>
      </c>
      <c r="E149" s="5"/>
      <c r="F149" s="5"/>
      <c r="G149" s="1">
        <v>2480</v>
      </c>
      <c r="H149" s="1">
        <v>2</v>
      </c>
      <c r="I149" s="1">
        <v>4960</v>
      </c>
      <c r="J149" s="1">
        <v>2</v>
      </c>
      <c r="K149" s="1">
        <f t="shared" si="8"/>
        <v>744</v>
      </c>
      <c r="L149" s="6">
        <v>1314</v>
      </c>
      <c r="M149" s="6">
        <f t="shared" si="9"/>
        <v>2628</v>
      </c>
      <c r="N149" s="6">
        <f t="shared" si="10"/>
        <v>1588</v>
      </c>
      <c r="O149" s="8">
        <f t="shared" si="11"/>
        <v>0.32016129032258067</v>
      </c>
    </row>
    <row r="150" spans="1:26" ht="20" customHeight="1">
      <c r="A150" s="1" t="s">
        <v>1162</v>
      </c>
      <c r="C150" s="1" t="s">
        <v>1163</v>
      </c>
      <c r="D150" s="1" t="s">
        <v>1164</v>
      </c>
      <c r="E150" s="5"/>
      <c r="F150" s="5"/>
      <c r="G150" s="1">
        <v>4780</v>
      </c>
      <c r="H150" s="1">
        <v>1</v>
      </c>
      <c r="I150" s="1">
        <v>4780</v>
      </c>
      <c r="J150" s="1">
        <v>1</v>
      </c>
      <c r="K150" s="1">
        <f t="shared" si="8"/>
        <v>717</v>
      </c>
      <c r="L150" s="6">
        <v>2904</v>
      </c>
      <c r="M150" s="6">
        <f t="shared" si="9"/>
        <v>2904</v>
      </c>
      <c r="N150" s="6">
        <f t="shared" si="10"/>
        <v>1159</v>
      </c>
      <c r="O150" s="8">
        <f t="shared" si="11"/>
        <v>0.24246861924686192</v>
      </c>
    </row>
    <row r="151" spans="1:26" ht="17" customHeight="1">
      <c r="A151" s="1" t="s">
        <v>1165</v>
      </c>
      <c r="B151" s="1" t="s">
        <v>1166</v>
      </c>
      <c r="C151" s="1" t="s">
        <v>1167</v>
      </c>
      <c r="D151" s="1" t="s">
        <v>1168</v>
      </c>
      <c r="E151" s="1" t="s">
        <v>1169</v>
      </c>
      <c r="G151" s="1">
        <v>4780</v>
      </c>
      <c r="H151" s="1">
        <v>1</v>
      </c>
      <c r="I151" s="1">
        <v>4780</v>
      </c>
      <c r="J151" s="1">
        <v>1</v>
      </c>
      <c r="K151" s="1">
        <f t="shared" si="8"/>
        <v>717</v>
      </c>
      <c r="L151" s="6">
        <v>1485</v>
      </c>
      <c r="M151" s="6">
        <f t="shared" si="9"/>
        <v>1485</v>
      </c>
      <c r="N151" s="6">
        <f t="shared" si="10"/>
        <v>2578</v>
      </c>
      <c r="O151" s="8">
        <f t="shared" si="11"/>
        <v>0.53933054393305435</v>
      </c>
    </row>
    <row r="152" spans="1:26" ht="20" customHeight="1">
      <c r="A152" s="1" t="s">
        <v>1170</v>
      </c>
      <c r="C152" s="1" t="s">
        <v>1171</v>
      </c>
      <c r="D152" s="1" t="s">
        <v>1172</v>
      </c>
      <c r="E152" s="5"/>
      <c r="F152" s="5"/>
      <c r="G152" s="1">
        <v>1580</v>
      </c>
      <c r="H152" s="1">
        <v>3</v>
      </c>
      <c r="I152" s="1">
        <v>4740</v>
      </c>
      <c r="J152" s="1">
        <v>2</v>
      </c>
      <c r="K152" s="1">
        <f t="shared" si="8"/>
        <v>711</v>
      </c>
      <c r="L152" s="6">
        <v>555</v>
      </c>
      <c r="M152" s="6">
        <f t="shared" si="9"/>
        <v>1665</v>
      </c>
      <c r="N152" s="6">
        <f t="shared" si="10"/>
        <v>2364</v>
      </c>
      <c r="O152" s="8">
        <f t="shared" si="11"/>
        <v>0.49873417721518987</v>
      </c>
    </row>
    <row r="153" spans="1:26" ht="20" customHeight="1">
      <c r="A153" s="10" t="s">
        <v>1173</v>
      </c>
      <c r="B153" s="10"/>
      <c r="C153" s="10" t="s">
        <v>1174</v>
      </c>
      <c r="D153" s="10">
        <v>1122</v>
      </c>
      <c r="E153" s="11"/>
      <c r="F153" s="11"/>
      <c r="G153" s="10">
        <v>2280</v>
      </c>
      <c r="H153" s="10">
        <v>2</v>
      </c>
      <c r="I153" s="10">
        <v>4560</v>
      </c>
      <c r="J153" s="10">
        <v>2</v>
      </c>
      <c r="K153" s="10">
        <f t="shared" si="8"/>
        <v>684</v>
      </c>
      <c r="L153" s="12">
        <v>1122</v>
      </c>
      <c r="M153" s="12">
        <f t="shared" si="9"/>
        <v>2244</v>
      </c>
      <c r="N153" s="12">
        <f t="shared" si="10"/>
        <v>1632</v>
      </c>
      <c r="O153" s="13">
        <f t="shared" si="11"/>
        <v>0.35789473684210527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0" customHeight="1">
      <c r="A154" s="1" t="s">
        <v>1175</v>
      </c>
      <c r="C154" s="1" t="s">
        <v>1176</v>
      </c>
      <c r="D154" s="1" t="s">
        <v>1177</v>
      </c>
      <c r="E154" s="5"/>
      <c r="F154" s="5"/>
      <c r="G154" s="1">
        <v>1480</v>
      </c>
      <c r="H154" s="1">
        <v>3</v>
      </c>
      <c r="I154" s="1">
        <v>4440</v>
      </c>
      <c r="J154" s="1">
        <v>3</v>
      </c>
      <c r="K154" s="1">
        <f t="shared" si="8"/>
        <v>666</v>
      </c>
      <c r="L154" s="6">
        <v>833</v>
      </c>
      <c r="M154" s="6">
        <f t="shared" si="9"/>
        <v>2499</v>
      </c>
      <c r="N154" s="6">
        <f t="shared" si="10"/>
        <v>1275</v>
      </c>
      <c r="O154" s="8">
        <f t="shared" si="11"/>
        <v>0.28716216216216217</v>
      </c>
    </row>
    <row r="155" spans="1:26" ht="20" customHeight="1">
      <c r="A155" s="10" t="s">
        <v>1178</v>
      </c>
      <c r="B155" s="10"/>
      <c r="C155" s="10" t="s">
        <v>1179</v>
      </c>
      <c r="D155" s="10" t="s">
        <v>1180</v>
      </c>
      <c r="E155" s="11"/>
      <c r="F155" s="11"/>
      <c r="G155" s="10">
        <v>4380</v>
      </c>
      <c r="H155" s="10">
        <v>1</v>
      </c>
      <c r="I155" s="10">
        <v>4380</v>
      </c>
      <c r="J155" s="10">
        <v>1</v>
      </c>
      <c r="K155" s="10">
        <f t="shared" si="8"/>
        <v>657</v>
      </c>
      <c r="L155" s="12">
        <v>2220</v>
      </c>
      <c r="M155" s="12">
        <f t="shared" si="9"/>
        <v>2220</v>
      </c>
      <c r="N155" s="12">
        <f t="shared" si="10"/>
        <v>1503</v>
      </c>
      <c r="O155" s="13">
        <f t="shared" si="11"/>
        <v>0.34315068493150686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7" customHeight="1">
      <c r="A156" s="10" t="s">
        <v>1181</v>
      </c>
      <c r="B156" s="10" t="s">
        <v>1182</v>
      </c>
      <c r="C156" s="10" t="s">
        <v>733</v>
      </c>
      <c r="D156" s="10" t="s">
        <v>1183</v>
      </c>
      <c r="E156" s="10" t="s">
        <v>1184</v>
      </c>
      <c r="F156" s="10"/>
      <c r="G156" s="10">
        <v>2180</v>
      </c>
      <c r="H156" s="10">
        <v>2</v>
      </c>
      <c r="I156" s="10">
        <v>4360</v>
      </c>
      <c r="J156" s="10">
        <v>2</v>
      </c>
      <c r="K156" s="10">
        <f t="shared" si="8"/>
        <v>654</v>
      </c>
      <c r="L156" s="12">
        <v>1130</v>
      </c>
      <c r="M156" s="12">
        <f t="shared" si="9"/>
        <v>2260</v>
      </c>
      <c r="N156" s="12">
        <f t="shared" si="10"/>
        <v>1446</v>
      </c>
      <c r="O156" s="13">
        <f t="shared" si="11"/>
        <v>0.33165137614678897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0" customHeight="1">
      <c r="A157" s="1" t="s">
        <v>1185</v>
      </c>
      <c r="C157" s="1" t="s">
        <v>1186</v>
      </c>
      <c r="D157" s="1" t="s">
        <v>1187</v>
      </c>
      <c r="F157" s="5"/>
      <c r="G157" s="1">
        <v>1413</v>
      </c>
      <c r="H157" s="1">
        <v>3</v>
      </c>
      <c r="I157" s="1">
        <v>4240</v>
      </c>
      <c r="J157" s="1">
        <v>3</v>
      </c>
      <c r="K157" s="1">
        <f t="shared" si="8"/>
        <v>636</v>
      </c>
      <c r="L157" s="6">
        <v>398</v>
      </c>
      <c r="M157" s="6">
        <f t="shared" si="9"/>
        <v>1194</v>
      </c>
      <c r="N157" s="6">
        <f t="shared" si="10"/>
        <v>2410</v>
      </c>
      <c r="O157" s="8">
        <f t="shared" si="11"/>
        <v>0.56839622641509435</v>
      </c>
    </row>
    <row r="158" spans="1:26" ht="20" customHeight="1">
      <c r="A158" s="1" t="s">
        <v>1188</v>
      </c>
      <c r="C158" s="1">
        <v>3264680024993</v>
      </c>
      <c r="D158" s="1" t="s">
        <v>1189</v>
      </c>
      <c r="E158" s="5"/>
      <c r="F158" s="5"/>
      <c r="G158" s="1">
        <v>4180</v>
      </c>
      <c r="H158" s="1">
        <v>1</v>
      </c>
      <c r="I158" s="1">
        <v>4180</v>
      </c>
      <c r="J158" s="1">
        <v>1</v>
      </c>
      <c r="K158" s="1">
        <f t="shared" si="8"/>
        <v>627</v>
      </c>
      <c r="L158" s="6">
        <v>2893</v>
      </c>
      <c r="M158" s="6">
        <f t="shared" si="9"/>
        <v>2893</v>
      </c>
      <c r="N158" s="6">
        <f t="shared" si="10"/>
        <v>660</v>
      </c>
      <c r="O158" s="8">
        <f t="shared" si="11"/>
        <v>0.15789473684210525</v>
      </c>
    </row>
    <row r="159" spans="1:26" ht="20" customHeight="1">
      <c r="A159" s="10" t="s">
        <v>1190</v>
      </c>
      <c r="B159" s="10"/>
      <c r="C159" s="10" t="s">
        <v>1191</v>
      </c>
      <c r="D159" s="10" t="s">
        <v>1192</v>
      </c>
      <c r="E159" s="11"/>
      <c r="F159" s="11"/>
      <c r="G159" s="10">
        <v>2080</v>
      </c>
      <c r="H159" s="10">
        <v>2</v>
      </c>
      <c r="I159" s="10">
        <v>4160</v>
      </c>
      <c r="J159" s="10">
        <v>1</v>
      </c>
      <c r="K159" s="10">
        <f t="shared" si="8"/>
        <v>624</v>
      </c>
      <c r="L159" s="12">
        <v>1100</v>
      </c>
      <c r="M159" s="12">
        <f t="shared" si="9"/>
        <v>2200</v>
      </c>
      <c r="N159" s="12">
        <f t="shared" si="10"/>
        <v>1336</v>
      </c>
      <c r="O159" s="13">
        <f t="shared" si="11"/>
        <v>0.32115384615384618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7" customHeight="1">
      <c r="A160" s="1" t="s">
        <v>982</v>
      </c>
      <c r="B160" s="1" t="s">
        <v>133</v>
      </c>
      <c r="C160" s="1" t="s">
        <v>229</v>
      </c>
      <c r="D160" s="1" t="s">
        <v>983</v>
      </c>
      <c r="E160" s="1" t="s">
        <v>449</v>
      </c>
      <c r="G160" s="1">
        <v>1347</v>
      </c>
      <c r="H160" s="1">
        <v>3</v>
      </c>
      <c r="I160" s="1">
        <v>4040</v>
      </c>
      <c r="J160" s="1">
        <v>2</v>
      </c>
      <c r="K160" s="1">
        <f t="shared" si="8"/>
        <v>606</v>
      </c>
      <c r="L160" s="6">
        <v>504</v>
      </c>
      <c r="M160" s="6">
        <f t="shared" si="9"/>
        <v>1512</v>
      </c>
      <c r="N160" s="6">
        <f t="shared" si="10"/>
        <v>1922</v>
      </c>
      <c r="O160" s="8">
        <f t="shared" si="11"/>
        <v>0.47574257425742572</v>
      </c>
    </row>
    <row r="161" spans="1:26" ht="20" customHeight="1">
      <c r="A161" s="1" t="s">
        <v>473</v>
      </c>
      <c r="C161" s="1" t="s">
        <v>474</v>
      </c>
      <c r="D161" s="1" t="s">
        <v>1193</v>
      </c>
      <c r="E161" s="5"/>
      <c r="F161" s="5"/>
      <c r="G161" s="1">
        <v>999</v>
      </c>
      <c r="H161" s="1">
        <v>4</v>
      </c>
      <c r="I161" s="1">
        <v>3996</v>
      </c>
      <c r="J161" s="1">
        <v>4</v>
      </c>
      <c r="K161" s="1">
        <f t="shared" si="8"/>
        <v>599.4</v>
      </c>
      <c r="L161" s="6">
        <v>398</v>
      </c>
      <c r="M161" s="6">
        <f t="shared" si="9"/>
        <v>1592</v>
      </c>
      <c r="N161" s="6">
        <f t="shared" si="10"/>
        <v>1804.6</v>
      </c>
      <c r="O161" s="8">
        <f t="shared" si="11"/>
        <v>0.45160160160160157</v>
      </c>
    </row>
    <row r="162" spans="1:26" ht="20" customHeight="1">
      <c r="A162" s="1" t="s">
        <v>125</v>
      </c>
      <c r="C162" s="1" t="s">
        <v>126</v>
      </c>
      <c r="D162" s="1" t="s">
        <v>1194</v>
      </c>
      <c r="E162" s="5"/>
      <c r="F162" s="5"/>
      <c r="G162" s="1">
        <v>3980</v>
      </c>
      <c r="H162" s="1">
        <v>1</v>
      </c>
      <c r="I162" s="1">
        <v>3980</v>
      </c>
      <c r="J162" s="1">
        <v>1</v>
      </c>
      <c r="K162" s="1">
        <f t="shared" si="8"/>
        <v>597</v>
      </c>
      <c r="L162" s="6">
        <v>1978</v>
      </c>
      <c r="M162" s="6">
        <f t="shared" si="9"/>
        <v>1978</v>
      </c>
      <c r="N162" s="6">
        <f t="shared" si="10"/>
        <v>1405</v>
      </c>
      <c r="O162" s="8">
        <f t="shared" si="11"/>
        <v>0.35301507537688442</v>
      </c>
    </row>
    <row r="163" spans="1:26" ht="20" customHeight="1">
      <c r="A163" s="1" t="s">
        <v>1195</v>
      </c>
      <c r="C163" s="1" t="s">
        <v>1196</v>
      </c>
      <c r="D163" s="1" t="s">
        <v>1197</v>
      </c>
      <c r="E163" s="5"/>
      <c r="F163" s="5"/>
      <c r="G163" s="1">
        <v>3980</v>
      </c>
      <c r="H163" s="1">
        <v>1</v>
      </c>
      <c r="I163" s="1">
        <v>3980</v>
      </c>
      <c r="J163" s="1">
        <v>1</v>
      </c>
      <c r="K163" s="1">
        <f t="shared" si="8"/>
        <v>597</v>
      </c>
      <c r="L163" s="6">
        <v>1998</v>
      </c>
      <c r="M163" s="6">
        <f t="shared" si="9"/>
        <v>1998</v>
      </c>
      <c r="N163" s="6">
        <f t="shared" si="10"/>
        <v>1385</v>
      </c>
      <c r="O163" s="8">
        <f t="shared" si="11"/>
        <v>0.3479899497487437</v>
      </c>
    </row>
    <row r="164" spans="1:26" ht="20" customHeight="1">
      <c r="A164" s="10" t="s">
        <v>1198</v>
      </c>
      <c r="B164" s="10"/>
      <c r="C164" s="10" t="s">
        <v>1199</v>
      </c>
      <c r="D164" s="10" t="s">
        <v>1200</v>
      </c>
      <c r="E164" s="11"/>
      <c r="F164" s="11"/>
      <c r="G164" s="10">
        <v>3980</v>
      </c>
      <c r="H164" s="10">
        <v>1</v>
      </c>
      <c r="I164" s="10">
        <v>3980</v>
      </c>
      <c r="J164" s="10">
        <v>1</v>
      </c>
      <c r="K164" s="10">
        <f t="shared" si="8"/>
        <v>597</v>
      </c>
      <c r="L164" s="12">
        <v>2283</v>
      </c>
      <c r="M164" s="12">
        <f t="shared" si="9"/>
        <v>2283</v>
      </c>
      <c r="N164" s="12">
        <f t="shared" si="10"/>
        <v>1100</v>
      </c>
      <c r="O164" s="13">
        <f t="shared" si="11"/>
        <v>0.27638190954773867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0" customHeight="1">
      <c r="A165" s="1" t="s">
        <v>1201</v>
      </c>
      <c r="C165" s="1" t="s">
        <v>1202</v>
      </c>
      <c r="D165" s="1" t="s">
        <v>1203</v>
      </c>
      <c r="E165" s="5"/>
      <c r="F165" s="5"/>
      <c r="G165" s="1">
        <v>3980</v>
      </c>
      <c r="H165" s="1">
        <v>1</v>
      </c>
      <c r="I165" s="1">
        <v>3980</v>
      </c>
      <c r="J165" s="1">
        <v>1</v>
      </c>
      <c r="K165" s="1">
        <f t="shared" si="8"/>
        <v>597</v>
      </c>
      <c r="L165" s="6">
        <v>2199</v>
      </c>
      <c r="M165" s="6">
        <f t="shared" si="9"/>
        <v>2199</v>
      </c>
      <c r="N165" s="6">
        <f t="shared" si="10"/>
        <v>1184</v>
      </c>
      <c r="O165" s="8">
        <f t="shared" si="11"/>
        <v>0.29748743718592963</v>
      </c>
    </row>
    <row r="166" spans="1:26" ht="17" customHeight="1">
      <c r="A166" s="1" t="s">
        <v>1204</v>
      </c>
      <c r="B166" s="1" t="s">
        <v>959</v>
      </c>
      <c r="C166" s="1" t="s">
        <v>1205</v>
      </c>
      <c r="D166" s="1" t="s">
        <v>1206</v>
      </c>
      <c r="E166" s="1" t="s">
        <v>1207</v>
      </c>
      <c r="G166" s="1">
        <v>3980</v>
      </c>
      <c r="H166" s="1">
        <v>1</v>
      </c>
      <c r="I166" s="1">
        <v>3980</v>
      </c>
      <c r="J166" s="1">
        <v>1</v>
      </c>
      <c r="K166" s="1">
        <f t="shared" si="8"/>
        <v>597</v>
      </c>
      <c r="L166" s="6">
        <v>1014</v>
      </c>
      <c r="M166" s="6">
        <f t="shared" si="9"/>
        <v>1014</v>
      </c>
      <c r="N166" s="6">
        <f t="shared" si="10"/>
        <v>2369</v>
      </c>
      <c r="O166" s="8">
        <f t="shared" si="11"/>
        <v>0.59522613065326635</v>
      </c>
    </row>
    <row r="167" spans="1:26" ht="17" customHeight="1">
      <c r="A167" s="1" t="s">
        <v>1204</v>
      </c>
      <c r="B167" s="1" t="s">
        <v>1208</v>
      </c>
      <c r="C167" s="1" t="s">
        <v>1205</v>
      </c>
      <c r="D167" s="1" t="s">
        <v>1206</v>
      </c>
      <c r="E167" s="1" t="s">
        <v>1209</v>
      </c>
      <c r="G167" s="1">
        <v>3980</v>
      </c>
      <c r="H167" s="1">
        <v>1</v>
      </c>
      <c r="I167" s="1">
        <v>3980</v>
      </c>
      <c r="J167" s="1">
        <v>1</v>
      </c>
      <c r="K167" s="1">
        <f t="shared" si="8"/>
        <v>597</v>
      </c>
      <c r="L167" s="6">
        <v>1014</v>
      </c>
      <c r="M167" s="6">
        <f t="shared" si="9"/>
        <v>1014</v>
      </c>
      <c r="N167" s="6">
        <f t="shared" si="10"/>
        <v>2369</v>
      </c>
      <c r="O167" s="8">
        <f t="shared" si="11"/>
        <v>0.59522613065326635</v>
      </c>
    </row>
    <row r="168" spans="1:26" ht="17" customHeight="1">
      <c r="A168" s="1" t="s">
        <v>1204</v>
      </c>
      <c r="B168" s="1" t="s">
        <v>1210</v>
      </c>
      <c r="C168" s="1" t="s">
        <v>1205</v>
      </c>
      <c r="D168" s="1" t="s">
        <v>1206</v>
      </c>
      <c r="E168" s="1" t="s">
        <v>1211</v>
      </c>
      <c r="G168" s="1">
        <v>3980</v>
      </c>
      <c r="H168" s="1">
        <v>1</v>
      </c>
      <c r="I168" s="1">
        <v>3980</v>
      </c>
      <c r="J168" s="1">
        <v>1</v>
      </c>
      <c r="K168" s="1">
        <f t="shared" si="8"/>
        <v>597</v>
      </c>
      <c r="L168" s="6">
        <v>1014</v>
      </c>
      <c r="M168" s="6">
        <f t="shared" si="9"/>
        <v>1014</v>
      </c>
      <c r="N168" s="6">
        <f t="shared" si="10"/>
        <v>2369</v>
      </c>
      <c r="O168" s="8">
        <f t="shared" si="11"/>
        <v>0.59522613065326635</v>
      </c>
    </row>
    <row r="169" spans="1:26" ht="20" customHeight="1">
      <c r="A169" s="1" t="s">
        <v>1212</v>
      </c>
      <c r="C169" s="1" t="s">
        <v>1213</v>
      </c>
      <c r="D169" s="1" t="s">
        <v>1214</v>
      </c>
      <c r="E169" s="5"/>
      <c r="F169" s="5"/>
      <c r="G169" s="1">
        <v>3980</v>
      </c>
      <c r="H169" s="1">
        <v>1</v>
      </c>
      <c r="I169" s="1">
        <v>3980</v>
      </c>
      <c r="J169" s="1">
        <v>1</v>
      </c>
      <c r="K169" s="1">
        <f t="shared" si="8"/>
        <v>597</v>
      </c>
      <c r="L169" s="6">
        <v>2713</v>
      </c>
      <c r="M169" s="6">
        <f t="shared" si="9"/>
        <v>2713</v>
      </c>
      <c r="N169" s="6">
        <f t="shared" si="10"/>
        <v>670</v>
      </c>
      <c r="O169" s="8">
        <f t="shared" si="11"/>
        <v>0.16834170854271358</v>
      </c>
    </row>
    <row r="170" spans="1:26" ht="20" customHeight="1">
      <c r="A170" s="1" t="s">
        <v>1215</v>
      </c>
      <c r="C170" s="1" t="s">
        <v>1216</v>
      </c>
      <c r="D170" s="1">
        <v>4557</v>
      </c>
      <c r="E170" s="5"/>
      <c r="F170" s="5"/>
      <c r="G170" s="1">
        <v>3980</v>
      </c>
      <c r="H170" s="1">
        <v>1</v>
      </c>
      <c r="I170" s="1">
        <v>3980</v>
      </c>
      <c r="J170" s="1">
        <v>1</v>
      </c>
      <c r="K170" s="1">
        <f t="shared" si="8"/>
        <v>597</v>
      </c>
      <c r="L170" s="6"/>
      <c r="M170" s="6">
        <f t="shared" si="9"/>
        <v>0</v>
      </c>
      <c r="N170" s="6">
        <f t="shared" si="10"/>
        <v>3383</v>
      </c>
      <c r="O170" s="8">
        <f t="shared" si="11"/>
        <v>0.85</v>
      </c>
    </row>
    <row r="171" spans="1:26" ht="20" customHeight="1">
      <c r="A171" s="1" t="s">
        <v>1217</v>
      </c>
      <c r="C171" s="1">
        <v>4901301455154</v>
      </c>
      <c r="D171" s="1" t="s">
        <v>1218</v>
      </c>
      <c r="E171" s="5"/>
      <c r="F171" s="5"/>
      <c r="G171" s="1">
        <v>1980</v>
      </c>
      <c r="H171" s="1">
        <v>2</v>
      </c>
      <c r="I171" s="1">
        <v>3960</v>
      </c>
      <c r="J171" s="1">
        <v>2</v>
      </c>
      <c r="K171" s="1">
        <f t="shared" si="8"/>
        <v>594</v>
      </c>
      <c r="L171" s="6">
        <v>384</v>
      </c>
      <c r="M171" s="6">
        <f t="shared" si="9"/>
        <v>768</v>
      </c>
      <c r="N171" s="6">
        <f t="shared" si="10"/>
        <v>2598</v>
      </c>
      <c r="O171" s="8">
        <f t="shared" si="11"/>
        <v>0.65606060606060601</v>
      </c>
    </row>
    <row r="172" spans="1:26" ht="20" customHeight="1">
      <c r="A172" s="1" t="s">
        <v>486</v>
      </c>
      <c r="C172" s="1" t="s">
        <v>487</v>
      </c>
      <c r="D172" s="1" t="s">
        <v>1219</v>
      </c>
      <c r="E172" s="5"/>
      <c r="F172" s="5"/>
      <c r="G172" s="1">
        <v>1980</v>
      </c>
      <c r="H172" s="1">
        <v>2</v>
      </c>
      <c r="I172" s="1">
        <v>3960</v>
      </c>
      <c r="J172" s="1">
        <v>2</v>
      </c>
      <c r="K172" s="1">
        <f t="shared" si="8"/>
        <v>594</v>
      </c>
      <c r="L172" s="6">
        <v>358</v>
      </c>
      <c r="M172" s="6">
        <f t="shared" si="9"/>
        <v>716</v>
      </c>
      <c r="N172" s="6">
        <f t="shared" si="10"/>
        <v>2650</v>
      </c>
      <c r="O172" s="8">
        <f t="shared" si="11"/>
        <v>0.66919191919191923</v>
      </c>
    </row>
    <row r="173" spans="1:26" ht="20" customHeight="1">
      <c r="A173" s="1" t="s">
        <v>1220</v>
      </c>
      <c r="C173" s="1" t="s">
        <v>1221</v>
      </c>
      <c r="D173" s="1" t="s">
        <v>1222</v>
      </c>
      <c r="E173" s="5"/>
      <c r="F173" s="5"/>
      <c r="G173" s="1">
        <v>1980</v>
      </c>
      <c r="H173" s="1">
        <v>2</v>
      </c>
      <c r="I173" s="1">
        <v>3960</v>
      </c>
      <c r="J173" s="1">
        <v>2</v>
      </c>
      <c r="K173" s="1">
        <f t="shared" si="8"/>
        <v>594</v>
      </c>
      <c r="L173" s="6">
        <v>825</v>
      </c>
      <c r="M173" s="6">
        <f t="shared" si="9"/>
        <v>1650</v>
      </c>
      <c r="N173" s="6">
        <f t="shared" si="10"/>
        <v>1716</v>
      </c>
      <c r="O173" s="8">
        <f t="shared" si="11"/>
        <v>0.43333333333333335</v>
      </c>
    </row>
    <row r="174" spans="1:26" ht="20" customHeight="1">
      <c r="A174" s="1" t="s">
        <v>1223</v>
      </c>
      <c r="C174" s="1" t="s">
        <v>1224</v>
      </c>
      <c r="D174" s="1" t="s">
        <v>1225</v>
      </c>
      <c r="E174" s="5"/>
      <c r="F174" s="5"/>
      <c r="G174" s="1">
        <v>1980</v>
      </c>
      <c r="H174" s="1">
        <v>2</v>
      </c>
      <c r="I174" s="1">
        <v>3960</v>
      </c>
      <c r="J174" s="1">
        <v>2</v>
      </c>
      <c r="K174" s="1">
        <f t="shared" si="8"/>
        <v>594</v>
      </c>
      <c r="L174" s="6">
        <v>327</v>
      </c>
      <c r="M174" s="6">
        <f t="shared" si="9"/>
        <v>654</v>
      </c>
      <c r="N174" s="6">
        <f t="shared" si="10"/>
        <v>2712</v>
      </c>
      <c r="O174" s="8">
        <f t="shared" si="11"/>
        <v>0.68484848484848482</v>
      </c>
    </row>
    <row r="175" spans="1:26" ht="20" customHeight="1">
      <c r="A175" s="1" t="s">
        <v>1226</v>
      </c>
      <c r="C175" s="1" t="s">
        <v>1227</v>
      </c>
      <c r="D175" s="1" t="s">
        <v>1228</v>
      </c>
      <c r="E175" s="5"/>
      <c r="F175" s="5"/>
      <c r="G175" s="1">
        <v>1980</v>
      </c>
      <c r="H175" s="1">
        <v>2</v>
      </c>
      <c r="I175" s="1">
        <v>3960</v>
      </c>
      <c r="J175" s="1">
        <v>2</v>
      </c>
      <c r="K175" s="1">
        <f t="shared" si="8"/>
        <v>594</v>
      </c>
      <c r="L175" s="6">
        <v>825</v>
      </c>
      <c r="M175" s="6">
        <f t="shared" si="9"/>
        <v>1650</v>
      </c>
      <c r="N175" s="6">
        <f t="shared" si="10"/>
        <v>1716</v>
      </c>
      <c r="O175" s="8">
        <f t="shared" si="11"/>
        <v>0.43333333333333335</v>
      </c>
    </row>
    <row r="176" spans="1:26" ht="20" customHeight="1">
      <c r="A176" s="1" t="s">
        <v>399</v>
      </c>
      <c r="C176" s="1" t="s">
        <v>400</v>
      </c>
      <c r="D176" s="1" t="s">
        <v>1229</v>
      </c>
      <c r="E176" s="5"/>
      <c r="F176" s="5"/>
      <c r="G176" s="1">
        <v>1980</v>
      </c>
      <c r="H176" s="1">
        <v>2</v>
      </c>
      <c r="I176" s="1">
        <v>3960</v>
      </c>
      <c r="J176" s="1">
        <v>2</v>
      </c>
      <c r="K176" s="1">
        <f t="shared" si="8"/>
        <v>594</v>
      </c>
      <c r="L176" s="6">
        <v>672</v>
      </c>
      <c r="M176" s="6">
        <f t="shared" si="9"/>
        <v>1344</v>
      </c>
      <c r="N176" s="6">
        <f t="shared" si="10"/>
        <v>2022</v>
      </c>
      <c r="O176" s="8">
        <f t="shared" si="11"/>
        <v>0.51060606060606062</v>
      </c>
    </row>
    <row r="177" spans="1:26" ht="20" customHeight="1">
      <c r="A177" s="1" t="s">
        <v>1230</v>
      </c>
      <c r="C177" s="1" t="s">
        <v>1231</v>
      </c>
      <c r="D177" s="1" t="s">
        <v>1232</v>
      </c>
      <c r="E177" s="5"/>
      <c r="F177" s="5"/>
      <c r="G177" s="1">
        <v>1980</v>
      </c>
      <c r="H177" s="1">
        <v>2</v>
      </c>
      <c r="I177" s="1">
        <v>3960</v>
      </c>
      <c r="J177" s="1">
        <v>2</v>
      </c>
      <c r="K177" s="1">
        <f t="shared" si="8"/>
        <v>594</v>
      </c>
      <c r="L177" s="6">
        <v>825</v>
      </c>
      <c r="M177" s="6">
        <f t="shared" si="9"/>
        <v>1650</v>
      </c>
      <c r="N177" s="6">
        <f t="shared" si="10"/>
        <v>1716</v>
      </c>
      <c r="O177" s="8">
        <f t="shared" si="11"/>
        <v>0.43333333333333335</v>
      </c>
    </row>
    <row r="178" spans="1:26" ht="20" customHeight="1">
      <c r="A178" s="1" t="s">
        <v>1233</v>
      </c>
      <c r="C178" s="1" t="s">
        <v>1234</v>
      </c>
      <c r="D178" s="1">
        <v>858</v>
      </c>
      <c r="E178" s="5"/>
      <c r="F178" s="5"/>
      <c r="G178" s="1">
        <v>1980</v>
      </c>
      <c r="H178" s="1">
        <v>2</v>
      </c>
      <c r="I178" s="1">
        <v>3960</v>
      </c>
      <c r="J178" s="1">
        <v>2</v>
      </c>
      <c r="K178" s="1">
        <f t="shared" si="8"/>
        <v>594</v>
      </c>
      <c r="L178" s="6">
        <v>858</v>
      </c>
      <c r="M178" s="6">
        <f t="shared" si="9"/>
        <v>1716</v>
      </c>
      <c r="N178" s="6">
        <f t="shared" si="10"/>
        <v>1650</v>
      </c>
      <c r="O178" s="8">
        <f t="shared" si="11"/>
        <v>0.41666666666666669</v>
      </c>
    </row>
    <row r="179" spans="1:26" ht="20" customHeight="1">
      <c r="A179" s="1" t="s">
        <v>1235</v>
      </c>
      <c r="C179" s="1" t="s">
        <v>565</v>
      </c>
      <c r="D179" s="1" t="s">
        <v>1236</v>
      </c>
      <c r="F179" s="5"/>
      <c r="G179" s="1">
        <v>1980</v>
      </c>
      <c r="H179" s="1">
        <v>2</v>
      </c>
      <c r="I179" s="1">
        <v>3960</v>
      </c>
      <c r="J179" s="1">
        <v>2</v>
      </c>
      <c r="K179" s="1">
        <f t="shared" si="8"/>
        <v>594</v>
      </c>
      <c r="L179" s="6">
        <v>533</v>
      </c>
      <c r="M179" s="6">
        <f t="shared" si="9"/>
        <v>1066</v>
      </c>
      <c r="N179" s="6">
        <f t="shared" si="10"/>
        <v>2300</v>
      </c>
      <c r="O179" s="8">
        <f t="shared" si="11"/>
        <v>0.58080808080808077</v>
      </c>
    </row>
    <row r="180" spans="1:26" ht="20" customHeight="1">
      <c r="A180" s="10" t="s">
        <v>1237</v>
      </c>
      <c r="B180" s="10"/>
      <c r="C180" s="10" t="s">
        <v>1238</v>
      </c>
      <c r="D180" s="10" t="s">
        <v>1239</v>
      </c>
      <c r="E180" s="11"/>
      <c r="F180" s="11"/>
      <c r="G180" s="10">
        <v>3780</v>
      </c>
      <c r="H180" s="10">
        <v>1</v>
      </c>
      <c r="I180" s="10">
        <v>3780</v>
      </c>
      <c r="J180" s="10">
        <v>1</v>
      </c>
      <c r="K180" s="10">
        <f t="shared" si="8"/>
        <v>567</v>
      </c>
      <c r="L180" s="12">
        <v>2514</v>
      </c>
      <c r="M180" s="12">
        <f t="shared" si="9"/>
        <v>2514</v>
      </c>
      <c r="N180" s="12">
        <f t="shared" si="10"/>
        <v>699</v>
      </c>
      <c r="O180" s="13">
        <f t="shared" si="11"/>
        <v>0.18492063492063493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0" customHeight="1">
      <c r="A181" s="1" t="s">
        <v>1240</v>
      </c>
      <c r="C181" s="1" t="s">
        <v>1241</v>
      </c>
      <c r="D181" s="1">
        <v>430</v>
      </c>
      <c r="E181" s="5"/>
      <c r="F181" s="5"/>
      <c r="G181" s="1">
        <v>899</v>
      </c>
      <c r="H181" s="1">
        <v>4</v>
      </c>
      <c r="I181" s="1">
        <v>3596</v>
      </c>
      <c r="J181" s="1">
        <v>1</v>
      </c>
      <c r="K181" s="1">
        <f t="shared" si="8"/>
        <v>539.4</v>
      </c>
      <c r="L181" s="6">
        <v>430</v>
      </c>
      <c r="M181" s="6">
        <f t="shared" si="9"/>
        <v>1720</v>
      </c>
      <c r="N181" s="6">
        <f t="shared" si="10"/>
        <v>1336.6</v>
      </c>
      <c r="O181" s="8">
        <f t="shared" si="11"/>
        <v>0.37169076751946606</v>
      </c>
    </row>
    <row r="182" spans="1:26" ht="20" customHeight="1">
      <c r="A182" s="1" t="s">
        <v>1242</v>
      </c>
      <c r="C182" s="1" t="s">
        <v>1243</v>
      </c>
      <c r="D182" s="1" t="s">
        <v>1244</v>
      </c>
      <c r="E182" s="5"/>
      <c r="F182" s="5"/>
      <c r="G182" s="1">
        <v>3580</v>
      </c>
      <c r="H182" s="1">
        <v>1</v>
      </c>
      <c r="I182" s="1">
        <v>3580</v>
      </c>
      <c r="J182" s="1">
        <v>1</v>
      </c>
      <c r="K182" s="1">
        <f t="shared" si="8"/>
        <v>537</v>
      </c>
      <c r="L182" s="6">
        <v>2418</v>
      </c>
      <c r="M182" s="6">
        <f t="shared" si="9"/>
        <v>2418</v>
      </c>
      <c r="N182" s="6">
        <f t="shared" si="10"/>
        <v>625</v>
      </c>
      <c r="O182" s="8">
        <f t="shared" si="11"/>
        <v>0.17458100558659218</v>
      </c>
    </row>
    <row r="183" spans="1:26" ht="20" customHeight="1">
      <c r="A183" s="1" t="s">
        <v>1245</v>
      </c>
      <c r="C183" s="1" t="s">
        <v>1246</v>
      </c>
      <c r="D183" s="1" t="s">
        <v>1247</v>
      </c>
      <c r="E183" s="5"/>
      <c r="F183" s="5"/>
      <c r="G183" s="1">
        <v>1780</v>
      </c>
      <c r="H183" s="1">
        <v>2</v>
      </c>
      <c r="I183" s="1">
        <v>3560</v>
      </c>
      <c r="J183" s="1">
        <v>2</v>
      </c>
      <c r="K183" s="1">
        <f t="shared" si="8"/>
        <v>534</v>
      </c>
      <c r="L183" s="6">
        <v>486</v>
      </c>
      <c r="M183" s="6">
        <f t="shared" si="9"/>
        <v>972</v>
      </c>
      <c r="N183" s="6">
        <f t="shared" si="10"/>
        <v>2054</v>
      </c>
      <c r="O183" s="8">
        <f t="shared" si="11"/>
        <v>0.57696629213483142</v>
      </c>
    </row>
    <row r="184" spans="1:26" ht="17" customHeight="1">
      <c r="A184" s="1" t="s">
        <v>1248</v>
      </c>
      <c r="B184" s="1" t="s">
        <v>959</v>
      </c>
      <c r="C184" s="1" t="s">
        <v>1249</v>
      </c>
      <c r="D184" s="9">
        <v>1.13111481155116E+23</v>
      </c>
      <c r="E184" s="1" t="s">
        <v>1250</v>
      </c>
      <c r="G184" s="1">
        <v>1780</v>
      </c>
      <c r="H184" s="1">
        <v>2</v>
      </c>
      <c r="I184" s="1">
        <v>3560</v>
      </c>
      <c r="J184" s="1">
        <v>1</v>
      </c>
      <c r="K184" s="1">
        <f t="shared" si="8"/>
        <v>534</v>
      </c>
      <c r="L184" s="6">
        <v>504</v>
      </c>
      <c r="M184" s="6">
        <f t="shared" si="9"/>
        <v>1008</v>
      </c>
      <c r="N184" s="6">
        <f t="shared" si="10"/>
        <v>2018</v>
      </c>
      <c r="O184" s="8">
        <f t="shared" si="11"/>
        <v>0.56685393258426964</v>
      </c>
    </row>
    <row r="185" spans="1:26" ht="17" customHeight="1">
      <c r="A185" s="1" t="s">
        <v>841</v>
      </c>
      <c r="B185" s="1" t="s">
        <v>1251</v>
      </c>
      <c r="C185" s="1" t="s">
        <v>843</v>
      </c>
      <c r="D185" s="9">
        <v>605858638891</v>
      </c>
      <c r="E185" s="1" t="s">
        <v>1252</v>
      </c>
      <c r="G185" s="1">
        <v>1780</v>
      </c>
      <c r="H185" s="1">
        <v>2</v>
      </c>
      <c r="I185" s="1">
        <v>3560</v>
      </c>
      <c r="J185" s="1">
        <v>1</v>
      </c>
      <c r="K185" s="1">
        <f t="shared" si="8"/>
        <v>534</v>
      </c>
      <c r="L185" s="6">
        <v>891</v>
      </c>
      <c r="M185" s="6">
        <f t="shared" si="9"/>
        <v>1782</v>
      </c>
      <c r="N185" s="6">
        <f t="shared" si="10"/>
        <v>1244</v>
      </c>
      <c r="O185" s="8">
        <f t="shared" si="11"/>
        <v>0.34943820224719102</v>
      </c>
    </row>
    <row r="186" spans="1:26" ht="17" customHeight="1">
      <c r="A186" s="1" t="s">
        <v>841</v>
      </c>
      <c r="B186" s="1" t="s">
        <v>842</v>
      </c>
      <c r="C186" s="1" t="s">
        <v>843</v>
      </c>
      <c r="D186" s="9">
        <v>605858638891</v>
      </c>
      <c r="E186" s="1" t="s">
        <v>845</v>
      </c>
      <c r="G186" s="1">
        <v>1180</v>
      </c>
      <c r="H186" s="1">
        <v>3</v>
      </c>
      <c r="I186" s="1">
        <v>3540</v>
      </c>
      <c r="J186" s="1">
        <v>1</v>
      </c>
      <c r="K186" s="1">
        <f t="shared" si="8"/>
        <v>531</v>
      </c>
      <c r="L186" s="6">
        <v>605</v>
      </c>
      <c r="M186" s="6">
        <f t="shared" si="9"/>
        <v>1815</v>
      </c>
      <c r="N186" s="6">
        <f t="shared" si="10"/>
        <v>1194</v>
      </c>
      <c r="O186" s="8">
        <f t="shared" si="11"/>
        <v>0.33728813559322035</v>
      </c>
    </row>
    <row r="187" spans="1:26" ht="20" customHeight="1">
      <c r="A187" s="1" t="s">
        <v>1253</v>
      </c>
      <c r="C187" s="1" t="s">
        <v>1254</v>
      </c>
      <c r="D187" s="1" t="s">
        <v>1255</v>
      </c>
      <c r="E187" s="5"/>
      <c r="F187" s="5"/>
      <c r="G187" s="1">
        <v>3480</v>
      </c>
      <c r="H187" s="1">
        <v>1</v>
      </c>
      <c r="I187" s="1">
        <v>3480</v>
      </c>
      <c r="J187" s="1">
        <v>1</v>
      </c>
      <c r="K187" s="1">
        <f t="shared" si="8"/>
        <v>522</v>
      </c>
      <c r="L187" s="6">
        <v>1650</v>
      </c>
      <c r="M187" s="6">
        <f t="shared" si="9"/>
        <v>1650</v>
      </c>
      <c r="N187" s="6">
        <f t="shared" si="10"/>
        <v>1308</v>
      </c>
      <c r="O187" s="8">
        <f t="shared" si="11"/>
        <v>0.37586206896551722</v>
      </c>
    </row>
    <row r="188" spans="1:26" ht="20" customHeight="1">
      <c r="A188" s="1" t="s">
        <v>1256</v>
      </c>
      <c r="C188" s="1" t="s">
        <v>1257</v>
      </c>
      <c r="D188" s="1" t="s">
        <v>1258</v>
      </c>
      <c r="F188" s="5"/>
      <c r="G188" s="1">
        <v>3480</v>
      </c>
      <c r="H188" s="1">
        <v>1</v>
      </c>
      <c r="I188" s="1">
        <v>3480</v>
      </c>
      <c r="J188" s="1">
        <v>1</v>
      </c>
      <c r="K188" s="1">
        <f t="shared" si="8"/>
        <v>522</v>
      </c>
      <c r="L188" s="6">
        <v>1318</v>
      </c>
      <c r="M188" s="6">
        <f t="shared" si="9"/>
        <v>1318</v>
      </c>
      <c r="N188" s="6">
        <f t="shared" si="10"/>
        <v>1640</v>
      </c>
      <c r="O188" s="8">
        <f t="shared" si="11"/>
        <v>0.47126436781609193</v>
      </c>
    </row>
    <row r="189" spans="1:26" ht="17" customHeight="1">
      <c r="A189" s="1" t="s">
        <v>958</v>
      </c>
      <c r="B189" s="1" t="s">
        <v>1259</v>
      </c>
      <c r="C189" s="1" t="s">
        <v>960</v>
      </c>
      <c r="D189" s="1" t="s">
        <v>961</v>
      </c>
      <c r="E189" s="1" t="s">
        <v>1260</v>
      </c>
      <c r="G189" s="1">
        <v>3480</v>
      </c>
      <c r="H189" s="1">
        <v>1</v>
      </c>
      <c r="I189" s="1">
        <v>3480</v>
      </c>
      <c r="J189" s="1">
        <v>1</v>
      </c>
      <c r="K189" s="1">
        <f t="shared" si="8"/>
        <v>522</v>
      </c>
      <c r="L189" s="6">
        <v>1148</v>
      </c>
      <c r="M189" s="6">
        <f t="shared" si="9"/>
        <v>1148</v>
      </c>
      <c r="N189" s="6">
        <f t="shared" si="10"/>
        <v>1810</v>
      </c>
      <c r="O189" s="8">
        <f t="shared" si="11"/>
        <v>0.52011494252873558</v>
      </c>
    </row>
    <row r="190" spans="1:26" ht="20" customHeight="1">
      <c r="A190" s="1" t="s">
        <v>1261</v>
      </c>
      <c r="C190" s="1" t="s">
        <v>1262</v>
      </c>
      <c r="D190" s="1" t="s">
        <v>1263</v>
      </c>
      <c r="E190" s="5"/>
      <c r="F190" s="5"/>
      <c r="G190" s="1">
        <v>3280</v>
      </c>
      <c r="H190" s="1">
        <v>1</v>
      </c>
      <c r="I190" s="1">
        <v>3280</v>
      </c>
      <c r="J190" s="1">
        <v>1</v>
      </c>
      <c r="K190" s="1">
        <f t="shared" si="8"/>
        <v>492</v>
      </c>
      <c r="L190" s="6">
        <v>1978</v>
      </c>
      <c r="M190" s="6">
        <f t="shared" si="9"/>
        <v>1978</v>
      </c>
      <c r="N190" s="6">
        <f t="shared" si="10"/>
        <v>810</v>
      </c>
      <c r="O190" s="8">
        <f t="shared" si="11"/>
        <v>0.24695121951219512</v>
      </c>
    </row>
    <row r="191" spans="1:26" ht="20" customHeight="1">
      <c r="A191" s="1" t="s">
        <v>1264</v>
      </c>
      <c r="C191" s="1" t="s">
        <v>1265</v>
      </c>
      <c r="D191" s="1" t="s">
        <v>1266</v>
      </c>
      <c r="E191" s="5"/>
      <c r="F191" s="5"/>
      <c r="G191" s="1">
        <v>1580</v>
      </c>
      <c r="H191" s="1">
        <v>2</v>
      </c>
      <c r="I191" s="1">
        <v>3160</v>
      </c>
      <c r="J191" s="1">
        <v>2</v>
      </c>
      <c r="K191" s="1">
        <f t="shared" si="8"/>
        <v>474</v>
      </c>
      <c r="L191" s="6">
        <v>715</v>
      </c>
      <c r="M191" s="6">
        <f t="shared" si="9"/>
        <v>1430</v>
      </c>
      <c r="N191" s="6">
        <f t="shared" si="10"/>
        <v>1256</v>
      </c>
      <c r="O191" s="8">
        <f t="shared" si="11"/>
        <v>0.39746835443037976</v>
      </c>
    </row>
    <row r="192" spans="1:26" ht="20" customHeight="1">
      <c r="A192" s="1" t="s">
        <v>1267</v>
      </c>
      <c r="C192" s="1" t="s">
        <v>1268</v>
      </c>
      <c r="D192" s="1" t="s">
        <v>1269</v>
      </c>
      <c r="E192" s="5"/>
      <c r="F192" s="5"/>
      <c r="G192" s="1">
        <v>3080</v>
      </c>
      <c r="H192" s="1">
        <v>1</v>
      </c>
      <c r="I192" s="1">
        <v>3080</v>
      </c>
      <c r="J192" s="1">
        <v>1</v>
      </c>
      <c r="K192" s="1">
        <f t="shared" si="8"/>
        <v>462</v>
      </c>
      <c r="L192" s="6">
        <v>1375</v>
      </c>
      <c r="M192" s="6">
        <f t="shared" si="9"/>
        <v>1375</v>
      </c>
      <c r="N192" s="6">
        <f t="shared" si="10"/>
        <v>1243</v>
      </c>
      <c r="O192" s="8">
        <f t="shared" si="11"/>
        <v>0.40357142857142858</v>
      </c>
    </row>
    <row r="193" spans="1:26" ht="17" customHeight="1">
      <c r="A193" s="1" t="s">
        <v>1248</v>
      </c>
      <c r="B193" s="1" t="s">
        <v>1270</v>
      </c>
      <c r="C193" s="1" t="s">
        <v>1249</v>
      </c>
      <c r="D193" s="9">
        <v>1.13111481155116E+23</v>
      </c>
      <c r="E193" s="1" t="s">
        <v>1271</v>
      </c>
      <c r="G193" s="1">
        <v>1530</v>
      </c>
      <c r="H193" s="1">
        <v>2</v>
      </c>
      <c r="I193" s="1">
        <v>3060</v>
      </c>
      <c r="J193" s="1">
        <v>2</v>
      </c>
      <c r="K193" s="1">
        <f t="shared" si="8"/>
        <v>459</v>
      </c>
      <c r="L193" s="6">
        <v>504</v>
      </c>
      <c r="M193" s="6">
        <f t="shared" si="9"/>
        <v>1008</v>
      </c>
      <c r="N193" s="6">
        <f t="shared" si="10"/>
        <v>1593</v>
      </c>
      <c r="O193" s="8">
        <f t="shared" si="11"/>
        <v>0.52058823529411768</v>
      </c>
    </row>
    <row r="194" spans="1:26" ht="20" customHeight="1">
      <c r="A194" s="1" t="s">
        <v>1272</v>
      </c>
      <c r="C194" s="1" t="s">
        <v>1273</v>
      </c>
      <c r="D194" s="1" t="s">
        <v>1274</v>
      </c>
      <c r="E194" s="5"/>
      <c r="F194" s="5"/>
      <c r="G194" s="1">
        <v>1499</v>
      </c>
      <c r="H194" s="1">
        <v>2</v>
      </c>
      <c r="I194" s="1">
        <v>2998</v>
      </c>
      <c r="J194" s="1">
        <v>2</v>
      </c>
      <c r="K194" s="1">
        <f t="shared" si="8"/>
        <v>449.7</v>
      </c>
      <c r="L194" s="6">
        <v>1280</v>
      </c>
      <c r="M194" s="6">
        <f t="shared" si="9"/>
        <v>2560</v>
      </c>
      <c r="N194" s="6">
        <f t="shared" si="10"/>
        <v>-11.699999999999818</v>
      </c>
      <c r="O194" s="8">
        <f t="shared" si="11"/>
        <v>-3.9026017344895992E-3</v>
      </c>
    </row>
    <row r="195" spans="1:26" ht="20" customHeight="1">
      <c r="A195" s="1" t="s">
        <v>1275</v>
      </c>
      <c r="C195" s="1" t="s">
        <v>1276</v>
      </c>
      <c r="D195" s="1" t="s">
        <v>1277</v>
      </c>
      <c r="E195" s="5"/>
      <c r="F195" s="5"/>
      <c r="G195" s="1">
        <v>999</v>
      </c>
      <c r="H195" s="1">
        <v>3</v>
      </c>
      <c r="I195" s="1">
        <v>2997</v>
      </c>
      <c r="J195" s="1">
        <v>3</v>
      </c>
      <c r="K195" s="1">
        <f t="shared" si="8"/>
        <v>449.55</v>
      </c>
      <c r="L195" s="6">
        <v>750</v>
      </c>
      <c r="M195" s="6">
        <f t="shared" si="9"/>
        <v>2250</v>
      </c>
      <c r="N195" s="6">
        <f t="shared" si="10"/>
        <v>297.44999999999982</v>
      </c>
      <c r="O195" s="8">
        <f t="shared" si="11"/>
        <v>9.9249249249249188E-2</v>
      </c>
    </row>
    <row r="196" spans="1:26" ht="20" customHeight="1">
      <c r="A196" s="1" t="s">
        <v>391</v>
      </c>
      <c r="C196" s="1" t="s">
        <v>392</v>
      </c>
      <c r="D196" s="1" t="s">
        <v>393</v>
      </c>
      <c r="E196" s="5"/>
      <c r="F196" s="5"/>
      <c r="G196" s="1">
        <v>2980</v>
      </c>
      <c r="H196" s="1">
        <v>1</v>
      </c>
      <c r="I196" s="1">
        <v>2980</v>
      </c>
      <c r="J196" s="1">
        <v>1</v>
      </c>
      <c r="K196" s="1">
        <f t="shared" si="8"/>
        <v>447</v>
      </c>
      <c r="L196" s="6">
        <v>1641</v>
      </c>
      <c r="M196" s="6">
        <f t="shared" si="9"/>
        <v>1641</v>
      </c>
      <c r="N196" s="6">
        <f t="shared" si="10"/>
        <v>892</v>
      </c>
      <c r="O196" s="8">
        <f t="shared" si="11"/>
        <v>0.29932885906040269</v>
      </c>
    </row>
    <row r="197" spans="1:26" ht="17" customHeight="1">
      <c r="A197" s="1" t="s">
        <v>1278</v>
      </c>
      <c r="B197" s="1" t="s">
        <v>1279</v>
      </c>
      <c r="C197" s="1" t="s">
        <v>1280</v>
      </c>
      <c r="D197" s="1" t="s">
        <v>1281</v>
      </c>
      <c r="E197" s="1" t="s">
        <v>1282</v>
      </c>
      <c r="G197" s="1">
        <v>2980</v>
      </c>
      <c r="H197" s="1">
        <v>1</v>
      </c>
      <c r="I197" s="1">
        <v>2980</v>
      </c>
      <c r="J197" s="1">
        <v>1</v>
      </c>
      <c r="K197" s="1">
        <f t="shared" si="8"/>
        <v>447</v>
      </c>
      <c r="L197" s="6">
        <v>286</v>
      </c>
      <c r="M197" s="6">
        <f t="shared" si="9"/>
        <v>286</v>
      </c>
      <c r="N197" s="6">
        <f t="shared" si="10"/>
        <v>2247</v>
      </c>
      <c r="O197" s="8">
        <f t="shared" si="11"/>
        <v>0.75402684563758393</v>
      </c>
    </row>
    <row r="198" spans="1:26" ht="17" customHeight="1">
      <c r="A198" s="1" t="s">
        <v>1283</v>
      </c>
      <c r="B198" s="1" t="s">
        <v>395</v>
      </c>
      <c r="C198" s="1" t="s">
        <v>396</v>
      </c>
      <c r="D198" s="1" t="s">
        <v>397</v>
      </c>
      <c r="E198" s="1" t="s">
        <v>398</v>
      </c>
      <c r="G198" s="1">
        <v>2980</v>
      </c>
      <c r="H198" s="1">
        <v>1</v>
      </c>
      <c r="I198" s="1">
        <v>2980</v>
      </c>
      <c r="J198" s="1">
        <v>1</v>
      </c>
      <c r="K198" s="1">
        <f t="shared" si="8"/>
        <v>447</v>
      </c>
      <c r="L198" s="6">
        <v>1390</v>
      </c>
      <c r="M198" s="6">
        <f t="shared" si="9"/>
        <v>1390</v>
      </c>
      <c r="N198" s="6">
        <f t="shared" si="10"/>
        <v>1143</v>
      </c>
      <c r="O198" s="8">
        <f t="shared" si="11"/>
        <v>0.38355704697986576</v>
      </c>
    </row>
    <row r="199" spans="1:26" ht="20" customHeight="1">
      <c r="A199" s="1" t="s">
        <v>387</v>
      </c>
      <c r="C199" s="1" t="s">
        <v>388</v>
      </c>
      <c r="D199" s="1" t="s">
        <v>1284</v>
      </c>
      <c r="E199" s="5"/>
      <c r="F199" s="5"/>
      <c r="G199" s="1">
        <v>2980</v>
      </c>
      <c r="H199" s="1">
        <v>1</v>
      </c>
      <c r="I199" s="1">
        <v>2980</v>
      </c>
      <c r="J199" s="1">
        <v>1</v>
      </c>
      <c r="K199" s="1">
        <f t="shared" si="8"/>
        <v>447</v>
      </c>
      <c r="L199" s="6">
        <v>1856</v>
      </c>
      <c r="M199" s="6">
        <f t="shared" si="9"/>
        <v>1856</v>
      </c>
      <c r="N199" s="6">
        <f t="shared" si="10"/>
        <v>677</v>
      </c>
      <c r="O199" s="8">
        <f t="shared" si="11"/>
        <v>0.22718120805369127</v>
      </c>
    </row>
    <row r="200" spans="1:26" ht="20" customHeight="1">
      <c r="A200" s="1" t="s">
        <v>1285</v>
      </c>
      <c r="C200" s="1" t="s">
        <v>1286</v>
      </c>
      <c r="D200" s="1" t="s">
        <v>1287</v>
      </c>
      <c r="E200" s="5"/>
      <c r="F200" s="5"/>
      <c r="G200" s="1">
        <v>2980</v>
      </c>
      <c r="H200" s="1">
        <v>1</v>
      </c>
      <c r="I200" s="1">
        <v>2980</v>
      </c>
      <c r="J200" s="1">
        <v>1</v>
      </c>
      <c r="K200" s="1">
        <f t="shared" ref="K200:K263" si="12">SUM(I200*0.15)</f>
        <v>447</v>
      </c>
      <c r="L200" s="6">
        <v>1641</v>
      </c>
      <c r="M200" s="6">
        <f t="shared" ref="M200:M263" si="13">SUM(H200*L200)</f>
        <v>1641</v>
      </c>
      <c r="N200" s="6">
        <f t="shared" ref="N200:N263" si="14">SUM(I200-K200-M200)</f>
        <v>892</v>
      </c>
      <c r="O200" s="8">
        <f t="shared" ref="O200:O263" si="15">IF(I200=0,"",N200/I200)</f>
        <v>0.29932885906040269</v>
      </c>
    </row>
    <row r="201" spans="1:26" ht="17" customHeight="1">
      <c r="A201" s="1" t="s">
        <v>1084</v>
      </c>
      <c r="B201" s="1" t="s">
        <v>1288</v>
      </c>
      <c r="C201" s="1">
        <v>3264680009761</v>
      </c>
      <c r="D201" s="9">
        <v>976143829785</v>
      </c>
      <c r="E201" s="1" t="s">
        <v>1289</v>
      </c>
      <c r="G201" s="1">
        <v>2980</v>
      </c>
      <c r="H201" s="1">
        <v>1</v>
      </c>
      <c r="I201" s="1">
        <v>2980</v>
      </c>
      <c r="J201" s="1">
        <v>1</v>
      </c>
      <c r="K201" s="1">
        <f t="shared" si="12"/>
        <v>447</v>
      </c>
      <c r="L201" s="6"/>
      <c r="M201" s="6">
        <f t="shared" si="13"/>
        <v>0</v>
      </c>
      <c r="N201" s="6">
        <f t="shared" si="14"/>
        <v>2533</v>
      </c>
      <c r="O201" s="8">
        <f t="shared" si="15"/>
        <v>0.85</v>
      </c>
    </row>
    <row r="202" spans="1:26" ht="20" customHeight="1">
      <c r="A202" s="1" t="s">
        <v>1290</v>
      </c>
      <c r="C202" s="1" t="s">
        <v>1291</v>
      </c>
      <c r="D202" s="1">
        <v>2134</v>
      </c>
      <c r="E202" s="5"/>
      <c r="F202" s="5"/>
      <c r="G202" s="1">
        <v>2980</v>
      </c>
      <c r="H202" s="1">
        <v>1</v>
      </c>
      <c r="I202" s="1">
        <v>2980</v>
      </c>
      <c r="J202" s="1">
        <v>1</v>
      </c>
      <c r="K202" s="1">
        <f t="shared" si="12"/>
        <v>447</v>
      </c>
      <c r="L202" s="6">
        <v>2134</v>
      </c>
      <c r="M202" s="6">
        <f t="shared" si="13"/>
        <v>2134</v>
      </c>
      <c r="N202" s="6">
        <f t="shared" si="14"/>
        <v>399</v>
      </c>
      <c r="O202" s="8">
        <f t="shared" si="15"/>
        <v>0.13389261744966444</v>
      </c>
    </row>
    <row r="203" spans="1:26" ht="17" customHeight="1">
      <c r="A203" s="10" t="s">
        <v>1292</v>
      </c>
      <c r="B203" s="10" t="s">
        <v>1023</v>
      </c>
      <c r="C203" s="10" t="s">
        <v>1293</v>
      </c>
      <c r="D203" s="10" t="s">
        <v>1294</v>
      </c>
      <c r="E203" s="10" t="s">
        <v>1295</v>
      </c>
      <c r="F203" s="10"/>
      <c r="G203" s="10">
        <v>2980</v>
      </c>
      <c r="H203" s="10">
        <v>1</v>
      </c>
      <c r="I203" s="10">
        <v>2980</v>
      </c>
      <c r="J203" s="10">
        <v>1</v>
      </c>
      <c r="K203" s="10">
        <f t="shared" si="12"/>
        <v>447</v>
      </c>
      <c r="L203" s="12">
        <v>1848</v>
      </c>
      <c r="M203" s="12">
        <f t="shared" si="13"/>
        <v>1848</v>
      </c>
      <c r="N203" s="12">
        <f t="shared" si="14"/>
        <v>685</v>
      </c>
      <c r="O203" s="13">
        <f t="shared" si="15"/>
        <v>0.22986577181208054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0" customHeight="1">
      <c r="A204" s="1" t="s">
        <v>1296</v>
      </c>
      <c r="C204" s="1">
        <v>4965858009581</v>
      </c>
      <c r="D204" s="1" t="s">
        <v>1297</v>
      </c>
      <c r="E204" s="5"/>
      <c r="F204" s="5"/>
      <c r="G204" s="1">
        <v>2980</v>
      </c>
      <c r="H204" s="1">
        <v>1</v>
      </c>
      <c r="I204" s="1">
        <v>2980</v>
      </c>
      <c r="J204" s="1">
        <v>1</v>
      </c>
      <c r="K204" s="1">
        <f t="shared" si="12"/>
        <v>447</v>
      </c>
      <c r="L204" s="6">
        <v>770</v>
      </c>
      <c r="M204" s="6">
        <f t="shared" si="13"/>
        <v>770</v>
      </c>
      <c r="N204" s="6">
        <f t="shared" si="14"/>
        <v>1763</v>
      </c>
      <c r="O204" s="8">
        <f t="shared" si="15"/>
        <v>0.59161073825503352</v>
      </c>
    </row>
    <row r="205" spans="1:26" ht="17" customHeight="1">
      <c r="A205" s="10" t="s">
        <v>1283</v>
      </c>
      <c r="B205" s="10" t="s">
        <v>1298</v>
      </c>
      <c r="C205" s="10" t="s">
        <v>396</v>
      </c>
      <c r="D205" s="10" t="s">
        <v>397</v>
      </c>
      <c r="E205" s="10" t="s">
        <v>1299</v>
      </c>
      <c r="F205" s="10"/>
      <c r="G205" s="10">
        <v>2980</v>
      </c>
      <c r="H205" s="10">
        <v>1</v>
      </c>
      <c r="I205" s="10">
        <v>2980</v>
      </c>
      <c r="J205" s="10">
        <v>1</v>
      </c>
      <c r="K205" s="10">
        <f t="shared" si="12"/>
        <v>447</v>
      </c>
      <c r="L205" s="12">
        <v>1390</v>
      </c>
      <c r="M205" s="12">
        <f t="shared" si="13"/>
        <v>1390</v>
      </c>
      <c r="N205" s="12">
        <f t="shared" si="14"/>
        <v>1143</v>
      </c>
      <c r="O205" s="13">
        <f t="shared" si="15"/>
        <v>0.38355704697986576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0" customHeight="1">
      <c r="A206" s="10" t="s">
        <v>1300</v>
      </c>
      <c r="B206" s="10"/>
      <c r="C206" s="10" t="s">
        <v>1301</v>
      </c>
      <c r="D206" s="10" t="s">
        <v>1302</v>
      </c>
      <c r="E206" s="11"/>
      <c r="F206" s="11"/>
      <c r="G206" s="10">
        <v>2980</v>
      </c>
      <c r="H206" s="10">
        <v>1</v>
      </c>
      <c r="I206" s="10">
        <v>2980</v>
      </c>
      <c r="J206" s="10">
        <v>1</v>
      </c>
      <c r="K206" s="10">
        <f t="shared" si="12"/>
        <v>447</v>
      </c>
      <c r="L206" s="12">
        <v>1540</v>
      </c>
      <c r="M206" s="12">
        <f t="shared" si="13"/>
        <v>1540</v>
      </c>
      <c r="N206" s="12">
        <f t="shared" si="14"/>
        <v>993</v>
      </c>
      <c r="O206" s="13">
        <f t="shared" si="15"/>
        <v>0.33322147651006712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7" customHeight="1">
      <c r="A207" s="10" t="s">
        <v>1283</v>
      </c>
      <c r="B207" s="10" t="s">
        <v>1303</v>
      </c>
      <c r="C207" s="10" t="s">
        <v>396</v>
      </c>
      <c r="D207" s="10" t="s">
        <v>397</v>
      </c>
      <c r="E207" s="10" t="s">
        <v>1304</v>
      </c>
      <c r="F207" s="10"/>
      <c r="G207" s="10">
        <v>2980</v>
      </c>
      <c r="H207" s="10">
        <v>1</v>
      </c>
      <c r="I207" s="10">
        <v>2980</v>
      </c>
      <c r="J207" s="10">
        <v>1</v>
      </c>
      <c r="K207" s="10">
        <f t="shared" si="12"/>
        <v>447</v>
      </c>
      <c r="L207" s="12">
        <v>1390</v>
      </c>
      <c r="M207" s="12">
        <f t="shared" si="13"/>
        <v>1390</v>
      </c>
      <c r="N207" s="12">
        <f t="shared" si="14"/>
        <v>1143</v>
      </c>
      <c r="O207" s="13">
        <f t="shared" si="15"/>
        <v>0.38355704697986576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0" customHeight="1">
      <c r="A208" s="1" t="s">
        <v>1305</v>
      </c>
      <c r="C208" s="1" t="s">
        <v>1306</v>
      </c>
      <c r="D208" s="1" t="s">
        <v>1307</v>
      </c>
      <c r="E208" s="5"/>
      <c r="F208" s="5"/>
      <c r="G208" s="1">
        <v>2980</v>
      </c>
      <c r="H208" s="1">
        <v>1</v>
      </c>
      <c r="I208" s="1">
        <v>2980</v>
      </c>
      <c r="J208" s="1">
        <v>1</v>
      </c>
      <c r="K208" s="1">
        <f t="shared" si="12"/>
        <v>447</v>
      </c>
      <c r="L208" s="6">
        <v>574</v>
      </c>
      <c r="M208" s="6">
        <f t="shared" si="13"/>
        <v>574</v>
      </c>
      <c r="N208" s="6">
        <f t="shared" si="14"/>
        <v>1959</v>
      </c>
      <c r="O208" s="8">
        <f t="shared" si="15"/>
        <v>0.65738255033557047</v>
      </c>
    </row>
    <row r="209" spans="1:26" ht="20" customHeight="1">
      <c r="A209" s="1" t="s">
        <v>1308</v>
      </c>
      <c r="C209" s="1" t="s">
        <v>594</v>
      </c>
      <c r="D209" s="1" t="s">
        <v>1309</v>
      </c>
      <c r="E209" s="5"/>
      <c r="F209" s="5"/>
      <c r="G209" s="1">
        <v>2980</v>
      </c>
      <c r="H209" s="1">
        <v>1</v>
      </c>
      <c r="I209" s="1">
        <v>2980</v>
      </c>
      <c r="J209" s="1">
        <v>1</v>
      </c>
      <c r="K209" s="1">
        <f t="shared" si="12"/>
        <v>447</v>
      </c>
      <c r="L209" s="6">
        <v>1560</v>
      </c>
      <c r="M209" s="6">
        <f t="shared" si="13"/>
        <v>1560</v>
      </c>
      <c r="N209" s="6">
        <f t="shared" si="14"/>
        <v>973</v>
      </c>
      <c r="O209" s="8">
        <f t="shared" si="15"/>
        <v>0.32651006711409397</v>
      </c>
    </row>
    <row r="210" spans="1:26" ht="20" customHeight="1">
      <c r="A210" s="1" t="s">
        <v>495</v>
      </c>
      <c r="C210" s="1" t="s">
        <v>496</v>
      </c>
      <c r="D210" s="1" t="s">
        <v>1310</v>
      </c>
      <c r="E210" s="5"/>
      <c r="F210" s="5"/>
      <c r="G210" s="1">
        <v>1480</v>
      </c>
      <c r="H210" s="1">
        <v>2</v>
      </c>
      <c r="I210" s="1">
        <v>2960</v>
      </c>
      <c r="J210" s="1">
        <v>2</v>
      </c>
      <c r="K210" s="1">
        <f t="shared" si="12"/>
        <v>444</v>
      </c>
      <c r="L210" s="6">
        <v>720</v>
      </c>
      <c r="M210" s="6">
        <f t="shared" si="13"/>
        <v>1440</v>
      </c>
      <c r="N210" s="6">
        <f t="shared" si="14"/>
        <v>1076</v>
      </c>
      <c r="O210" s="8">
        <f t="shared" si="15"/>
        <v>0.36351351351351352</v>
      </c>
    </row>
    <row r="211" spans="1:26" ht="17" customHeight="1">
      <c r="A211" s="1" t="s">
        <v>1022</v>
      </c>
      <c r="B211" s="1" t="s">
        <v>1311</v>
      </c>
      <c r="C211" s="1" t="s">
        <v>1024</v>
      </c>
      <c r="D211" s="1" t="s">
        <v>1025</v>
      </c>
      <c r="E211" s="1" t="s">
        <v>1312</v>
      </c>
      <c r="G211" s="1">
        <v>1480</v>
      </c>
      <c r="H211" s="1">
        <v>2</v>
      </c>
      <c r="I211" s="1">
        <v>2960</v>
      </c>
      <c r="J211" s="1">
        <v>2</v>
      </c>
      <c r="K211" s="1">
        <f t="shared" si="12"/>
        <v>444</v>
      </c>
      <c r="L211" s="6">
        <v>218</v>
      </c>
      <c r="M211" s="6">
        <f t="shared" si="13"/>
        <v>436</v>
      </c>
      <c r="N211" s="6">
        <f t="shared" si="14"/>
        <v>2080</v>
      </c>
      <c r="O211" s="8">
        <f t="shared" si="15"/>
        <v>0.70270270270270274</v>
      </c>
    </row>
    <row r="212" spans="1:26" ht="17" customHeight="1">
      <c r="A212" s="1" t="s">
        <v>1127</v>
      </c>
      <c r="B212" s="1" t="s">
        <v>1313</v>
      </c>
      <c r="C212" s="1" t="s">
        <v>1129</v>
      </c>
      <c r="D212" s="1" t="s">
        <v>1130</v>
      </c>
      <c r="E212" s="1" t="s">
        <v>1314</v>
      </c>
      <c r="G212" s="1">
        <v>2780</v>
      </c>
      <c r="H212" s="1">
        <v>1</v>
      </c>
      <c r="I212" s="1">
        <v>2780</v>
      </c>
      <c r="J212" s="1">
        <v>1</v>
      </c>
      <c r="K212" s="1">
        <f t="shared" si="12"/>
        <v>417</v>
      </c>
      <c r="L212" s="6">
        <v>2580</v>
      </c>
      <c r="M212" s="6">
        <f t="shared" si="13"/>
        <v>2580</v>
      </c>
      <c r="N212" s="6">
        <f t="shared" si="14"/>
        <v>-217</v>
      </c>
      <c r="O212" s="8">
        <f t="shared" si="15"/>
        <v>-7.805755395683453E-2</v>
      </c>
    </row>
    <row r="213" spans="1:26" ht="17" customHeight="1">
      <c r="A213" s="1" t="s">
        <v>1127</v>
      </c>
      <c r="B213" s="1" t="s">
        <v>1315</v>
      </c>
      <c r="C213" s="1" t="s">
        <v>1129</v>
      </c>
      <c r="D213" s="1" t="s">
        <v>1130</v>
      </c>
      <c r="E213" s="1" t="s">
        <v>1316</v>
      </c>
      <c r="G213" s="1">
        <v>2780</v>
      </c>
      <c r="H213" s="1">
        <v>1</v>
      </c>
      <c r="I213" s="1">
        <v>2780</v>
      </c>
      <c r="J213" s="1">
        <v>1</v>
      </c>
      <c r="K213" s="1">
        <f t="shared" si="12"/>
        <v>417</v>
      </c>
      <c r="L213" s="6">
        <v>2580</v>
      </c>
      <c r="M213" s="6">
        <f t="shared" si="13"/>
        <v>2580</v>
      </c>
      <c r="N213" s="6">
        <f t="shared" si="14"/>
        <v>-217</v>
      </c>
      <c r="O213" s="8">
        <f t="shared" si="15"/>
        <v>-7.805755395683453E-2</v>
      </c>
    </row>
    <row r="214" spans="1:26" ht="20" customHeight="1">
      <c r="A214" s="1" t="s">
        <v>1317</v>
      </c>
      <c r="C214" s="1" t="s">
        <v>1318</v>
      </c>
      <c r="D214" s="1">
        <v>358</v>
      </c>
      <c r="E214" s="5"/>
      <c r="F214" s="5"/>
      <c r="G214" s="1">
        <v>2780</v>
      </c>
      <c r="H214" s="1">
        <v>1</v>
      </c>
      <c r="I214" s="1">
        <v>2780</v>
      </c>
      <c r="J214" s="1">
        <v>1</v>
      </c>
      <c r="K214" s="1">
        <f t="shared" si="12"/>
        <v>417</v>
      </c>
      <c r="L214" s="6">
        <v>358</v>
      </c>
      <c r="M214" s="6">
        <f t="shared" si="13"/>
        <v>358</v>
      </c>
      <c r="N214" s="6">
        <f t="shared" si="14"/>
        <v>2005</v>
      </c>
      <c r="O214" s="8">
        <f t="shared" si="15"/>
        <v>0.72122302158273377</v>
      </c>
    </row>
    <row r="215" spans="1:26" ht="17" customHeight="1">
      <c r="A215" s="1" t="s">
        <v>1127</v>
      </c>
      <c r="B215" s="1" t="s">
        <v>1319</v>
      </c>
      <c r="C215" s="1" t="s">
        <v>1129</v>
      </c>
      <c r="D215" s="1" t="s">
        <v>1130</v>
      </c>
      <c r="E215" s="1" t="s">
        <v>1320</v>
      </c>
      <c r="G215" s="1">
        <v>2780</v>
      </c>
      <c r="H215" s="1">
        <v>1</v>
      </c>
      <c r="I215" s="1">
        <v>2780</v>
      </c>
      <c r="J215" s="1">
        <v>1</v>
      </c>
      <c r="K215" s="1">
        <f t="shared" si="12"/>
        <v>417</v>
      </c>
      <c r="L215" s="6">
        <v>2580</v>
      </c>
      <c r="M215" s="6">
        <f t="shared" si="13"/>
        <v>2580</v>
      </c>
      <c r="N215" s="6">
        <f t="shared" si="14"/>
        <v>-217</v>
      </c>
      <c r="O215" s="8">
        <f t="shared" si="15"/>
        <v>-7.805755395683453E-2</v>
      </c>
    </row>
    <row r="216" spans="1:26" ht="17" customHeight="1">
      <c r="A216" s="1" t="s">
        <v>1127</v>
      </c>
      <c r="B216" s="1" t="s">
        <v>1321</v>
      </c>
      <c r="C216" s="1" t="s">
        <v>1129</v>
      </c>
      <c r="D216" s="1" t="s">
        <v>1130</v>
      </c>
      <c r="E216" s="1" t="s">
        <v>1322</v>
      </c>
      <c r="G216" s="1">
        <v>2780</v>
      </c>
      <c r="H216" s="1">
        <v>1</v>
      </c>
      <c r="I216" s="1">
        <v>2780</v>
      </c>
      <c r="J216" s="1">
        <v>1</v>
      </c>
      <c r="K216" s="1">
        <f t="shared" si="12"/>
        <v>417</v>
      </c>
      <c r="L216" s="6">
        <v>2580</v>
      </c>
      <c r="M216" s="6">
        <f t="shared" si="13"/>
        <v>2580</v>
      </c>
      <c r="N216" s="6">
        <f t="shared" si="14"/>
        <v>-217</v>
      </c>
      <c r="O216" s="8">
        <f t="shared" si="15"/>
        <v>-7.805755395683453E-2</v>
      </c>
    </row>
    <row r="217" spans="1:26" ht="17" customHeight="1">
      <c r="A217" s="1" t="s">
        <v>1127</v>
      </c>
      <c r="B217" s="1" t="s">
        <v>1323</v>
      </c>
      <c r="C217" s="1" t="s">
        <v>1129</v>
      </c>
      <c r="D217" s="1" t="s">
        <v>1130</v>
      </c>
      <c r="E217" s="1" t="s">
        <v>1324</v>
      </c>
      <c r="G217" s="1">
        <v>2780</v>
      </c>
      <c r="H217" s="1">
        <v>1</v>
      </c>
      <c r="I217" s="1">
        <v>2780</v>
      </c>
      <c r="J217" s="1">
        <v>1</v>
      </c>
      <c r="K217" s="1">
        <f t="shared" si="12"/>
        <v>417</v>
      </c>
      <c r="L217" s="6">
        <v>2580</v>
      </c>
      <c r="M217" s="6">
        <f t="shared" si="13"/>
        <v>2580</v>
      </c>
      <c r="N217" s="6">
        <f t="shared" si="14"/>
        <v>-217</v>
      </c>
      <c r="O217" s="8">
        <f t="shared" si="15"/>
        <v>-7.805755395683453E-2</v>
      </c>
    </row>
    <row r="218" spans="1:26" ht="20" customHeight="1">
      <c r="A218" s="1" t="s">
        <v>1325</v>
      </c>
      <c r="C218" s="1" t="s">
        <v>1326</v>
      </c>
      <c r="D218" s="1" t="s">
        <v>1327</v>
      </c>
      <c r="E218" s="5"/>
      <c r="F218" s="5"/>
      <c r="G218" s="1">
        <v>2780</v>
      </c>
      <c r="H218" s="1">
        <v>1</v>
      </c>
      <c r="I218" s="1">
        <v>2780</v>
      </c>
      <c r="J218" s="1">
        <v>1</v>
      </c>
      <c r="K218" s="1">
        <f t="shared" si="12"/>
        <v>417</v>
      </c>
      <c r="L218" s="6">
        <v>1540</v>
      </c>
      <c r="M218" s="6">
        <f t="shared" si="13"/>
        <v>1540</v>
      </c>
      <c r="N218" s="6">
        <f t="shared" si="14"/>
        <v>823</v>
      </c>
      <c r="O218" s="8">
        <f t="shared" si="15"/>
        <v>0.29604316546762588</v>
      </c>
    </row>
    <row r="219" spans="1:26" ht="20" customHeight="1">
      <c r="A219" s="1" t="s">
        <v>1328</v>
      </c>
      <c r="C219" s="1" t="s">
        <v>1329</v>
      </c>
      <c r="D219" s="1" t="s">
        <v>1330</v>
      </c>
      <c r="E219" s="5"/>
      <c r="F219" s="5"/>
      <c r="G219" s="1">
        <v>2680</v>
      </c>
      <c r="H219" s="1">
        <v>1</v>
      </c>
      <c r="I219" s="1">
        <v>2680</v>
      </c>
      <c r="J219" s="1">
        <v>1</v>
      </c>
      <c r="K219" s="1">
        <f t="shared" si="12"/>
        <v>402</v>
      </c>
      <c r="L219" s="6">
        <v>1740</v>
      </c>
      <c r="M219" s="6">
        <f t="shared" si="13"/>
        <v>1740</v>
      </c>
      <c r="N219" s="6">
        <f t="shared" si="14"/>
        <v>538</v>
      </c>
      <c r="O219" s="8">
        <f t="shared" si="15"/>
        <v>0.20074626865671641</v>
      </c>
    </row>
    <row r="220" spans="1:26" ht="20" customHeight="1">
      <c r="A220" s="10" t="s">
        <v>1331</v>
      </c>
      <c r="B220" s="10"/>
      <c r="C220" s="10" t="s">
        <v>1332</v>
      </c>
      <c r="D220" s="10">
        <v>1170</v>
      </c>
      <c r="E220" s="11"/>
      <c r="F220" s="11"/>
      <c r="G220" s="10">
        <v>2580</v>
      </c>
      <c r="H220" s="10">
        <v>1</v>
      </c>
      <c r="I220" s="10">
        <v>2580</v>
      </c>
      <c r="J220" s="10">
        <v>1</v>
      </c>
      <c r="K220" s="10">
        <f t="shared" si="12"/>
        <v>387</v>
      </c>
      <c r="L220" s="12">
        <v>1170</v>
      </c>
      <c r="M220" s="12">
        <f t="shared" si="13"/>
        <v>1170</v>
      </c>
      <c r="N220" s="12">
        <f t="shared" si="14"/>
        <v>1023</v>
      </c>
      <c r="O220" s="13">
        <f t="shared" si="15"/>
        <v>0.39651162790697675</v>
      </c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7" customHeight="1">
      <c r="A221" s="10" t="s">
        <v>1333</v>
      </c>
      <c r="B221" s="10" t="s">
        <v>1182</v>
      </c>
      <c r="C221" s="10" t="s">
        <v>664</v>
      </c>
      <c r="D221" s="10" t="s">
        <v>1334</v>
      </c>
      <c r="E221" s="10" t="s">
        <v>1335</v>
      </c>
      <c r="F221" s="10"/>
      <c r="G221" s="10">
        <v>2580</v>
      </c>
      <c r="H221" s="10">
        <v>1</v>
      </c>
      <c r="I221" s="10">
        <v>2580</v>
      </c>
      <c r="J221" s="10">
        <v>1</v>
      </c>
      <c r="K221" s="10">
        <f t="shared" si="12"/>
        <v>387</v>
      </c>
      <c r="L221" s="12">
        <v>1287</v>
      </c>
      <c r="M221" s="12">
        <f t="shared" si="13"/>
        <v>1287</v>
      </c>
      <c r="N221" s="12">
        <f t="shared" si="14"/>
        <v>906</v>
      </c>
      <c r="O221" s="13">
        <f t="shared" si="15"/>
        <v>0.35116279069767442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0" customHeight="1">
      <c r="A222" s="10" t="s">
        <v>1336</v>
      </c>
      <c r="B222" s="10"/>
      <c r="C222" s="10" t="s">
        <v>1337</v>
      </c>
      <c r="D222" s="10" t="s">
        <v>1338</v>
      </c>
      <c r="E222" s="11"/>
      <c r="F222" s="11"/>
      <c r="G222" s="10">
        <v>2580</v>
      </c>
      <c r="H222" s="10">
        <v>1</v>
      </c>
      <c r="I222" s="10">
        <v>2580</v>
      </c>
      <c r="J222" s="10">
        <v>1</v>
      </c>
      <c r="K222" s="10">
        <f t="shared" si="12"/>
        <v>387</v>
      </c>
      <c r="L222" s="12">
        <v>1320</v>
      </c>
      <c r="M222" s="12">
        <f t="shared" si="13"/>
        <v>1320</v>
      </c>
      <c r="N222" s="12">
        <f t="shared" si="14"/>
        <v>873</v>
      </c>
      <c r="O222" s="13">
        <f t="shared" si="15"/>
        <v>0.33837209302325583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0" customHeight="1">
      <c r="A223" s="1" t="s">
        <v>317</v>
      </c>
      <c r="C223" s="1" t="s">
        <v>318</v>
      </c>
      <c r="D223" s="1" t="s">
        <v>319</v>
      </c>
      <c r="E223" s="5"/>
      <c r="F223" s="5"/>
      <c r="G223" s="1">
        <v>2580</v>
      </c>
      <c r="H223" s="1">
        <v>1</v>
      </c>
      <c r="I223" s="1">
        <v>2580</v>
      </c>
      <c r="J223" s="1">
        <v>1</v>
      </c>
      <c r="K223" s="1">
        <f t="shared" si="12"/>
        <v>387</v>
      </c>
      <c r="L223" s="6">
        <v>1612</v>
      </c>
      <c r="M223" s="6">
        <f t="shared" si="13"/>
        <v>1612</v>
      </c>
      <c r="N223" s="6">
        <f t="shared" si="14"/>
        <v>581</v>
      </c>
      <c r="O223" s="8">
        <f t="shared" si="15"/>
        <v>0.2251937984496124</v>
      </c>
    </row>
    <row r="224" spans="1:26" ht="20" customHeight="1">
      <c r="A224" s="1" t="s">
        <v>1339</v>
      </c>
      <c r="C224" s="1" t="s">
        <v>1340</v>
      </c>
      <c r="D224" s="1" t="s">
        <v>1341</v>
      </c>
      <c r="E224" s="5"/>
      <c r="F224" s="5"/>
      <c r="G224" s="1">
        <v>2480</v>
      </c>
      <c r="H224" s="1">
        <v>1</v>
      </c>
      <c r="I224" s="1">
        <v>2480</v>
      </c>
      <c r="J224" s="1">
        <v>1</v>
      </c>
      <c r="K224" s="1">
        <f t="shared" si="12"/>
        <v>372</v>
      </c>
      <c r="L224" s="6">
        <v>1429</v>
      </c>
      <c r="M224" s="6">
        <f t="shared" si="13"/>
        <v>1429</v>
      </c>
      <c r="N224" s="6">
        <f t="shared" si="14"/>
        <v>679</v>
      </c>
      <c r="O224" s="8">
        <f t="shared" si="15"/>
        <v>0.27379032258064517</v>
      </c>
    </row>
    <row r="225" spans="1:26" ht="20" customHeight="1">
      <c r="A225" s="1" t="s">
        <v>1342</v>
      </c>
      <c r="C225" s="1" t="s">
        <v>1343</v>
      </c>
      <c r="D225" s="1" t="s">
        <v>1344</v>
      </c>
      <c r="F225" s="5"/>
      <c r="G225" s="1">
        <v>2480</v>
      </c>
      <c r="H225" s="1">
        <v>1</v>
      </c>
      <c r="I225" s="1">
        <v>2480</v>
      </c>
      <c r="J225" s="1">
        <v>1</v>
      </c>
      <c r="K225" s="1">
        <f t="shared" si="12"/>
        <v>372</v>
      </c>
      <c r="L225" s="6">
        <v>168</v>
      </c>
      <c r="M225" s="6">
        <f t="shared" si="13"/>
        <v>168</v>
      </c>
      <c r="N225" s="6">
        <f t="shared" si="14"/>
        <v>1940</v>
      </c>
      <c r="O225" s="8">
        <f t="shared" si="15"/>
        <v>0.782258064516129</v>
      </c>
    </row>
    <row r="226" spans="1:26" ht="20" customHeight="1">
      <c r="A226" s="10" t="s">
        <v>1345</v>
      </c>
      <c r="B226" s="10"/>
      <c r="C226" s="10" t="s">
        <v>463</v>
      </c>
      <c r="D226" s="10" t="s">
        <v>1346</v>
      </c>
      <c r="E226" s="11"/>
      <c r="F226" s="11"/>
      <c r="G226" s="10">
        <v>2480</v>
      </c>
      <c r="H226" s="10">
        <v>1</v>
      </c>
      <c r="I226" s="10">
        <v>2480</v>
      </c>
      <c r="J226" s="10">
        <v>1</v>
      </c>
      <c r="K226" s="10">
        <f t="shared" si="12"/>
        <v>372</v>
      </c>
      <c r="L226" s="12">
        <v>1356</v>
      </c>
      <c r="M226" s="12">
        <f t="shared" si="13"/>
        <v>1356</v>
      </c>
      <c r="N226" s="12">
        <f t="shared" si="14"/>
        <v>752</v>
      </c>
      <c r="O226" s="13">
        <f t="shared" si="15"/>
        <v>0.3032258064516129</v>
      </c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0" customHeight="1">
      <c r="A227" s="1" t="s">
        <v>1347</v>
      </c>
      <c r="C227" s="1" t="s">
        <v>1348</v>
      </c>
      <c r="D227" s="1" t="s">
        <v>1349</v>
      </c>
      <c r="E227" s="5"/>
      <c r="F227" s="5"/>
      <c r="G227" s="1">
        <v>2480</v>
      </c>
      <c r="H227" s="1">
        <v>1</v>
      </c>
      <c r="I227" s="1">
        <v>2480</v>
      </c>
      <c r="J227" s="1">
        <v>1</v>
      </c>
      <c r="K227" s="1">
        <f t="shared" si="12"/>
        <v>372</v>
      </c>
      <c r="L227" s="6">
        <v>657</v>
      </c>
      <c r="M227" s="6">
        <f t="shared" si="13"/>
        <v>657</v>
      </c>
      <c r="N227" s="6">
        <f t="shared" si="14"/>
        <v>1451</v>
      </c>
      <c r="O227" s="8">
        <f t="shared" si="15"/>
        <v>0.58508064516129032</v>
      </c>
    </row>
    <row r="228" spans="1:26" ht="20" customHeight="1">
      <c r="A228" s="1" t="s">
        <v>1350</v>
      </c>
      <c r="C228" s="1" t="s">
        <v>1351</v>
      </c>
      <c r="D228" s="1" t="s">
        <v>1352</v>
      </c>
      <c r="E228" s="5"/>
      <c r="F228" s="5"/>
      <c r="G228" s="1">
        <v>2480</v>
      </c>
      <c r="H228" s="1">
        <v>1</v>
      </c>
      <c r="I228" s="1">
        <v>2480</v>
      </c>
      <c r="J228" s="1">
        <v>1</v>
      </c>
      <c r="K228" s="1">
        <f t="shared" si="12"/>
        <v>372</v>
      </c>
      <c r="L228" s="6">
        <v>549</v>
      </c>
      <c r="M228" s="6">
        <f t="shared" si="13"/>
        <v>549</v>
      </c>
      <c r="N228" s="6">
        <f t="shared" si="14"/>
        <v>1559</v>
      </c>
      <c r="O228" s="8">
        <f t="shared" si="15"/>
        <v>0.62862903225806455</v>
      </c>
    </row>
    <row r="229" spans="1:26" ht="20" customHeight="1">
      <c r="A229" s="1" t="s">
        <v>718</v>
      </c>
      <c r="C229" s="1" t="s">
        <v>719</v>
      </c>
      <c r="D229" s="1" t="s">
        <v>720</v>
      </c>
      <c r="E229" s="5"/>
      <c r="F229" s="5"/>
      <c r="G229" s="1">
        <v>2480</v>
      </c>
      <c r="H229" s="1">
        <v>1</v>
      </c>
      <c r="I229" s="1">
        <v>2480</v>
      </c>
      <c r="J229" s="1">
        <v>1</v>
      </c>
      <c r="K229" s="1">
        <f t="shared" si="12"/>
        <v>372</v>
      </c>
      <c r="L229" s="6">
        <v>1116</v>
      </c>
      <c r="M229" s="6">
        <f t="shared" si="13"/>
        <v>1116</v>
      </c>
      <c r="N229" s="6">
        <f t="shared" si="14"/>
        <v>992</v>
      </c>
      <c r="O229" s="8">
        <f t="shared" si="15"/>
        <v>0.4</v>
      </c>
    </row>
    <row r="230" spans="1:26" ht="20" customHeight="1">
      <c r="A230" s="1" t="s">
        <v>1353</v>
      </c>
      <c r="C230" s="1" t="s">
        <v>851</v>
      </c>
      <c r="D230" s="1" t="s">
        <v>852</v>
      </c>
      <c r="E230" s="5"/>
      <c r="F230" s="5"/>
      <c r="G230" s="1">
        <v>1180</v>
      </c>
      <c r="H230" s="1">
        <v>2</v>
      </c>
      <c r="I230" s="1">
        <v>2360</v>
      </c>
      <c r="J230" s="1">
        <v>2</v>
      </c>
      <c r="K230" s="1">
        <f t="shared" si="12"/>
        <v>354</v>
      </c>
      <c r="L230" s="6">
        <v>294</v>
      </c>
      <c r="M230" s="6">
        <f t="shared" si="13"/>
        <v>588</v>
      </c>
      <c r="N230" s="6">
        <f t="shared" si="14"/>
        <v>1418</v>
      </c>
      <c r="O230" s="8">
        <f t="shared" si="15"/>
        <v>0.60084745762711866</v>
      </c>
    </row>
    <row r="231" spans="1:26" ht="20" customHeight="1">
      <c r="A231" s="1" t="s">
        <v>1354</v>
      </c>
      <c r="C231" s="1" t="s">
        <v>1355</v>
      </c>
      <c r="D231" s="1" t="s">
        <v>1356</v>
      </c>
      <c r="E231" s="5"/>
      <c r="F231" s="5"/>
      <c r="G231" s="1">
        <v>2280</v>
      </c>
      <c r="H231" s="1">
        <v>1</v>
      </c>
      <c r="I231" s="1">
        <v>2280</v>
      </c>
      <c r="J231" s="1">
        <v>1</v>
      </c>
      <c r="K231" s="1">
        <f t="shared" si="12"/>
        <v>342</v>
      </c>
      <c r="L231" s="6">
        <v>825</v>
      </c>
      <c r="M231" s="6">
        <f t="shared" si="13"/>
        <v>825</v>
      </c>
      <c r="N231" s="6">
        <f t="shared" si="14"/>
        <v>1113</v>
      </c>
      <c r="O231" s="8">
        <f t="shared" si="15"/>
        <v>0.48815789473684212</v>
      </c>
    </row>
    <row r="232" spans="1:26" ht="17" customHeight="1">
      <c r="A232" s="10" t="s">
        <v>373</v>
      </c>
      <c r="B232" s="10"/>
      <c r="C232" s="10" t="s">
        <v>374</v>
      </c>
      <c r="D232" s="10" t="s">
        <v>1357</v>
      </c>
      <c r="E232" s="10"/>
      <c r="F232" s="10"/>
      <c r="G232" s="10">
        <v>2280</v>
      </c>
      <c r="H232" s="10">
        <v>1</v>
      </c>
      <c r="I232" s="10">
        <v>2280</v>
      </c>
      <c r="J232" s="10">
        <v>1</v>
      </c>
      <c r="K232" s="10">
        <f t="shared" si="12"/>
        <v>342</v>
      </c>
      <c r="L232" s="12">
        <v>1152</v>
      </c>
      <c r="M232" s="12">
        <f t="shared" si="13"/>
        <v>1152</v>
      </c>
      <c r="N232" s="12">
        <f t="shared" si="14"/>
        <v>786</v>
      </c>
      <c r="O232" s="13">
        <f t="shared" si="15"/>
        <v>0.34473684210526317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0" customHeight="1">
      <c r="A233" s="10" t="s">
        <v>1358</v>
      </c>
      <c r="B233" s="10"/>
      <c r="C233" s="10" t="s">
        <v>1359</v>
      </c>
      <c r="D233" s="10">
        <v>1000</v>
      </c>
      <c r="E233" s="11"/>
      <c r="F233" s="11"/>
      <c r="G233" s="10">
        <v>2180</v>
      </c>
      <c r="H233" s="10">
        <v>1</v>
      </c>
      <c r="I233" s="10">
        <v>2180</v>
      </c>
      <c r="J233" s="10">
        <v>1</v>
      </c>
      <c r="K233" s="10">
        <f t="shared" si="12"/>
        <v>327</v>
      </c>
      <c r="L233" s="12">
        <v>946</v>
      </c>
      <c r="M233" s="12">
        <f t="shared" si="13"/>
        <v>946</v>
      </c>
      <c r="N233" s="12">
        <f t="shared" si="14"/>
        <v>907</v>
      </c>
      <c r="O233" s="13">
        <f t="shared" si="15"/>
        <v>0.41605504587155961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0" customHeight="1">
      <c r="A234" s="1" t="s">
        <v>1360</v>
      </c>
      <c r="C234" s="1" t="s">
        <v>1361</v>
      </c>
      <c r="D234" s="1" t="s">
        <v>1362</v>
      </c>
      <c r="E234" s="5"/>
      <c r="F234" s="5"/>
      <c r="G234" s="1">
        <v>999</v>
      </c>
      <c r="H234" s="1">
        <v>2</v>
      </c>
      <c r="I234" s="1">
        <v>1998</v>
      </c>
      <c r="J234" s="1">
        <v>1</v>
      </c>
      <c r="K234" s="1">
        <f t="shared" si="12"/>
        <v>299.7</v>
      </c>
      <c r="L234" s="6">
        <v>598</v>
      </c>
      <c r="M234" s="6">
        <f t="shared" si="13"/>
        <v>1196</v>
      </c>
      <c r="N234" s="6">
        <f t="shared" si="14"/>
        <v>502.29999999999995</v>
      </c>
      <c r="O234" s="8">
        <f t="shared" si="15"/>
        <v>0.25140140140140138</v>
      </c>
    </row>
    <row r="235" spans="1:26" ht="20" customHeight="1">
      <c r="A235" s="1" t="s">
        <v>1363</v>
      </c>
      <c r="C235" s="1" t="s">
        <v>1364</v>
      </c>
      <c r="D235" s="1">
        <v>788</v>
      </c>
      <c r="E235" s="5"/>
      <c r="F235" s="5"/>
      <c r="G235" s="1">
        <v>999</v>
      </c>
      <c r="H235" s="1">
        <v>2</v>
      </c>
      <c r="I235" s="1">
        <v>1998</v>
      </c>
      <c r="J235" s="1">
        <v>1</v>
      </c>
      <c r="K235" s="1">
        <f t="shared" si="12"/>
        <v>299.7</v>
      </c>
      <c r="L235" s="6">
        <v>788</v>
      </c>
      <c r="M235" s="6">
        <f t="shared" si="13"/>
        <v>1576</v>
      </c>
      <c r="N235" s="6">
        <f t="shared" si="14"/>
        <v>122.29999999999995</v>
      </c>
      <c r="O235" s="8">
        <f t="shared" si="15"/>
        <v>6.1211211211211189E-2</v>
      </c>
    </row>
    <row r="236" spans="1:26" ht="20" customHeight="1">
      <c r="A236" s="1" t="s">
        <v>1365</v>
      </c>
      <c r="C236" s="1" t="s">
        <v>1366</v>
      </c>
      <c r="D236" s="1" t="s">
        <v>1367</v>
      </c>
      <c r="E236" s="5"/>
      <c r="F236" s="5"/>
      <c r="G236" s="1">
        <v>1980</v>
      </c>
      <c r="H236" s="1">
        <v>1</v>
      </c>
      <c r="I236" s="1">
        <v>1980</v>
      </c>
      <c r="J236" s="1">
        <v>1</v>
      </c>
      <c r="K236" s="1">
        <f t="shared" si="12"/>
        <v>297</v>
      </c>
      <c r="L236" s="6">
        <v>580</v>
      </c>
      <c r="M236" s="6">
        <f t="shared" si="13"/>
        <v>580</v>
      </c>
      <c r="N236" s="6">
        <f t="shared" si="14"/>
        <v>1103</v>
      </c>
      <c r="O236" s="8">
        <f t="shared" si="15"/>
        <v>0.55707070707070705</v>
      </c>
    </row>
    <row r="237" spans="1:26" ht="20" customHeight="1">
      <c r="A237" s="1" t="s">
        <v>1368</v>
      </c>
      <c r="C237" s="1" t="s">
        <v>1369</v>
      </c>
      <c r="D237" s="1" t="s">
        <v>1370</v>
      </c>
      <c r="E237" s="5"/>
      <c r="F237" s="5"/>
      <c r="G237" s="1">
        <v>1980</v>
      </c>
      <c r="H237" s="1">
        <v>1</v>
      </c>
      <c r="I237" s="1">
        <v>1980</v>
      </c>
      <c r="J237" s="1">
        <v>1</v>
      </c>
      <c r="K237" s="1">
        <f t="shared" si="12"/>
        <v>297</v>
      </c>
      <c r="L237" s="6">
        <v>1136</v>
      </c>
      <c r="M237" s="6">
        <f t="shared" si="13"/>
        <v>1136</v>
      </c>
      <c r="N237" s="6">
        <f t="shared" si="14"/>
        <v>547</v>
      </c>
      <c r="O237" s="8">
        <f t="shared" si="15"/>
        <v>0.27626262626262627</v>
      </c>
    </row>
    <row r="238" spans="1:26" ht="20" customHeight="1">
      <c r="A238" s="1" t="s">
        <v>1371</v>
      </c>
      <c r="C238" s="1" t="s">
        <v>1372</v>
      </c>
      <c r="D238" s="1" t="s">
        <v>1373</v>
      </c>
      <c r="E238" s="5"/>
      <c r="F238" s="5"/>
      <c r="G238" s="1">
        <v>1980</v>
      </c>
      <c r="H238" s="1">
        <v>1</v>
      </c>
      <c r="I238" s="1">
        <v>1980</v>
      </c>
      <c r="J238" s="1">
        <v>1</v>
      </c>
      <c r="K238" s="1">
        <f t="shared" si="12"/>
        <v>297</v>
      </c>
      <c r="L238" s="6">
        <v>660</v>
      </c>
      <c r="M238" s="6">
        <f t="shared" si="13"/>
        <v>660</v>
      </c>
      <c r="N238" s="6">
        <f t="shared" si="14"/>
        <v>1023</v>
      </c>
      <c r="O238" s="8">
        <f t="shared" si="15"/>
        <v>0.51666666666666672</v>
      </c>
    </row>
    <row r="239" spans="1:26" ht="20" customHeight="1">
      <c r="A239" s="1" t="s">
        <v>1374</v>
      </c>
      <c r="C239" s="1" t="s">
        <v>1375</v>
      </c>
      <c r="D239" s="1" t="s">
        <v>1376</v>
      </c>
      <c r="E239" s="5"/>
      <c r="F239" s="5"/>
      <c r="G239" s="1">
        <v>1980</v>
      </c>
      <c r="H239" s="1">
        <v>1</v>
      </c>
      <c r="I239" s="1">
        <v>1980</v>
      </c>
      <c r="J239" s="1">
        <v>1</v>
      </c>
      <c r="K239" s="1">
        <f t="shared" si="12"/>
        <v>297</v>
      </c>
      <c r="L239" s="6">
        <v>1280</v>
      </c>
      <c r="M239" s="6">
        <f t="shared" si="13"/>
        <v>1280</v>
      </c>
      <c r="N239" s="6">
        <f t="shared" si="14"/>
        <v>403</v>
      </c>
      <c r="O239" s="8">
        <f t="shared" si="15"/>
        <v>0.20353535353535354</v>
      </c>
    </row>
    <row r="240" spans="1:26" ht="20" customHeight="1">
      <c r="A240" s="1" t="s">
        <v>759</v>
      </c>
      <c r="C240" s="1" t="s">
        <v>760</v>
      </c>
      <c r="D240" s="1" t="s">
        <v>1377</v>
      </c>
      <c r="E240" s="5"/>
      <c r="F240" s="5"/>
      <c r="G240" s="1">
        <v>1980</v>
      </c>
      <c r="H240" s="1">
        <v>1</v>
      </c>
      <c r="I240" s="1">
        <v>1980</v>
      </c>
      <c r="J240" s="1">
        <v>1</v>
      </c>
      <c r="K240" s="1">
        <f t="shared" si="12"/>
        <v>297</v>
      </c>
      <c r="L240" s="6">
        <v>630</v>
      </c>
      <c r="M240" s="6">
        <f t="shared" si="13"/>
        <v>630</v>
      </c>
      <c r="N240" s="6">
        <f t="shared" si="14"/>
        <v>1053</v>
      </c>
      <c r="O240" s="8">
        <f t="shared" si="15"/>
        <v>0.53181818181818186</v>
      </c>
    </row>
    <row r="241" spans="1:26" ht="20" customHeight="1">
      <c r="A241" s="1" t="s">
        <v>1378</v>
      </c>
      <c r="C241" s="1" t="s">
        <v>1379</v>
      </c>
      <c r="D241" s="5"/>
      <c r="E241" s="5"/>
      <c r="F241" s="5"/>
      <c r="G241" s="1">
        <v>1980</v>
      </c>
      <c r="H241" s="1">
        <v>1</v>
      </c>
      <c r="I241" s="1">
        <v>1980</v>
      </c>
      <c r="J241" s="1">
        <v>1</v>
      </c>
      <c r="K241" s="1">
        <f t="shared" si="12"/>
        <v>297</v>
      </c>
      <c r="L241" s="6">
        <v>1040</v>
      </c>
      <c r="M241" s="6">
        <f t="shared" si="13"/>
        <v>1040</v>
      </c>
      <c r="N241" s="6">
        <f t="shared" si="14"/>
        <v>643</v>
      </c>
      <c r="O241" s="8">
        <f t="shared" si="15"/>
        <v>0.32474747474747473</v>
      </c>
    </row>
    <row r="242" spans="1:26" ht="20" customHeight="1">
      <c r="A242" s="1" t="s">
        <v>1380</v>
      </c>
      <c r="C242" s="1" t="s">
        <v>1381</v>
      </c>
      <c r="D242" s="1" t="s">
        <v>1382</v>
      </c>
      <c r="E242" s="5"/>
      <c r="F242" s="5"/>
      <c r="G242" s="1">
        <v>1980</v>
      </c>
      <c r="H242" s="1">
        <v>1</v>
      </c>
      <c r="I242" s="1">
        <v>1980</v>
      </c>
      <c r="J242" s="1">
        <v>1</v>
      </c>
      <c r="K242" s="1">
        <f t="shared" si="12"/>
        <v>297</v>
      </c>
      <c r="L242" s="6">
        <v>768</v>
      </c>
      <c r="M242" s="6">
        <f t="shared" si="13"/>
        <v>768</v>
      </c>
      <c r="N242" s="6">
        <f t="shared" si="14"/>
        <v>915</v>
      </c>
      <c r="O242" s="8">
        <f t="shared" si="15"/>
        <v>0.4621212121212121</v>
      </c>
    </row>
    <row r="243" spans="1:26" ht="20" customHeight="1">
      <c r="A243" s="1" t="s">
        <v>742</v>
      </c>
      <c r="C243" s="1" t="s">
        <v>743</v>
      </c>
      <c r="D243" s="1" t="s">
        <v>744</v>
      </c>
      <c r="E243" s="5"/>
      <c r="F243" s="5"/>
      <c r="G243" s="1">
        <v>1980</v>
      </c>
      <c r="H243" s="1">
        <v>1</v>
      </c>
      <c r="I243" s="1">
        <v>1980</v>
      </c>
      <c r="J243" s="1">
        <v>1</v>
      </c>
      <c r="K243" s="1">
        <f t="shared" si="12"/>
        <v>297</v>
      </c>
      <c r="L243" s="6">
        <v>979</v>
      </c>
      <c r="M243" s="6">
        <f t="shared" si="13"/>
        <v>979</v>
      </c>
      <c r="N243" s="6">
        <f t="shared" si="14"/>
        <v>704</v>
      </c>
      <c r="O243" s="8">
        <f t="shared" si="15"/>
        <v>0.35555555555555557</v>
      </c>
    </row>
    <row r="244" spans="1:26" ht="20" customHeight="1">
      <c r="A244" s="1" t="s">
        <v>1383</v>
      </c>
      <c r="C244" s="1" t="s">
        <v>1384</v>
      </c>
      <c r="D244" s="1" t="s">
        <v>1385</v>
      </c>
      <c r="E244" s="5"/>
      <c r="F244" s="5"/>
      <c r="G244" s="1">
        <v>1980</v>
      </c>
      <c r="H244" s="1">
        <v>1</v>
      </c>
      <c r="I244" s="1">
        <v>1980</v>
      </c>
      <c r="J244" s="1">
        <v>1</v>
      </c>
      <c r="K244" s="1">
        <f t="shared" si="12"/>
        <v>297</v>
      </c>
      <c r="L244" s="6">
        <v>642</v>
      </c>
      <c r="M244" s="6">
        <f t="shared" si="13"/>
        <v>642</v>
      </c>
      <c r="N244" s="6">
        <f t="shared" si="14"/>
        <v>1041</v>
      </c>
      <c r="O244" s="8">
        <f t="shared" si="15"/>
        <v>0.52575757575757576</v>
      </c>
    </row>
    <row r="245" spans="1:26" ht="17" customHeight="1">
      <c r="A245" s="1" t="s">
        <v>1386</v>
      </c>
      <c r="C245" s="1">
        <v>4550391011926</v>
      </c>
      <c r="D245" s="1" t="s">
        <v>1387</v>
      </c>
      <c r="G245" s="1">
        <v>1980</v>
      </c>
      <c r="H245" s="1">
        <v>1</v>
      </c>
      <c r="I245" s="1">
        <v>1980</v>
      </c>
      <c r="J245" s="1">
        <v>1</v>
      </c>
      <c r="K245" s="1">
        <f t="shared" si="12"/>
        <v>297</v>
      </c>
      <c r="L245" s="6">
        <v>816</v>
      </c>
      <c r="M245" s="6">
        <f t="shared" si="13"/>
        <v>816</v>
      </c>
      <c r="N245" s="6">
        <f t="shared" si="14"/>
        <v>867</v>
      </c>
      <c r="O245" s="8">
        <f t="shared" si="15"/>
        <v>0.43787878787878787</v>
      </c>
    </row>
    <row r="246" spans="1:26" ht="20" customHeight="1">
      <c r="A246" s="1" t="s">
        <v>1388</v>
      </c>
      <c r="C246" s="1" t="s">
        <v>1389</v>
      </c>
      <c r="D246" s="1" t="s">
        <v>1390</v>
      </c>
      <c r="E246" s="5"/>
      <c r="F246" s="5"/>
      <c r="G246" s="1">
        <v>1980</v>
      </c>
      <c r="H246" s="1">
        <v>1</v>
      </c>
      <c r="I246" s="1">
        <v>1980</v>
      </c>
      <c r="J246" s="1">
        <v>1</v>
      </c>
      <c r="K246" s="1">
        <f t="shared" si="12"/>
        <v>297</v>
      </c>
      <c r="L246" s="6">
        <v>1023</v>
      </c>
      <c r="M246" s="6">
        <f t="shared" si="13"/>
        <v>1023</v>
      </c>
      <c r="N246" s="6">
        <f t="shared" si="14"/>
        <v>660</v>
      </c>
      <c r="O246" s="8">
        <f t="shared" si="15"/>
        <v>0.33333333333333331</v>
      </c>
    </row>
    <row r="247" spans="1:26" ht="17" customHeight="1">
      <c r="A247" s="1" t="s">
        <v>1391</v>
      </c>
      <c r="B247" s="1" t="s">
        <v>1311</v>
      </c>
      <c r="C247" s="1" t="s">
        <v>1392</v>
      </c>
      <c r="D247" s="1" t="s">
        <v>1393</v>
      </c>
      <c r="E247" s="1" t="s">
        <v>1394</v>
      </c>
      <c r="G247" s="1">
        <v>1980</v>
      </c>
      <c r="H247" s="1">
        <v>1</v>
      </c>
      <c r="I247" s="1">
        <v>1980</v>
      </c>
      <c r="J247" s="1">
        <v>1</v>
      </c>
      <c r="K247" s="1">
        <f t="shared" si="12"/>
        <v>297</v>
      </c>
      <c r="L247" s="6">
        <v>200</v>
      </c>
      <c r="M247" s="6">
        <f t="shared" si="13"/>
        <v>200</v>
      </c>
      <c r="N247" s="6">
        <f t="shared" si="14"/>
        <v>1483</v>
      </c>
      <c r="O247" s="8">
        <f t="shared" si="15"/>
        <v>0.74898989898989898</v>
      </c>
    </row>
    <row r="248" spans="1:26" ht="20" customHeight="1">
      <c r="A248" s="1" t="s">
        <v>1395</v>
      </c>
      <c r="C248" s="1" t="s">
        <v>559</v>
      </c>
      <c r="D248" s="1" t="s">
        <v>1396</v>
      </c>
      <c r="E248" s="5"/>
      <c r="F248" s="5"/>
      <c r="G248" s="1">
        <v>1980</v>
      </c>
      <c r="H248" s="1">
        <v>1</v>
      </c>
      <c r="I248" s="1">
        <v>1980</v>
      </c>
      <c r="J248" s="1">
        <v>1</v>
      </c>
      <c r="K248" s="1">
        <f t="shared" si="12"/>
        <v>297</v>
      </c>
      <c r="L248" s="6">
        <v>473</v>
      </c>
      <c r="M248" s="6">
        <f t="shared" si="13"/>
        <v>473</v>
      </c>
      <c r="N248" s="6">
        <f t="shared" si="14"/>
        <v>1210</v>
      </c>
      <c r="O248" s="8">
        <f t="shared" si="15"/>
        <v>0.61111111111111116</v>
      </c>
    </row>
    <row r="249" spans="1:26" ht="20" customHeight="1">
      <c r="A249" s="1" t="s">
        <v>354</v>
      </c>
      <c r="C249" s="1" t="s">
        <v>355</v>
      </c>
      <c r="D249" s="1" t="s">
        <v>1397</v>
      </c>
      <c r="E249" s="5"/>
      <c r="F249" s="5"/>
      <c r="G249" s="1">
        <v>1980</v>
      </c>
      <c r="H249" s="1">
        <v>1</v>
      </c>
      <c r="I249" s="1">
        <v>1980</v>
      </c>
      <c r="J249" s="1">
        <v>1</v>
      </c>
      <c r="K249" s="1">
        <f t="shared" si="12"/>
        <v>297</v>
      </c>
      <c r="L249" s="6">
        <v>358</v>
      </c>
      <c r="M249" s="6">
        <f t="shared" si="13"/>
        <v>358</v>
      </c>
      <c r="N249" s="6">
        <f t="shared" si="14"/>
        <v>1325</v>
      </c>
      <c r="O249" s="8">
        <f t="shared" si="15"/>
        <v>0.66919191919191923</v>
      </c>
    </row>
    <row r="250" spans="1:26" ht="20" customHeight="1">
      <c r="A250" s="1" t="s">
        <v>1398</v>
      </c>
      <c r="C250" s="1" t="s">
        <v>1399</v>
      </c>
      <c r="D250" s="1">
        <v>143</v>
      </c>
      <c r="E250" s="5"/>
      <c r="F250" s="5"/>
      <c r="G250" s="1">
        <v>327</v>
      </c>
      <c r="H250" s="1">
        <v>6</v>
      </c>
      <c r="I250" s="1">
        <v>1962</v>
      </c>
      <c r="J250" s="1">
        <v>1</v>
      </c>
      <c r="K250" s="1">
        <f t="shared" si="12"/>
        <v>294.3</v>
      </c>
      <c r="L250" s="6">
        <v>143</v>
      </c>
      <c r="M250" s="6">
        <f t="shared" si="13"/>
        <v>858</v>
      </c>
      <c r="N250" s="6">
        <f t="shared" si="14"/>
        <v>809.7</v>
      </c>
      <c r="O250" s="8">
        <f t="shared" si="15"/>
        <v>0.41269113149847098</v>
      </c>
    </row>
    <row r="251" spans="1:26" ht="17" customHeight="1">
      <c r="A251" s="1" t="s">
        <v>651</v>
      </c>
      <c r="B251" s="1" t="s">
        <v>1400</v>
      </c>
      <c r="C251" s="1" t="s">
        <v>653</v>
      </c>
      <c r="D251" s="9">
        <v>6.2111481480589895E+20</v>
      </c>
      <c r="E251" s="1" t="s">
        <v>1401</v>
      </c>
      <c r="G251" s="1">
        <v>1880</v>
      </c>
      <c r="H251" s="1">
        <v>1</v>
      </c>
      <c r="I251" s="1">
        <v>1880</v>
      </c>
      <c r="J251" s="1">
        <v>1</v>
      </c>
      <c r="K251" s="1">
        <f t="shared" si="12"/>
        <v>282</v>
      </c>
      <c r="L251" s="6">
        <v>880</v>
      </c>
      <c r="M251" s="6">
        <f t="shared" si="13"/>
        <v>880</v>
      </c>
      <c r="N251" s="6">
        <f t="shared" si="14"/>
        <v>718</v>
      </c>
      <c r="O251" s="8">
        <f t="shared" si="15"/>
        <v>0.3819148936170213</v>
      </c>
    </row>
    <row r="252" spans="1:26" ht="20" customHeight="1">
      <c r="A252" s="1" t="s">
        <v>1402</v>
      </c>
      <c r="C252" s="1" t="s">
        <v>1403</v>
      </c>
      <c r="D252" s="1" t="s">
        <v>1404</v>
      </c>
      <c r="E252" s="5"/>
      <c r="F252" s="5"/>
      <c r="G252" s="1">
        <v>1780</v>
      </c>
      <c r="H252" s="1">
        <v>1</v>
      </c>
      <c r="I252" s="1">
        <v>1780</v>
      </c>
      <c r="J252" s="1">
        <v>1</v>
      </c>
      <c r="K252" s="1">
        <f t="shared" si="12"/>
        <v>267</v>
      </c>
      <c r="L252" s="6">
        <v>605</v>
      </c>
      <c r="M252" s="6">
        <f t="shared" si="13"/>
        <v>605</v>
      </c>
      <c r="N252" s="6">
        <f t="shared" si="14"/>
        <v>908</v>
      </c>
      <c r="O252" s="8">
        <f t="shared" si="15"/>
        <v>0.51011235955056178</v>
      </c>
    </row>
    <row r="253" spans="1:26" ht="20" customHeight="1">
      <c r="A253" s="1" t="s">
        <v>1405</v>
      </c>
      <c r="C253" s="1" t="s">
        <v>1406</v>
      </c>
      <c r="D253" s="1" t="s">
        <v>1407</v>
      </c>
      <c r="E253" s="5"/>
      <c r="F253" s="5"/>
      <c r="G253" s="1">
        <v>1780</v>
      </c>
      <c r="H253" s="1">
        <v>1</v>
      </c>
      <c r="I253" s="1">
        <v>1780</v>
      </c>
      <c r="J253" s="1">
        <v>1</v>
      </c>
      <c r="K253" s="1">
        <f t="shared" si="12"/>
        <v>267</v>
      </c>
      <c r="L253" s="6">
        <v>980</v>
      </c>
      <c r="M253" s="6">
        <f t="shared" si="13"/>
        <v>980</v>
      </c>
      <c r="N253" s="6">
        <f t="shared" si="14"/>
        <v>533</v>
      </c>
      <c r="O253" s="8">
        <f t="shared" si="15"/>
        <v>0.29943820224719103</v>
      </c>
    </row>
    <row r="254" spans="1:26" ht="20" customHeight="1">
      <c r="A254" s="10" t="s">
        <v>1408</v>
      </c>
      <c r="B254" s="10"/>
      <c r="C254" s="10" t="s">
        <v>797</v>
      </c>
      <c r="D254" s="10" t="s">
        <v>1409</v>
      </c>
      <c r="E254" s="11"/>
      <c r="F254" s="11"/>
      <c r="G254" s="10">
        <v>1680</v>
      </c>
      <c r="H254" s="10">
        <v>1</v>
      </c>
      <c r="I254" s="10">
        <v>1680</v>
      </c>
      <c r="J254" s="10">
        <v>1</v>
      </c>
      <c r="K254" s="10">
        <f t="shared" si="12"/>
        <v>252</v>
      </c>
      <c r="L254" s="12">
        <v>432</v>
      </c>
      <c r="M254" s="12">
        <f t="shared" si="13"/>
        <v>432</v>
      </c>
      <c r="N254" s="12">
        <f t="shared" si="14"/>
        <v>996</v>
      </c>
      <c r="O254" s="13">
        <f t="shared" si="15"/>
        <v>0.59285714285714286</v>
      </c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0" customHeight="1">
      <c r="A255" s="10" t="s">
        <v>1410</v>
      </c>
      <c r="B255" s="10"/>
      <c r="C255" s="10" t="s">
        <v>791</v>
      </c>
      <c r="D255" s="10" t="s">
        <v>1145</v>
      </c>
      <c r="E255" s="11"/>
      <c r="F255" s="11"/>
      <c r="G255" s="10">
        <v>1680</v>
      </c>
      <c r="H255" s="10">
        <v>1</v>
      </c>
      <c r="I255" s="10">
        <v>1680</v>
      </c>
      <c r="J255" s="10">
        <v>1</v>
      </c>
      <c r="K255" s="10">
        <f t="shared" si="12"/>
        <v>252</v>
      </c>
      <c r="L255" s="12">
        <v>942</v>
      </c>
      <c r="M255" s="12">
        <f t="shared" si="13"/>
        <v>942</v>
      </c>
      <c r="N255" s="12">
        <f t="shared" si="14"/>
        <v>486</v>
      </c>
      <c r="O255" s="13">
        <f t="shared" si="15"/>
        <v>0.28928571428571431</v>
      </c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0" customHeight="1">
      <c r="A256" s="1" t="s">
        <v>1411</v>
      </c>
      <c r="C256" s="1" t="s">
        <v>1412</v>
      </c>
      <c r="D256" s="1" t="s">
        <v>1413</v>
      </c>
      <c r="E256" s="5"/>
      <c r="F256" s="5"/>
      <c r="G256" s="1">
        <v>1580</v>
      </c>
      <c r="H256" s="1">
        <v>1</v>
      </c>
      <c r="I256" s="1">
        <v>1580</v>
      </c>
      <c r="J256" s="1">
        <v>1</v>
      </c>
      <c r="K256" s="1">
        <f t="shared" si="12"/>
        <v>237</v>
      </c>
      <c r="L256" s="6">
        <v>605</v>
      </c>
      <c r="M256" s="6">
        <f t="shared" si="13"/>
        <v>605</v>
      </c>
      <c r="N256" s="6">
        <f t="shared" si="14"/>
        <v>738</v>
      </c>
      <c r="O256" s="8">
        <f t="shared" si="15"/>
        <v>0.4670886075949367</v>
      </c>
    </row>
    <row r="257" spans="1:15" ht="20" customHeight="1">
      <c r="A257" s="1" t="s">
        <v>611</v>
      </c>
      <c r="C257" s="1" t="s">
        <v>344</v>
      </c>
      <c r="D257" s="1">
        <v>720</v>
      </c>
      <c r="E257" s="5"/>
      <c r="F257" s="5"/>
      <c r="G257" s="1">
        <v>1580</v>
      </c>
      <c r="H257" s="1">
        <v>1</v>
      </c>
      <c r="I257" s="1">
        <v>1580</v>
      </c>
      <c r="J257" s="1">
        <v>1</v>
      </c>
      <c r="K257" s="1">
        <f t="shared" si="12"/>
        <v>237</v>
      </c>
      <c r="L257" s="6">
        <v>720</v>
      </c>
      <c r="M257" s="6">
        <f t="shared" si="13"/>
        <v>720</v>
      </c>
      <c r="N257" s="6">
        <f t="shared" si="14"/>
        <v>623</v>
      </c>
      <c r="O257" s="8">
        <f t="shared" si="15"/>
        <v>0.39430379746835442</v>
      </c>
    </row>
    <row r="258" spans="1:15" ht="20" customHeight="1">
      <c r="A258" s="1" t="s">
        <v>1414</v>
      </c>
      <c r="C258" s="1" t="s">
        <v>568</v>
      </c>
      <c r="D258" s="1" t="s">
        <v>569</v>
      </c>
      <c r="E258" s="5"/>
      <c r="F258" s="5"/>
      <c r="G258" s="1">
        <v>1580</v>
      </c>
      <c r="H258" s="1">
        <v>1</v>
      </c>
      <c r="I258" s="1">
        <v>1580</v>
      </c>
      <c r="J258" s="1">
        <v>1</v>
      </c>
      <c r="K258" s="1">
        <f t="shared" si="12"/>
        <v>237</v>
      </c>
      <c r="L258" s="6">
        <v>1086</v>
      </c>
      <c r="M258" s="6">
        <f t="shared" si="13"/>
        <v>1086</v>
      </c>
      <c r="N258" s="6">
        <f t="shared" si="14"/>
        <v>257</v>
      </c>
      <c r="O258" s="8">
        <f t="shared" si="15"/>
        <v>0.16265822784810127</v>
      </c>
    </row>
    <row r="259" spans="1:15" ht="17" customHeight="1">
      <c r="A259" s="1" t="s">
        <v>1248</v>
      </c>
      <c r="B259" s="1" t="s">
        <v>975</v>
      </c>
      <c r="C259" s="1" t="s">
        <v>1249</v>
      </c>
      <c r="D259" s="9">
        <v>1.13111481155116E+23</v>
      </c>
      <c r="E259" s="1" t="s">
        <v>1415</v>
      </c>
      <c r="G259" s="1">
        <v>1580</v>
      </c>
      <c r="H259" s="1">
        <v>1</v>
      </c>
      <c r="I259" s="1">
        <v>1580</v>
      </c>
      <c r="J259" s="1">
        <v>1</v>
      </c>
      <c r="K259" s="1">
        <f t="shared" si="12"/>
        <v>237</v>
      </c>
      <c r="L259" s="6">
        <v>504</v>
      </c>
      <c r="M259" s="6">
        <f t="shared" si="13"/>
        <v>504</v>
      </c>
      <c r="N259" s="6">
        <f t="shared" si="14"/>
        <v>839</v>
      </c>
      <c r="O259" s="8">
        <f t="shared" si="15"/>
        <v>0.53101265822784816</v>
      </c>
    </row>
    <row r="260" spans="1:15" ht="20" customHeight="1">
      <c r="A260" s="1" t="s">
        <v>1416</v>
      </c>
      <c r="C260" s="1">
        <v>4550391012374</v>
      </c>
      <c r="D260" s="1" t="s">
        <v>1417</v>
      </c>
      <c r="F260" s="5"/>
      <c r="G260" s="1">
        <v>1480</v>
      </c>
      <c r="H260" s="1">
        <v>1</v>
      </c>
      <c r="I260" s="1">
        <v>1480</v>
      </c>
      <c r="J260" s="1">
        <v>1</v>
      </c>
      <c r="K260" s="1">
        <f t="shared" si="12"/>
        <v>222</v>
      </c>
      <c r="L260" s="6">
        <v>504</v>
      </c>
      <c r="M260" s="6">
        <f t="shared" si="13"/>
        <v>504</v>
      </c>
      <c r="N260" s="6">
        <f t="shared" si="14"/>
        <v>754</v>
      </c>
      <c r="O260" s="8">
        <f t="shared" si="15"/>
        <v>0.50945945945945947</v>
      </c>
    </row>
    <row r="261" spans="1:15" ht="20" customHeight="1">
      <c r="A261" s="1" t="s">
        <v>1418</v>
      </c>
      <c r="C261" s="1" t="s">
        <v>1419</v>
      </c>
      <c r="D261" s="1">
        <v>818</v>
      </c>
      <c r="E261" s="5"/>
      <c r="F261" s="5"/>
      <c r="G261" s="1">
        <v>1480</v>
      </c>
      <c r="H261" s="1">
        <v>1</v>
      </c>
      <c r="I261" s="1">
        <v>1480</v>
      </c>
      <c r="J261" s="1">
        <v>1</v>
      </c>
      <c r="K261" s="1">
        <f t="shared" si="12"/>
        <v>222</v>
      </c>
      <c r="L261" s="6">
        <v>818</v>
      </c>
      <c r="M261" s="6">
        <f t="shared" si="13"/>
        <v>818</v>
      </c>
      <c r="N261" s="6">
        <f t="shared" si="14"/>
        <v>440</v>
      </c>
      <c r="O261" s="8">
        <f t="shared" si="15"/>
        <v>0.29729729729729731</v>
      </c>
    </row>
    <row r="262" spans="1:15" ht="20" customHeight="1">
      <c r="A262" s="1" t="s">
        <v>1420</v>
      </c>
      <c r="C262" s="1">
        <v>4550391012367</v>
      </c>
      <c r="D262" s="1" t="s">
        <v>1421</v>
      </c>
      <c r="F262" s="5"/>
      <c r="G262" s="1">
        <v>1480</v>
      </c>
      <c r="H262" s="1">
        <v>1</v>
      </c>
      <c r="I262" s="1">
        <v>1480</v>
      </c>
      <c r="J262" s="1">
        <v>1</v>
      </c>
      <c r="K262" s="1">
        <f t="shared" si="12"/>
        <v>222</v>
      </c>
      <c r="L262" s="6">
        <v>504</v>
      </c>
      <c r="M262" s="6">
        <f t="shared" si="13"/>
        <v>504</v>
      </c>
      <c r="N262" s="6">
        <f t="shared" si="14"/>
        <v>754</v>
      </c>
      <c r="O262" s="8">
        <f t="shared" si="15"/>
        <v>0.50945945945945947</v>
      </c>
    </row>
    <row r="263" spans="1:15" ht="20" customHeight="1">
      <c r="A263" s="1" t="s">
        <v>1422</v>
      </c>
      <c r="C263" s="1" t="s">
        <v>1423</v>
      </c>
      <c r="D263" s="1" t="s">
        <v>1424</v>
      </c>
      <c r="E263" s="5"/>
      <c r="F263" s="5"/>
      <c r="G263" s="1">
        <v>1480</v>
      </c>
      <c r="H263" s="1">
        <v>1</v>
      </c>
      <c r="I263" s="1">
        <v>1480</v>
      </c>
      <c r="J263" s="1">
        <v>1</v>
      </c>
      <c r="K263" s="1">
        <f t="shared" si="12"/>
        <v>222</v>
      </c>
      <c r="L263" s="6">
        <v>612</v>
      </c>
      <c r="M263" s="6">
        <f t="shared" si="13"/>
        <v>612</v>
      </c>
      <c r="N263" s="6">
        <f t="shared" si="14"/>
        <v>646</v>
      </c>
      <c r="O263" s="8">
        <f t="shared" si="15"/>
        <v>0.43648648648648647</v>
      </c>
    </row>
    <row r="264" spans="1:15" ht="17" customHeight="1">
      <c r="A264" s="1" t="s">
        <v>1248</v>
      </c>
      <c r="B264" s="1" t="s">
        <v>1425</v>
      </c>
      <c r="C264" s="1" t="s">
        <v>1249</v>
      </c>
      <c r="D264" s="9">
        <v>1.13111481155116E+23</v>
      </c>
      <c r="E264" s="1" t="s">
        <v>1426</v>
      </c>
      <c r="G264" s="1">
        <v>1480</v>
      </c>
      <c r="H264" s="1">
        <v>1</v>
      </c>
      <c r="I264" s="1">
        <v>1480</v>
      </c>
      <c r="J264" s="1">
        <v>1</v>
      </c>
      <c r="K264" s="1">
        <f t="shared" ref="K264:K293" si="16">SUM(I264*0.15)</f>
        <v>222</v>
      </c>
      <c r="L264" s="6">
        <v>504</v>
      </c>
      <c r="M264" s="6">
        <f t="shared" ref="M264:M327" si="17">SUM(H264*L264)</f>
        <v>504</v>
      </c>
      <c r="N264" s="6">
        <f t="shared" ref="N264:N327" si="18">SUM(I264-K264-M264)</f>
        <v>754</v>
      </c>
      <c r="O264" s="8">
        <f t="shared" ref="O264:O327" si="19">IF(I264=0,"",N264/I264)</f>
        <v>0.50945945945945947</v>
      </c>
    </row>
    <row r="265" spans="1:15" ht="20" customHeight="1">
      <c r="A265" s="1" t="s">
        <v>1427</v>
      </c>
      <c r="C265" s="1" t="s">
        <v>1428</v>
      </c>
      <c r="D265" s="1" t="s">
        <v>1429</v>
      </c>
      <c r="E265" s="5"/>
      <c r="F265" s="5"/>
      <c r="G265" s="1">
        <v>1480</v>
      </c>
      <c r="H265" s="1">
        <v>1</v>
      </c>
      <c r="I265" s="1">
        <v>1480</v>
      </c>
      <c r="J265" s="1">
        <v>1</v>
      </c>
      <c r="K265" s="1">
        <f t="shared" si="16"/>
        <v>222</v>
      </c>
      <c r="L265" s="6">
        <v>657</v>
      </c>
      <c r="M265" s="6">
        <f t="shared" si="17"/>
        <v>657</v>
      </c>
      <c r="N265" s="6">
        <f t="shared" si="18"/>
        <v>601</v>
      </c>
      <c r="O265" s="8">
        <f t="shared" si="19"/>
        <v>0.4060810810810811</v>
      </c>
    </row>
    <row r="266" spans="1:15" ht="20" customHeight="1">
      <c r="A266" s="1" t="s">
        <v>1430</v>
      </c>
      <c r="C266" s="1" t="s">
        <v>1431</v>
      </c>
      <c r="D266" s="1" t="s">
        <v>1432</v>
      </c>
      <c r="E266" s="5"/>
      <c r="F266" s="5"/>
      <c r="G266" s="1">
        <v>1380</v>
      </c>
      <c r="H266" s="1">
        <v>1</v>
      </c>
      <c r="I266" s="1">
        <v>1380</v>
      </c>
      <c r="J266" s="1">
        <v>1</v>
      </c>
      <c r="K266" s="1">
        <f t="shared" si="16"/>
        <v>207</v>
      </c>
      <c r="L266" s="6">
        <v>596</v>
      </c>
      <c r="M266" s="6">
        <f t="shared" si="17"/>
        <v>596</v>
      </c>
      <c r="N266" s="6">
        <f t="shared" si="18"/>
        <v>577</v>
      </c>
      <c r="O266" s="8">
        <f t="shared" si="19"/>
        <v>0.4181159420289855</v>
      </c>
    </row>
    <row r="267" spans="1:15" ht="17" customHeight="1">
      <c r="A267" s="1" t="s">
        <v>1278</v>
      </c>
      <c r="B267" s="1" t="s">
        <v>1433</v>
      </c>
      <c r="C267" s="1" t="s">
        <v>1280</v>
      </c>
      <c r="D267" s="1" t="s">
        <v>1281</v>
      </c>
      <c r="E267" s="1" t="s">
        <v>1434</v>
      </c>
      <c r="G267" s="1">
        <v>1380</v>
      </c>
      <c r="H267" s="1">
        <v>1</v>
      </c>
      <c r="I267" s="1">
        <v>1380</v>
      </c>
      <c r="J267" s="1">
        <v>1</v>
      </c>
      <c r="K267" s="1">
        <f t="shared" si="16"/>
        <v>207</v>
      </c>
      <c r="L267" s="6">
        <v>286</v>
      </c>
      <c r="M267" s="6">
        <f t="shared" si="17"/>
        <v>286</v>
      </c>
      <c r="N267" s="6">
        <f t="shared" si="18"/>
        <v>887</v>
      </c>
      <c r="O267" s="8">
        <f t="shared" si="19"/>
        <v>0.64275362318840579</v>
      </c>
    </row>
    <row r="268" spans="1:15" ht="20" customHeight="1">
      <c r="A268" s="1" t="s">
        <v>1435</v>
      </c>
      <c r="C268" s="1" t="s">
        <v>1436</v>
      </c>
      <c r="D268" s="1" t="s">
        <v>1437</v>
      </c>
      <c r="E268" s="5"/>
      <c r="F268" s="5"/>
      <c r="G268" s="1">
        <v>1380</v>
      </c>
      <c r="H268" s="1">
        <v>1</v>
      </c>
      <c r="I268" s="1">
        <v>1380</v>
      </c>
      <c r="J268" s="1">
        <v>1</v>
      </c>
      <c r="K268" s="1">
        <f t="shared" si="16"/>
        <v>207</v>
      </c>
      <c r="L268" s="6">
        <v>630</v>
      </c>
      <c r="M268" s="6">
        <f t="shared" si="17"/>
        <v>630</v>
      </c>
      <c r="N268" s="6">
        <f t="shared" si="18"/>
        <v>543</v>
      </c>
      <c r="O268" s="8">
        <f t="shared" si="19"/>
        <v>0.39347826086956522</v>
      </c>
    </row>
    <row r="269" spans="1:15" ht="20" customHeight="1">
      <c r="A269" s="1" t="s">
        <v>1438</v>
      </c>
      <c r="C269" s="1" t="s">
        <v>1439</v>
      </c>
      <c r="D269" s="1" t="s">
        <v>1440</v>
      </c>
      <c r="E269" s="5"/>
      <c r="F269" s="5"/>
      <c r="G269" s="1">
        <v>1380</v>
      </c>
      <c r="H269" s="1">
        <v>1</v>
      </c>
      <c r="I269" s="1">
        <v>1380</v>
      </c>
      <c r="J269" s="1">
        <v>1</v>
      </c>
      <c r="K269" s="1">
        <f t="shared" si="16"/>
        <v>207</v>
      </c>
      <c r="L269" s="6">
        <v>550</v>
      </c>
      <c r="M269" s="6">
        <f t="shared" si="17"/>
        <v>550</v>
      </c>
      <c r="N269" s="6">
        <f t="shared" si="18"/>
        <v>623</v>
      </c>
      <c r="O269" s="8">
        <f t="shared" si="19"/>
        <v>0.45144927536231882</v>
      </c>
    </row>
    <row r="270" spans="1:15" ht="17" customHeight="1">
      <c r="A270" s="1" t="s">
        <v>824</v>
      </c>
      <c r="B270" s="1" t="s">
        <v>682</v>
      </c>
      <c r="C270" s="1" t="s">
        <v>825</v>
      </c>
      <c r="D270" s="1" t="s">
        <v>1441</v>
      </c>
      <c r="E270" s="1" t="s">
        <v>827</v>
      </c>
      <c r="G270" s="1">
        <v>1380</v>
      </c>
      <c r="H270" s="1">
        <v>1</v>
      </c>
      <c r="I270" s="1">
        <v>1380</v>
      </c>
      <c r="J270" s="1">
        <v>1</v>
      </c>
      <c r="K270" s="1">
        <f t="shared" si="16"/>
        <v>207</v>
      </c>
      <c r="L270" s="6">
        <v>695</v>
      </c>
      <c r="M270" s="6">
        <f t="shared" si="17"/>
        <v>695</v>
      </c>
      <c r="N270" s="6">
        <f t="shared" si="18"/>
        <v>478</v>
      </c>
      <c r="O270" s="8">
        <f t="shared" si="19"/>
        <v>0.34637681159420292</v>
      </c>
    </row>
    <row r="271" spans="1:15" ht="20" customHeight="1">
      <c r="A271" s="1" t="s">
        <v>1442</v>
      </c>
      <c r="C271" s="1" t="s">
        <v>1443</v>
      </c>
      <c r="D271" s="1" t="s">
        <v>1444</v>
      </c>
      <c r="F271" s="5"/>
      <c r="G271" s="1">
        <v>1280</v>
      </c>
      <c r="H271" s="1">
        <v>1</v>
      </c>
      <c r="I271" s="1">
        <v>1280</v>
      </c>
      <c r="J271" s="1">
        <v>1</v>
      </c>
      <c r="K271" s="1">
        <f t="shared" si="16"/>
        <v>192</v>
      </c>
      <c r="L271" s="6">
        <v>530</v>
      </c>
      <c r="M271" s="6">
        <f t="shared" si="17"/>
        <v>530</v>
      </c>
      <c r="N271" s="6">
        <f t="shared" si="18"/>
        <v>558</v>
      </c>
      <c r="O271" s="8">
        <f t="shared" si="19"/>
        <v>0.43593749999999998</v>
      </c>
    </row>
    <row r="272" spans="1:15" ht="15" customHeight="1">
      <c r="A272" s="1" t="s">
        <v>1445</v>
      </c>
      <c r="C272" s="1" t="s">
        <v>1446</v>
      </c>
      <c r="D272" s="1">
        <v>737</v>
      </c>
      <c r="E272" s="5"/>
      <c r="F272" s="5"/>
      <c r="G272" s="1">
        <v>1280</v>
      </c>
      <c r="H272" s="1">
        <v>1</v>
      </c>
      <c r="I272" s="1">
        <v>1280</v>
      </c>
      <c r="J272" s="1">
        <v>1</v>
      </c>
      <c r="K272" s="1">
        <f t="shared" si="16"/>
        <v>192</v>
      </c>
      <c r="L272" s="6">
        <v>737</v>
      </c>
      <c r="M272" s="6">
        <f t="shared" si="17"/>
        <v>737</v>
      </c>
      <c r="N272" s="6">
        <f t="shared" si="18"/>
        <v>351</v>
      </c>
      <c r="O272" s="8">
        <f t="shared" si="19"/>
        <v>0.27421875000000001</v>
      </c>
    </row>
    <row r="273" spans="1:26" ht="20" customHeight="1">
      <c r="A273" s="1" t="s">
        <v>1447</v>
      </c>
      <c r="C273" s="1" t="s">
        <v>1448</v>
      </c>
      <c r="D273" s="1">
        <v>508</v>
      </c>
      <c r="E273" s="5"/>
      <c r="F273" s="5"/>
      <c r="G273" s="1">
        <v>1280</v>
      </c>
      <c r="H273" s="1">
        <v>1</v>
      </c>
      <c r="I273" s="1">
        <v>1280</v>
      </c>
      <c r="J273" s="1">
        <v>1</v>
      </c>
      <c r="K273" s="1">
        <f t="shared" si="16"/>
        <v>192</v>
      </c>
      <c r="L273" s="6">
        <v>508</v>
      </c>
      <c r="M273" s="6">
        <f t="shared" si="17"/>
        <v>508</v>
      </c>
      <c r="N273" s="6">
        <f t="shared" si="18"/>
        <v>580</v>
      </c>
      <c r="O273" s="8">
        <f t="shared" si="19"/>
        <v>0.453125</v>
      </c>
    </row>
    <row r="274" spans="1:26" ht="20" customHeight="1">
      <c r="A274" s="10" t="s">
        <v>672</v>
      </c>
      <c r="B274" s="10"/>
      <c r="C274" s="10" t="s">
        <v>673</v>
      </c>
      <c r="D274" s="10" t="s">
        <v>1449</v>
      </c>
      <c r="E274" s="11"/>
      <c r="F274" s="11"/>
      <c r="G274" s="10">
        <v>1280</v>
      </c>
      <c r="H274" s="10">
        <v>1</v>
      </c>
      <c r="I274" s="10">
        <v>1280</v>
      </c>
      <c r="J274" s="10">
        <v>1</v>
      </c>
      <c r="K274" s="10">
        <f t="shared" si="16"/>
        <v>192</v>
      </c>
      <c r="L274" s="12">
        <v>780</v>
      </c>
      <c r="M274" s="12">
        <f t="shared" si="17"/>
        <v>780</v>
      </c>
      <c r="N274" s="12">
        <f t="shared" si="18"/>
        <v>308</v>
      </c>
      <c r="O274" s="13">
        <f t="shared" si="19"/>
        <v>0.24062500000000001</v>
      </c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0" customHeight="1">
      <c r="A275" s="10" t="s">
        <v>1450</v>
      </c>
      <c r="B275" s="10"/>
      <c r="C275" s="10" t="s">
        <v>1451</v>
      </c>
      <c r="D275" s="10" t="s">
        <v>1452</v>
      </c>
      <c r="E275" s="11"/>
      <c r="F275" s="11"/>
      <c r="G275" s="10">
        <v>1280</v>
      </c>
      <c r="H275" s="10">
        <v>1</v>
      </c>
      <c r="I275" s="10">
        <v>1280</v>
      </c>
      <c r="J275" s="10">
        <v>1</v>
      </c>
      <c r="K275" s="10">
        <f t="shared" si="16"/>
        <v>192</v>
      </c>
      <c r="L275" s="12">
        <v>780</v>
      </c>
      <c r="M275" s="12">
        <f t="shared" si="17"/>
        <v>780</v>
      </c>
      <c r="N275" s="12">
        <f t="shared" si="18"/>
        <v>308</v>
      </c>
      <c r="O275" s="13">
        <f t="shared" si="19"/>
        <v>0.24062500000000001</v>
      </c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0" customHeight="1">
      <c r="A276" s="1" t="s">
        <v>1453</v>
      </c>
      <c r="C276" s="1">
        <v>4550391012411</v>
      </c>
      <c r="D276" s="1" t="s">
        <v>1454</v>
      </c>
      <c r="F276" s="5"/>
      <c r="G276" s="1">
        <v>1280</v>
      </c>
      <c r="H276" s="1">
        <v>1</v>
      </c>
      <c r="I276" s="1">
        <v>1280</v>
      </c>
      <c r="J276" s="1">
        <v>1</v>
      </c>
      <c r="K276" s="1">
        <f t="shared" si="16"/>
        <v>192</v>
      </c>
      <c r="L276" s="6">
        <v>504</v>
      </c>
      <c r="M276" s="6">
        <f t="shared" si="17"/>
        <v>504</v>
      </c>
      <c r="N276" s="6">
        <f t="shared" si="18"/>
        <v>584</v>
      </c>
      <c r="O276" s="8">
        <f t="shared" si="19"/>
        <v>0.45624999999999999</v>
      </c>
    </row>
    <row r="277" spans="1:26" ht="20" customHeight="1">
      <c r="A277" s="1" t="s">
        <v>802</v>
      </c>
      <c r="C277" s="1" t="s">
        <v>803</v>
      </c>
      <c r="D277" s="1" t="s">
        <v>1455</v>
      </c>
      <c r="E277" s="5"/>
      <c r="F277" s="5"/>
      <c r="G277" s="1">
        <v>1280</v>
      </c>
      <c r="H277" s="1">
        <v>1</v>
      </c>
      <c r="I277" s="1">
        <v>1280</v>
      </c>
      <c r="J277" s="1">
        <v>1</v>
      </c>
      <c r="K277" s="1">
        <f t="shared" si="16"/>
        <v>192</v>
      </c>
      <c r="L277" s="6">
        <v>638</v>
      </c>
      <c r="M277" s="6">
        <f t="shared" si="17"/>
        <v>638</v>
      </c>
      <c r="N277" s="6">
        <f t="shared" si="18"/>
        <v>450</v>
      </c>
      <c r="O277" s="8">
        <f t="shared" si="19"/>
        <v>0.3515625</v>
      </c>
    </row>
    <row r="278" spans="1:26" ht="17" customHeight="1">
      <c r="A278" s="1" t="s">
        <v>841</v>
      </c>
      <c r="B278" s="1" t="s">
        <v>853</v>
      </c>
      <c r="C278" s="1" t="s">
        <v>843</v>
      </c>
      <c r="D278" s="9">
        <v>605858638891</v>
      </c>
      <c r="E278" s="1" t="s">
        <v>854</v>
      </c>
      <c r="G278" s="1">
        <v>1180</v>
      </c>
      <c r="H278" s="1">
        <v>1</v>
      </c>
      <c r="I278" s="1">
        <v>1180</v>
      </c>
      <c r="J278" s="1">
        <v>1</v>
      </c>
      <c r="K278" s="1">
        <f t="shared" si="16"/>
        <v>177</v>
      </c>
      <c r="L278" s="6"/>
      <c r="M278" s="6">
        <f t="shared" si="17"/>
        <v>0</v>
      </c>
      <c r="N278" s="6">
        <f t="shared" si="18"/>
        <v>1003</v>
      </c>
      <c r="O278" s="8">
        <f t="shared" si="19"/>
        <v>0.85</v>
      </c>
    </row>
    <row r="279" spans="1:26" ht="20" customHeight="1">
      <c r="A279" s="10" t="s">
        <v>1456</v>
      </c>
      <c r="B279" s="10"/>
      <c r="C279" s="10" t="s">
        <v>477</v>
      </c>
      <c r="D279" s="10" t="s">
        <v>1457</v>
      </c>
      <c r="E279" s="11"/>
      <c r="F279" s="11"/>
      <c r="G279" s="10">
        <v>1180</v>
      </c>
      <c r="H279" s="10">
        <v>1</v>
      </c>
      <c r="I279" s="10">
        <v>1180</v>
      </c>
      <c r="J279" s="10">
        <v>1</v>
      </c>
      <c r="K279" s="10">
        <f t="shared" si="16"/>
        <v>177</v>
      </c>
      <c r="L279" s="12">
        <v>440</v>
      </c>
      <c r="M279" s="12">
        <f t="shared" si="17"/>
        <v>440</v>
      </c>
      <c r="N279" s="12">
        <f t="shared" si="18"/>
        <v>563</v>
      </c>
      <c r="O279" s="13">
        <f t="shared" si="19"/>
        <v>0.47711864406779664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0" customHeight="1">
      <c r="A280" s="1" t="s">
        <v>1458</v>
      </c>
      <c r="C280" s="1" t="s">
        <v>1459</v>
      </c>
      <c r="D280" s="1" t="s">
        <v>1460</v>
      </c>
      <c r="E280" s="5"/>
      <c r="F280" s="5"/>
      <c r="G280" s="1">
        <v>589</v>
      </c>
      <c r="H280" s="1">
        <v>2</v>
      </c>
      <c r="I280" s="1">
        <v>1178</v>
      </c>
      <c r="J280" s="1">
        <v>1</v>
      </c>
      <c r="K280" s="1">
        <f t="shared" si="16"/>
        <v>176.7</v>
      </c>
      <c r="L280" s="6">
        <v>324</v>
      </c>
      <c r="M280" s="6">
        <f t="shared" si="17"/>
        <v>648</v>
      </c>
      <c r="N280" s="6">
        <f t="shared" si="18"/>
        <v>353.29999999999995</v>
      </c>
      <c r="O280" s="8">
        <f t="shared" si="19"/>
        <v>0.29991511035653645</v>
      </c>
    </row>
    <row r="281" spans="1:26" ht="20" customHeight="1">
      <c r="A281" s="1" t="s">
        <v>1461</v>
      </c>
      <c r="C281" s="1" t="s">
        <v>1462</v>
      </c>
      <c r="D281" s="1" t="s">
        <v>1463</v>
      </c>
      <c r="E281" s="5"/>
      <c r="F281" s="5"/>
      <c r="G281" s="1">
        <v>999</v>
      </c>
      <c r="H281" s="1">
        <v>1</v>
      </c>
      <c r="I281" s="1">
        <v>999</v>
      </c>
      <c r="J281" s="1">
        <v>1</v>
      </c>
      <c r="K281" s="1">
        <f t="shared" si="16"/>
        <v>149.85</v>
      </c>
      <c r="L281" s="6">
        <v>502</v>
      </c>
      <c r="M281" s="6">
        <f t="shared" si="17"/>
        <v>502</v>
      </c>
      <c r="N281" s="6">
        <f t="shared" si="18"/>
        <v>347.15</v>
      </c>
      <c r="O281" s="8">
        <f t="shared" si="19"/>
        <v>0.34749749749749748</v>
      </c>
    </row>
    <row r="282" spans="1:26" ht="20" customHeight="1">
      <c r="A282" s="1" t="s">
        <v>1464</v>
      </c>
      <c r="C282" s="1" t="s">
        <v>1465</v>
      </c>
      <c r="D282" s="1" t="s">
        <v>1466</v>
      </c>
      <c r="E282" s="5"/>
      <c r="F282" s="5"/>
      <c r="G282" s="1">
        <v>999</v>
      </c>
      <c r="H282" s="1">
        <v>1</v>
      </c>
      <c r="I282" s="1">
        <v>999</v>
      </c>
      <c r="J282" s="1">
        <v>1</v>
      </c>
      <c r="K282" s="1">
        <f t="shared" si="16"/>
        <v>149.85</v>
      </c>
      <c r="L282" s="6">
        <v>598</v>
      </c>
      <c r="M282" s="6">
        <f t="shared" si="17"/>
        <v>598</v>
      </c>
      <c r="N282" s="6">
        <f t="shared" si="18"/>
        <v>251.14999999999998</v>
      </c>
      <c r="O282" s="8">
        <f t="shared" si="19"/>
        <v>0.25140140140140138</v>
      </c>
    </row>
    <row r="283" spans="1:26" ht="20" customHeight="1">
      <c r="A283" s="1" t="s">
        <v>1467</v>
      </c>
      <c r="C283" s="1" t="s">
        <v>1468</v>
      </c>
      <c r="D283" s="1" t="s">
        <v>1469</v>
      </c>
      <c r="E283" s="5"/>
      <c r="F283" s="5"/>
      <c r="G283" s="1">
        <v>999</v>
      </c>
      <c r="H283" s="1">
        <v>1</v>
      </c>
      <c r="I283" s="1">
        <v>999</v>
      </c>
      <c r="J283" s="1">
        <v>1</v>
      </c>
      <c r="K283" s="1">
        <f t="shared" si="16"/>
        <v>149.85</v>
      </c>
      <c r="L283" s="6">
        <v>598</v>
      </c>
      <c r="M283" s="6">
        <f t="shared" si="17"/>
        <v>598</v>
      </c>
      <c r="N283" s="6">
        <f t="shared" si="18"/>
        <v>251.14999999999998</v>
      </c>
      <c r="O283" s="8">
        <f t="shared" si="19"/>
        <v>0.25140140140140138</v>
      </c>
    </row>
    <row r="284" spans="1:26" ht="20" customHeight="1">
      <c r="A284" s="1" t="s">
        <v>512</v>
      </c>
      <c r="C284" s="1" t="s">
        <v>513</v>
      </c>
      <c r="D284" s="1" t="s">
        <v>1470</v>
      </c>
      <c r="E284" s="5"/>
      <c r="F284" s="5"/>
      <c r="G284" s="1">
        <v>999</v>
      </c>
      <c r="H284" s="1">
        <v>1</v>
      </c>
      <c r="I284" s="1">
        <v>999</v>
      </c>
      <c r="J284" s="1">
        <v>1</v>
      </c>
      <c r="K284" s="1">
        <f t="shared" si="16"/>
        <v>149.85</v>
      </c>
      <c r="L284" s="6">
        <v>598</v>
      </c>
      <c r="M284" s="6">
        <f t="shared" si="17"/>
        <v>598</v>
      </c>
      <c r="N284" s="6">
        <f t="shared" si="18"/>
        <v>251.14999999999998</v>
      </c>
      <c r="O284" s="8">
        <f t="shared" si="19"/>
        <v>0.25140140140140138</v>
      </c>
    </row>
    <row r="285" spans="1:26" ht="20" customHeight="1">
      <c r="A285" s="1" t="s">
        <v>1471</v>
      </c>
      <c r="C285" s="1" t="s">
        <v>1472</v>
      </c>
      <c r="D285" s="1" t="s">
        <v>1473</v>
      </c>
      <c r="E285" s="5"/>
      <c r="F285" s="5"/>
      <c r="G285" s="1">
        <v>498</v>
      </c>
      <c r="H285" s="1">
        <v>2</v>
      </c>
      <c r="I285" s="1">
        <v>996</v>
      </c>
      <c r="J285" s="1">
        <v>1</v>
      </c>
      <c r="K285" s="1">
        <f t="shared" si="16"/>
        <v>149.4</v>
      </c>
      <c r="L285" s="6">
        <v>128</v>
      </c>
      <c r="M285" s="6">
        <f t="shared" si="17"/>
        <v>256</v>
      </c>
      <c r="N285" s="6">
        <f t="shared" si="18"/>
        <v>590.6</v>
      </c>
      <c r="O285" s="8">
        <f t="shared" si="19"/>
        <v>0.5929718875502008</v>
      </c>
    </row>
    <row r="286" spans="1:26" ht="20" customHeight="1">
      <c r="A286" s="1" t="s">
        <v>1474</v>
      </c>
      <c r="C286" s="1" t="s">
        <v>1475</v>
      </c>
      <c r="D286" s="1" t="s">
        <v>1476</v>
      </c>
      <c r="E286" s="5"/>
      <c r="F286" s="5"/>
      <c r="G286" s="1">
        <v>980</v>
      </c>
      <c r="H286" s="1">
        <v>1</v>
      </c>
      <c r="I286" s="1">
        <v>980</v>
      </c>
      <c r="J286" s="1">
        <v>1</v>
      </c>
      <c r="K286" s="1">
        <f t="shared" si="16"/>
        <v>147</v>
      </c>
      <c r="L286" s="6">
        <v>220</v>
      </c>
      <c r="M286" s="6">
        <f t="shared" si="17"/>
        <v>220</v>
      </c>
      <c r="N286" s="6">
        <f t="shared" si="18"/>
        <v>613</v>
      </c>
      <c r="O286" s="8">
        <f t="shared" si="19"/>
        <v>0.6255102040816326</v>
      </c>
    </row>
    <row r="287" spans="1:26" ht="20" customHeight="1">
      <c r="A287" s="1" t="s">
        <v>1477</v>
      </c>
      <c r="C287" s="1" t="s">
        <v>1478</v>
      </c>
      <c r="D287" s="1" t="s">
        <v>1479</v>
      </c>
      <c r="E287" s="5"/>
      <c r="F287" s="5"/>
      <c r="G287" s="1">
        <v>980</v>
      </c>
      <c r="H287" s="1">
        <v>1</v>
      </c>
      <c r="I287" s="1">
        <v>980</v>
      </c>
      <c r="J287" s="1">
        <v>1</v>
      </c>
      <c r="K287" s="1">
        <f t="shared" si="16"/>
        <v>147</v>
      </c>
      <c r="L287" s="6">
        <v>220</v>
      </c>
      <c r="M287" s="6">
        <f t="shared" si="17"/>
        <v>220</v>
      </c>
      <c r="N287" s="6">
        <f t="shared" si="18"/>
        <v>613</v>
      </c>
      <c r="O287" s="8">
        <f t="shared" si="19"/>
        <v>0.6255102040816326</v>
      </c>
    </row>
    <row r="288" spans="1:26" ht="20" customHeight="1">
      <c r="A288" s="1" t="s">
        <v>1480</v>
      </c>
      <c r="C288" s="1">
        <v>4901133368554</v>
      </c>
      <c r="D288" s="1">
        <v>8554</v>
      </c>
      <c r="E288" s="5"/>
      <c r="F288" s="5"/>
      <c r="G288" s="1">
        <v>798</v>
      </c>
      <c r="H288" s="1">
        <v>1</v>
      </c>
      <c r="I288" s="1">
        <v>798</v>
      </c>
      <c r="J288" s="1">
        <v>1</v>
      </c>
      <c r="K288" s="1">
        <f t="shared" si="16"/>
        <v>119.69999999999999</v>
      </c>
      <c r="L288" s="6"/>
      <c r="M288" s="6">
        <f t="shared" si="17"/>
        <v>0</v>
      </c>
      <c r="N288" s="6">
        <f t="shared" si="18"/>
        <v>678.3</v>
      </c>
      <c r="O288" s="8">
        <f t="shared" si="19"/>
        <v>0.85</v>
      </c>
    </row>
    <row r="289" spans="1:15" ht="20" customHeight="1">
      <c r="A289" s="1" t="s">
        <v>1481</v>
      </c>
      <c r="C289" s="1" t="s">
        <v>1482</v>
      </c>
      <c r="D289" s="1" t="s">
        <v>1483</v>
      </c>
      <c r="E289" s="5"/>
      <c r="F289" s="5"/>
      <c r="G289" s="1">
        <v>362</v>
      </c>
      <c r="H289" s="1">
        <v>2</v>
      </c>
      <c r="I289" s="1">
        <v>724</v>
      </c>
      <c r="J289" s="1">
        <v>1</v>
      </c>
      <c r="K289" s="1">
        <f t="shared" si="16"/>
        <v>108.6</v>
      </c>
      <c r="L289" s="6">
        <v>110</v>
      </c>
      <c r="M289" s="6">
        <f t="shared" si="17"/>
        <v>220</v>
      </c>
      <c r="N289" s="6">
        <f t="shared" si="18"/>
        <v>395.4</v>
      </c>
      <c r="O289" s="8">
        <f t="shared" si="19"/>
        <v>0.54613259668508285</v>
      </c>
    </row>
    <row r="290" spans="1:15" ht="20" customHeight="1">
      <c r="A290" s="1" t="s">
        <v>1484</v>
      </c>
      <c r="C290" s="1" t="s">
        <v>1485</v>
      </c>
      <c r="D290" s="1" t="s">
        <v>1486</v>
      </c>
      <c r="E290" s="5"/>
      <c r="F290" s="5"/>
      <c r="G290" s="1">
        <v>569</v>
      </c>
      <c r="H290" s="1">
        <v>1</v>
      </c>
      <c r="I290" s="1">
        <v>569</v>
      </c>
      <c r="J290" s="1">
        <v>1</v>
      </c>
      <c r="K290" s="1">
        <f t="shared" si="16"/>
        <v>85.35</v>
      </c>
      <c r="L290" s="6">
        <v>143</v>
      </c>
      <c r="M290" s="6">
        <f t="shared" si="17"/>
        <v>143</v>
      </c>
      <c r="N290" s="6">
        <f t="shared" si="18"/>
        <v>340.65</v>
      </c>
      <c r="O290" s="8">
        <f t="shared" si="19"/>
        <v>0.59868189806678385</v>
      </c>
    </row>
    <row r="291" spans="1:15" ht="20" customHeight="1">
      <c r="A291" s="1" t="s">
        <v>1487</v>
      </c>
      <c r="C291" s="1" t="s">
        <v>1488</v>
      </c>
      <c r="D291" s="1">
        <v>72</v>
      </c>
      <c r="E291" s="5"/>
      <c r="F291" s="5"/>
      <c r="G291" s="1">
        <v>168</v>
      </c>
      <c r="H291" s="1">
        <v>3</v>
      </c>
      <c r="I291" s="1">
        <v>504</v>
      </c>
      <c r="J291" s="1">
        <v>1</v>
      </c>
      <c r="K291" s="1">
        <f t="shared" si="16"/>
        <v>75.599999999999994</v>
      </c>
      <c r="L291" s="6">
        <v>72</v>
      </c>
      <c r="M291" s="6">
        <f t="shared" si="17"/>
        <v>216</v>
      </c>
      <c r="N291" s="6">
        <f t="shared" si="18"/>
        <v>212.39999999999998</v>
      </c>
      <c r="O291" s="8">
        <f t="shared" si="19"/>
        <v>0.42142857142857137</v>
      </c>
    </row>
    <row r="292" spans="1:15" ht="20" customHeight="1">
      <c r="A292" s="1" t="s">
        <v>1489</v>
      </c>
      <c r="C292" s="1" t="s">
        <v>1490</v>
      </c>
      <c r="D292" s="1" t="s">
        <v>1491</v>
      </c>
      <c r="E292" s="5"/>
      <c r="F292" s="5"/>
      <c r="G292" s="1">
        <v>498</v>
      </c>
      <c r="H292" s="1">
        <v>1</v>
      </c>
      <c r="I292" s="1">
        <v>498</v>
      </c>
      <c r="J292" s="1">
        <v>1</v>
      </c>
      <c r="K292" s="1">
        <f t="shared" si="16"/>
        <v>74.7</v>
      </c>
      <c r="L292" s="6">
        <v>199</v>
      </c>
      <c r="M292" s="6">
        <f t="shared" si="17"/>
        <v>199</v>
      </c>
      <c r="N292" s="6">
        <f t="shared" si="18"/>
        <v>224.3</v>
      </c>
      <c r="O292" s="8">
        <f t="shared" si="19"/>
        <v>0.45040160642570282</v>
      </c>
    </row>
    <row r="293" spans="1:15" ht="20" customHeight="1">
      <c r="A293" s="1" t="s">
        <v>1492</v>
      </c>
      <c r="C293" s="1" t="s">
        <v>1493</v>
      </c>
      <c r="D293" s="1" t="s">
        <v>1494</v>
      </c>
      <c r="E293" s="5"/>
      <c r="F293" s="5"/>
      <c r="G293" s="1">
        <v>498</v>
      </c>
      <c r="H293" s="1">
        <v>1</v>
      </c>
      <c r="I293" s="1">
        <v>498</v>
      </c>
      <c r="J293" s="1">
        <v>1</v>
      </c>
      <c r="K293" s="1">
        <f t="shared" si="16"/>
        <v>74.7</v>
      </c>
      <c r="L293" s="6">
        <v>99</v>
      </c>
      <c r="M293" s="6">
        <f t="shared" si="17"/>
        <v>99</v>
      </c>
      <c r="N293" s="6">
        <f t="shared" si="18"/>
        <v>324.3</v>
      </c>
      <c r="O293" s="8">
        <f t="shared" si="19"/>
        <v>0.65120481927710849</v>
      </c>
    </row>
    <row r="294" spans="1:15" ht="13" customHeight="1">
      <c r="H294" s="1">
        <f>SUM(H8:H293)</f>
        <v>950</v>
      </c>
      <c r="I294" s="1">
        <f>SUM(I8:I293)</f>
        <v>4356623</v>
      </c>
      <c r="J294" s="1">
        <f>SUM(J8:J293)</f>
        <v>822</v>
      </c>
      <c r="K294" s="3">
        <f>SUM(K8:K293)</f>
        <v>653493.4499999996</v>
      </c>
      <c r="L294" s="28"/>
      <c r="M294" s="28">
        <f>SUM(M8:M293)</f>
        <v>1749545</v>
      </c>
      <c r="N294" s="29">
        <f>SUM(N8:N293)</f>
        <v>1953584.55</v>
      </c>
      <c r="O294" s="8">
        <f t="shared" si="19"/>
        <v>0.44841716852709085</v>
      </c>
    </row>
    <row r="295" spans="1:15" ht="13" customHeight="1">
      <c r="L295" s="28"/>
      <c r="M295" s="28"/>
      <c r="N295" s="28"/>
    </row>
    <row r="296" spans="1:15" ht="13" customHeight="1">
      <c r="L296" s="28"/>
      <c r="M296" s="28" t="s">
        <v>861</v>
      </c>
      <c r="N296" s="28">
        <v>143000</v>
      </c>
      <c r="O296" s="2">
        <f>SUM(N296/I294)</f>
        <v>3.2823588361903244E-2</v>
      </c>
    </row>
    <row r="297" spans="1:15" ht="13" customHeight="1">
      <c r="L297" s="28"/>
      <c r="M297" s="28" t="s">
        <v>862</v>
      </c>
      <c r="N297" s="28">
        <v>99256</v>
      </c>
      <c r="O297" s="2">
        <f>SUM(N297/I294)</f>
        <v>2.2782783821322157E-2</v>
      </c>
    </row>
    <row r="298" spans="1:15" ht="13" customHeight="1">
      <c r="L298" s="28"/>
      <c r="M298" s="28" t="s">
        <v>863</v>
      </c>
      <c r="N298" s="28">
        <v>9100</v>
      </c>
      <c r="O298" s="1" t="s">
        <v>1495</v>
      </c>
    </row>
    <row r="299" spans="1:15" ht="13" customHeight="1">
      <c r="L299" s="28"/>
      <c r="M299" s="28" t="s">
        <v>864</v>
      </c>
      <c r="N299" s="28">
        <v>0</v>
      </c>
    </row>
    <row r="300" spans="1:15" ht="13" customHeight="1">
      <c r="L300" s="28"/>
      <c r="M300" s="28" t="s">
        <v>866</v>
      </c>
      <c r="N300" s="28">
        <f>SUM(N296:N299)</f>
        <v>251356</v>
      </c>
      <c r="O300" s="2">
        <f>SUM(N300/I294)</f>
        <v>5.7695145988073793E-2</v>
      </c>
    </row>
    <row r="301" spans="1:15" ht="13" customHeight="1">
      <c r="L301" s="28"/>
      <c r="M301" s="28"/>
      <c r="N301" s="28"/>
      <c r="O301" s="2"/>
    </row>
    <row r="302" spans="1:15" ht="13" customHeight="1">
      <c r="L302" s="28"/>
      <c r="M302" s="28" t="s">
        <v>867</v>
      </c>
      <c r="N302" s="28">
        <v>280000</v>
      </c>
      <c r="O302" s="2">
        <f>SUM(N302/I294)</f>
        <v>6.426996322610426E-2</v>
      </c>
    </row>
    <row r="303" spans="1:15" ht="13" customHeight="1">
      <c r="L303" s="28"/>
      <c r="M303" s="1" t="s">
        <v>868</v>
      </c>
      <c r="N303" s="1">
        <v>26752</v>
      </c>
      <c r="O303" s="2">
        <f>SUM(N303/I294)</f>
        <v>6.1405359150883609E-3</v>
      </c>
    </row>
    <row r="304" spans="1:15" ht="13" customHeight="1">
      <c r="L304" s="28"/>
      <c r="M304" s="1" t="s">
        <v>866</v>
      </c>
      <c r="N304" s="1">
        <f>SUM(N302:N303)</f>
        <v>306752</v>
      </c>
      <c r="O304" s="2">
        <f>SUM(O302:O303)</f>
        <v>7.0410499141192615E-2</v>
      </c>
    </row>
    <row r="305" spans="12:14" ht="13" customHeight="1">
      <c r="L305" s="28"/>
      <c r="M305" s="28"/>
      <c r="N305" s="28"/>
    </row>
    <row r="306" spans="12:14" ht="13" customHeight="1">
      <c r="L306" s="28"/>
      <c r="M306" s="28" t="s">
        <v>869</v>
      </c>
      <c r="N306" s="29">
        <f>IF(COUNTBLANK(N296:N299)+COUNTBLANK(N302:N303)&gt;0,"未確定",N294-N300-N304)</f>
        <v>1395476.55</v>
      </c>
    </row>
    <row r="307" spans="12:14" ht="13" customHeight="1">
      <c r="L307" s="28"/>
      <c r="M307" s="28" t="s">
        <v>870</v>
      </c>
      <c r="N307" s="8">
        <f>IF(ISTEXT(N306),"未確定",IF(I294=0,"",N306/I294))</f>
        <v>0.32031152339782443</v>
      </c>
    </row>
    <row r="308" spans="12:14" ht="13" customHeight="1">
      <c r="L308" s="28"/>
      <c r="M308" s="28"/>
      <c r="N308" s="28"/>
    </row>
    <row r="309" spans="12:14" ht="13" customHeight="1">
      <c r="L309" s="28"/>
      <c r="M309" s="28"/>
      <c r="N309" s="28"/>
    </row>
    <row r="310" spans="12:14" ht="13" customHeight="1">
      <c r="L310" s="28"/>
      <c r="M310" s="28"/>
      <c r="N310" s="28"/>
    </row>
    <row r="311" spans="12:14" ht="13" customHeight="1">
      <c r="L311" s="28"/>
      <c r="M311" s="28"/>
      <c r="N311" s="28"/>
    </row>
    <row r="312" spans="12:14" ht="13" customHeight="1">
      <c r="L312" s="28"/>
      <c r="M312" s="28"/>
      <c r="N312" s="28"/>
    </row>
    <row r="313" spans="12:14" ht="13" customHeight="1">
      <c r="L313" s="28"/>
      <c r="M313" s="28"/>
      <c r="N313" s="28"/>
    </row>
    <row r="314" spans="12:14" ht="13" customHeight="1">
      <c r="L314" s="28"/>
      <c r="M314" s="28"/>
      <c r="N314" s="28"/>
    </row>
    <row r="315" spans="12:14" ht="13" customHeight="1">
      <c r="L315" s="28"/>
      <c r="M315" s="28"/>
      <c r="N315" s="28"/>
    </row>
    <row r="316" spans="12:14" ht="13" customHeight="1">
      <c r="L316" s="28"/>
      <c r="M316" s="28"/>
      <c r="N316" s="28"/>
    </row>
    <row r="317" spans="12:14" ht="13" customHeight="1">
      <c r="L317" s="28"/>
      <c r="M317" s="28"/>
      <c r="N317" s="28"/>
    </row>
    <row r="318" spans="12:14" ht="13" customHeight="1">
      <c r="L318" s="28"/>
      <c r="M318" s="28"/>
      <c r="N318" s="28"/>
    </row>
    <row r="319" spans="12:14" ht="13" customHeight="1">
      <c r="L319" s="28"/>
      <c r="M319" s="28"/>
      <c r="N319" s="28"/>
    </row>
    <row r="320" spans="12:14" ht="13" customHeight="1">
      <c r="L320" s="28"/>
      <c r="M320" s="28"/>
      <c r="N320" s="28"/>
    </row>
    <row r="321" spans="12:14" ht="13" customHeight="1">
      <c r="L321" s="28"/>
      <c r="M321" s="28"/>
      <c r="N321" s="28"/>
    </row>
    <row r="322" spans="12:14" ht="13" customHeight="1">
      <c r="L322" s="28"/>
      <c r="M322" s="28"/>
      <c r="N322" s="28"/>
    </row>
    <row r="323" spans="12:14" ht="13" customHeight="1">
      <c r="L323" s="28"/>
      <c r="M323" s="28"/>
      <c r="N323" s="28"/>
    </row>
    <row r="324" spans="12:14" ht="13" customHeight="1">
      <c r="L324" s="28"/>
      <c r="M324" s="28"/>
      <c r="N324" s="28"/>
    </row>
    <row r="325" spans="12:14" ht="13" customHeight="1">
      <c r="L325" s="28"/>
      <c r="M325" s="28"/>
      <c r="N325" s="28"/>
    </row>
    <row r="326" spans="12:14" ht="13" customHeight="1">
      <c r="L326" s="28"/>
      <c r="M326" s="28"/>
      <c r="N326" s="28"/>
    </row>
    <row r="327" spans="12:14" ht="13" customHeight="1">
      <c r="L327" s="28"/>
      <c r="M327" s="28"/>
      <c r="N327" s="28"/>
    </row>
    <row r="328" spans="12:14" ht="13" customHeight="1">
      <c r="L328" s="28"/>
      <c r="M328" s="28"/>
      <c r="N328" s="28"/>
    </row>
    <row r="329" spans="12:14" ht="13" customHeight="1">
      <c r="L329" s="28"/>
      <c r="M329" s="28"/>
      <c r="N329" s="28"/>
    </row>
    <row r="330" spans="12:14" ht="13" customHeight="1">
      <c r="L330" s="28"/>
      <c r="M330" s="28"/>
      <c r="N330" s="28"/>
    </row>
    <row r="331" spans="12:14" ht="13" customHeight="1">
      <c r="L331" s="28"/>
      <c r="M331" s="28"/>
      <c r="N331" s="28"/>
    </row>
    <row r="332" spans="12:14" ht="13" customHeight="1">
      <c r="L332" s="28"/>
      <c r="M332" s="28"/>
      <c r="N332" s="28"/>
    </row>
    <row r="333" spans="12:14" ht="13" customHeight="1">
      <c r="L333" s="28"/>
      <c r="M333" s="28"/>
      <c r="N333" s="28"/>
    </row>
    <row r="334" spans="12:14" ht="13" customHeight="1">
      <c r="L334" s="28"/>
      <c r="M334" s="28"/>
      <c r="N334" s="28"/>
    </row>
    <row r="335" spans="12:14" ht="13" customHeight="1">
      <c r="L335" s="28"/>
      <c r="M335" s="28"/>
      <c r="N335" s="28"/>
    </row>
    <row r="336" spans="12:14" ht="13" customHeight="1">
      <c r="L336" s="28"/>
      <c r="M336" s="28"/>
      <c r="N336" s="28"/>
    </row>
    <row r="337" spans="12:14" ht="13" customHeight="1">
      <c r="L337" s="28"/>
      <c r="M337" s="28"/>
      <c r="N337" s="28"/>
    </row>
    <row r="338" spans="12:14" ht="13" customHeight="1">
      <c r="L338" s="28"/>
      <c r="M338" s="28"/>
      <c r="N338" s="28"/>
    </row>
    <row r="339" spans="12:14" ht="13" customHeight="1">
      <c r="L339" s="28"/>
      <c r="M339" s="28"/>
      <c r="N339" s="28"/>
    </row>
    <row r="340" spans="12:14" ht="13" customHeight="1">
      <c r="L340" s="28"/>
      <c r="M340" s="28"/>
      <c r="N340" s="28"/>
    </row>
    <row r="341" spans="12:14" ht="13" customHeight="1">
      <c r="L341" s="28"/>
      <c r="M341" s="28"/>
      <c r="N341" s="28"/>
    </row>
    <row r="342" spans="12:14" ht="13" customHeight="1">
      <c r="L342" s="28"/>
      <c r="M342" s="28"/>
      <c r="N342" s="28"/>
    </row>
    <row r="343" spans="12:14" ht="13" customHeight="1">
      <c r="L343" s="28"/>
      <c r="M343" s="28"/>
      <c r="N343" s="28"/>
    </row>
    <row r="344" spans="12:14" ht="13" customHeight="1">
      <c r="L344" s="28"/>
      <c r="M344" s="28"/>
      <c r="N344" s="28"/>
    </row>
    <row r="345" spans="12:14" ht="13" customHeight="1">
      <c r="L345" s="28"/>
      <c r="M345" s="28"/>
      <c r="N345" s="28"/>
    </row>
    <row r="346" spans="12:14" ht="13" customHeight="1">
      <c r="L346" s="28"/>
      <c r="M346" s="28"/>
      <c r="N346" s="28"/>
    </row>
    <row r="347" spans="12:14" ht="13" customHeight="1">
      <c r="L347" s="28"/>
      <c r="M347" s="28"/>
      <c r="N347" s="28"/>
    </row>
    <row r="348" spans="12:14" ht="13" customHeight="1">
      <c r="L348" s="28"/>
      <c r="M348" s="28"/>
      <c r="N348" s="28"/>
    </row>
    <row r="349" spans="12:14" ht="13" customHeight="1">
      <c r="L349" s="28"/>
      <c r="M349" s="28"/>
      <c r="N349" s="28"/>
    </row>
    <row r="350" spans="12:14" ht="13" customHeight="1">
      <c r="L350" s="28"/>
      <c r="M350" s="28"/>
      <c r="N350" s="28"/>
    </row>
    <row r="351" spans="12:14" ht="13" customHeight="1">
      <c r="L351" s="28"/>
      <c r="M351" s="28"/>
      <c r="N351" s="28"/>
    </row>
    <row r="352" spans="12:14" ht="13" customHeight="1">
      <c r="L352" s="28"/>
      <c r="M352" s="28"/>
      <c r="N352" s="28"/>
    </row>
    <row r="353" spans="12:14" ht="13" customHeight="1">
      <c r="L353" s="28"/>
      <c r="M353" s="28"/>
      <c r="N353" s="28"/>
    </row>
    <row r="354" spans="12:14" ht="13" customHeight="1">
      <c r="L354" s="28"/>
      <c r="M354" s="28"/>
      <c r="N354" s="28"/>
    </row>
    <row r="355" spans="12:14" ht="13" customHeight="1">
      <c r="L355" s="28"/>
      <c r="M355" s="28"/>
      <c r="N355" s="28"/>
    </row>
    <row r="356" spans="12:14" ht="13" customHeight="1">
      <c r="L356" s="28"/>
      <c r="M356" s="28"/>
      <c r="N356" s="28"/>
    </row>
    <row r="357" spans="12:14" ht="13" customHeight="1">
      <c r="L357" s="28"/>
      <c r="M357" s="28"/>
      <c r="N357" s="28"/>
    </row>
    <row r="358" spans="12:14" ht="13" customHeight="1">
      <c r="L358" s="28"/>
      <c r="M358" s="28"/>
      <c r="N358" s="28"/>
    </row>
    <row r="359" spans="12:14" ht="13" customHeight="1">
      <c r="L359" s="28"/>
      <c r="M359" s="28"/>
      <c r="N359" s="28"/>
    </row>
    <row r="360" spans="12:14" ht="13" customHeight="1">
      <c r="L360" s="28"/>
      <c r="M360" s="28"/>
      <c r="N360" s="28"/>
    </row>
    <row r="361" spans="12:14" ht="13" customHeight="1">
      <c r="L361" s="28"/>
      <c r="M361" s="28"/>
      <c r="N361" s="28"/>
    </row>
    <row r="362" spans="12:14" ht="13" customHeight="1">
      <c r="L362" s="28"/>
      <c r="M362" s="28"/>
      <c r="N362" s="28"/>
    </row>
    <row r="363" spans="12:14" ht="13" customHeight="1">
      <c r="L363" s="28"/>
      <c r="M363" s="28"/>
      <c r="N363" s="28"/>
    </row>
    <row r="364" spans="12:14" ht="13" customHeight="1">
      <c r="L364" s="28"/>
      <c r="M364" s="28"/>
      <c r="N364" s="28"/>
    </row>
    <row r="365" spans="12:14" ht="13" customHeight="1">
      <c r="L365" s="28"/>
      <c r="M365" s="28"/>
      <c r="N365" s="28"/>
    </row>
    <row r="366" spans="12:14" ht="13" customHeight="1">
      <c r="L366" s="28"/>
      <c r="M366" s="28"/>
      <c r="N366" s="28"/>
    </row>
    <row r="367" spans="12:14" ht="13" customHeight="1">
      <c r="L367" s="28"/>
      <c r="M367" s="28"/>
      <c r="N367" s="28"/>
    </row>
    <row r="368" spans="12:14" ht="13" customHeight="1">
      <c r="L368" s="28"/>
      <c r="M368" s="28"/>
      <c r="N368" s="28"/>
    </row>
    <row r="369" spans="12:14" ht="13" customHeight="1">
      <c r="L369" s="28"/>
      <c r="M369" s="28"/>
      <c r="N369" s="28"/>
    </row>
    <row r="370" spans="12:14" ht="13" customHeight="1">
      <c r="L370" s="28"/>
      <c r="M370" s="28"/>
      <c r="N370" s="28"/>
    </row>
    <row r="371" spans="12:14" ht="13" customHeight="1">
      <c r="L371" s="28"/>
      <c r="M371" s="28"/>
      <c r="N371" s="28"/>
    </row>
    <row r="372" spans="12:14" ht="13" customHeight="1">
      <c r="L372" s="28"/>
      <c r="M372" s="28"/>
      <c r="N372" s="28"/>
    </row>
    <row r="373" spans="12:14" ht="13" customHeight="1">
      <c r="L373" s="28"/>
      <c r="M373" s="28"/>
      <c r="N373" s="28"/>
    </row>
    <row r="374" spans="12:14" ht="13" customHeight="1">
      <c r="L374" s="28"/>
      <c r="M374" s="28"/>
      <c r="N374" s="28"/>
    </row>
    <row r="375" spans="12:14" ht="13" customHeight="1">
      <c r="L375" s="28"/>
      <c r="M375" s="28"/>
      <c r="N375" s="28"/>
    </row>
    <row r="376" spans="12:14" ht="13" customHeight="1">
      <c r="L376" s="28"/>
      <c r="M376" s="28"/>
      <c r="N376" s="28"/>
    </row>
    <row r="377" spans="12:14" ht="13" customHeight="1">
      <c r="L377" s="28"/>
      <c r="M377" s="28"/>
      <c r="N377" s="28"/>
    </row>
    <row r="378" spans="12:14" ht="13" customHeight="1">
      <c r="L378" s="28"/>
      <c r="M378" s="28"/>
      <c r="N378" s="28"/>
    </row>
    <row r="379" spans="12:14" ht="13" customHeight="1">
      <c r="L379" s="28"/>
      <c r="M379" s="28"/>
      <c r="N379" s="28"/>
    </row>
    <row r="380" spans="12:14" ht="13" customHeight="1">
      <c r="L380" s="28"/>
      <c r="M380" s="28"/>
      <c r="N380" s="28"/>
    </row>
    <row r="381" spans="12:14" ht="13" customHeight="1">
      <c r="L381" s="28"/>
      <c r="M381" s="28"/>
      <c r="N381" s="28"/>
    </row>
    <row r="382" spans="12:14" ht="13" customHeight="1">
      <c r="L382" s="28"/>
      <c r="M382" s="28"/>
      <c r="N382" s="28"/>
    </row>
    <row r="383" spans="12:14" ht="13" customHeight="1">
      <c r="L383" s="28"/>
      <c r="M383" s="28"/>
      <c r="N383" s="28"/>
    </row>
    <row r="384" spans="12:14" ht="13" customHeight="1">
      <c r="L384" s="28"/>
      <c r="M384" s="28"/>
      <c r="N384" s="28"/>
    </row>
    <row r="385" spans="12:14" ht="13" customHeight="1">
      <c r="L385" s="28"/>
      <c r="M385" s="28"/>
      <c r="N385" s="28"/>
    </row>
    <row r="386" spans="12:14" ht="13" customHeight="1">
      <c r="L386" s="28"/>
      <c r="M386" s="28"/>
      <c r="N386" s="28"/>
    </row>
    <row r="387" spans="12:14" ht="13" customHeight="1">
      <c r="L387" s="28"/>
      <c r="M387" s="28"/>
      <c r="N387" s="28"/>
    </row>
    <row r="388" spans="12:14" ht="13" customHeight="1">
      <c r="L388" s="28"/>
      <c r="M388" s="28"/>
      <c r="N388" s="28"/>
    </row>
    <row r="389" spans="12:14" ht="13" customHeight="1">
      <c r="L389" s="28"/>
      <c r="M389" s="28"/>
      <c r="N389" s="28"/>
    </row>
    <row r="390" spans="12:14" ht="13" customHeight="1">
      <c r="L390" s="28"/>
      <c r="M390" s="28"/>
      <c r="N390" s="28"/>
    </row>
    <row r="391" spans="12:14" ht="13" customHeight="1">
      <c r="L391" s="28"/>
      <c r="M391" s="28"/>
      <c r="N391" s="28"/>
    </row>
    <row r="392" spans="12:14" ht="13" customHeight="1">
      <c r="L392" s="28"/>
      <c r="M392" s="28"/>
      <c r="N392" s="28"/>
    </row>
    <row r="393" spans="12:14" ht="13" customHeight="1">
      <c r="L393" s="28"/>
      <c r="M393" s="28"/>
      <c r="N393" s="28"/>
    </row>
    <row r="394" spans="12:14" ht="13" customHeight="1">
      <c r="L394" s="28"/>
      <c r="M394" s="28"/>
      <c r="N394" s="28"/>
    </row>
    <row r="395" spans="12:14" ht="13" customHeight="1">
      <c r="L395" s="28"/>
      <c r="M395" s="28"/>
      <c r="N395" s="28"/>
    </row>
    <row r="396" spans="12:14" ht="13" customHeight="1">
      <c r="L396" s="28"/>
      <c r="M396" s="28"/>
      <c r="N396" s="28"/>
    </row>
    <row r="397" spans="12:14" ht="13" customHeight="1">
      <c r="L397" s="28"/>
      <c r="M397" s="28"/>
      <c r="N397" s="28"/>
    </row>
    <row r="398" spans="12:14" ht="13" customHeight="1">
      <c r="L398" s="28"/>
      <c r="M398" s="28"/>
      <c r="N398" s="28"/>
    </row>
    <row r="399" spans="12:14" ht="13" customHeight="1">
      <c r="L399" s="28"/>
      <c r="M399" s="28"/>
      <c r="N399" s="28"/>
    </row>
    <row r="400" spans="12:14" ht="13" customHeight="1">
      <c r="L400" s="28"/>
      <c r="M400" s="28"/>
      <c r="N400" s="28"/>
    </row>
    <row r="401" spans="12:14" ht="13" customHeight="1">
      <c r="L401" s="28"/>
      <c r="M401" s="28"/>
      <c r="N401" s="28"/>
    </row>
    <row r="402" spans="12:14" ht="13" customHeight="1">
      <c r="L402" s="28"/>
      <c r="M402" s="28"/>
      <c r="N402" s="28"/>
    </row>
    <row r="403" spans="12:14" ht="13" customHeight="1">
      <c r="L403" s="28"/>
      <c r="M403" s="28"/>
      <c r="N403" s="28"/>
    </row>
    <row r="404" spans="12:14" ht="13" customHeight="1">
      <c r="L404" s="28"/>
      <c r="M404" s="28"/>
      <c r="N404" s="28"/>
    </row>
    <row r="405" spans="12:14" ht="13" customHeight="1">
      <c r="L405" s="28"/>
      <c r="M405" s="28"/>
      <c r="N405" s="28"/>
    </row>
    <row r="406" spans="12:14" ht="13" customHeight="1">
      <c r="L406" s="28"/>
      <c r="M406" s="28"/>
      <c r="N406" s="28"/>
    </row>
    <row r="407" spans="12:14" ht="13" customHeight="1">
      <c r="L407" s="28"/>
      <c r="M407" s="28"/>
      <c r="N407" s="28"/>
    </row>
    <row r="408" spans="12:14" ht="13" customHeight="1">
      <c r="L408" s="28"/>
      <c r="M408" s="28"/>
      <c r="N408" s="28"/>
    </row>
    <row r="409" spans="12:14" ht="13" customHeight="1">
      <c r="L409" s="28"/>
      <c r="M409" s="28"/>
      <c r="N409" s="28"/>
    </row>
    <row r="410" spans="12:14" ht="13" customHeight="1">
      <c r="L410" s="28"/>
      <c r="M410" s="28"/>
      <c r="N410" s="28"/>
    </row>
    <row r="411" spans="12:14" ht="13" customHeight="1">
      <c r="L411" s="28"/>
      <c r="M411" s="28"/>
      <c r="N411" s="28"/>
    </row>
    <row r="412" spans="12:14" ht="13" customHeight="1">
      <c r="L412" s="28"/>
      <c r="M412" s="28"/>
      <c r="N412" s="28"/>
    </row>
    <row r="413" spans="12:14" ht="13" customHeight="1">
      <c r="L413" s="28"/>
      <c r="M413" s="28"/>
      <c r="N413" s="28"/>
    </row>
    <row r="414" spans="12:14" ht="13" customHeight="1">
      <c r="L414" s="28"/>
      <c r="M414" s="28"/>
      <c r="N414" s="28"/>
    </row>
    <row r="415" spans="12:14" ht="13" customHeight="1">
      <c r="L415" s="28"/>
      <c r="M415" s="28"/>
      <c r="N415" s="28"/>
    </row>
    <row r="416" spans="12:14" ht="13" customHeight="1">
      <c r="L416" s="28"/>
      <c r="M416" s="28"/>
      <c r="N416" s="28"/>
    </row>
    <row r="417" spans="12:14" ht="13" customHeight="1">
      <c r="L417" s="28"/>
      <c r="M417" s="28"/>
      <c r="N417" s="28"/>
    </row>
    <row r="418" spans="12:14" ht="13" customHeight="1">
      <c r="L418" s="28"/>
      <c r="M418" s="28"/>
      <c r="N418" s="28"/>
    </row>
    <row r="419" spans="12:14" ht="13" customHeight="1">
      <c r="L419" s="28"/>
      <c r="M419" s="28"/>
      <c r="N419" s="28"/>
    </row>
    <row r="420" spans="12:14" ht="13" customHeight="1">
      <c r="L420" s="28"/>
      <c r="M420" s="28"/>
      <c r="N420" s="28"/>
    </row>
    <row r="421" spans="12:14" ht="13" customHeight="1">
      <c r="L421" s="28"/>
      <c r="M421" s="28"/>
      <c r="N421" s="28"/>
    </row>
    <row r="422" spans="12:14" ht="13" customHeight="1">
      <c r="L422" s="28"/>
      <c r="M422" s="28"/>
      <c r="N422" s="28"/>
    </row>
    <row r="423" spans="12:14" ht="13" customHeight="1">
      <c r="L423" s="28"/>
      <c r="M423" s="28"/>
      <c r="N423" s="28"/>
    </row>
    <row r="424" spans="12:14" ht="13" customHeight="1">
      <c r="L424" s="28"/>
      <c r="M424" s="28"/>
      <c r="N424" s="28"/>
    </row>
    <row r="425" spans="12:14" ht="13" customHeight="1">
      <c r="L425" s="28"/>
      <c r="M425" s="28"/>
      <c r="N425" s="28"/>
    </row>
    <row r="426" spans="12:14" ht="13" customHeight="1">
      <c r="L426" s="28"/>
      <c r="M426" s="28"/>
      <c r="N426" s="28"/>
    </row>
    <row r="427" spans="12:14" ht="13" customHeight="1">
      <c r="L427" s="28"/>
      <c r="M427" s="28"/>
      <c r="N427" s="28"/>
    </row>
    <row r="428" spans="12:14" ht="13" customHeight="1">
      <c r="L428" s="28"/>
      <c r="M428" s="28"/>
      <c r="N428" s="28"/>
    </row>
    <row r="429" spans="12:14" ht="13" customHeight="1">
      <c r="L429" s="28"/>
      <c r="M429" s="28"/>
      <c r="N429" s="28"/>
    </row>
    <row r="430" spans="12:14" ht="13" customHeight="1">
      <c r="L430" s="28"/>
      <c r="M430" s="28"/>
      <c r="N430" s="28"/>
    </row>
    <row r="431" spans="12:14" ht="13" customHeight="1">
      <c r="L431" s="28"/>
      <c r="M431" s="28"/>
      <c r="N431" s="28"/>
    </row>
    <row r="432" spans="12:14" ht="13" customHeight="1">
      <c r="L432" s="28"/>
      <c r="M432" s="28"/>
      <c r="N432" s="28"/>
    </row>
    <row r="433" spans="12:14" ht="13" customHeight="1">
      <c r="L433" s="28"/>
      <c r="M433" s="28"/>
      <c r="N433" s="28"/>
    </row>
    <row r="434" spans="12:14" ht="13" customHeight="1">
      <c r="L434" s="28"/>
      <c r="M434" s="28"/>
      <c r="N434" s="28"/>
    </row>
    <row r="435" spans="12:14" ht="13" customHeight="1">
      <c r="L435" s="28"/>
      <c r="M435" s="28"/>
      <c r="N435" s="28"/>
    </row>
    <row r="436" spans="12:14" ht="13" customHeight="1">
      <c r="L436" s="28"/>
      <c r="M436" s="28"/>
      <c r="N436" s="28"/>
    </row>
    <row r="437" spans="12:14" ht="13" customHeight="1">
      <c r="L437" s="28"/>
      <c r="M437" s="28"/>
      <c r="N437" s="28"/>
    </row>
    <row r="438" spans="12:14" ht="13" customHeight="1">
      <c r="L438" s="28"/>
      <c r="M438" s="28"/>
      <c r="N438" s="28"/>
    </row>
    <row r="439" spans="12:14" ht="13" customHeight="1">
      <c r="L439" s="28"/>
      <c r="M439" s="28"/>
      <c r="N439" s="28"/>
    </row>
    <row r="440" spans="12:14" ht="13" customHeight="1">
      <c r="L440" s="28"/>
      <c r="M440" s="28"/>
      <c r="N440" s="28"/>
    </row>
    <row r="441" spans="12:14" ht="13" customHeight="1">
      <c r="L441" s="28"/>
      <c r="M441" s="28"/>
      <c r="N441" s="28"/>
    </row>
    <row r="442" spans="12:14" ht="13" customHeight="1">
      <c r="L442" s="28"/>
      <c r="M442" s="28"/>
      <c r="N442" s="28"/>
    </row>
    <row r="443" spans="12:14" ht="13" customHeight="1">
      <c r="L443" s="28"/>
      <c r="M443" s="28"/>
      <c r="N443" s="28"/>
    </row>
    <row r="444" spans="12:14" ht="13" customHeight="1">
      <c r="L444" s="28"/>
      <c r="M444" s="28"/>
      <c r="N444" s="28"/>
    </row>
    <row r="445" spans="12:14" ht="13" customHeight="1">
      <c r="L445" s="28"/>
      <c r="M445" s="28"/>
      <c r="N445" s="28"/>
    </row>
    <row r="446" spans="12:14" ht="13" customHeight="1">
      <c r="L446" s="28"/>
      <c r="M446" s="28"/>
      <c r="N446" s="28"/>
    </row>
    <row r="447" spans="12:14" ht="13" customHeight="1">
      <c r="L447" s="28"/>
      <c r="M447" s="28"/>
      <c r="N447" s="28"/>
    </row>
    <row r="448" spans="12:14" ht="13" customHeight="1">
      <c r="L448" s="28"/>
      <c r="M448" s="28"/>
      <c r="N448" s="28"/>
    </row>
    <row r="449" spans="12:14" ht="13" customHeight="1">
      <c r="L449" s="28"/>
      <c r="M449" s="28"/>
      <c r="N449" s="28"/>
    </row>
    <row r="450" spans="12:14" ht="13" customHeight="1">
      <c r="L450" s="28"/>
      <c r="M450" s="28"/>
      <c r="N450" s="28"/>
    </row>
    <row r="451" spans="12:14" ht="13" customHeight="1">
      <c r="L451" s="28"/>
      <c r="M451" s="28"/>
      <c r="N451" s="28"/>
    </row>
    <row r="452" spans="12:14" ht="13" customHeight="1">
      <c r="L452" s="28"/>
      <c r="M452" s="28"/>
      <c r="N452" s="28"/>
    </row>
    <row r="453" spans="12:14" ht="13" customHeight="1">
      <c r="L453" s="28"/>
      <c r="M453" s="28"/>
      <c r="N453" s="28"/>
    </row>
    <row r="454" spans="12:14" ht="13" customHeight="1">
      <c r="L454" s="28"/>
      <c r="M454" s="28"/>
      <c r="N454" s="28"/>
    </row>
    <row r="455" spans="12:14" ht="13" customHeight="1">
      <c r="L455" s="28"/>
      <c r="M455" s="28"/>
      <c r="N455" s="28"/>
    </row>
    <row r="456" spans="12:14" ht="13" customHeight="1">
      <c r="L456" s="28"/>
      <c r="M456" s="28"/>
      <c r="N456" s="28"/>
    </row>
    <row r="457" spans="12:14" ht="13" customHeight="1">
      <c r="L457" s="28"/>
      <c r="M457" s="28"/>
      <c r="N457" s="28"/>
    </row>
    <row r="458" spans="12:14" ht="13" customHeight="1">
      <c r="L458" s="28"/>
      <c r="M458" s="28"/>
      <c r="N458" s="28"/>
    </row>
    <row r="459" spans="12:14" ht="13" customHeight="1">
      <c r="L459" s="28"/>
      <c r="M459" s="28"/>
      <c r="N459" s="28"/>
    </row>
    <row r="460" spans="12:14" ht="13" customHeight="1">
      <c r="L460" s="28"/>
      <c r="M460" s="28"/>
      <c r="N460" s="28"/>
    </row>
    <row r="461" spans="12:14" ht="13" customHeight="1">
      <c r="L461" s="28"/>
      <c r="M461" s="28"/>
      <c r="N461" s="28"/>
    </row>
    <row r="462" spans="12:14" ht="13" customHeight="1">
      <c r="L462" s="28"/>
      <c r="M462" s="28"/>
      <c r="N462" s="28"/>
    </row>
    <row r="463" spans="12:14" ht="13" customHeight="1">
      <c r="L463" s="28"/>
      <c r="M463" s="28"/>
      <c r="N463" s="28"/>
    </row>
    <row r="464" spans="12:14" ht="13" customHeight="1">
      <c r="L464" s="28"/>
      <c r="M464" s="28"/>
      <c r="N464" s="28"/>
    </row>
    <row r="465" spans="12:14" ht="13" customHeight="1">
      <c r="L465" s="28"/>
      <c r="M465" s="28"/>
      <c r="N465" s="28"/>
    </row>
    <row r="466" spans="12:14" ht="13" customHeight="1">
      <c r="L466" s="28"/>
      <c r="M466" s="28"/>
      <c r="N466" s="28"/>
    </row>
    <row r="467" spans="12:14" ht="13" customHeight="1">
      <c r="L467" s="28"/>
      <c r="M467" s="28"/>
      <c r="N467" s="28"/>
    </row>
    <row r="468" spans="12:14" ht="13" customHeight="1">
      <c r="L468" s="28"/>
      <c r="M468" s="28"/>
      <c r="N468" s="28"/>
    </row>
    <row r="469" spans="12:14" ht="13" customHeight="1">
      <c r="L469" s="28"/>
      <c r="M469" s="28"/>
      <c r="N469" s="28"/>
    </row>
    <row r="470" spans="12:14" ht="13" customHeight="1">
      <c r="L470" s="28"/>
      <c r="M470" s="28"/>
      <c r="N470" s="28"/>
    </row>
    <row r="471" spans="12:14" ht="13" customHeight="1">
      <c r="L471" s="28"/>
      <c r="M471" s="28"/>
      <c r="N471" s="28"/>
    </row>
    <row r="472" spans="12:14" ht="13" customHeight="1">
      <c r="L472" s="28"/>
      <c r="M472" s="28"/>
      <c r="N472" s="28"/>
    </row>
    <row r="473" spans="12:14" ht="13" customHeight="1">
      <c r="L473" s="28"/>
      <c r="M473" s="28"/>
      <c r="N473" s="28"/>
    </row>
    <row r="474" spans="12:14" ht="13" customHeight="1">
      <c r="L474" s="28"/>
      <c r="M474" s="28"/>
      <c r="N474" s="28"/>
    </row>
    <row r="475" spans="12:14" ht="13" customHeight="1">
      <c r="L475" s="28"/>
      <c r="M475" s="28"/>
      <c r="N475" s="28"/>
    </row>
    <row r="476" spans="12:14" ht="13" customHeight="1">
      <c r="L476" s="28"/>
      <c r="M476" s="28"/>
      <c r="N476" s="28"/>
    </row>
    <row r="477" spans="12:14" ht="13" customHeight="1">
      <c r="L477" s="28"/>
      <c r="M477" s="28"/>
      <c r="N477" s="28"/>
    </row>
    <row r="478" spans="12:14" ht="13" customHeight="1">
      <c r="L478" s="28"/>
      <c r="M478" s="28"/>
      <c r="N478" s="28"/>
    </row>
    <row r="479" spans="12:14" ht="13" customHeight="1">
      <c r="L479" s="28"/>
      <c r="M479" s="28"/>
      <c r="N479" s="28"/>
    </row>
    <row r="480" spans="12:14" ht="13" customHeight="1">
      <c r="L480" s="28"/>
      <c r="M480" s="28"/>
      <c r="N480" s="28"/>
    </row>
    <row r="481" spans="12:14" ht="13" customHeight="1">
      <c r="L481" s="28"/>
      <c r="M481" s="28"/>
      <c r="N481" s="28"/>
    </row>
    <row r="482" spans="12:14" ht="13" customHeight="1">
      <c r="L482" s="28"/>
      <c r="M482" s="28"/>
      <c r="N482" s="28"/>
    </row>
    <row r="483" spans="12:14" ht="13" customHeight="1">
      <c r="L483" s="28"/>
      <c r="M483" s="28"/>
      <c r="N483" s="28"/>
    </row>
    <row r="484" spans="12:14" ht="13" customHeight="1">
      <c r="L484" s="28"/>
      <c r="M484" s="28"/>
      <c r="N484" s="28"/>
    </row>
    <row r="485" spans="12:14" ht="13" customHeight="1">
      <c r="L485" s="28"/>
      <c r="M485" s="28"/>
      <c r="N485" s="28"/>
    </row>
    <row r="486" spans="12:14" ht="13" customHeight="1">
      <c r="L486" s="28"/>
      <c r="M486" s="28"/>
      <c r="N486" s="28"/>
    </row>
    <row r="487" spans="12:14" ht="13" customHeight="1">
      <c r="L487" s="28"/>
      <c r="M487" s="28"/>
      <c r="N487" s="28"/>
    </row>
    <row r="488" spans="12:14" ht="13" customHeight="1">
      <c r="L488" s="28"/>
      <c r="M488" s="28"/>
      <c r="N488" s="28"/>
    </row>
    <row r="489" spans="12:14" ht="13" customHeight="1">
      <c r="L489" s="28"/>
      <c r="M489" s="28"/>
      <c r="N489" s="28"/>
    </row>
    <row r="490" spans="12:14" ht="13" customHeight="1">
      <c r="L490" s="28"/>
      <c r="M490" s="28"/>
      <c r="N490" s="28"/>
    </row>
    <row r="491" spans="12:14" ht="13" customHeight="1">
      <c r="L491" s="28"/>
      <c r="M491" s="28"/>
      <c r="N491" s="28"/>
    </row>
    <row r="492" spans="12:14" ht="13" customHeight="1">
      <c r="L492" s="28"/>
      <c r="M492" s="28"/>
      <c r="N492" s="28"/>
    </row>
    <row r="493" spans="12:14" ht="13" customHeight="1">
      <c r="L493" s="28"/>
      <c r="M493" s="28"/>
      <c r="N493" s="28"/>
    </row>
    <row r="494" spans="12:14" ht="13" customHeight="1">
      <c r="L494" s="28"/>
      <c r="M494" s="28"/>
      <c r="N494" s="28"/>
    </row>
    <row r="495" spans="12:14" ht="13" customHeight="1">
      <c r="L495" s="28"/>
      <c r="M495" s="28"/>
      <c r="N495" s="28"/>
    </row>
    <row r="496" spans="12:14" ht="13" customHeight="1">
      <c r="L496" s="28"/>
      <c r="M496" s="28"/>
      <c r="N496" s="28"/>
    </row>
    <row r="497" spans="12:14" ht="13" customHeight="1">
      <c r="L497" s="28"/>
      <c r="M497" s="28"/>
      <c r="N497" s="28"/>
    </row>
    <row r="498" spans="12:14" ht="13" customHeight="1">
      <c r="L498" s="28"/>
      <c r="M498" s="28"/>
      <c r="N498" s="28"/>
    </row>
    <row r="499" spans="12:14" ht="13" customHeight="1">
      <c r="L499" s="28"/>
      <c r="M499" s="28"/>
      <c r="N499" s="28"/>
    </row>
    <row r="500" spans="12:14" ht="13" customHeight="1">
      <c r="L500" s="28"/>
      <c r="M500" s="28"/>
      <c r="N500" s="28"/>
    </row>
    <row r="501" spans="12:14" ht="13" customHeight="1">
      <c r="L501" s="28"/>
      <c r="M501" s="28"/>
      <c r="N501" s="28"/>
    </row>
    <row r="502" spans="12:14" ht="13" customHeight="1">
      <c r="L502" s="28"/>
      <c r="M502" s="28"/>
      <c r="N502" s="28"/>
    </row>
    <row r="503" spans="12:14" ht="13" customHeight="1">
      <c r="L503" s="28"/>
      <c r="M503" s="28"/>
      <c r="N503" s="28"/>
    </row>
    <row r="504" spans="12:14" ht="13" customHeight="1">
      <c r="L504" s="28"/>
      <c r="M504" s="28"/>
      <c r="N504" s="28"/>
    </row>
    <row r="505" spans="12:14" ht="13" customHeight="1">
      <c r="L505" s="28"/>
      <c r="M505" s="28"/>
      <c r="N505" s="28"/>
    </row>
    <row r="506" spans="12:14" ht="13" customHeight="1">
      <c r="L506" s="28"/>
      <c r="M506" s="28"/>
      <c r="N506" s="28"/>
    </row>
    <row r="507" spans="12:14" ht="13" customHeight="1">
      <c r="L507" s="28"/>
      <c r="M507" s="28"/>
      <c r="N507" s="28"/>
    </row>
    <row r="508" spans="12:14" ht="13" customHeight="1">
      <c r="L508" s="28"/>
      <c r="M508" s="28"/>
      <c r="N508" s="28"/>
    </row>
    <row r="509" spans="12:14" ht="13" customHeight="1">
      <c r="L509" s="28"/>
      <c r="M509" s="28"/>
      <c r="N509" s="28"/>
    </row>
    <row r="510" spans="12:14" ht="13" customHeight="1">
      <c r="L510" s="28"/>
      <c r="M510" s="28"/>
      <c r="N510" s="28"/>
    </row>
    <row r="511" spans="12:14" ht="13" customHeight="1">
      <c r="L511" s="28"/>
      <c r="M511" s="28"/>
      <c r="N511" s="28"/>
    </row>
    <row r="512" spans="12:14" ht="13" customHeight="1">
      <c r="L512" s="28"/>
      <c r="M512" s="28"/>
      <c r="N512" s="28"/>
    </row>
    <row r="513" spans="12:14" ht="13" customHeight="1">
      <c r="L513" s="28"/>
      <c r="M513" s="28"/>
      <c r="N513" s="28"/>
    </row>
    <row r="514" spans="12:14" ht="13" customHeight="1">
      <c r="L514" s="28"/>
      <c r="M514" s="28"/>
      <c r="N514" s="28"/>
    </row>
    <row r="515" spans="12:14" ht="13" customHeight="1">
      <c r="L515" s="28"/>
      <c r="M515" s="28"/>
      <c r="N515" s="28"/>
    </row>
    <row r="516" spans="12:14" ht="13" customHeight="1">
      <c r="L516" s="28"/>
      <c r="M516" s="28"/>
      <c r="N516" s="28"/>
    </row>
    <row r="517" spans="12:14" ht="13" customHeight="1">
      <c r="L517" s="28"/>
      <c r="M517" s="28"/>
      <c r="N517" s="28"/>
    </row>
    <row r="518" spans="12:14" ht="13" customHeight="1">
      <c r="L518" s="28"/>
      <c r="M518" s="28"/>
      <c r="N518" s="28"/>
    </row>
    <row r="519" spans="12:14" ht="13" customHeight="1">
      <c r="L519" s="28"/>
      <c r="M519" s="28"/>
      <c r="N519" s="28"/>
    </row>
    <row r="520" spans="12:14" ht="13" customHeight="1">
      <c r="L520" s="28"/>
      <c r="M520" s="28"/>
      <c r="N520" s="28"/>
    </row>
    <row r="521" spans="12:14" ht="13" customHeight="1">
      <c r="L521" s="28"/>
      <c r="M521" s="28"/>
      <c r="N521" s="28"/>
    </row>
    <row r="522" spans="12:14" ht="13" customHeight="1">
      <c r="L522" s="28"/>
      <c r="M522" s="28"/>
      <c r="N522" s="28"/>
    </row>
    <row r="523" spans="12:14" ht="13" customHeight="1">
      <c r="L523" s="28"/>
      <c r="M523" s="28"/>
      <c r="N523" s="28"/>
    </row>
    <row r="524" spans="12:14" ht="13" customHeight="1">
      <c r="L524" s="28"/>
      <c r="M524" s="28"/>
      <c r="N524" s="28"/>
    </row>
    <row r="525" spans="12:14" ht="13" customHeight="1">
      <c r="L525" s="28"/>
      <c r="M525" s="28"/>
      <c r="N525" s="28"/>
    </row>
    <row r="526" spans="12:14" ht="13" customHeight="1">
      <c r="L526" s="28"/>
      <c r="M526" s="28"/>
      <c r="N526" s="28"/>
    </row>
    <row r="527" spans="12:14" ht="13" customHeight="1">
      <c r="L527" s="28"/>
      <c r="M527" s="28"/>
      <c r="N527" s="28"/>
    </row>
    <row r="528" spans="12:14" ht="13" customHeight="1">
      <c r="L528" s="28"/>
      <c r="M528" s="28"/>
      <c r="N528" s="28"/>
    </row>
    <row r="529" spans="12:14" ht="13" customHeight="1">
      <c r="L529" s="28"/>
      <c r="M529" s="28"/>
      <c r="N529" s="28"/>
    </row>
    <row r="530" spans="12:14" ht="13" customHeight="1">
      <c r="L530" s="28"/>
      <c r="M530" s="28"/>
      <c r="N530" s="28"/>
    </row>
    <row r="531" spans="12:14" ht="13" customHeight="1">
      <c r="L531" s="28"/>
      <c r="M531" s="28"/>
      <c r="N531" s="28"/>
    </row>
    <row r="532" spans="12:14" ht="13" customHeight="1">
      <c r="L532" s="28"/>
      <c r="M532" s="28"/>
      <c r="N532" s="28"/>
    </row>
    <row r="533" spans="12:14" ht="13" customHeight="1">
      <c r="L533" s="28"/>
      <c r="M533" s="28"/>
      <c r="N533" s="28"/>
    </row>
    <row r="534" spans="12:14" ht="13" customHeight="1">
      <c r="L534" s="28"/>
      <c r="M534" s="28"/>
      <c r="N534" s="28"/>
    </row>
    <row r="535" spans="12:14" ht="13" customHeight="1">
      <c r="L535" s="28"/>
      <c r="M535" s="28"/>
      <c r="N535" s="28"/>
    </row>
    <row r="536" spans="12:14" ht="13" customHeight="1">
      <c r="L536" s="28"/>
      <c r="M536" s="28"/>
      <c r="N536" s="28"/>
    </row>
    <row r="537" spans="12:14" ht="13" customHeight="1">
      <c r="L537" s="28"/>
      <c r="M537" s="28"/>
      <c r="N537" s="28"/>
    </row>
    <row r="538" spans="12:14" ht="13" customHeight="1">
      <c r="L538" s="28"/>
      <c r="M538" s="28"/>
      <c r="N538" s="28"/>
    </row>
    <row r="539" spans="12:14" ht="13" customHeight="1">
      <c r="L539" s="28"/>
      <c r="M539" s="28"/>
      <c r="N539" s="28"/>
    </row>
    <row r="540" spans="12:14" ht="13" customHeight="1">
      <c r="L540" s="28"/>
      <c r="M540" s="28"/>
      <c r="N540" s="28"/>
    </row>
    <row r="541" spans="12:14" ht="13" customHeight="1">
      <c r="L541" s="28"/>
      <c r="M541" s="28"/>
      <c r="N541" s="28"/>
    </row>
    <row r="542" spans="12:14" ht="13" customHeight="1">
      <c r="L542" s="28"/>
      <c r="M542" s="28"/>
      <c r="N542" s="28"/>
    </row>
    <row r="543" spans="12:14" ht="13" customHeight="1">
      <c r="L543" s="28"/>
      <c r="M543" s="28"/>
      <c r="N543" s="28"/>
    </row>
    <row r="544" spans="12:14" ht="13" customHeight="1">
      <c r="L544" s="28"/>
      <c r="M544" s="28"/>
      <c r="N544" s="28"/>
    </row>
    <row r="545" spans="12:14" ht="13" customHeight="1">
      <c r="L545" s="28"/>
      <c r="M545" s="28"/>
      <c r="N545" s="28"/>
    </row>
    <row r="546" spans="12:14" ht="13" customHeight="1">
      <c r="L546" s="28"/>
      <c r="M546" s="28"/>
      <c r="N546" s="28"/>
    </row>
    <row r="547" spans="12:14" ht="13" customHeight="1">
      <c r="L547" s="28"/>
      <c r="M547" s="28"/>
      <c r="N547" s="28"/>
    </row>
    <row r="548" spans="12:14" ht="13" customHeight="1">
      <c r="L548" s="28"/>
      <c r="M548" s="28"/>
      <c r="N548" s="28"/>
    </row>
    <row r="549" spans="12:14" ht="13" customHeight="1">
      <c r="L549" s="28"/>
      <c r="M549" s="28"/>
      <c r="N549" s="28"/>
    </row>
    <row r="550" spans="12:14" ht="13" customHeight="1">
      <c r="L550" s="28"/>
      <c r="M550" s="28"/>
      <c r="N550" s="28"/>
    </row>
    <row r="551" spans="12:14" ht="13" customHeight="1">
      <c r="L551" s="28"/>
      <c r="M551" s="28"/>
      <c r="N551" s="28"/>
    </row>
    <row r="552" spans="12:14" ht="13" customHeight="1">
      <c r="L552" s="28"/>
      <c r="M552" s="28"/>
      <c r="N552" s="28"/>
    </row>
    <row r="553" spans="12:14" ht="13" customHeight="1">
      <c r="L553" s="28"/>
      <c r="M553" s="28"/>
      <c r="N553" s="28"/>
    </row>
    <row r="554" spans="12:14" ht="13" customHeight="1">
      <c r="L554" s="28"/>
      <c r="M554" s="28"/>
      <c r="N554" s="28"/>
    </row>
    <row r="555" spans="12:14" ht="13" customHeight="1">
      <c r="L555" s="28"/>
      <c r="M555" s="28"/>
      <c r="N555" s="28"/>
    </row>
    <row r="556" spans="12:14" ht="13" customHeight="1">
      <c r="L556" s="28"/>
      <c r="M556" s="28"/>
      <c r="N556" s="28"/>
    </row>
    <row r="557" spans="12:14" ht="13" customHeight="1">
      <c r="L557" s="28"/>
      <c r="M557" s="28"/>
      <c r="N557" s="28"/>
    </row>
    <row r="558" spans="12:14" ht="13" customHeight="1">
      <c r="L558" s="28"/>
      <c r="M558" s="28"/>
      <c r="N558" s="28"/>
    </row>
    <row r="559" spans="12:14" ht="13" customHeight="1">
      <c r="L559" s="28"/>
      <c r="M559" s="28"/>
      <c r="N559" s="28"/>
    </row>
    <row r="560" spans="12:14" ht="13" customHeight="1">
      <c r="L560" s="28"/>
      <c r="M560" s="28"/>
      <c r="N560" s="28"/>
    </row>
    <row r="561" spans="12:14" ht="13" customHeight="1">
      <c r="L561" s="28"/>
      <c r="M561" s="28"/>
      <c r="N561" s="28"/>
    </row>
    <row r="562" spans="12:14" ht="13" customHeight="1">
      <c r="L562" s="28"/>
      <c r="M562" s="28"/>
      <c r="N562" s="28"/>
    </row>
    <row r="563" spans="12:14" ht="13" customHeight="1">
      <c r="L563" s="28"/>
      <c r="M563" s="28"/>
      <c r="N563" s="28"/>
    </row>
    <row r="564" spans="12:14" ht="13" customHeight="1">
      <c r="L564" s="28"/>
      <c r="M564" s="28"/>
      <c r="N564" s="28"/>
    </row>
    <row r="565" spans="12:14" ht="13" customHeight="1">
      <c r="L565" s="28"/>
      <c r="M565" s="28"/>
      <c r="N565" s="28"/>
    </row>
    <row r="566" spans="12:14" ht="13" customHeight="1">
      <c r="L566" s="28"/>
      <c r="M566" s="28"/>
      <c r="N566" s="28"/>
    </row>
    <row r="567" spans="12:14" ht="13" customHeight="1">
      <c r="L567" s="28"/>
      <c r="M567" s="28"/>
      <c r="N567" s="28"/>
    </row>
    <row r="568" spans="12:14" ht="13" customHeight="1">
      <c r="L568" s="28"/>
      <c r="M568" s="28"/>
      <c r="N568" s="28"/>
    </row>
    <row r="569" spans="12:14" ht="13" customHeight="1">
      <c r="L569" s="28"/>
      <c r="M569" s="28"/>
      <c r="N569" s="28"/>
    </row>
    <row r="570" spans="12:14" ht="13" customHeight="1">
      <c r="L570" s="28"/>
      <c r="M570" s="28"/>
      <c r="N570" s="28"/>
    </row>
    <row r="571" spans="12:14" ht="13" customHeight="1">
      <c r="L571" s="28"/>
      <c r="M571" s="28"/>
      <c r="N571" s="28"/>
    </row>
    <row r="572" spans="12:14" ht="13" customHeight="1">
      <c r="L572" s="28"/>
      <c r="M572" s="28"/>
      <c r="N572" s="28"/>
    </row>
    <row r="573" spans="12:14" ht="13" customHeight="1">
      <c r="L573" s="28"/>
      <c r="M573" s="28"/>
      <c r="N573" s="28"/>
    </row>
    <row r="574" spans="12:14" ht="13" customHeight="1">
      <c r="L574" s="28"/>
      <c r="M574" s="28"/>
      <c r="N574" s="28"/>
    </row>
    <row r="575" spans="12:14" ht="13" customHeight="1">
      <c r="L575" s="28"/>
      <c r="M575" s="28"/>
      <c r="N575" s="28"/>
    </row>
    <row r="576" spans="12:14" ht="13" customHeight="1">
      <c r="L576" s="28"/>
      <c r="M576" s="28"/>
      <c r="N576" s="28"/>
    </row>
    <row r="577" spans="12:14" ht="13" customHeight="1">
      <c r="L577" s="28"/>
      <c r="M577" s="28"/>
      <c r="N577" s="28"/>
    </row>
    <row r="578" spans="12:14" ht="13" customHeight="1">
      <c r="L578" s="28"/>
      <c r="M578" s="28"/>
      <c r="N578" s="28"/>
    </row>
    <row r="579" spans="12:14" ht="13" customHeight="1">
      <c r="L579" s="28"/>
      <c r="M579" s="28"/>
      <c r="N579" s="28"/>
    </row>
    <row r="580" spans="12:14" ht="13" customHeight="1">
      <c r="L580" s="28"/>
      <c r="M580" s="28"/>
      <c r="N580" s="28"/>
    </row>
    <row r="581" spans="12:14" ht="13" customHeight="1">
      <c r="L581" s="28"/>
      <c r="M581" s="28"/>
      <c r="N581" s="28"/>
    </row>
    <row r="582" spans="12:14" ht="13" customHeight="1">
      <c r="L582" s="28"/>
      <c r="M582" s="28"/>
      <c r="N582" s="28"/>
    </row>
    <row r="583" spans="12:14" ht="13" customHeight="1">
      <c r="L583" s="28"/>
      <c r="M583" s="28"/>
      <c r="N583" s="28"/>
    </row>
    <row r="584" spans="12:14" ht="13" customHeight="1">
      <c r="L584" s="28"/>
      <c r="M584" s="28"/>
      <c r="N584" s="28"/>
    </row>
    <row r="585" spans="12:14" ht="13" customHeight="1">
      <c r="L585" s="28"/>
      <c r="M585" s="28"/>
      <c r="N585" s="28"/>
    </row>
    <row r="586" spans="12:14" ht="13" customHeight="1">
      <c r="L586" s="28"/>
      <c r="M586" s="28"/>
      <c r="N586" s="28"/>
    </row>
    <row r="587" spans="12:14" ht="13" customHeight="1">
      <c r="L587" s="28"/>
      <c r="M587" s="28"/>
      <c r="N587" s="28"/>
    </row>
    <row r="588" spans="12:14" ht="13" customHeight="1">
      <c r="L588" s="28"/>
      <c r="M588" s="28"/>
      <c r="N588" s="28"/>
    </row>
    <row r="589" spans="12:14" ht="13" customHeight="1">
      <c r="L589" s="28"/>
      <c r="M589" s="28"/>
      <c r="N589" s="28"/>
    </row>
    <row r="590" spans="12:14" ht="13" customHeight="1">
      <c r="L590" s="28"/>
      <c r="M590" s="28"/>
      <c r="N590" s="28"/>
    </row>
    <row r="591" spans="12:14" ht="13" customHeight="1">
      <c r="L591" s="28"/>
      <c r="M591" s="28"/>
      <c r="N591" s="28"/>
    </row>
    <row r="592" spans="12:14" ht="13" customHeight="1">
      <c r="L592" s="28"/>
      <c r="M592" s="28"/>
      <c r="N592" s="28"/>
    </row>
    <row r="593" spans="12:14" ht="13" customHeight="1">
      <c r="L593" s="28"/>
      <c r="M593" s="28"/>
      <c r="N593" s="28"/>
    </row>
    <row r="594" spans="12:14" ht="13" customHeight="1">
      <c r="L594" s="28"/>
      <c r="M594" s="28"/>
      <c r="N594" s="28"/>
    </row>
    <row r="595" spans="12:14" ht="13" customHeight="1">
      <c r="L595" s="28"/>
      <c r="M595" s="28"/>
      <c r="N595" s="28"/>
    </row>
    <row r="596" spans="12:14" ht="13" customHeight="1">
      <c r="L596" s="28"/>
      <c r="M596" s="28"/>
      <c r="N596" s="28"/>
    </row>
    <row r="597" spans="12:14" ht="13" customHeight="1">
      <c r="L597" s="28"/>
      <c r="M597" s="28"/>
      <c r="N597" s="28"/>
    </row>
    <row r="598" spans="12:14" ht="13" customHeight="1">
      <c r="L598" s="28"/>
      <c r="M598" s="28"/>
      <c r="N598" s="28"/>
    </row>
    <row r="599" spans="12:14" ht="13" customHeight="1">
      <c r="L599" s="28"/>
      <c r="M599" s="28"/>
      <c r="N599" s="28"/>
    </row>
    <row r="600" spans="12:14" ht="13" customHeight="1">
      <c r="L600" s="28"/>
      <c r="M600" s="28"/>
      <c r="N600" s="28"/>
    </row>
    <row r="601" spans="12:14" ht="13" customHeight="1">
      <c r="L601" s="28"/>
      <c r="M601" s="28"/>
      <c r="N601" s="28"/>
    </row>
    <row r="602" spans="12:14" ht="13" customHeight="1">
      <c r="L602" s="28"/>
      <c r="M602" s="28"/>
      <c r="N602" s="28"/>
    </row>
    <row r="603" spans="12:14" ht="13" customHeight="1">
      <c r="L603" s="28"/>
      <c r="M603" s="28"/>
      <c r="N603" s="28"/>
    </row>
    <row r="604" spans="12:14" ht="13" customHeight="1">
      <c r="L604" s="28"/>
      <c r="M604" s="28"/>
      <c r="N604" s="28"/>
    </row>
    <row r="605" spans="12:14" ht="13" customHeight="1">
      <c r="L605" s="28"/>
      <c r="M605" s="28"/>
      <c r="N605" s="28"/>
    </row>
    <row r="606" spans="12:14" ht="13" customHeight="1">
      <c r="L606" s="28"/>
      <c r="M606" s="28"/>
      <c r="N606" s="28"/>
    </row>
    <row r="607" spans="12:14" ht="13" customHeight="1">
      <c r="L607" s="28"/>
      <c r="M607" s="28"/>
      <c r="N607" s="28"/>
    </row>
    <row r="608" spans="12:14" ht="13" customHeight="1">
      <c r="L608" s="28"/>
      <c r="M608" s="28"/>
      <c r="N608" s="28"/>
    </row>
    <row r="609" spans="12:14" ht="13" customHeight="1">
      <c r="L609" s="28"/>
      <c r="M609" s="28"/>
      <c r="N609" s="28"/>
    </row>
    <row r="610" spans="12:14" ht="13" customHeight="1">
      <c r="L610" s="28"/>
      <c r="M610" s="28"/>
      <c r="N610" s="28"/>
    </row>
    <row r="611" spans="12:14" ht="13" customHeight="1">
      <c r="L611" s="28"/>
      <c r="M611" s="28"/>
      <c r="N611" s="28"/>
    </row>
    <row r="612" spans="12:14" ht="13" customHeight="1">
      <c r="L612" s="28"/>
      <c r="M612" s="28"/>
      <c r="N612" s="28"/>
    </row>
    <row r="613" spans="12:14" ht="13" customHeight="1">
      <c r="L613" s="28"/>
      <c r="M613" s="28"/>
      <c r="N613" s="28"/>
    </row>
    <row r="614" spans="12:14" ht="13" customHeight="1">
      <c r="L614" s="28"/>
      <c r="M614" s="28"/>
      <c r="N614" s="28"/>
    </row>
    <row r="615" spans="12:14" ht="13" customHeight="1">
      <c r="L615" s="28"/>
      <c r="M615" s="28"/>
      <c r="N615" s="28"/>
    </row>
    <row r="616" spans="12:14" ht="13" customHeight="1">
      <c r="L616" s="28"/>
      <c r="M616" s="28"/>
      <c r="N616" s="28"/>
    </row>
    <row r="617" spans="12:14" ht="13" customHeight="1">
      <c r="L617" s="28"/>
      <c r="M617" s="28"/>
      <c r="N617" s="28"/>
    </row>
    <row r="618" spans="12:14" ht="13" customHeight="1">
      <c r="L618" s="28"/>
      <c r="M618" s="28"/>
      <c r="N618" s="28"/>
    </row>
    <row r="619" spans="12:14" ht="13" customHeight="1">
      <c r="L619" s="28"/>
      <c r="M619" s="28"/>
      <c r="N619" s="28"/>
    </row>
    <row r="620" spans="12:14" ht="13" customHeight="1">
      <c r="L620" s="28"/>
      <c r="M620" s="28"/>
      <c r="N620" s="28"/>
    </row>
    <row r="621" spans="12:14" ht="13" customHeight="1">
      <c r="L621" s="28"/>
      <c r="M621" s="28"/>
      <c r="N621" s="28"/>
    </row>
    <row r="622" spans="12:14" ht="13" customHeight="1">
      <c r="L622" s="28"/>
      <c r="M622" s="28"/>
      <c r="N622" s="28"/>
    </row>
    <row r="623" spans="12:14" ht="13" customHeight="1">
      <c r="L623" s="28"/>
      <c r="M623" s="28"/>
      <c r="N623" s="28"/>
    </row>
    <row r="624" spans="12:14" ht="13" customHeight="1">
      <c r="L624" s="28"/>
      <c r="M624" s="28"/>
      <c r="N624" s="28"/>
    </row>
    <row r="625" spans="12:14" ht="13" customHeight="1">
      <c r="L625" s="28"/>
      <c r="M625" s="28"/>
      <c r="N625" s="28"/>
    </row>
    <row r="626" spans="12:14" ht="13" customHeight="1">
      <c r="L626" s="28"/>
      <c r="M626" s="28"/>
      <c r="N626" s="28"/>
    </row>
    <row r="627" spans="12:14" ht="13" customHeight="1">
      <c r="L627" s="28"/>
      <c r="M627" s="28"/>
      <c r="N627" s="28"/>
    </row>
    <row r="628" spans="12:14" ht="13" customHeight="1">
      <c r="L628" s="28"/>
      <c r="M628" s="28"/>
      <c r="N628" s="28"/>
    </row>
    <row r="629" spans="12:14" ht="13" customHeight="1">
      <c r="L629" s="28"/>
      <c r="M629" s="28"/>
      <c r="N629" s="28"/>
    </row>
    <row r="630" spans="12:14" ht="13" customHeight="1">
      <c r="L630" s="28"/>
      <c r="M630" s="28"/>
      <c r="N630" s="28"/>
    </row>
    <row r="631" spans="12:14" ht="13" customHeight="1">
      <c r="L631" s="28"/>
      <c r="M631" s="28"/>
      <c r="N631" s="28"/>
    </row>
    <row r="632" spans="12:14" ht="13" customHeight="1">
      <c r="L632" s="28"/>
      <c r="M632" s="28"/>
      <c r="N632" s="28"/>
    </row>
    <row r="633" spans="12:14" ht="13" customHeight="1">
      <c r="L633" s="28"/>
      <c r="M633" s="28"/>
      <c r="N633" s="28"/>
    </row>
    <row r="634" spans="12:14" ht="13" customHeight="1">
      <c r="L634" s="28"/>
      <c r="M634" s="28"/>
      <c r="N634" s="28"/>
    </row>
    <row r="635" spans="12:14" ht="13" customHeight="1">
      <c r="L635" s="28"/>
      <c r="M635" s="28"/>
      <c r="N635" s="28"/>
    </row>
    <row r="636" spans="12:14" ht="13" customHeight="1">
      <c r="L636" s="28"/>
      <c r="M636" s="28"/>
      <c r="N636" s="28"/>
    </row>
    <row r="637" spans="12:14" ht="13" customHeight="1">
      <c r="L637" s="28"/>
      <c r="M637" s="28"/>
      <c r="N637" s="28"/>
    </row>
    <row r="638" spans="12:14" ht="13" customHeight="1">
      <c r="L638" s="28"/>
      <c r="M638" s="28"/>
      <c r="N638" s="28"/>
    </row>
    <row r="639" spans="12:14" ht="13" customHeight="1">
      <c r="L639" s="28"/>
      <c r="M639" s="28"/>
      <c r="N639" s="28"/>
    </row>
    <row r="640" spans="12:14" ht="13" customHeight="1">
      <c r="L640" s="28"/>
      <c r="M640" s="28"/>
      <c r="N640" s="28"/>
    </row>
    <row r="641" spans="12:14" ht="13" customHeight="1">
      <c r="L641" s="28"/>
      <c r="M641" s="28"/>
      <c r="N641" s="28"/>
    </row>
    <row r="642" spans="12:14" ht="13" customHeight="1">
      <c r="L642" s="28"/>
      <c r="M642" s="28"/>
      <c r="N642" s="28"/>
    </row>
    <row r="643" spans="12:14" ht="13" customHeight="1">
      <c r="L643" s="28"/>
      <c r="M643" s="28"/>
      <c r="N643" s="28"/>
    </row>
    <row r="644" spans="12:14" ht="13" customHeight="1">
      <c r="L644" s="28"/>
      <c r="M644" s="28"/>
      <c r="N644" s="28"/>
    </row>
    <row r="645" spans="12:14" ht="13" customHeight="1">
      <c r="L645" s="28"/>
      <c r="M645" s="28"/>
      <c r="N645" s="28"/>
    </row>
    <row r="646" spans="12:14" ht="13" customHeight="1">
      <c r="L646" s="28"/>
      <c r="M646" s="28"/>
      <c r="N646" s="28"/>
    </row>
    <row r="647" spans="12:14" ht="13" customHeight="1">
      <c r="L647" s="28"/>
      <c r="M647" s="28"/>
      <c r="N647" s="28"/>
    </row>
    <row r="648" spans="12:14" ht="13" customHeight="1">
      <c r="L648" s="28"/>
      <c r="M648" s="28"/>
      <c r="N648" s="28"/>
    </row>
    <row r="649" spans="12:14" ht="13" customHeight="1">
      <c r="L649" s="28"/>
      <c r="M649" s="28"/>
      <c r="N649" s="28"/>
    </row>
    <row r="650" spans="12:14" ht="13" customHeight="1">
      <c r="L650" s="28"/>
      <c r="M650" s="28"/>
      <c r="N650" s="28"/>
    </row>
    <row r="651" spans="12:14" ht="13" customHeight="1">
      <c r="L651" s="28"/>
      <c r="M651" s="28"/>
      <c r="N651" s="28"/>
    </row>
    <row r="652" spans="12:14" ht="13" customHeight="1">
      <c r="L652" s="28"/>
      <c r="M652" s="28"/>
      <c r="N652" s="28"/>
    </row>
    <row r="653" spans="12:14" ht="13" customHeight="1">
      <c r="L653" s="28"/>
      <c r="M653" s="28"/>
      <c r="N653" s="28"/>
    </row>
    <row r="654" spans="12:14" ht="13" customHeight="1">
      <c r="L654" s="28"/>
      <c r="M654" s="28"/>
      <c r="N654" s="28"/>
    </row>
    <row r="655" spans="12:14" ht="13" customHeight="1">
      <c r="L655" s="28"/>
      <c r="M655" s="28"/>
      <c r="N655" s="28"/>
    </row>
    <row r="656" spans="12:14" ht="13" customHeight="1">
      <c r="L656" s="28"/>
      <c r="M656" s="28"/>
      <c r="N656" s="28"/>
    </row>
    <row r="657" spans="12:14" ht="13" customHeight="1">
      <c r="L657" s="28"/>
      <c r="M657" s="28"/>
      <c r="N657" s="28"/>
    </row>
    <row r="658" spans="12:14" ht="13" customHeight="1">
      <c r="L658" s="28"/>
      <c r="M658" s="28"/>
      <c r="N658" s="28"/>
    </row>
    <row r="659" spans="12:14" ht="13" customHeight="1">
      <c r="L659" s="28"/>
      <c r="M659" s="28"/>
      <c r="N659" s="28"/>
    </row>
    <row r="660" spans="12:14" ht="13" customHeight="1">
      <c r="L660" s="28"/>
      <c r="M660" s="28"/>
      <c r="N660" s="28"/>
    </row>
    <row r="661" spans="12:14" ht="13" customHeight="1">
      <c r="L661" s="28"/>
      <c r="M661" s="28"/>
      <c r="N661" s="28"/>
    </row>
    <row r="662" spans="12:14" ht="13" customHeight="1">
      <c r="L662" s="28"/>
      <c r="M662" s="28"/>
      <c r="N662" s="28"/>
    </row>
    <row r="663" spans="12:14" ht="13" customHeight="1">
      <c r="L663" s="28"/>
      <c r="M663" s="28"/>
      <c r="N663" s="28"/>
    </row>
    <row r="664" spans="12:14" ht="13" customHeight="1">
      <c r="L664" s="28"/>
      <c r="M664" s="28"/>
      <c r="N664" s="28"/>
    </row>
    <row r="665" spans="12:14" ht="13" customHeight="1">
      <c r="L665" s="28"/>
      <c r="M665" s="28"/>
      <c r="N665" s="28"/>
    </row>
    <row r="666" spans="12:14" ht="13" customHeight="1">
      <c r="L666" s="28"/>
      <c r="M666" s="28"/>
      <c r="N666" s="28"/>
    </row>
    <row r="667" spans="12:14" ht="13" customHeight="1">
      <c r="L667" s="28"/>
      <c r="M667" s="28"/>
      <c r="N667" s="28"/>
    </row>
    <row r="668" spans="12:14" ht="13" customHeight="1">
      <c r="L668" s="28"/>
      <c r="M668" s="28"/>
      <c r="N668" s="28"/>
    </row>
    <row r="669" spans="12:14" ht="13" customHeight="1">
      <c r="L669" s="28"/>
      <c r="M669" s="28"/>
      <c r="N669" s="28"/>
    </row>
    <row r="670" spans="12:14" ht="13" customHeight="1">
      <c r="L670" s="28"/>
      <c r="M670" s="28"/>
      <c r="N670" s="28"/>
    </row>
    <row r="671" spans="12:14" ht="13" customHeight="1">
      <c r="L671" s="28"/>
      <c r="M671" s="28"/>
      <c r="N671" s="28"/>
    </row>
    <row r="672" spans="12:14" ht="13" customHeight="1">
      <c r="L672" s="28"/>
      <c r="M672" s="28"/>
      <c r="N672" s="28"/>
    </row>
    <row r="673" spans="12:14" ht="13" customHeight="1">
      <c r="L673" s="28"/>
      <c r="M673" s="28"/>
      <c r="N673" s="28"/>
    </row>
    <row r="674" spans="12:14" ht="13" customHeight="1">
      <c r="L674" s="28"/>
      <c r="M674" s="28"/>
      <c r="N674" s="28"/>
    </row>
    <row r="675" spans="12:14" ht="13" customHeight="1">
      <c r="L675" s="28"/>
      <c r="M675" s="28"/>
      <c r="N675" s="28"/>
    </row>
    <row r="676" spans="12:14" ht="13" customHeight="1">
      <c r="L676" s="28"/>
      <c r="M676" s="28"/>
      <c r="N676" s="28"/>
    </row>
    <row r="677" spans="12:14" ht="13" customHeight="1">
      <c r="L677" s="28"/>
      <c r="M677" s="28"/>
      <c r="N677" s="28"/>
    </row>
    <row r="678" spans="12:14" ht="13" customHeight="1">
      <c r="L678" s="28"/>
      <c r="M678" s="28"/>
      <c r="N678" s="28"/>
    </row>
    <row r="679" spans="12:14" ht="13" customHeight="1">
      <c r="L679" s="28"/>
      <c r="M679" s="28"/>
      <c r="N679" s="28"/>
    </row>
    <row r="680" spans="12:14" ht="13" customHeight="1">
      <c r="L680" s="28"/>
      <c r="M680" s="28"/>
      <c r="N680" s="28"/>
    </row>
    <row r="681" spans="12:14" ht="13" customHeight="1">
      <c r="L681" s="28"/>
      <c r="M681" s="28"/>
      <c r="N681" s="28"/>
    </row>
    <row r="682" spans="12:14" ht="13" customHeight="1">
      <c r="L682" s="28"/>
      <c r="M682" s="28"/>
      <c r="N682" s="28"/>
    </row>
    <row r="683" spans="12:14" ht="13" customHeight="1">
      <c r="L683" s="28"/>
      <c r="M683" s="28"/>
      <c r="N683" s="28"/>
    </row>
    <row r="684" spans="12:14" ht="13" customHeight="1">
      <c r="L684" s="28"/>
      <c r="M684" s="28"/>
      <c r="N684" s="28"/>
    </row>
    <row r="685" spans="12:14" ht="13" customHeight="1">
      <c r="L685" s="28"/>
      <c r="M685" s="28"/>
      <c r="N685" s="28"/>
    </row>
    <row r="686" spans="12:14" ht="13" customHeight="1">
      <c r="L686" s="28"/>
      <c r="M686" s="28"/>
      <c r="N686" s="28"/>
    </row>
    <row r="687" spans="12:14" ht="13" customHeight="1">
      <c r="L687" s="28"/>
      <c r="M687" s="28"/>
      <c r="N687" s="28"/>
    </row>
    <row r="688" spans="12:14" ht="13" customHeight="1">
      <c r="L688" s="28"/>
      <c r="M688" s="28"/>
      <c r="N688" s="28"/>
    </row>
    <row r="689" spans="12:14" ht="13" customHeight="1">
      <c r="L689" s="28"/>
      <c r="M689" s="28"/>
      <c r="N689" s="28"/>
    </row>
    <row r="690" spans="12:14" ht="13" customHeight="1">
      <c r="L690" s="28"/>
      <c r="M690" s="28"/>
      <c r="N690" s="28"/>
    </row>
    <row r="691" spans="12:14" ht="13" customHeight="1">
      <c r="L691" s="28"/>
      <c r="M691" s="28"/>
      <c r="N691" s="28"/>
    </row>
    <row r="692" spans="12:14" ht="13" customHeight="1">
      <c r="L692" s="28"/>
      <c r="M692" s="28"/>
      <c r="N692" s="28"/>
    </row>
    <row r="693" spans="12:14" ht="13" customHeight="1">
      <c r="L693" s="28"/>
      <c r="M693" s="28"/>
      <c r="N693" s="28"/>
    </row>
    <row r="694" spans="12:14" ht="13" customHeight="1">
      <c r="L694" s="28"/>
      <c r="M694" s="28"/>
      <c r="N694" s="28"/>
    </row>
    <row r="695" spans="12:14" ht="13" customHeight="1">
      <c r="L695" s="28"/>
      <c r="M695" s="28"/>
      <c r="N695" s="28"/>
    </row>
    <row r="696" spans="12:14" ht="13" customHeight="1">
      <c r="L696" s="28"/>
      <c r="M696" s="28"/>
      <c r="N696" s="28"/>
    </row>
    <row r="697" spans="12:14" ht="13" customHeight="1">
      <c r="L697" s="28"/>
      <c r="M697" s="28"/>
      <c r="N697" s="28"/>
    </row>
    <row r="698" spans="12:14" ht="13" customHeight="1">
      <c r="L698" s="28"/>
      <c r="M698" s="28"/>
      <c r="N698" s="28"/>
    </row>
    <row r="699" spans="12:14" ht="13" customHeight="1">
      <c r="L699" s="28"/>
      <c r="M699" s="28"/>
      <c r="N699" s="28"/>
    </row>
    <row r="700" spans="12:14" ht="13" customHeight="1">
      <c r="L700" s="28"/>
      <c r="M700" s="28"/>
      <c r="N700" s="28"/>
    </row>
    <row r="701" spans="12:14" ht="13" customHeight="1">
      <c r="L701" s="28"/>
      <c r="M701" s="28"/>
      <c r="N701" s="28"/>
    </row>
    <row r="702" spans="12:14" ht="13" customHeight="1">
      <c r="L702" s="28"/>
      <c r="M702" s="28"/>
      <c r="N702" s="28"/>
    </row>
    <row r="703" spans="12:14" ht="13" customHeight="1">
      <c r="L703" s="28"/>
      <c r="M703" s="28"/>
      <c r="N703" s="28"/>
    </row>
    <row r="704" spans="12:14" ht="13" customHeight="1">
      <c r="L704" s="28"/>
      <c r="M704" s="28"/>
      <c r="N704" s="28"/>
    </row>
    <row r="705" spans="12:14" ht="13" customHeight="1">
      <c r="L705" s="28"/>
      <c r="M705" s="28"/>
      <c r="N705" s="28"/>
    </row>
    <row r="706" spans="12:14" ht="13" customHeight="1">
      <c r="L706" s="28"/>
      <c r="M706" s="28"/>
      <c r="N706" s="28"/>
    </row>
    <row r="707" spans="12:14" ht="13" customHeight="1">
      <c r="L707" s="28"/>
      <c r="M707" s="28"/>
      <c r="N707" s="28"/>
    </row>
    <row r="708" spans="12:14" ht="13" customHeight="1">
      <c r="L708" s="28"/>
      <c r="M708" s="28"/>
      <c r="N708" s="28"/>
    </row>
    <row r="709" spans="12:14" ht="13" customHeight="1">
      <c r="L709" s="28"/>
      <c r="M709" s="28"/>
      <c r="N709" s="28"/>
    </row>
    <row r="710" spans="12:14" ht="13" customHeight="1">
      <c r="L710" s="28"/>
      <c r="M710" s="28"/>
      <c r="N710" s="28"/>
    </row>
    <row r="711" spans="12:14" ht="13" customHeight="1">
      <c r="L711" s="28"/>
      <c r="M711" s="28"/>
      <c r="N711" s="28"/>
    </row>
    <row r="712" spans="12:14" ht="13" customHeight="1">
      <c r="L712" s="28"/>
      <c r="M712" s="28"/>
      <c r="N712" s="28"/>
    </row>
    <row r="713" spans="12:14" ht="13" customHeight="1">
      <c r="L713" s="28"/>
      <c r="M713" s="28"/>
      <c r="N713" s="28"/>
    </row>
    <row r="714" spans="12:14" ht="13" customHeight="1">
      <c r="L714" s="28"/>
      <c r="M714" s="28"/>
      <c r="N714" s="28"/>
    </row>
    <row r="715" spans="12:14" ht="13" customHeight="1">
      <c r="L715" s="28"/>
      <c r="M715" s="28"/>
      <c r="N715" s="28"/>
    </row>
    <row r="716" spans="12:14" ht="13" customHeight="1">
      <c r="L716" s="28"/>
      <c r="M716" s="28"/>
      <c r="N716" s="28"/>
    </row>
    <row r="717" spans="12:14" ht="13" customHeight="1">
      <c r="L717" s="28"/>
      <c r="M717" s="28"/>
      <c r="N717" s="28"/>
    </row>
    <row r="718" spans="12:14" ht="13" customHeight="1">
      <c r="L718" s="28"/>
      <c r="M718" s="28"/>
      <c r="N718" s="28"/>
    </row>
    <row r="719" spans="12:14" ht="13" customHeight="1">
      <c r="L719" s="28"/>
      <c r="M719" s="28"/>
      <c r="N719" s="28"/>
    </row>
    <row r="720" spans="12:14" ht="13" customHeight="1">
      <c r="L720" s="28"/>
      <c r="M720" s="28"/>
      <c r="N720" s="28"/>
    </row>
    <row r="721" spans="12:14" ht="13" customHeight="1">
      <c r="L721" s="28"/>
      <c r="M721" s="28"/>
      <c r="N721" s="28"/>
    </row>
    <row r="722" spans="12:14" ht="13" customHeight="1">
      <c r="L722" s="28"/>
      <c r="M722" s="28"/>
      <c r="N722" s="28"/>
    </row>
    <row r="723" spans="12:14" ht="13" customHeight="1">
      <c r="L723" s="28"/>
      <c r="M723" s="28"/>
      <c r="N723" s="28"/>
    </row>
    <row r="724" spans="12:14" ht="13" customHeight="1">
      <c r="L724" s="28"/>
      <c r="M724" s="28"/>
      <c r="N724" s="28"/>
    </row>
    <row r="725" spans="12:14" ht="13" customHeight="1">
      <c r="L725" s="28"/>
      <c r="M725" s="28"/>
      <c r="N725" s="28"/>
    </row>
    <row r="726" spans="12:14" ht="13" customHeight="1">
      <c r="L726" s="28"/>
      <c r="M726" s="28"/>
      <c r="N726" s="28"/>
    </row>
    <row r="727" spans="12:14" ht="13" customHeight="1">
      <c r="L727" s="28"/>
      <c r="M727" s="28"/>
      <c r="N727" s="28"/>
    </row>
    <row r="728" spans="12:14" ht="13" customHeight="1">
      <c r="L728" s="28"/>
      <c r="M728" s="28"/>
      <c r="N728" s="28"/>
    </row>
    <row r="729" spans="12:14" ht="13" customHeight="1">
      <c r="L729" s="28"/>
      <c r="M729" s="28"/>
      <c r="N729" s="28"/>
    </row>
    <row r="730" spans="12:14" ht="13" customHeight="1">
      <c r="L730" s="28"/>
      <c r="M730" s="28"/>
      <c r="N730" s="28"/>
    </row>
    <row r="731" spans="12:14" ht="13" customHeight="1">
      <c r="L731" s="28"/>
      <c r="M731" s="28"/>
      <c r="N731" s="28"/>
    </row>
    <row r="732" spans="12:14" ht="13" customHeight="1">
      <c r="L732" s="28"/>
      <c r="M732" s="28"/>
      <c r="N732" s="28"/>
    </row>
    <row r="733" spans="12:14" ht="13" customHeight="1">
      <c r="L733" s="28"/>
      <c r="M733" s="28"/>
      <c r="N733" s="28"/>
    </row>
    <row r="734" spans="12:14" ht="13" customHeight="1">
      <c r="L734" s="28"/>
      <c r="M734" s="28"/>
      <c r="N734" s="28"/>
    </row>
    <row r="735" spans="12:14" ht="13" customHeight="1">
      <c r="L735" s="28"/>
      <c r="M735" s="28"/>
      <c r="N735" s="28"/>
    </row>
    <row r="736" spans="12:14" ht="13" customHeight="1">
      <c r="L736" s="28"/>
      <c r="M736" s="28"/>
      <c r="N736" s="28"/>
    </row>
    <row r="737" spans="12:14" ht="13" customHeight="1">
      <c r="L737" s="28"/>
      <c r="M737" s="28"/>
      <c r="N737" s="28"/>
    </row>
    <row r="738" spans="12:14" ht="13" customHeight="1">
      <c r="L738" s="28"/>
      <c r="M738" s="28"/>
      <c r="N738" s="28"/>
    </row>
    <row r="739" spans="12:14" ht="13" customHeight="1">
      <c r="L739" s="28"/>
      <c r="M739" s="28"/>
      <c r="N739" s="28"/>
    </row>
    <row r="740" spans="12:14" ht="13" customHeight="1">
      <c r="L740" s="28"/>
      <c r="M740" s="28"/>
      <c r="N740" s="28"/>
    </row>
    <row r="741" spans="12:14" ht="13" customHeight="1">
      <c r="L741" s="28"/>
      <c r="M741" s="28"/>
      <c r="N741" s="28"/>
    </row>
    <row r="742" spans="12:14" ht="13" customHeight="1">
      <c r="L742" s="28"/>
      <c r="M742" s="28"/>
      <c r="N742" s="28"/>
    </row>
    <row r="743" spans="12:14" ht="13" customHeight="1">
      <c r="L743" s="28"/>
      <c r="M743" s="28"/>
      <c r="N743" s="28"/>
    </row>
    <row r="744" spans="12:14" ht="13" customHeight="1">
      <c r="L744" s="28"/>
      <c r="M744" s="28"/>
      <c r="N744" s="28"/>
    </row>
    <row r="745" spans="12:14" ht="13" customHeight="1">
      <c r="L745" s="28"/>
      <c r="M745" s="28"/>
      <c r="N745" s="28"/>
    </row>
    <row r="746" spans="12:14" ht="13" customHeight="1">
      <c r="L746" s="28"/>
      <c r="M746" s="28"/>
      <c r="N746" s="28"/>
    </row>
    <row r="747" spans="12:14" ht="13" customHeight="1">
      <c r="L747" s="28"/>
      <c r="M747" s="28"/>
      <c r="N747" s="28"/>
    </row>
    <row r="748" spans="12:14" ht="13" customHeight="1">
      <c r="L748" s="28"/>
      <c r="M748" s="28"/>
      <c r="N748" s="28"/>
    </row>
    <row r="749" spans="12:14" ht="13" customHeight="1">
      <c r="L749" s="28"/>
      <c r="M749" s="28"/>
      <c r="N749" s="28"/>
    </row>
    <row r="750" spans="12:14" ht="13" customHeight="1">
      <c r="L750" s="28"/>
      <c r="M750" s="28"/>
      <c r="N750" s="28"/>
    </row>
    <row r="751" spans="12:14" ht="13" customHeight="1">
      <c r="L751" s="28"/>
      <c r="M751" s="28"/>
      <c r="N751" s="28"/>
    </row>
    <row r="752" spans="12:14" ht="13" customHeight="1">
      <c r="L752" s="28"/>
      <c r="M752" s="28"/>
      <c r="N752" s="28"/>
    </row>
    <row r="753" spans="12:14" ht="13" customHeight="1">
      <c r="L753" s="28"/>
      <c r="M753" s="28"/>
      <c r="N753" s="28"/>
    </row>
    <row r="754" spans="12:14" ht="13" customHeight="1">
      <c r="L754" s="28"/>
      <c r="M754" s="28"/>
      <c r="N754" s="28"/>
    </row>
    <row r="755" spans="12:14" ht="13" customHeight="1">
      <c r="L755" s="28"/>
      <c r="M755" s="28"/>
      <c r="N755" s="28"/>
    </row>
    <row r="756" spans="12:14" ht="13" customHeight="1">
      <c r="L756" s="28"/>
      <c r="M756" s="28"/>
      <c r="N756" s="28"/>
    </row>
    <row r="757" spans="12:14" ht="13" customHeight="1">
      <c r="L757" s="28"/>
      <c r="M757" s="28"/>
      <c r="N757" s="28"/>
    </row>
    <row r="758" spans="12:14" ht="13" customHeight="1">
      <c r="L758" s="28"/>
      <c r="M758" s="28"/>
      <c r="N758" s="28"/>
    </row>
    <row r="759" spans="12:14" ht="13" customHeight="1">
      <c r="L759" s="28"/>
      <c r="M759" s="28"/>
      <c r="N759" s="28"/>
    </row>
    <row r="760" spans="12:14" ht="13" customHeight="1">
      <c r="L760" s="28"/>
      <c r="M760" s="28"/>
      <c r="N760" s="28"/>
    </row>
    <row r="761" spans="12:14" ht="13" customHeight="1">
      <c r="L761" s="28"/>
      <c r="M761" s="28"/>
      <c r="N761" s="28"/>
    </row>
    <row r="762" spans="12:14" ht="13" customHeight="1">
      <c r="L762" s="28"/>
      <c r="M762" s="28"/>
      <c r="N762" s="28"/>
    </row>
    <row r="763" spans="12:14" ht="13" customHeight="1">
      <c r="L763" s="28"/>
      <c r="M763" s="28"/>
      <c r="N763" s="28"/>
    </row>
    <row r="764" spans="12:14" ht="13" customHeight="1">
      <c r="L764" s="28"/>
      <c r="M764" s="28"/>
      <c r="N764" s="28"/>
    </row>
    <row r="765" spans="12:14" ht="13" customHeight="1">
      <c r="L765" s="28"/>
      <c r="M765" s="28"/>
      <c r="N765" s="28"/>
    </row>
    <row r="766" spans="12:14" ht="13" customHeight="1">
      <c r="L766" s="28"/>
      <c r="M766" s="28"/>
      <c r="N766" s="28"/>
    </row>
    <row r="767" spans="12:14" ht="13" customHeight="1">
      <c r="L767" s="28"/>
      <c r="M767" s="28"/>
      <c r="N767" s="28"/>
    </row>
    <row r="768" spans="12:14" ht="13" customHeight="1">
      <c r="L768" s="28"/>
      <c r="M768" s="28"/>
      <c r="N768" s="28"/>
    </row>
    <row r="769" spans="12:14" ht="13" customHeight="1">
      <c r="L769" s="28"/>
      <c r="M769" s="28"/>
      <c r="N769" s="28"/>
    </row>
    <row r="770" spans="12:14" ht="13" customHeight="1">
      <c r="L770" s="28"/>
      <c r="M770" s="28"/>
      <c r="N770" s="28"/>
    </row>
    <row r="771" spans="12:14" ht="13" customHeight="1">
      <c r="L771" s="28"/>
      <c r="M771" s="28"/>
      <c r="N771" s="28"/>
    </row>
    <row r="772" spans="12:14" ht="13" customHeight="1">
      <c r="L772" s="28"/>
      <c r="M772" s="28"/>
      <c r="N772" s="28"/>
    </row>
    <row r="773" spans="12:14" ht="13" customHeight="1">
      <c r="L773" s="28"/>
      <c r="M773" s="28"/>
      <c r="N773" s="28"/>
    </row>
    <row r="774" spans="12:14" ht="13" customHeight="1">
      <c r="L774" s="28"/>
      <c r="M774" s="28"/>
      <c r="N774" s="28"/>
    </row>
    <row r="775" spans="12:14" ht="13" customHeight="1">
      <c r="L775" s="28"/>
      <c r="M775" s="28"/>
      <c r="N775" s="28"/>
    </row>
    <row r="776" spans="12:14" ht="13" customHeight="1">
      <c r="L776" s="28"/>
      <c r="M776" s="28"/>
      <c r="N776" s="28"/>
    </row>
    <row r="777" spans="12:14" ht="13" customHeight="1">
      <c r="L777" s="28"/>
      <c r="M777" s="28"/>
      <c r="N777" s="28"/>
    </row>
    <row r="778" spans="12:14" ht="13" customHeight="1">
      <c r="L778" s="28"/>
      <c r="M778" s="28"/>
      <c r="N778" s="28"/>
    </row>
    <row r="779" spans="12:14" ht="13" customHeight="1">
      <c r="L779" s="28"/>
      <c r="M779" s="28"/>
      <c r="N779" s="28"/>
    </row>
    <row r="780" spans="12:14" ht="13" customHeight="1">
      <c r="L780" s="28"/>
      <c r="M780" s="28"/>
      <c r="N780" s="28"/>
    </row>
    <row r="781" spans="12:14" ht="13" customHeight="1">
      <c r="L781" s="28"/>
      <c r="M781" s="28"/>
      <c r="N781" s="28"/>
    </row>
    <row r="782" spans="12:14" ht="13" customHeight="1">
      <c r="L782" s="28"/>
      <c r="M782" s="28"/>
      <c r="N782" s="28"/>
    </row>
    <row r="783" spans="12:14" ht="13" customHeight="1">
      <c r="L783" s="28"/>
      <c r="M783" s="28"/>
      <c r="N783" s="28"/>
    </row>
    <row r="784" spans="12:14" ht="13" customHeight="1">
      <c r="L784" s="28"/>
      <c r="M784" s="28"/>
      <c r="N784" s="28"/>
    </row>
    <row r="785" spans="12:14" ht="13" customHeight="1">
      <c r="L785" s="28"/>
      <c r="M785" s="28"/>
      <c r="N785" s="28"/>
    </row>
    <row r="786" spans="12:14" ht="13" customHeight="1">
      <c r="L786" s="28"/>
      <c r="M786" s="28"/>
      <c r="N786" s="28"/>
    </row>
    <row r="787" spans="12:14" ht="13" customHeight="1">
      <c r="L787" s="28"/>
      <c r="M787" s="28"/>
      <c r="N787" s="28"/>
    </row>
    <row r="788" spans="12:14" ht="13" customHeight="1">
      <c r="L788" s="28"/>
      <c r="M788" s="28"/>
      <c r="N788" s="28"/>
    </row>
    <row r="789" spans="12:14" ht="13" customHeight="1">
      <c r="L789" s="28"/>
      <c r="M789" s="28"/>
      <c r="N789" s="28"/>
    </row>
    <row r="790" spans="12:14" ht="13" customHeight="1">
      <c r="L790" s="28"/>
      <c r="M790" s="28"/>
      <c r="N790" s="28"/>
    </row>
    <row r="791" spans="12:14" ht="13" customHeight="1">
      <c r="L791" s="28"/>
      <c r="M791" s="28"/>
      <c r="N791" s="28"/>
    </row>
    <row r="792" spans="12:14" ht="13" customHeight="1">
      <c r="L792" s="28"/>
      <c r="M792" s="28"/>
      <c r="N792" s="28"/>
    </row>
    <row r="793" spans="12:14" ht="13" customHeight="1">
      <c r="L793" s="28"/>
      <c r="M793" s="28"/>
      <c r="N793" s="28"/>
    </row>
    <row r="794" spans="12:14" ht="13" customHeight="1">
      <c r="L794" s="28"/>
      <c r="M794" s="28"/>
      <c r="N794" s="28"/>
    </row>
    <row r="795" spans="12:14" ht="13" customHeight="1">
      <c r="L795" s="28"/>
      <c r="M795" s="28"/>
      <c r="N795" s="28"/>
    </row>
    <row r="796" spans="12:14" ht="13" customHeight="1">
      <c r="L796" s="28"/>
      <c r="M796" s="28"/>
      <c r="N796" s="28"/>
    </row>
    <row r="797" spans="12:14" ht="13" customHeight="1">
      <c r="L797" s="28"/>
      <c r="M797" s="28"/>
      <c r="N797" s="28"/>
    </row>
    <row r="798" spans="12:14" ht="13" customHeight="1">
      <c r="L798" s="28"/>
      <c r="M798" s="28"/>
      <c r="N798" s="28"/>
    </row>
    <row r="799" spans="12:14" ht="13" customHeight="1">
      <c r="L799" s="28"/>
      <c r="M799" s="28"/>
      <c r="N799" s="28"/>
    </row>
    <row r="800" spans="12:14" ht="13" customHeight="1">
      <c r="L800" s="28"/>
      <c r="M800" s="28"/>
      <c r="N800" s="28"/>
    </row>
    <row r="801" spans="12:14" ht="13" customHeight="1">
      <c r="L801" s="28"/>
      <c r="M801" s="28"/>
      <c r="N801" s="28"/>
    </row>
    <row r="802" spans="12:14" ht="13" customHeight="1">
      <c r="L802" s="28"/>
      <c r="M802" s="28"/>
      <c r="N802" s="28"/>
    </row>
    <row r="803" spans="12:14" ht="13" customHeight="1">
      <c r="L803" s="28"/>
      <c r="M803" s="28"/>
      <c r="N803" s="28"/>
    </row>
    <row r="804" spans="12:14" ht="13" customHeight="1">
      <c r="L804" s="28"/>
      <c r="M804" s="28"/>
      <c r="N804" s="28"/>
    </row>
    <row r="805" spans="12:14" ht="13" customHeight="1">
      <c r="L805" s="28"/>
      <c r="M805" s="28"/>
      <c r="N805" s="28"/>
    </row>
    <row r="806" spans="12:14" ht="13" customHeight="1">
      <c r="L806" s="28"/>
      <c r="M806" s="28"/>
      <c r="N806" s="28"/>
    </row>
    <row r="807" spans="12:14" ht="13" customHeight="1">
      <c r="L807" s="28"/>
      <c r="M807" s="28"/>
      <c r="N807" s="28"/>
    </row>
    <row r="808" spans="12:14" ht="13" customHeight="1">
      <c r="L808" s="28"/>
      <c r="M808" s="28"/>
      <c r="N808" s="28"/>
    </row>
    <row r="809" spans="12:14" ht="13" customHeight="1">
      <c r="L809" s="28"/>
      <c r="M809" s="28"/>
      <c r="N809" s="28"/>
    </row>
    <row r="810" spans="12:14" ht="13" customHeight="1">
      <c r="L810" s="28"/>
      <c r="M810" s="28"/>
      <c r="N810" s="28"/>
    </row>
    <row r="811" spans="12:14" ht="13" customHeight="1">
      <c r="L811" s="28"/>
      <c r="M811" s="28"/>
      <c r="N811" s="28"/>
    </row>
    <row r="812" spans="12:14" ht="13" customHeight="1">
      <c r="L812" s="28"/>
      <c r="M812" s="28"/>
      <c r="N812" s="28"/>
    </row>
    <row r="813" spans="12:14" ht="13" customHeight="1">
      <c r="L813" s="28"/>
      <c r="M813" s="28"/>
      <c r="N813" s="28"/>
    </row>
    <row r="814" spans="12:14" ht="13" customHeight="1">
      <c r="L814" s="28"/>
      <c r="M814" s="28"/>
      <c r="N814" s="28"/>
    </row>
    <row r="815" spans="12:14" ht="13" customHeight="1">
      <c r="L815" s="28"/>
      <c r="M815" s="28"/>
      <c r="N815" s="28"/>
    </row>
    <row r="816" spans="12:14" ht="13" customHeight="1">
      <c r="L816" s="28"/>
      <c r="M816" s="28"/>
      <c r="N816" s="28"/>
    </row>
    <row r="817" spans="12:14" ht="13" customHeight="1">
      <c r="L817" s="28"/>
      <c r="M817" s="28"/>
      <c r="N817" s="28"/>
    </row>
    <row r="818" spans="12:14" ht="13" customHeight="1">
      <c r="L818" s="28"/>
      <c r="M818" s="28"/>
      <c r="N818" s="28"/>
    </row>
    <row r="819" spans="12:14" ht="13" customHeight="1">
      <c r="L819" s="28"/>
      <c r="M819" s="28"/>
      <c r="N819" s="28"/>
    </row>
    <row r="820" spans="12:14" ht="13" customHeight="1">
      <c r="L820" s="28"/>
      <c r="M820" s="28"/>
      <c r="N820" s="28"/>
    </row>
    <row r="821" spans="12:14" ht="13" customHeight="1">
      <c r="L821" s="28"/>
      <c r="M821" s="28"/>
      <c r="N821" s="28"/>
    </row>
    <row r="822" spans="12:14" ht="13" customHeight="1">
      <c r="L822" s="28"/>
      <c r="M822" s="28"/>
      <c r="N822" s="28"/>
    </row>
    <row r="823" spans="12:14" ht="13" customHeight="1">
      <c r="L823" s="28"/>
      <c r="M823" s="28"/>
      <c r="N823" s="28"/>
    </row>
    <row r="824" spans="12:14" ht="13" customHeight="1">
      <c r="L824" s="28"/>
      <c r="M824" s="28"/>
      <c r="N824" s="28"/>
    </row>
    <row r="825" spans="12:14" ht="13" customHeight="1">
      <c r="L825" s="28"/>
      <c r="M825" s="28"/>
      <c r="N825" s="28"/>
    </row>
    <row r="826" spans="12:14" ht="13" customHeight="1">
      <c r="L826" s="28"/>
      <c r="M826" s="28"/>
      <c r="N826" s="28"/>
    </row>
    <row r="827" spans="12:14" ht="13" customHeight="1">
      <c r="L827" s="28"/>
      <c r="M827" s="28"/>
      <c r="N827" s="28"/>
    </row>
    <row r="828" spans="12:14" ht="13" customHeight="1">
      <c r="L828" s="28"/>
      <c r="M828" s="28"/>
      <c r="N828" s="28"/>
    </row>
    <row r="829" spans="12:14" ht="13" customHeight="1">
      <c r="L829" s="28"/>
      <c r="M829" s="28"/>
      <c r="N829" s="28"/>
    </row>
    <row r="830" spans="12:14" ht="13" customHeight="1">
      <c r="L830" s="28"/>
      <c r="M830" s="28"/>
      <c r="N830" s="28"/>
    </row>
    <row r="831" spans="12:14" ht="13" customHeight="1">
      <c r="L831" s="28"/>
      <c r="M831" s="28"/>
      <c r="N831" s="28"/>
    </row>
    <row r="832" spans="12:14" ht="13" customHeight="1">
      <c r="L832" s="28"/>
      <c r="M832" s="28"/>
      <c r="N832" s="28"/>
    </row>
    <row r="833" spans="12:14" ht="13" customHeight="1">
      <c r="L833" s="28"/>
      <c r="M833" s="28"/>
      <c r="N833" s="28"/>
    </row>
    <row r="834" spans="12:14" ht="13" customHeight="1">
      <c r="L834" s="28"/>
      <c r="M834" s="28"/>
      <c r="N834" s="28"/>
    </row>
    <row r="835" spans="12:14" ht="13" customHeight="1">
      <c r="L835" s="28"/>
      <c r="M835" s="28"/>
      <c r="N835" s="28"/>
    </row>
    <row r="836" spans="12:14" ht="13" customHeight="1">
      <c r="L836" s="28"/>
      <c r="M836" s="28"/>
      <c r="N836" s="28"/>
    </row>
    <row r="837" spans="12:14" ht="13" customHeight="1">
      <c r="L837" s="28"/>
      <c r="M837" s="28"/>
      <c r="N837" s="28"/>
    </row>
    <row r="838" spans="12:14" ht="13" customHeight="1">
      <c r="L838" s="28"/>
      <c r="M838" s="28"/>
      <c r="N838" s="28"/>
    </row>
    <row r="839" spans="12:14" ht="13" customHeight="1">
      <c r="L839" s="28"/>
      <c r="M839" s="28"/>
      <c r="N839" s="28"/>
    </row>
    <row r="840" spans="12:14" ht="13" customHeight="1">
      <c r="L840" s="28"/>
      <c r="M840" s="28"/>
      <c r="N840" s="28"/>
    </row>
    <row r="841" spans="12:14" ht="13" customHeight="1">
      <c r="L841" s="28"/>
      <c r="M841" s="28"/>
      <c r="N841" s="28"/>
    </row>
    <row r="842" spans="12:14" ht="13" customHeight="1">
      <c r="L842" s="28"/>
      <c r="M842" s="28"/>
      <c r="N842" s="28"/>
    </row>
    <row r="843" spans="12:14" ht="13" customHeight="1">
      <c r="L843" s="28"/>
      <c r="M843" s="28"/>
      <c r="N843" s="28"/>
    </row>
    <row r="844" spans="12:14" ht="13" customHeight="1">
      <c r="L844" s="28"/>
      <c r="M844" s="28"/>
      <c r="N844" s="28"/>
    </row>
    <row r="845" spans="12:14" ht="13" customHeight="1">
      <c r="L845" s="28"/>
      <c r="M845" s="28"/>
      <c r="N845" s="28"/>
    </row>
    <row r="846" spans="12:14" ht="13" customHeight="1">
      <c r="L846" s="28"/>
      <c r="M846" s="28"/>
      <c r="N846" s="28"/>
    </row>
    <row r="847" spans="12:14" ht="13" customHeight="1">
      <c r="L847" s="28"/>
      <c r="M847" s="28"/>
      <c r="N847" s="28"/>
    </row>
    <row r="848" spans="12:14" ht="13" customHeight="1">
      <c r="L848" s="28"/>
      <c r="M848" s="28"/>
      <c r="N848" s="28"/>
    </row>
    <row r="849" spans="12:14" ht="13" customHeight="1">
      <c r="L849" s="28"/>
      <c r="M849" s="28"/>
      <c r="N849" s="28"/>
    </row>
    <row r="850" spans="12:14" ht="13" customHeight="1">
      <c r="L850" s="28"/>
      <c r="M850" s="28"/>
      <c r="N850" s="28"/>
    </row>
    <row r="851" spans="12:14" ht="13" customHeight="1">
      <c r="L851" s="28"/>
      <c r="M851" s="28"/>
      <c r="N851" s="28"/>
    </row>
    <row r="852" spans="12:14" ht="13" customHeight="1">
      <c r="L852" s="28"/>
      <c r="M852" s="28"/>
      <c r="N852" s="28"/>
    </row>
    <row r="853" spans="12:14" ht="13" customHeight="1">
      <c r="L853" s="28"/>
      <c r="M853" s="28"/>
      <c r="N853" s="28"/>
    </row>
    <row r="854" spans="12:14" ht="13" customHeight="1">
      <c r="L854" s="28"/>
      <c r="M854" s="28"/>
      <c r="N854" s="28"/>
    </row>
    <row r="855" spans="12:14" ht="13" customHeight="1">
      <c r="L855" s="28"/>
      <c r="M855" s="28"/>
      <c r="N855" s="28"/>
    </row>
    <row r="856" spans="12:14" ht="13" customHeight="1">
      <c r="L856" s="28"/>
      <c r="M856" s="28"/>
      <c r="N856" s="28"/>
    </row>
    <row r="857" spans="12:14" ht="13" customHeight="1">
      <c r="L857" s="28"/>
      <c r="M857" s="28"/>
      <c r="N857" s="28"/>
    </row>
    <row r="858" spans="12:14" ht="13" customHeight="1">
      <c r="L858" s="28"/>
      <c r="M858" s="28"/>
      <c r="N858" s="28"/>
    </row>
    <row r="859" spans="12:14" ht="13" customHeight="1">
      <c r="L859" s="28"/>
      <c r="M859" s="28"/>
      <c r="N859" s="28"/>
    </row>
    <row r="860" spans="12:14" ht="13" customHeight="1">
      <c r="L860" s="28"/>
      <c r="M860" s="28"/>
      <c r="N860" s="28"/>
    </row>
    <row r="861" spans="12:14" ht="13" customHeight="1">
      <c r="L861" s="28"/>
      <c r="M861" s="28"/>
      <c r="N861" s="28"/>
    </row>
    <row r="862" spans="12:14" ht="13" customHeight="1">
      <c r="L862" s="28"/>
      <c r="M862" s="28"/>
      <c r="N862" s="28"/>
    </row>
    <row r="863" spans="12:14" ht="13" customHeight="1">
      <c r="L863" s="28"/>
      <c r="M863" s="28"/>
      <c r="N863" s="28"/>
    </row>
    <row r="864" spans="12:14" ht="13" customHeight="1">
      <c r="L864" s="28"/>
      <c r="M864" s="28"/>
      <c r="N864" s="28"/>
    </row>
    <row r="865" spans="12:14" ht="13" customHeight="1">
      <c r="L865" s="28"/>
      <c r="M865" s="28"/>
      <c r="N865" s="28"/>
    </row>
    <row r="866" spans="12:14" ht="13" customHeight="1">
      <c r="L866" s="28"/>
      <c r="M866" s="28"/>
      <c r="N866" s="28"/>
    </row>
    <row r="867" spans="12:14" ht="13" customHeight="1">
      <c r="L867" s="28"/>
      <c r="M867" s="28"/>
      <c r="N867" s="28"/>
    </row>
    <row r="868" spans="12:14" ht="13" customHeight="1">
      <c r="L868" s="28"/>
      <c r="M868" s="28"/>
      <c r="N868" s="28"/>
    </row>
    <row r="869" spans="12:14" ht="13" customHeight="1">
      <c r="L869" s="28"/>
      <c r="M869" s="28"/>
      <c r="N869" s="28"/>
    </row>
    <row r="870" spans="12:14" ht="13" customHeight="1">
      <c r="L870" s="28"/>
      <c r="M870" s="28"/>
      <c r="N870" s="28"/>
    </row>
    <row r="871" spans="12:14" ht="13" customHeight="1">
      <c r="L871" s="28"/>
      <c r="M871" s="28"/>
      <c r="N871" s="28"/>
    </row>
    <row r="872" spans="12:14" ht="13" customHeight="1">
      <c r="L872" s="28"/>
      <c r="M872" s="28"/>
      <c r="N872" s="28"/>
    </row>
    <row r="873" spans="12:14" ht="13" customHeight="1">
      <c r="L873" s="28"/>
      <c r="M873" s="28"/>
      <c r="N873" s="28"/>
    </row>
    <row r="874" spans="12:14" ht="13" customHeight="1">
      <c r="L874" s="28"/>
      <c r="M874" s="28"/>
      <c r="N874" s="28"/>
    </row>
    <row r="875" spans="12:14" ht="13" customHeight="1">
      <c r="L875" s="28"/>
      <c r="M875" s="28"/>
      <c r="N875" s="28"/>
    </row>
    <row r="876" spans="12:14" ht="13" customHeight="1">
      <c r="L876" s="28"/>
      <c r="M876" s="28"/>
      <c r="N876" s="28"/>
    </row>
    <row r="877" spans="12:14" ht="13" customHeight="1">
      <c r="L877" s="28"/>
      <c r="M877" s="28"/>
      <c r="N877" s="28"/>
    </row>
    <row r="878" spans="12:14" ht="13" customHeight="1">
      <c r="L878" s="28"/>
      <c r="M878" s="28"/>
      <c r="N878" s="28"/>
    </row>
    <row r="879" spans="12:14" ht="13" customHeight="1">
      <c r="L879" s="28"/>
      <c r="M879" s="28"/>
      <c r="N879" s="28"/>
    </row>
    <row r="880" spans="12:14" ht="13" customHeight="1">
      <c r="L880" s="28"/>
      <c r="M880" s="28"/>
      <c r="N880" s="28"/>
    </row>
    <row r="881" spans="12:14" ht="13" customHeight="1">
      <c r="L881" s="28"/>
      <c r="M881" s="28"/>
      <c r="N881" s="28"/>
    </row>
    <row r="882" spans="12:14" ht="13" customHeight="1">
      <c r="L882" s="28"/>
      <c r="M882" s="28"/>
      <c r="N882" s="28"/>
    </row>
    <row r="883" spans="12:14" ht="13" customHeight="1">
      <c r="L883" s="28"/>
      <c r="M883" s="28"/>
      <c r="N883" s="28"/>
    </row>
    <row r="884" spans="12:14" ht="13" customHeight="1">
      <c r="L884" s="28"/>
      <c r="M884" s="28"/>
      <c r="N884" s="28"/>
    </row>
    <row r="885" spans="12:14" ht="13" customHeight="1">
      <c r="L885" s="28"/>
      <c r="M885" s="28"/>
      <c r="N885" s="28"/>
    </row>
    <row r="886" spans="12:14" ht="13" customHeight="1">
      <c r="L886" s="28"/>
      <c r="M886" s="28"/>
      <c r="N886" s="28"/>
    </row>
    <row r="887" spans="12:14" ht="13" customHeight="1">
      <c r="L887" s="28"/>
      <c r="M887" s="28"/>
      <c r="N887" s="28"/>
    </row>
    <row r="888" spans="12:14" ht="13" customHeight="1">
      <c r="L888" s="28"/>
      <c r="M888" s="28"/>
      <c r="N888" s="28"/>
    </row>
    <row r="889" spans="12:14" ht="13" customHeight="1">
      <c r="L889" s="28"/>
      <c r="M889" s="28"/>
      <c r="N889" s="28"/>
    </row>
    <row r="890" spans="12:14" ht="13" customHeight="1">
      <c r="L890" s="28"/>
      <c r="M890" s="28"/>
      <c r="N890" s="28"/>
    </row>
    <row r="891" spans="12:14" ht="13" customHeight="1">
      <c r="L891" s="28"/>
      <c r="M891" s="28"/>
      <c r="N891" s="28"/>
    </row>
    <row r="892" spans="12:14" ht="13" customHeight="1">
      <c r="L892" s="28"/>
      <c r="M892" s="28"/>
      <c r="N892" s="28"/>
    </row>
    <row r="893" spans="12:14" ht="13" customHeight="1">
      <c r="L893" s="28"/>
      <c r="M893" s="28"/>
      <c r="N893" s="28"/>
    </row>
    <row r="894" spans="12:14" ht="13" customHeight="1">
      <c r="L894" s="28"/>
      <c r="M894" s="28"/>
      <c r="N894" s="28"/>
    </row>
    <row r="895" spans="12:14" ht="13" customHeight="1">
      <c r="L895" s="28"/>
      <c r="M895" s="28"/>
      <c r="N895" s="28"/>
    </row>
    <row r="896" spans="12:14" ht="13" customHeight="1">
      <c r="L896" s="28"/>
      <c r="M896" s="28"/>
      <c r="N896" s="28"/>
    </row>
    <row r="897" spans="12:14" ht="13" customHeight="1">
      <c r="L897" s="28"/>
      <c r="M897" s="28"/>
      <c r="N897" s="28"/>
    </row>
    <row r="898" spans="12:14" ht="13" customHeight="1">
      <c r="L898" s="28"/>
      <c r="M898" s="28"/>
      <c r="N898" s="28"/>
    </row>
    <row r="899" spans="12:14" ht="13" customHeight="1">
      <c r="L899" s="28"/>
      <c r="M899" s="28"/>
      <c r="N899" s="28"/>
    </row>
    <row r="900" spans="12:14" ht="13" customHeight="1">
      <c r="L900" s="28"/>
      <c r="M900" s="28"/>
      <c r="N900" s="28"/>
    </row>
    <row r="901" spans="12:14" ht="13" customHeight="1">
      <c r="L901" s="28"/>
      <c r="M901" s="28"/>
      <c r="N901" s="28"/>
    </row>
    <row r="902" spans="12:14" ht="13" customHeight="1">
      <c r="L902" s="28"/>
      <c r="M902" s="28"/>
      <c r="N902" s="28"/>
    </row>
    <row r="903" spans="12:14" ht="13" customHeight="1">
      <c r="L903" s="28"/>
      <c r="M903" s="28"/>
      <c r="N903" s="28"/>
    </row>
    <row r="904" spans="12:14" ht="13" customHeight="1">
      <c r="L904" s="28"/>
      <c r="M904" s="28"/>
      <c r="N904" s="28"/>
    </row>
    <row r="905" spans="12:14" ht="13" customHeight="1">
      <c r="L905" s="28"/>
      <c r="M905" s="28"/>
      <c r="N905" s="28"/>
    </row>
    <row r="906" spans="12:14" ht="13" customHeight="1">
      <c r="L906" s="28"/>
      <c r="M906" s="28"/>
      <c r="N906" s="28"/>
    </row>
    <row r="907" spans="12:14" ht="13" customHeight="1">
      <c r="L907" s="28"/>
      <c r="M907" s="28"/>
      <c r="N907" s="28"/>
    </row>
    <row r="908" spans="12:14" ht="13" customHeight="1">
      <c r="L908" s="28"/>
      <c r="M908" s="28"/>
      <c r="N908" s="28"/>
    </row>
    <row r="909" spans="12:14" ht="13" customHeight="1">
      <c r="L909" s="28"/>
      <c r="M909" s="28"/>
      <c r="N909" s="28"/>
    </row>
    <row r="910" spans="12:14" ht="13" customHeight="1">
      <c r="L910" s="28"/>
      <c r="M910" s="28"/>
      <c r="N910" s="28"/>
    </row>
    <row r="911" spans="12:14" ht="13" customHeight="1">
      <c r="L911" s="28"/>
      <c r="M911" s="28"/>
      <c r="N911" s="28"/>
    </row>
    <row r="912" spans="12:14" ht="13" customHeight="1">
      <c r="L912" s="28"/>
      <c r="M912" s="28"/>
      <c r="N912" s="28"/>
    </row>
    <row r="913" spans="12:14" ht="13" customHeight="1">
      <c r="L913" s="28"/>
      <c r="M913" s="28"/>
      <c r="N913" s="28"/>
    </row>
    <row r="914" spans="12:14" ht="13" customHeight="1">
      <c r="L914" s="28"/>
      <c r="M914" s="28"/>
      <c r="N914" s="28"/>
    </row>
    <row r="915" spans="12:14" ht="13" customHeight="1">
      <c r="L915" s="28"/>
      <c r="M915" s="28"/>
      <c r="N915" s="28"/>
    </row>
    <row r="916" spans="12:14" ht="13" customHeight="1">
      <c r="L916" s="28"/>
      <c r="M916" s="28"/>
      <c r="N916" s="28"/>
    </row>
    <row r="917" spans="12:14" ht="13" customHeight="1">
      <c r="L917" s="28"/>
      <c r="M917" s="28"/>
      <c r="N917" s="28"/>
    </row>
    <row r="918" spans="12:14" ht="13" customHeight="1">
      <c r="L918" s="28"/>
      <c r="M918" s="28"/>
      <c r="N918" s="28"/>
    </row>
    <row r="919" spans="12:14" ht="13" customHeight="1">
      <c r="L919" s="28"/>
      <c r="M919" s="28"/>
      <c r="N919" s="28"/>
    </row>
    <row r="920" spans="12:14" ht="13" customHeight="1">
      <c r="L920" s="28"/>
      <c r="M920" s="28"/>
      <c r="N920" s="28"/>
    </row>
    <row r="921" spans="12:14" ht="13" customHeight="1">
      <c r="L921" s="28"/>
      <c r="M921" s="28"/>
      <c r="N921" s="28"/>
    </row>
    <row r="922" spans="12:14" ht="13" customHeight="1">
      <c r="L922" s="28"/>
      <c r="M922" s="28"/>
      <c r="N922" s="28"/>
    </row>
    <row r="923" spans="12:14" ht="13" customHeight="1">
      <c r="L923" s="28"/>
      <c r="M923" s="28"/>
      <c r="N923" s="28"/>
    </row>
    <row r="924" spans="12:14" ht="13" customHeight="1">
      <c r="L924" s="28"/>
      <c r="M924" s="28"/>
      <c r="N924" s="28"/>
    </row>
    <row r="925" spans="12:14" ht="13" customHeight="1">
      <c r="L925" s="28"/>
      <c r="M925" s="28"/>
      <c r="N925" s="28"/>
    </row>
    <row r="926" spans="12:14" ht="13" customHeight="1">
      <c r="L926" s="28"/>
      <c r="M926" s="28"/>
      <c r="N926" s="28"/>
    </row>
    <row r="927" spans="12:14" ht="13" customHeight="1">
      <c r="L927" s="28"/>
      <c r="M927" s="28"/>
      <c r="N927" s="28"/>
    </row>
    <row r="928" spans="12:14" ht="13" customHeight="1">
      <c r="L928" s="28"/>
      <c r="M928" s="28"/>
      <c r="N928" s="28"/>
    </row>
    <row r="929" spans="12:14" ht="13" customHeight="1">
      <c r="L929" s="28"/>
      <c r="M929" s="28"/>
      <c r="N929" s="28"/>
    </row>
    <row r="930" spans="12:14" ht="13" customHeight="1">
      <c r="L930" s="28"/>
      <c r="M930" s="28"/>
      <c r="N930" s="28"/>
    </row>
    <row r="931" spans="12:14" ht="13" customHeight="1">
      <c r="L931" s="28"/>
      <c r="M931" s="28"/>
      <c r="N931" s="28"/>
    </row>
    <row r="932" spans="12:14" ht="13" customHeight="1">
      <c r="L932" s="28"/>
      <c r="M932" s="28"/>
      <c r="N932" s="28"/>
    </row>
    <row r="933" spans="12:14" ht="13" customHeight="1">
      <c r="L933" s="28"/>
      <c r="M933" s="28"/>
      <c r="N933" s="28"/>
    </row>
    <row r="934" spans="12:14" ht="13" customHeight="1">
      <c r="L934" s="28"/>
      <c r="M934" s="28"/>
      <c r="N934" s="28"/>
    </row>
    <row r="935" spans="12:14" ht="13" customHeight="1">
      <c r="L935" s="28"/>
      <c r="M935" s="28"/>
      <c r="N935" s="28"/>
    </row>
    <row r="936" spans="12:14" ht="13" customHeight="1">
      <c r="L936" s="28"/>
      <c r="M936" s="28"/>
      <c r="N936" s="28"/>
    </row>
    <row r="937" spans="12:14" ht="13" customHeight="1">
      <c r="L937" s="28"/>
      <c r="M937" s="28"/>
      <c r="N937" s="28"/>
    </row>
    <row r="938" spans="12:14" ht="13" customHeight="1">
      <c r="L938" s="28"/>
      <c r="M938" s="28"/>
      <c r="N938" s="28"/>
    </row>
    <row r="939" spans="12:14" ht="13" customHeight="1">
      <c r="L939" s="28"/>
      <c r="M939" s="28"/>
      <c r="N939" s="28"/>
    </row>
    <row r="940" spans="12:14" ht="13" customHeight="1">
      <c r="L940" s="28"/>
      <c r="M940" s="28"/>
      <c r="N940" s="28"/>
    </row>
    <row r="941" spans="12:14" ht="13" customHeight="1">
      <c r="L941" s="28"/>
      <c r="M941" s="28"/>
      <c r="N941" s="28"/>
    </row>
    <row r="942" spans="12:14" ht="13" customHeight="1">
      <c r="L942" s="28"/>
      <c r="M942" s="28"/>
      <c r="N942" s="28"/>
    </row>
    <row r="943" spans="12:14" ht="13" customHeight="1">
      <c r="L943" s="28"/>
      <c r="M943" s="28"/>
      <c r="N943" s="28"/>
    </row>
    <row r="944" spans="12:14" ht="13" customHeight="1">
      <c r="L944" s="28"/>
      <c r="M944" s="28"/>
      <c r="N944" s="28"/>
    </row>
    <row r="945" spans="12:14" ht="13" customHeight="1">
      <c r="L945" s="28"/>
      <c r="M945" s="28"/>
      <c r="N945" s="28"/>
    </row>
    <row r="946" spans="12:14" ht="13" customHeight="1">
      <c r="L946" s="28"/>
      <c r="M946" s="28"/>
      <c r="N946" s="28"/>
    </row>
    <row r="947" spans="12:14" ht="13" customHeight="1">
      <c r="L947" s="28"/>
      <c r="M947" s="28"/>
      <c r="N947" s="28"/>
    </row>
    <row r="948" spans="12:14" ht="13" customHeight="1">
      <c r="L948" s="28"/>
      <c r="M948" s="28"/>
      <c r="N948" s="28"/>
    </row>
    <row r="949" spans="12:14" ht="13" customHeight="1">
      <c r="L949" s="28"/>
      <c r="M949" s="28"/>
      <c r="N949" s="28"/>
    </row>
    <row r="950" spans="12:14" ht="13" customHeight="1">
      <c r="L950" s="28"/>
      <c r="M950" s="28"/>
      <c r="N950" s="28"/>
    </row>
    <row r="951" spans="12:14" ht="13" customHeight="1">
      <c r="L951" s="28"/>
      <c r="M951" s="28"/>
      <c r="N951" s="28"/>
    </row>
    <row r="952" spans="12:14" ht="13" customHeight="1">
      <c r="L952" s="28"/>
      <c r="M952" s="28"/>
      <c r="N952" s="28"/>
    </row>
    <row r="953" spans="12:14" ht="13" customHeight="1">
      <c r="L953" s="28"/>
      <c r="M953" s="28"/>
      <c r="N953" s="28"/>
    </row>
    <row r="954" spans="12:14" ht="13" customHeight="1">
      <c r="L954" s="28"/>
      <c r="M954" s="28"/>
      <c r="N954" s="28"/>
    </row>
    <row r="955" spans="12:14" ht="13" customHeight="1">
      <c r="L955" s="28"/>
      <c r="M955" s="28"/>
      <c r="N955" s="28"/>
    </row>
    <row r="956" spans="12:14" ht="13" customHeight="1">
      <c r="L956" s="28"/>
      <c r="M956" s="28"/>
      <c r="N956" s="28"/>
    </row>
    <row r="957" spans="12:14" ht="13" customHeight="1">
      <c r="L957" s="28"/>
      <c r="M957" s="28"/>
      <c r="N957" s="28"/>
    </row>
    <row r="958" spans="12:14" ht="13" customHeight="1">
      <c r="L958" s="28"/>
      <c r="M958" s="28"/>
      <c r="N958" s="28"/>
    </row>
    <row r="959" spans="12:14" ht="13" customHeight="1">
      <c r="L959" s="28"/>
      <c r="M959" s="28"/>
      <c r="N959" s="28"/>
    </row>
    <row r="960" spans="12:14" ht="13" customHeight="1">
      <c r="L960" s="28"/>
      <c r="M960" s="28"/>
      <c r="N960" s="28"/>
    </row>
    <row r="961" spans="12:14" ht="13" customHeight="1">
      <c r="L961" s="28"/>
      <c r="M961" s="28"/>
      <c r="N961" s="28"/>
    </row>
    <row r="962" spans="12:14" ht="13" customHeight="1">
      <c r="L962" s="28"/>
      <c r="M962" s="28"/>
      <c r="N962" s="28"/>
    </row>
    <row r="963" spans="12:14" ht="13" customHeight="1">
      <c r="L963" s="28"/>
      <c r="M963" s="28"/>
      <c r="N963" s="28"/>
    </row>
    <row r="964" spans="12:14" ht="13" customHeight="1">
      <c r="L964" s="28"/>
      <c r="M964" s="28"/>
      <c r="N964" s="28"/>
    </row>
    <row r="965" spans="12:14" ht="13" customHeight="1">
      <c r="L965" s="28"/>
      <c r="M965" s="28"/>
      <c r="N965" s="28"/>
    </row>
    <row r="966" spans="12:14" ht="13" customHeight="1">
      <c r="L966" s="28"/>
      <c r="M966" s="28"/>
      <c r="N966" s="28"/>
    </row>
    <row r="967" spans="12:14" ht="13" customHeight="1">
      <c r="L967" s="28"/>
      <c r="M967" s="28"/>
      <c r="N967" s="28"/>
    </row>
    <row r="968" spans="12:14" ht="13" customHeight="1">
      <c r="L968" s="28"/>
      <c r="M968" s="28"/>
      <c r="N968" s="28"/>
    </row>
    <row r="969" spans="12:14" ht="13" customHeight="1">
      <c r="L969" s="28"/>
      <c r="M969" s="28"/>
      <c r="N969" s="28"/>
    </row>
    <row r="970" spans="12:14" ht="13" customHeight="1">
      <c r="L970" s="28"/>
      <c r="M970" s="28"/>
      <c r="N970" s="28"/>
    </row>
    <row r="971" spans="12:14" ht="13" customHeight="1">
      <c r="L971" s="28"/>
      <c r="M971" s="28"/>
      <c r="N971" s="28"/>
    </row>
    <row r="972" spans="12:14" ht="13" customHeight="1">
      <c r="L972" s="28"/>
      <c r="M972" s="28"/>
      <c r="N972" s="28"/>
    </row>
    <row r="973" spans="12:14" ht="13" customHeight="1">
      <c r="L973" s="28"/>
      <c r="M973" s="28"/>
      <c r="N973" s="28"/>
    </row>
    <row r="974" spans="12:14" ht="13" customHeight="1">
      <c r="L974" s="28"/>
      <c r="M974" s="28"/>
      <c r="N974" s="28"/>
    </row>
    <row r="975" spans="12:14" ht="13" customHeight="1">
      <c r="L975" s="28"/>
      <c r="M975" s="28"/>
      <c r="N975" s="28"/>
    </row>
    <row r="976" spans="12:14" ht="13" customHeight="1">
      <c r="L976" s="28"/>
      <c r="M976" s="28"/>
      <c r="N976" s="28"/>
    </row>
    <row r="977" spans="12:14" ht="13" customHeight="1">
      <c r="L977" s="28"/>
      <c r="M977" s="28"/>
      <c r="N977" s="28"/>
    </row>
    <row r="978" spans="12:14" ht="13" customHeight="1">
      <c r="L978" s="28"/>
      <c r="M978" s="28"/>
      <c r="N978" s="28"/>
    </row>
    <row r="979" spans="12:14" ht="13" customHeight="1">
      <c r="L979" s="28"/>
      <c r="M979" s="28"/>
      <c r="N979" s="28"/>
    </row>
    <row r="980" spans="12:14" ht="13" customHeight="1">
      <c r="L980" s="28"/>
      <c r="M980" s="28"/>
      <c r="N980" s="28"/>
    </row>
    <row r="981" spans="12:14" ht="13" customHeight="1">
      <c r="L981" s="28"/>
      <c r="M981" s="28"/>
      <c r="N981" s="28"/>
    </row>
    <row r="982" spans="12:14" ht="13" customHeight="1">
      <c r="L982" s="28"/>
      <c r="M982" s="28"/>
      <c r="N982" s="28"/>
    </row>
    <row r="983" spans="12:14" ht="13" customHeight="1">
      <c r="L983" s="28"/>
      <c r="M983" s="28"/>
      <c r="N983" s="28"/>
    </row>
    <row r="984" spans="12:14" ht="13" customHeight="1">
      <c r="L984" s="28"/>
      <c r="M984" s="28"/>
      <c r="N984" s="28"/>
    </row>
    <row r="985" spans="12:14" ht="13" customHeight="1">
      <c r="L985" s="28"/>
      <c r="M985" s="28"/>
      <c r="N985" s="28"/>
    </row>
    <row r="986" spans="12:14" ht="13" customHeight="1">
      <c r="L986" s="28"/>
      <c r="M986" s="28"/>
      <c r="N986" s="28"/>
    </row>
    <row r="987" spans="12:14" ht="13" customHeight="1">
      <c r="L987" s="28"/>
      <c r="M987" s="28"/>
      <c r="N987" s="28"/>
    </row>
    <row r="988" spans="12:14" ht="13" customHeight="1">
      <c r="L988" s="28"/>
      <c r="M988" s="28"/>
      <c r="N988" s="28"/>
    </row>
    <row r="989" spans="12:14" ht="13" customHeight="1">
      <c r="L989" s="28"/>
      <c r="M989" s="28"/>
      <c r="N989" s="28"/>
    </row>
    <row r="990" spans="12:14" ht="13" customHeight="1">
      <c r="L990" s="28"/>
      <c r="M990" s="28"/>
      <c r="N990" s="28"/>
    </row>
    <row r="991" spans="12:14" ht="13" customHeight="1">
      <c r="L991" s="28"/>
      <c r="M991" s="28"/>
      <c r="N991" s="28"/>
    </row>
    <row r="992" spans="12:14" ht="13" customHeight="1">
      <c r="L992" s="28"/>
      <c r="M992" s="28"/>
      <c r="N992" s="28"/>
    </row>
    <row r="993" spans="12:14" ht="13" customHeight="1">
      <c r="L993" s="28"/>
      <c r="M993" s="28"/>
      <c r="N993" s="28"/>
    </row>
    <row r="994" spans="12:14" ht="13" customHeight="1">
      <c r="L994" s="28"/>
      <c r="M994" s="28"/>
      <c r="N994" s="28"/>
    </row>
    <row r="995" spans="12:14" ht="13" customHeight="1">
      <c r="L995" s="28"/>
      <c r="M995" s="28"/>
      <c r="N995" s="28"/>
    </row>
    <row r="996" spans="12:14" ht="13" customHeight="1">
      <c r="L996" s="28"/>
      <c r="M996" s="28"/>
      <c r="N996" s="28"/>
    </row>
    <row r="997" spans="12:14" ht="13" customHeight="1">
      <c r="L997" s="28"/>
      <c r="M997" s="28"/>
      <c r="N997" s="28"/>
    </row>
    <row r="998" spans="12:14" ht="13" customHeight="1">
      <c r="L998" s="28"/>
      <c r="M998" s="28"/>
      <c r="N998" s="28"/>
    </row>
    <row r="999" spans="12:14" ht="13" customHeight="1">
      <c r="L999" s="28"/>
      <c r="M999" s="28"/>
      <c r="N999" s="28"/>
    </row>
    <row r="1000" spans="12:14" ht="13" customHeight="1">
      <c r="L1000" s="28"/>
      <c r="M1000" s="28"/>
      <c r="N1000" s="28"/>
    </row>
    <row r="1001" spans="12:14" ht="13" customHeight="1">
      <c r="L1001" s="28"/>
      <c r="M1001" s="28"/>
      <c r="N1001" s="28"/>
    </row>
    <row r="1002" spans="12:14" ht="13" customHeight="1">
      <c r="L1002" s="28"/>
      <c r="M1002" s="28"/>
      <c r="N1002" s="28"/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7" topLeftCell="A314" activePane="bottomLeft" state="frozen"/>
      <selection pane="bottomLeft" activeCell="B9" sqref="B9"/>
    </sheetView>
  </sheetViews>
  <sheetFormatPr baseColWidth="10" defaultColWidth="12.6640625" defaultRowHeight="15.75" customHeight="1"/>
  <cols>
    <col min="1" max="1" width="37.5" customWidth="1"/>
  </cols>
  <sheetData>
    <row r="1" spans="1:26" ht="15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26" ht="15.75" customHeight="1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26" ht="15.75" customHeight="1">
      <c r="A3" s="16" t="s">
        <v>2</v>
      </c>
      <c r="B3" s="18" t="s">
        <v>1496</v>
      </c>
      <c r="C3" s="17"/>
      <c r="D3" s="17"/>
      <c r="E3" s="17"/>
      <c r="F3" s="17"/>
      <c r="G3" s="17"/>
      <c r="H3" s="17"/>
      <c r="I3" s="17"/>
      <c r="J3" s="17"/>
    </row>
    <row r="4" spans="1:26" ht="15.75" customHeight="1">
      <c r="A4" s="16" t="s">
        <v>4</v>
      </c>
      <c r="B4" s="18" t="s">
        <v>5</v>
      </c>
      <c r="C4" s="17"/>
      <c r="D4" s="17"/>
      <c r="E4" s="17"/>
      <c r="F4" s="17"/>
      <c r="G4" s="17"/>
      <c r="H4" s="17"/>
      <c r="I4" s="17"/>
      <c r="J4" s="17"/>
    </row>
    <row r="5" spans="1:26" ht="15.75" customHeight="1">
      <c r="A5" s="16" t="s">
        <v>6</v>
      </c>
      <c r="B5" s="18" t="s">
        <v>7</v>
      </c>
      <c r="C5" s="17"/>
      <c r="D5" s="17"/>
      <c r="E5" s="17"/>
      <c r="F5" s="17"/>
      <c r="G5" s="17"/>
      <c r="H5" s="17"/>
      <c r="I5" s="17"/>
      <c r="J5" s="17"/>
    </row>
    <row r="6" spans="1:26" ht="15.75" customHeight="1">
      <c r="A6" s="16" t="s">
        <v>8</v>
      </c>
      <c r="B6" s="17"/>
      <c r="C6" s="17"/>
      <c r="D6" s="17"/>
      <c r="E6" s="17"/>
      <c r="F6" s="17"/>
      <c r="G6" s="17"/>
      <c r="H6" s="17"/>
      <c r="I6" s="17"/>
      <c r="J6" s="17"/>
    </row>
    <row r="7" spans="1:26" ht="15.75" customHeight="1">
      <c r="A7" s="16" t="s">
        <v>9</v>
      </c>
      <c r="B7" s="19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15</v>
      </c>
      <c r="H7" s="19" t="s">
        <v>16</v>
      </c>
      <c r="I7" s="19" t="s">
        <v>17</v>
      </c>
      <c r="J7" s="19" t="s">
        <v>18</v>
      </c>
      <c r="K7" s="4" t="s">
        <v>19</v>
      </c>
      <c r="L7" s="7" t="s">
        <v>20</v>
      </c>
      <c r="M7" s="7" t="s">
        <v>21</v>
      </c>
      <c r="N7" s="7" t="s">
        <v>22</v>
      </c>
      <c r="O7" s="4" t="s">
        <v>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6" t="s">
        <v>1497</v>
      </c>
      <c r="B8" s="17"/>
      <c r="C8" s="18" t="s">
        <v>1498</v>
      </c>
      <c r="D8" s="18" t="s">
        <v>1499</v>
      </c>
      <c r="E8" s="17"/>
      <c r="F8" s="17"/>
      <c r="G8" s="18">
        <v>5980</v>
      </c>
      <c r="H8" s="18">
        <v>30</v>
      </c>
      <c r="I8" s="18">
        <v>179400</v>
      </c>
      <c r="J8" s="18">
        <v>1</v>
      </c>
      <c r="K8" s="1">
        <f t="shared" ref="K8:K71" si="0">SUM(I8*0.15)</f>
        <v>26910</v>
      </c>
      <c r="L8" s="6">
        <v>3234</v>
      </c>
      <c r="M8" s="6">
        <f t="shared" ref="M8:M71" si="1">SUM(H8*L8)</f>
        <v>97020</v>
      </c>
      <c r="N8" s="6">
        <f t="shared" ref="N8:N71" si="2">SUM(I8-K8-M8)</f>
        <v>55470</v>
      </c>
      <c r="O8" s="8">
        <f t="shared" ref="O8:O71" si="3">IF(I8=0,"",N8/I8)</f>
        <v>0.3091973244147157</v>
      </c>
    </row>
    <row r="9" spans="1:26" ht="15.75" customHeight="1">
      <c r="A9" s="20" t="s">
        <v>123</v>
      </c>
      <c r="B9" s="17"/>
      <c r="C9" s="18">
        <v>4550391012121</v>
      </c>
      <c r="D9" s="18" t="s">
        <v>1500</v>
      </c>
      <c r="E9" s="17"/>
      <c r="F9" s="17"/>
      <c r="G9" s="18">
        <v>8980</v>
      </c>
      <c r="H9" s="18">
        <v>18</v>
      </c>
      <c r="I9" s="18">
        <v>161640</v>
      </c>
      <c r="J9" s="18">
        <v>18</v>
      </c>
      <c r="K9" s="1">
        <f t="shared" si="0"/>
        <v>24246</v>
      </c>
      <c r="L9" s="6">
        <v>928</v>
      </c>
      <c r="M9" s="6">
        <f t="shared" si="1"/>
        <v>16704</v>
      </c>
      <c r="N9" s="6">
        <f t="shared" si="2"/>
        <v>120690</v>
      </c>
      <c r="O9" s="8">
        <f t="shared" si="3"/>
        <v>0.7466592427616926</v>
      </c>
    </row>
    <row r="10" spans="1:26" ht="15.75" customHeight="1">
      <c r="A10" s="20" t="s">
        <v>1501</v>
      </c>
      <c r="B10" s="17"/>
      <c r="C10" s="18" t="s">
        <v>1502</v>
      </c>
      <c r="D10" s="18" t="s">
        <v>1503</v>
      </c>
      <c r="E10" s="17"/>
      <c r="F10" s="17"/>
      <c r="G10" s="18">
        <v>1593</v>
      </c>
      <c r="H10" s="18">
        <v>62</v>
      </c>
      <c r="I10" s="18">
        <v>98760</v>
      </c>
      <c r="J10" s="18">
        <v>12</v>
      </c>
      <c r="K10" s="1">
        <f t="shared" si="0"/>
        <v>14814</v>
      </c>
      <c r="L10" s="6">
        <v>876</v>
      </c>
      <c r="M10" s="6">
        <f t="shared" si="1"/>
        <v>54312</v>
      </c>
      <c r="N10" s="6">
        <f t="shared" si="2"/>
        <v>29634</v>
      </c>
      <c r="O10" s="8">
        <f t="shared" si="3"/>
        <v>0.30006075334143378</v>
      </c>
    </row>
    <row r="11" spans="1:26" ht="15.75" customHeight="1">
      <c r="A11" s="21" t="s">
        <v>1006</v>
      </c>
      <c r="B11" s="22"/>
      <c r="C11" s="23" t="s">
        <v>25</v>
      </c>
      <c r="D11" s="23" t="s">
        <v>1007</v>
      </c>
      <c r="E11" s="22"/>
      <c r="F11" s="22"/>
      <c r="G11" s="23">
        <v>2980</v>
      </c>
      <c r="H11" s="23">
        <v>27</v>
      </c>
      <c r="I11" s="23">
        <v>80460</v>
      </c>
      <c r="J11" s="23">
        <v>9</v>
      </c>
      <c r="K11" s="10">
        <f t="shared" si="0"/>
        <v>12069</v>
      </c>
      <c r="L11" s="24">
        <v>1300</v>
      </c>
      <c r="M11" s="24">
        <f t="shared" si="1"/>
        <v>35100</v>
      </c>
      <c r="N11" s="24">
        <f t="shared" si="2"/>
        <v>33291</v>
      </c>
      <c r="O11" s="13">
        <f t="shared" si="3"/>
        <v>0.41375838926174496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16" t="s">
        <v>1504</v>
      </c>
      <c r="B12" s="17"/>
      <c r="C12" s="18">
        <v>4550391811830</v>
      </c>
      <c r="D12" s="18" t="s">
        <v>1063</v>
      </c>
      <c r="E12" s="17"/>
      <c r="F12" s="17"/>
      <c r="G12" s="18">
        <v>7980</v>
      </c>
      <c r="H12" s="18">
        <v>9</v>
      </c>
      <c r="I12" s="18">
        <v>71820</v>
      </c>
      <c r="J12" s="18">
        <v>9</v>
      </c>
      <c r="K12" s="1">
        <f t="shared" si="0"/>
        <v>10773</v>
      </c>
      <c r="L12" s="6">
        <v>1110</v>
      </c>
      <c r="M12" s="6">
        <f t="shared" si="1"/>
        <v>9990</v>
      </c>
      <c r="N12" s="6">
        <f t="shared" si="2"/>
        <v>51057</v>
      </c>
      <c r="O12" s="8">
        <f t="shared" si="3"/>
        <v>0.7109022556390977</v>
      </c>
    </row>
    <row r="13" spans="1:26" ht="15.75" customHeight="1">
      <c r="A13" s="16" t="s">
        <v>907</v>
      </c>
      <c r="B13" s="17"/>
      <c r="C13" s="18" t="s">
        <v>908</v>
      </c>
      <c r="D13" s="18" t="s">
        <v>909</v>
      </c>
      <c r="E13" s="17"/>
      <c r="F13" s="17"/>
      <c r="G13" s="18">
        <v>3119</v>
      </c>
      <c r="H13" s="18">
        <v>23</v>
      </c>
      <c r="I13" s="18">
        <v>71740</v>
      </c>
      <c r="J13" s="18">
        <v>20</v>
      </c>
      <c r="K13" s="1">
        <f t="shared" si="0"/>
        <v>10761</v>
      </c>
      <c r="L13" s="6">
        <v>1359</v>
      </c>
      <c r="M13" s="6">
        <f t="shared" si="1"/>
        <v>31257</v>
      </c>
      <c r="N13" s="6">
        <f t="shared" si="2"/>
        <v>29722</v>
      </c>
      <c r="O13" s="8">
        <f t="shared" si="3"/>
        <v>0.41430164482854753</v>
      </c>
    </row>
    <row r="14" spans="1:26" ht="15.75" customHeight="1">
      <c r="A14" s="16" t="s">
        <v>1505</v>
      </c>
      <c r="B14" s="17"/>
      <c r="C14" s="18">
        <v>4550391811823</v>
      </c>
      <c r="D14" s="18" t="s">
        <v>917</v>
      </c>
      <c r="E14" s="17"/>
      <c r="F14" s="17"/>
      <c r="G14" s="18">
        <v>10980</v>
      </c>
      <c r="H14" s="18">
        <v>6</v>
      </c>
      <c r="I14" s="18">
        <v>65880</v>
      </c>
      <c r="J14" s="18">
        <v>6</v>
      </c>
      <c r="K14" s="1">
        <f t="shared" si="0"/>
        <v>9882</v>
      </c>
      <c r="L14" s="6">
        <v>1540</v>
      </c>
      <c r="M14" s="6">
        <f t="shared" si="1"/>
        <v>9240</v>
      </c>
      <c r="N14" s="6">
        <f t="shared" si="2"/>
        <v>46758</v>
      </c>
      <c r="O14" s="8">
        <f t="shared" si="3"/>
        <v>0.70974499089253185</v>
      </c>
    </row>
    <row r="15" spans="1:26" ht="15.75" customHeight="1">
      <c r="A15" s="16" t="s">
        <v>1506</v>
      </c>
      <c r="B15" s="17"/>
      <c r="C15" s="18" t="s">
        <v>885</v>
      </c>
      <c r="D15" s="18" t="s">
        <v>1507</v>
      </c>
      <c r="E15" s="17"/>
      <c r="F15" s="17"/>
      <c r="G15" s="18">
        <v>20027</v>
      </c>
      <c r="H15" s="18">
        <v>3</v>
      </c>
      <c r="I15" s="18">
        <v>60080</v>
      </c>
      <c r="J15" s="18">
        <v>3</v>
      </c>
      <c r="K15" s="1">
        <f t="shared" si="0"/>
        <v>9012</v>
      </c>
      <c r="L15" s="6">
        <v>15540</v>
      </c>
      <c r="M15" s="6">
        <f t="shared" si="1"/>
        <v>46620</v>
      </c>
      <c r="N15" s="6">
        <f t="shared" si="2"/>
        <v>4448</v>
      </c>
      <c r="O15" s="8">
        <f t="shared" si="3"/>
        <v>7.4034620505992008E-2</v>
      </c>
    </row>
    <row r="16" spans="1:26" ht="15.75" customHeight="1">
      <c r="A16" s="16" t="s">
        <v>1508</v>
      </c>
      <c r="B16" s="17"/>
      <c r="C16" s="18" t="s">
        <v>1509</v>
      </c>
      <c r="D16" s="18" t="s">
        <v>1510</v>
      </c>
      <c r="E16" s="17"/>
      <c r="F16" s="17"/>
      <c r="G16" s="18">
        <v>2280</v>
      </c>
      <c r="H16" s="18">
        <v>25</v>
      </c>
      <c r="I16" s="18">
        <v>57000</v>
      </c>
      <c r="J16" s="18">
        <v>11</v>
      </c>
      <c r="K16" s="1">
        <f t="shared" si="0"/>
        <v>8550</v>
      </c>
      <c r="L16" s="6">
        <v>1314</v>
      </c>
      <c r="M16" s="6">
        <f t="shared" si="1"/>
        <v>32850</v>
      </c>
      <c r="N16" s="6">
        <f t="shared" si="2"/>
        <v>15600</v>
      </c>
      <c r="O16" s="8">
        <f t="shared" si="3"/>
        <v>0.27368421052631581</v>
      </c>
    </row>
    <row r="17" spans="1:15" ht="15.75" customHeight="1">
      <c r="A17" s="16" t="s">
        <v>1511</v>
      </c>
      <c r="B17" s="18" t="s">
        <v>133</v>
      </c>
      <c r="C17" s="18" t="s">
        <v>54</v>
      </c>
      <c r="D17" s="18" t="s">
        <v>55</v>
      </c>
      <c r="E17" s="18" t="s">
        <v>134</v>
      </c>
      <c r="F17" s="17"/>
      <c r="G17" s="18">
        <v>8990</v>
      </c>
      <c r="H17" s="18">
        <v>6</v>
      </c>
      <c r="I17" s="18">
        <v>53940</v>
      </c>
      <c r="J17" s="18">
        <v>5</v>
      </c>
      <c r="K17" s="1">
        <f t="shared" si="0"/>
        <v>8091</v>
      </c>
      <c r="L17" s="6">
        <v>6390</v>
      </c>
      <c r="M17" s="6">
        <f t="shared" si="1"/>
        <v>38340</v>
      </c>
      <c r="N17" s="6">
        <f t="shared" si="2"/>
        <v>7509</v>
      </c>
      <c r="O17" s="8">
        <f t="shared" si="3"/>
        <v>0.13921023359288098</v>
      </c>
    </row>
    <row r="18" spans="1:15" ht="15.75" customHeight="1">
      <c r="A18" s="16" t="s">
        <v>1512</v>
      </c>
      <c r="B18" s="17"/>
      <c r="C18" s="18" t="s">
        <v>932</v>
      </c>
      <c r="D18" s="18" t="s">
        <v>1513</v>
      </c>
      <c r="E18" s="17"/>
      <c r="F18" s="17"/>
      <c r="G18" s="18">
        <v>26230</v>
      </c>
      <c r="H18" s="25">
        <v>2</v>
      </c>
      <c r="I18" s="18">
        <v>52460</v>
      </c>
      <c r="J18" s="18">
        <v>2</v>
      </c>
      <c r="K18" s="1">
        <f t="shared" si="0"/>
        <v>7869</v>
      </c>
      <c r="L18" s="6">
        <v>18621</v>
      </c>
      <c r="M18" s="6">
        <f t="shared" si="1"/>
        <v>37242</v>
      </c>
      <c r="N18" s="6">
        <f t="shared" si="2"/>
        <v>7349</v>
      </c>
      <c r="O18" s="8">
        <f t="shared" si="3"/>
        <v>0.14008768585589021</v>
      </c>
    </row>
    <row r="19" spans="1:15" ht="15.75" customHeight="1">
      <c r="A19" s="16" t="s">
        <v>1514</v>
      </c>
      <c r="B19" s="18" t="s">
        <v>1515</v>
      </c>
      <c r="C19" s="18" t="s">
        <v>1516</v>
      </c>
      <c r="D19" s="18" t="s">
        <v>1517</v>
      </c>
      <c r="E19" s="18" t="s">
        <v>1518</v>
      </c>
      <c r="F19" s="17"/>
      <c r="G19" s="18">
        <v>49800</v>
      </c>
      <c r="H19" s="18">
        <v>1</v>
      </c>
      <c r="I19" s="18">
        <v>49800</v>
      </c>
      <c r="J19" s="18">
        <v>1</v>
      </c>
      <c r="K19" s="1">
        <f t="shared" si="0"/>
        <v>7470</v>
      </c>
      <c r="L19" s="6">
        <v>37800</v>
      </c>
      <c r="M19" s="6">
        <f t="shared" si="1"/>
        <v>37800</v>
      </c>
      <c r="N19" s="6">
        <f t="shared" si="2"/>
        <v>4530</v>
      </c>
      <c r="O19" s="8">
        <f t="shared" si="3"/>
        <v>9.0963855421686751E-2</v>
      </c>
    </row>
    <row r="20" spans="1:15" ht="15.75" customHeight="1">
      <c r="A20" s="16" t="s">
        <v>1519</v>
      </c>
      <c r="B20" s="17"/>
      <c r="C20" s="18">
        <v>4550391042821</v>
      </c>
      <c r="D20" s="18" t="s">
        <v>72</v>
      </c>
      <c r="E20" s="17"/>
      <c r="F20" s="17"/>
      <c r="G20" s="18">
        <v>6043</v>
      </c>
      <c r="H20" s="18">
        <v>8</v>
      </c>
      <c r="I20" s="18">
        <v>48340</v>
      </c>
      <c r="J20" s="18">
        <v>8</v>
      </c>
      <c r="K20" s="1">
        <f t="shared" si="0"/>
        <v>7251</v>
      </c>
      <c r="L20" s="6">
        <v>1160</v>
      </c>
      <c r="M20" s="6">
        <f t="shared" si="1"/>
        <v>9280</v>
      </c>
      <c r="N20" s="6">
        <f t="shared" si="2"/>
        <v>31809</v>
      </c>
      <c r="O20" s="8">
        <f t="shared" si="3"/>
        <v>0.65802647910633016</v>
      </c>
    </row>
    <row r="21" spans="1:15" ht="15.75" customHeight="1">
      <c r="A21" s="16" t="s">
        <v>1520</v>
      </c>
      <c r="B21" s="17"/>
      <c r="C21" s="18">
        <v>4550391046515</v>
      </c>
      <c r="D21" s="18" t="s">
        <v>1521</v>
      </c>
      <c r="E21" s="17"/>
      <c r="F21" s="17"/>
      <c r="G21" s="18">
        <v>2084</v>
      </c>
      <c r="H21" s="18">
        <v>23</v>
      </c>
      <c r="I21" s="18">
        <v>47940</v>
      </c>
      <c r="J21" s="18">
        <v>21</v>
      </c>
      <c r="K21" s="1">
        <f t="shared" si="0"/>
        <v>7191</v>
      </c>
      <c r="L21" s="6">
        <v>638</v>
      </c>
      <c r="M21" s="6">
        <f t="shared" si="1"/>
        <v>14674</v>
      </c>
      <c r="N21" s="6">
        <f t="shared" si="2"/>
        <v>26075</v>
      </c>
      <c r="O21" s="8">
        <f t="shared" si="3"/>
        <v>0.54390905298289527</v>
      </c>
    </row>
    <row r="22" spans="1:15" ht="15.75" customHeight="1">
      <c r="A22" s="16" t="s">
        <v>106</v>
      </c>
      <c r="B22" s="17"/>
      <c r="C22" s="18" t="s">
        <v>107</v>
      </c>
      <c r="D22" s="18" t="s">
        <v>939</v>
      </c>
      <c r="E22" s="17"/>
      <c r="F22" s="17"/>
      <c r="G22" s="18">
        <v>11980</v>
      </c>
      <c r="H22" s="18">
        <v>4</v>
      </c>
      <c r="I22" s="18">
        <v>47920</v>
      </c>
      <c r="J22" s="18">
        <v>4</v>
      </c>
      <c r="K22" s="1">
        <f t="shared" si="0"/>
        <v>7188</v>
      </c>
      <c r="L22" s="6">
        <v>8480</v>
      </c>
      <c r="M22" s="6">
        <f t="shared" si="1"/>
        <v>33920</v>
      </c>
      <c r="N22" s="6">
        <f t="shared" si="2"/>
        <v>6812</v>
      </c>
      <c r="O22" s="8">
        <f t="shared" si="3"/>
        <v>0.14215358931552588</v>
      </c>
    </row>
    <row r="23" spans="1:15" ht="15.75" customHeight="1">
      <c r="A23" s="16" t="s">
        <v>745</v>
      </c>
      <c r="B23" s="17"/>
      <c r="C23" s="18">
        <v>4550391012053</v>
      </c>
      <c r="D23" s="18" t="s">
        <v>746</v>
      </c>
      <c r="E23" s="17"/>
      <c r="F23" s="17"/>
      <c r="G23" s="18">
        <v>3980</v>
      </c>
      <c r="H23" s="18">
        <v>12</v>
      </c>
      <c r="I23" s="18">
        <v>47760</v>
      </c>
      <c r="J23" s="18">
        <v>10</v>
      </c>
      <c r="K23" s="1">
        <f t="shared" si="0"/>
        <v>7164</v>
      </c>
      <c r="L23" s="6">
        <v>1116</v>
      </c>
      <c r="M23" s="6">
        <f t="shared" si="1"/>
        <v>13392</v>
      </c>
      <c r="N23" s="6">
        <f t="shared" si="2"/>
        <v>27204</v>
      </c>
      <c r="O23" s="8">
        <f t="shared" si="3"/>
        <v>0.56959798994974875</v>
      </c>
    </row>
    <row r="24" spans="1:15" ht="15.75" customHeight="1">
      <c r="A24" s="16" t="s">
        <v>875</v>
      </c>
      <c r="B24" s="17"/>
      <c r="C24" s="18">
        <v>4550391012176</v>
      </c>
      <c r="D24" s="18" t="s">
        <v>876</v>
      </c>
      <c r="E24" s="17"/>
      <c r="F24" s="17"/>
      <c r="G24" s="18">
        <v>5855</v>
      </c>
      <c r="H24" s="18">
        <v>8</v>
      </c>
      <c r="I24" s="18">
        <v>46840</v>
      </c>
      <c r="J24" s="18">
        <v>8</v>
      </c>
      <c r="K24" s="1">
        <f t="shared" si="0"/>
        <v>7026</v>
      </c>
      <c r="L24" s="6">
        <v>1000</v>
      </c>
      <c r="M24" s="6">
        <f t="shared" si="1"/>
        <v>8000</v>
      </c>
      <c r="N24" s="6">
        <f t="shared" si="2"/>
        <v>31814</v>
      </c>
      <c r="O24" s="8">
        <f t="shared" si="3"/>
        <v>0.67920580700256195</v>
      </c>
    </row>
    <row r="25" spans="1:15" ht="15.75" customHeight="1">
      <c r="A25" s="16" t="s">
        <v>1522</v>
      </c>
      <c r="B25" s="17"/>
      <c r="C25" s="18" t="s">
        <v>65</v>
      </c>
      <c r="D25" s="18" t="s">
        <v>935</v>
      </c>
      <c r="E25" s="17"/>
      <c r="F25" s="17"/>
      <c r="G25" s="18">
        <v>8605</v>
      </c>
      <c r="H25" s="18">
        <v>4</v>
      </c>
      <c r="I25" s="18">
        <v>34420</v>
      </c>
      <c r="J25" s="18">
        <v>4</v>
      </c>
      <c r="K25" s="1">
        <f t="shared" si="0"/>
        <v>5163</v>
      </c>
      <c r="L25" s="6">
        <v>5590</v>
      </c>
      <c r="M25" s="6">
        <f t="shared" si="1"/>
        <v>22360</v>
      </c>
      <c r="N25" s="6">
        <f t="shared" si="2"/>
        <v>6897</v>
      </c>
      <c r="O25" s="8">
        <f t="shared" si="3"/>
        <v>0.20037768739105172</v>
      </c>
    </row>
    <row r="26" spans="1:15" ht="15.75" customHeight="1">
      <c r="A26" s="16" t="s">
        <v>918</v>
      </c>
      <c r="B26" s="17"/>
      <c r="C26" s="18">
        <v>4550391011919</v>
      </c>
      <c r="D26" s="18" t="s">
        <v>919</v>
      </c>
      <c r="E26" s="17"/>
      <c r="F26" s="17"/>
      <c r="G26" s="18">
        <v>2980</v>
      </c>
      <c r="H26" s="18">
        <v>11</v>
      </c>
      <c r="I26" s="18">
        <v>32780</v>
      </c>
      <c r="J26" s="18">
        <v>8</v>
      </c>
      <c r="K26" s="1">
        <f t="shared" si="0"/>
        <v>4917</v>
      </c>
      <c r="L26" s="6">
        <v>1224</v>
      </c>
      <c r="M26" s="6">
        <f t="shared" si="1"/>
        <v>13464</v>
      </c>
      <c r="N26" s="6">
        <f t="shared" si="2"/>
        <v>14399</v>
      </c>
      <c r="O26" s="8">
        <f t="shared" si="3"/>
        <v>0.43926174496644294</v>
      </c>
    </row>
    <row r="27" spans="1:15" ht="15.75" customHeight="1">
      <c r="A27" s="16" t="s">
        <v>1317</v>
      </c>
      <c r="B27" s="17"/>
      <c r="C27" s="18" t="s">
        <v>1318</v>
      </c>
      <c r="D27" s="18">
        <v>358</v>
      </c>
      <c r="E27" s="17"/>
      <c r="F27" s="17"/>
      <c r="G27" s="18">
        <v>2780</v>
      </c>
      <c r="H27" s="18">
        <v>11</v>
      </c>
      <c r="I27" s="18">
        <v>30580</v>
      </c>
      <c r="J27" s="18">
        <v>10</v>
      </c>
      <c r="K27" s="1">
        <f t="shared" si="0"/>
        <v>4587</v>
      </c>
      <c r="L27" s="6">
        <v>358</v>
      </c>
      <c r="M27" s="6">
        <f t="shared" si="1"/>
        <v>3938</v>
      </c>
      <c r="N27" s="6">
        <f t="shared" si="2"/>
        <v>22055</v>
      </c>
      <c r="O27" s="8">
        <f t="shared" si="3"/>
        <v>0.72122302158273377</v>
      </c>
    </row>
    <row r="28" spans="1:15" ht="15.75" customHeight="1">
      <c r="A28" s="16" t="s">
        <v>177</v>
      </c>
      <c r="B28" s="17"/>
      <c r="C28" s="18" t="s">
        <v>178</v>
      </c>
      <c r="D28" s="18" t="s">
        <v>179</v>
      </c>
      <c r="E28" s="17"/>
      <c r="F28" s="17"/>
      <c r="G28" s="18">
        <v>4280</v>
      </c>
      <c r="H28" s="18">
        <v>7</v>
      </c>
      <c r="I28" s="18">
        <v>29960</v>
      </c>
      <c r="J28" s="18">
        <v>7</v>
      </c>
      <c r="K28" s="1">
        <f t="shared" si="0"/>
        <v>4494</v>
      </c>
      <c r="L28" s="6">
        <v>2081</v>
      </c>
      <c r="M28" s="6">
        <f t="shared" si="1"/>
        <v>14567</v>
      </c>
      <c r="N28" s="6">
        <f t="shared" si="2"/>
        <v>10899</v>
      </c>
      <c r="O28" s="8">
        <f t="shared" si="3"/>
        <v>0.36378504672897194</v>
      </c>
    </row>
    <row r="29" spans="1:15" ht="15.75" customHeight="1">
      <c r="A29" s="16" t="s">
        <v>1523</v>
      </c>
      <c r="B29" s="17"/>
      <c r="C29" s="18" t="s">
        <v>644</v>
      </c>
      <c r="D29" s="18" t="s">
        <v>1524</v>
      </c>
      <c r="E29" s="17"/>
      <c r="F29" s="17"/>
      <c r="G29" s="18">
        <v>2980</v>
      </c>
      <c r="H29" s="18">
        <v>10</v>
      </c>
      <c r="I29" s="18">
        <v>29800</v>
      </c>
      <c r="J29" s="18">
        <v>3</v>
      </c>
      <c r="K29" s="1">
        <f t="shared" si="0"/>
        <v>4470</v>
      </c>
      <c r="L29" s="6">
        <v>1167</v>
      </c>
      <c r="M29" s="6">
        <f t="shared" si="1"/>
        <v>11670</v>
      </c>
      <c r="N29" s="6">
        <f t="shared" si="2"/>
        <v>13660</v>
      </c>
      <c r="O29" s="8">
        <f t="shared" si="3"/>
        <v>0.45838926174496647</v>
      </c>
    </row>
    <row r="30" spans="1:15" ht="15.75" customHeight="1">
      <c r="A30" s="16" t="s">
        <v>1525</v>
      </c>
      <c r="B30" s="17"/>
      <c r="C30" s="18" t="s">
        <v>1526</v>
      </c>
      <c r="D30" s="18" t="s">
        <v>1527</v>
      </c>
      <c r="E30" s="17"/>
      <c r="F30" s="17"/>
      <c r="G30" s="18">
        <v>29800</v>
      </c>
      <c r="H30" s="18">
        <v>1</v>
      </c>
      <c r="I30" s="18">
        <v>29800</v>
      </c>
      <c r="J30" s="18">
        <v>1</v>
      </c>
      <c r="K30" s="1">
        <f t="shared" si="0"/>
        <v>4470</v>
      </c>
      <c r="L30" s="6">
        <v>13050</v>
      </c>
      <c r="M30" s="6">
        <f t="shared" si="1"/>
        <v>13050</v>
      </c>
      <c r="N30" s="6">
        <f t="shared" si="2"/>
        <v>12280</v>
      </c>
      <c r="O30" s="8">
        <f t="shared" si="3"/>
        <v>0.4120805369127517</v>
      </c>
    </row>
    <row r="31" spans="1:15" ht="15.75" customHeight="1">
      <c r="A31" s="16" t="s">
        <v>1528</v>
      </c>
      <c r="B31" s="17"/>
      <c r="C31" s="18" t="s">
        <v>1529</v>
      </c>
      <c r="D31" s="18">
        <v>10375</v>
      </c>
      <c r="E31" s="17"/>
      <c r="F31" s="17"/>
      <c r="G31" s="18">
        <v>27980</v>
      </c>
      <c r="H31" s="18">
        <v>1</v>
      </c>
      <c r="I31" s="18">
        <v>27980</v>
      </c>
      <c r="J31" s="18">
        <v>1</v>
      </c>
      <c r="K31" s="1">
        <f t="shared" si="0"/>
        <v>4197</v>
      </c>
      <c r="L31" s="6">
        <v>10375</v>
      </c>
      <c r="M31" s="6">
        <f t="shared" si="1"/>
        <v>10375</v>
      </c>
      <c r="N31" s="6">
        <f t="shared" si="2"/>
        <v>13408</v>
      </c>
      <c r="O31" s="8">
        <f t="shared" si="3"/>
        <v>0.47919942816297356</v>
      </c>
    </row>
    <row r="32" spans="1:15" ht="15.75" customHeight="1">
      <c r="A32" s="16" t="s">
        <v>290</v>
      </c>
      <c r="B32" s="17"/>
      <c r="C32" s="18" t="s">
        <v>291</v>
      </c>
      <c r="D32" s="18">
        <v>5980</v>
      </c>
      <c r="E32" s="17"/>
      <c r="F32" s="17"/>
      <c r="G32" s="18">
        <v>8980</v>
      </c>
      <c r="H32" s="18">
        <v>3</v>
      </c>
      <c r="I32" s="18">
        <v>26940</v>
      </c>
      <c r="J32" s="18">
        <v>3</v>
      </c>
      <c r="K32" s="1">
        <f t="shared" si="0"/>
        <v>4041</v>
      </c>
      <c r="L32" s="6">
        <v>5980</v>
      </c>
      <c r="M32" s="6">
        <f t="shared" si="1"/>
        <v>17940</v>
      </c>
      <c r="N32" s="6">
        <f t="shared" si="2"/>
        <v>4959</v>
      </c>
      <c r="O32" s="8">
        <f t="shared" si="3"/>
        <v>0.18407572383073498</v>
      </c>
    </row>
    <row r="33" spans="1:15" ht="15.75" customHeight="1">
      <c r="A33" s="16" t="s">
        <v>1530</v>
      </c>
      <c r="B33" s="17"/>
      <c r="C33" s="18" t="s">
        <v>1531</v>
      </c>
      <c r="D33" s="18" t="s">
        <v>1532</v>
      </c>
      <c r="E33" s="17"/>
      <c r="F33" s="17"/>
      <c r="G33" s="18">
        <v>8980</v>
      </c>
      <c r="H33" s="18">
        <v>3</v>
      </c>
      <c r="I33" s="18">
        <v>26940</v>
      </c>
      <c r="J33" s="18">
        <v>3</v>
      </c>
      <c r="K33" s="1">
        <f t="shared" si="0"/>
        <v>4041</v>
      </c>
      <c r="L33" s="6">
        <v>7540</v>
      </c>
      <c r="M33" s="6">
        <f t="shared" si="1"/>
        <v>22620</v>
      </c>
      <c r="N33" s="6">
        <f t="shared" si="2"/>
        <v>279</v>
      </c>
      <c r="O33" s="8">
        <f t="shared" si="3"/>
        <v>1.0356347438752784E-2</v>
      </c>
    </row>
    <row r="34" spans="1:15" ht="15.75" customHeight="1">
      <c r="A34" s="16" t="s">
        <v>1533</v>
      </c>
      <c r="B34" s="17"/>
      <c r="C34" s="18" t="s">
        <v>930</v>
      </c>
      <c r="D34" s="18" t="s">
        <v>1534</v>
      </c>
      <c r="E34" s="17"/>
      <c r="F34" s="17"/>
      <c r="G34" s="18">
        <v>8980</v>
      </c>
      <c r="H34" s="18">
        <v>3</v>
      </c>
      <c r="I34" s="18">
        <v>26940</v>
      </c>
      <c r="J34" s="18">
        <v>3</v>
      </c>
      <c r="K34" s="1">
        <f t="shared" si="0"/>
        <v>4041</v>
      </c>
      <c r="L34" s="6">
        <v>5490</v>
      </c>
      <c r="M34" s="6">
        <f t="shared" si="1"/>
        <v>16470</v>
      </c>
      <c r="N34" s="6">
        <f t="shared" si="2"/>
        <v>6429</v>
      </c>
      <c r="O34" s="8">
        <f t="shared" si="3"/>
        <v>0.23864142538975502</v>
      </c>
    </row>
    <row r="35" spans="1:15" ht="15.75" customHeight="1">
      <c r="A35" s="16" t="s">
        <v>1535</v>
      </c>
      <c r="B35" s="17"/>
      <c r="C35" s="18" t="s">
        <v>891</v>
      </c>
      <c r="D35" s="18">
        <v>616</v>
      </c>
      <c r="E35" s="17"/>
      <c r="F35" s="17"/>
      <c r="G35" s="18">
        <v>2980</v>
      </c>
      <c r="H35" s="18">
        <v>9</v>
      </c>
      <c r="I35" s="18">
        <v>26820</v>
      </c>
      <c r="J35" s="18">
        <v>7</v>
      </c>
      <c r="K35" s="1">
        <f t="shared" si="0"/>
        <v>4023</v>
      </c>
      <c r="L35" s="6">
        <v>616</v>
      </c>
      <c r="M35" s="6">
        <f t="shared" si="1"/>
        <v>5544</v>
      </c>
      <c r="N35" s="6">
        <f t="shared" si="2"/>
        <v>17253</v>
      </c>
      <c r="O35" s="8">
        <f t="shared" si="3"/>
        <v>0.64328859060402688</v>
      </c>
    </row>
    <row r="36" spans="1:15" ht="15.75" customHeight="1">
      <c r="A36" s="16" t="s">
        <v>895</v>
      </c>
      <c r="B36" s="17"/>
      <c r="C36" s="18" t="s">
        <v>896</v>
      </c>
      <c r="D36" s="18" t="s">
        <v>897</v>
      </c>
      <c r="E36" s="17"/>
      <c r="F36" s="17"/>
      <c r="G36" s="18">
        <v>25980</v>
      </c>
      <c r="H36" s="18">
        <v>1</v>
      </c>
      <c r="I36" s="18">
        <v>25980</v>
      </c>
      <c r="J36" s="18">
        <v>1</v>
      </c>
      <c r="K36" s="1">
        <f t="shared" si="0"/>
        <v>3897</v>
      </c>
      <c r="L36" s="6">
        <v>19350</v>
      </c>
      <c r="M36" s="6">
        <f t="shared" si="1"/>
        <v>19350</v>
      </c>
      <c r="N36" s="6">
        <f t="shared" si="2"/>
        <v>2733</v>
      </c>
      <c r="O36" s="8">
        <f t="shared" si="3"/>
        <v>0.10519630484988453</v>
      </c>
    </row>
    <row r="37" spans="1:15" ht="15.75" customHeight="1">
      <c r="A37" s="16" t="s">
        <v>1536</v>
      </c>
      <c r="B37" s="17"/>
      <c r="C37" s="18" t="s">
        <v>937</v>
      </c>
      <c r="D37" s="18" t="s">
        <v>938</v>
      </c>
      <c r="E37" s="17"/>
      <c r="F37" s="17"/>
      <c r="G37" s="18">
        <v>12980</v>
      </c>
      <c r="H37" s="18">
        <v>2</v>
      </c>
      <c r="I37" s="18">
        <v>25960</v>
      </c>
      <c r="J37" s="18">
        <v>2</v>
      </c>
      <c r="K37" s="1">
        <f t="shared" si="0"/>
        <v>3894</v>
      </c>
      <c r="L37" s="6">
        <v>9952</v>
      </c>
      <c r="M37" s="6">
        <f t="shared" si="1"/>
        <v>19904</v>
      </c>
      <c r="N37" s="6">
        <f t="shared" si="2"/>
        <v>2162</v>
      </c>
      <c r="O37" s="8">
        <f t="shared" si="3"/>
        <v>8.328197226502311E-2</v>
      </c>
    </row>
    <row r="38" spans="1:15" ht="15.75" customHeight="1">
      <c r="A38" s="16" t="s">
        <v>1019</v>
      </c>
      <c r="B38" s="17"/>
      <c r="C38" s="18" t="s">
        <v>1020</v>
      </c>
      <c r="D38" s="18" t="s">
        <v>1021</v>
      </c>
      <c r="E38" s="17"/>
      <c r="F38" s="17"/>
      <c r="G38" s="18">
        <v>3093</v>
      </c>
      <c r="H38" s="18">
        <v>8</v>
      </c>
      <c r="I38" s="18">
        <v>24740</v>
      </c>
      <c r="J38" s="18">
        <v>7</v>
      </c>
      <c r="K38" s="1">
        <f t="shared" si="0"/>
        <v>3711</v>
      </c>
      <c r="L38" s="6">
        <v>1182</v>
      </c>
      <c r="M38" s="6">
        <f t="shared" si="1"/>
        <v>9456</v>
      </c>
      <c r="N38" s="6">
        <f t="shared" si="2"/>
        <v>11573</v>
      </c>
      <c r="O38" s="8">
        <f t="shared" si="3"/>
        <v>0.46778496362166533</v>
      </c>
    </row>
    <row r="39" spans="1:15" ht="15.75" customHeight="1">
      <c r="A39" s="16" t="s">
        <v>892</v>
      </c>
      <c r="B39" s="17"/>
      <c r="C39" s="18" t="s">
        <v>893</v>
      </c>
      <c r="D39" s="18" t="s">
        <v>894</v>
      </c>
      <c r="E39" s="17"/>
      <c r="F39" s="17"/>
      <c r="G39" s="18">
        <v>23980</v>
      </c>
      <c r="H39" s="18">
        <v>1</v>
      </c>
      <c r="I39" s="18">
        <v>23980</v>
      </c>
      <c r="J39" s="18">
        <v>1</v>
      </c>
      <c r="K39" s="1">
        <f t="shared" si="0"/>
        <v>3597</v>
      </c>
      <c r="L39" s="6">
        <v>19800</v>
      </c>
      <c r="M39" s="6">
        <f t="shared" si="1"/>
        <v>19800</v>
      </c>
      <c r="N39" s="6">
        <f t="shared" si="2"/>
        <v>583</v>
      </c>
      <c r="O39" s="8">
        <f t="shared" si="3"/>
        <v>2.4311926605504589E-2</v>
      </c>
    </row>
    <row r="40" spans="1:15" ht="15.75" customHeight="1">
      <c r="A40" s="16" t="s">
        <v>373</v>
      </c>
      <c r="B40" s="17"/>
      <c r="C40" s="18" t="s">
        <v>374</v>
      </c>
      <c r="D40" s="18" t="s">
        <v>1357</v>
      </c>
      <c r="E40" s="17"/>
      <c r="F40" s="17"/>
      <c r="G40" s="18">
        <v>2180</v>
      </c>
      <c r="H40" s="18">
        <v>11</v>
      </c>
      <c r="I40" s="18">
        <v>23980</v>
      </c>
      <c r="J40" s="18">
        <v>5</v>
      </c>
      <c r="K40" s="1">
        <f t="shared" si="0"/>
        <v>3597</v>
      </c>
      <c r="L40" s="6">
        <v>1152</v>
      </c>
      <c r="M40" s="6">
        <f t="shared" si="1"/>
        <v>12672</v>
      </c>
      <c r="N40" s="6">
        <f t="shared" si="2"/>
        <v>7711</v>
      </c>
      <c r="O40" s="8">
        <f t="shared" si="3"/>
        <v>0.32155963302752294</v>
      </c>
    </row>
    <row r="41" spans="1:15" ht="15.75" customHeight="1">
      <c r="A41" s="16" t="s">
        <v>1537</v>
      </c>
      <c r="B41" s="17"/>
      <c r="C41" s="18" t="s">
        <v>1538</v>
      </c>
      <c r="D41" s="18" t="s">
        <v>1539</v>
      </c>
      <c r="E41" s="17"/>
      <c r="F41" s="17"/>
      <c r="G41" s="18">
        <v>5980</v>
      </c>
      <c r="H41" s="18">
        <v>4</v>
      </c>
      <c r="I41" s="18">
        <v>23920</v>
      </c>
      <c r="J41" s="18">
        <v>4</v>
      </c>
      <c r="K41" s="1">
        <f t="shared" si="0"/>
        <v>3588</v>
      </c>
      <c r="L41" s="6">
        <v>2852</v>
      </c>
      <c r="M41" s="6">
        <f t="shared" si="1"/>
        <v>11408</v>
      </c>
      <c r="N41" s="6">
        <f t="shared" si="2"/>
        <v>8924</v>
      </c>
      <c r="O41" s="8">
        <f t="shared" si="3"/>
        <v>0.37307692307692308</v>
      </c>
    </row>
    <row r="42" spans="1:15" ht="15.75" customHeight="1">
      <c r="A42" s="16" t="s">
        <v>1540</v>
      </c>
      <c r="B42" s="17"/>
      <c r="C42" s="18">
        <v>4550391910564</v>
      </c>
      <c r="D42" s="18" t="s">
        <v>999</v>
      </c>
      <c r="E42" s="17"/>
      <c r="F42" s="17"/>
      <c r="G42" s="18">
        <v>3980</v>
      </c>
      <c r="H42" s="18">
        <v>6</v>
      </c>
      <c r="I42" s="18">
        <v>23880</v>
      </c>
      <c r="J42" s="18">
        <v>6</v>
      </c>
      <c r="K42" s="1">
        <f t="shared" si="0"/>
        <v>3582</v>
      </c>
      <c r="L42" s="6">
        <v>440</v>
      </c>
      <c r="M42" s="6">
        <f t="shared" si="1"/>
        <v>2640</v>
      </c>
      <c r="N42" s="6">
        <f t="shared" si="2"/>
        <v>17658</v>
      </c>
      <c r="O42" s="8">
        <f t="shared" si="3"/>
        <v>0.73944723618090458</v>
      </c>
    </row>
    <row r="43" spans="1:15" ht="15.75" customHeight="1">
      <c r="A43" s="16" t="s">
        <v>1541</v>
      </c>
      <c r="B43" s="17"/>
      <c r="C43" s="18" t="s">
        <v>1542</v>
      </c>
      <c r="D43" s="18" t="s">
        <v>1543</v>
      </c>
      <c r="E43" s="17"/>
      <c r="F43" s="17"/>
      <c r="G43" s="18">
        <v>2980</v>
      </c>
      <c r="H43" s="18">
        <v>8</v>
      </c>
      <c r="I43" s="18">
        <v>23840</v>
      </c>
      <c r="J43" s="18">
        <v>4</v>
      </c>
      <c r="K43" s="1">
        <f t="shared" si="0"/>
        <v>3576</v>
      </c>
      <c r="L43" s="6">
        <v>1522</v>
      </c>
      <c r="M43" s="6">
        <f t="shared" si="1"/>
        <v>12176</v>
      </c>
      <c r="N43" s="6">
        <f t="shared" si="2"/>
        <v>8088</v>
      </c>
      <c r="O43" s="8">
        <f t="shared" si="3"/>
        <v>0.33926174496644296</v>
      </c>
    </row>
    <row r="44" spans="1:15" ht="15.75" customHeight="1">
      <c r="A44" s="16" t="s">
        <v>1158</v>
      </c>
      <c r="B44" s="17"/>
      <c r="C44" s="18" t="s">
        <v>87</v>
      </c>
      <c r="D44" s="18">
        <v>1534</v>
      </c>
      <c r="E44" s="17"/>
      <c r="F44" s="17"/>
      <c r="G44" s="18">
        <v>2780</v>
      </c>
      <c r="H44" s="18">
        <v>8</v>
      </c>
      <c r="I44" s="18">
        <v>22240</v>
      </c>
      <c r="J44" s="18">
        <v>6</v>
      </c>
      <c r="K44" s="1">
        <f t="shared" si="0"/>
        <v>3336</v>
      </c>
      <c r="L44" s="6">
        <v>1534</v>
      </c>
      <c r="M44" s="6">
        <f t="shared" si="1"/>
        <v>12272</v>
      </c>
      <c r="N44" s="6">
        <f t="shared" si="2"/>
        <v>6632</v>
      </c>
      <c r="O44" s="8">
        <f t="shared" si="3"/>
        <v>0.29820143884892086</v>
      </c>
    </row>
    <row r="45" spans="1:15" ht="15.75" customHeight="1">
      <c r="A45" s="16" t="s">
        <v>906</v>
      </c>
      <c r="B45" s="17"/>
      <c r="C45" s="18" t="s">
        <v>254</v>
      </c>
      <c r="D45" s="18" t="s">
        <v>1544</v>
      </c>
      <c r="E45" s="17"/>
      <c r="F45" s="17"/>
      <c r="G45" s="18">
        <v>4280</v>
      </c>
      <c r="H45" s="18">
        <v>5</v>
      </c>
      <c r="I45" s="18">
        <v>21400</v>
      </c>
      <c r="J45" s="18">
        <v>5</v>
      </c>
      <c r="K45" s="1">
        <f t="shared" si="0"/>
        <v>3210</v>
      </c>
      <c r="L45" s="6">
        <v>2790</v>
      </c>
      <c r="M45" s="6">
        <f t="shared" si="1"/>
        <v>13950</v>
      </c>
      <c r="N45" s="6">
        <f t="shared" si="2"/>
        <v>4240</v>
      </c>
      <c r="O45" s="8">
        <f t="shared" si="3"/>
        <v>0.19813084112149532</v>
      </c>
    </row>
    <row r="46" spans="1:15" ht="15.75" customHeight="1">
      <c r="A46" s="16" t="s">
        <v>1256</v>
      </c>
      <c r="B46" s="17"/>
      <c r="C46" s="18" t="s">
        <v>1257</v>
      </c>
      <c r="D46" s="18" t="s">
        <v>1545</v>
      </c>
      <c r="E46" s="17"/>
      <c r="F46" s="17"/>
      <c r="G46" s="18">
        <v>3480</v>
      </c>
      <c r="H46" s="18">
        <v>6</v>
      </c>
      <c r="I46" s="18">
        <v>20880</v>
      </c>
      <c r="J46" s="18">
        <v>5</v>
      </c>
      <c r="K46" s="1">
        <f t="shared" si="0"/>
        <v>3132</v>
      </c>
      <c r="L46" s="6">
        <v>1318</v>
      </c>
      <c r="M46" s="6">
        <f t="shared" si="1"/>
        <v>7908</v>
      </c>
      <c r="N46" s="6">
        <f t="shared" si="2"/>
        <v>9840</v>
      </c>
      <c r="O46" s="8">
        <f t="shared" si="3"/>
        <v>0.47126436781609193</v>
      </c>
    </row>
    <row r="47" spans="1:15" ht="15.75" customHeight="1">
      <c r="A47" s="16" t="s">
        <v>239</v>
      </c>
      <c r="B47" s="17"/>
      <c r="C47" s="18" t="s">
        <v>240</v>
      </c>
      <c r="D47" s="18" t="s">
        <v>241</v>
      </c>
      <c r="E47" s="17"/>
      <c r="F47" s="17"/>
      <c r="G47" s="18">
        <v>9980</v>
      </c>
      <c r="H47" s="18">
        <v>2</v>
      </c>
      <c r="I47" s="18">
        <v>19960</v>
      </c>
      <c r="J47" s="18">
        <v>2</v>
      </c>
      <c r="K47" s="1">
        <f t="shared" si="0"/>
        <v>2994</v>
      </c>
      <c r="L47" s="6">
        <v>6752</v>
      </c>
      <c r="M47" s="6">
        <f t="shared" si="1"/>
        <v>13504</v>
      </c>
      <c r="N47" s="6">
        <f t="shared" si="2"/>
        <v>3462</v>
      </c>
      <c r="O47" s="8">
        <f t="shared" si="3"/>
        <v>0.17344689378757516</v>
      </c>
    </row>
    <row r="48" spans="1:15" ht="15.75" customHeight="1">
      <c r="A48" s="16" t="s">
        <v>900</v>
      </c>
      <c r="B48" s="17"/>
      <c r="C48" s="18" t="s">
        <v>901</v>
      </c>
      <c r="D48" s="18" t="s">
        <v>902</v>
      </c>
      <c r="E48" s="17"/>
      <c r="F48" s="17"/>
      <c r="G48" s="18">
        <v>9980</v>
      </c>
      <c r="H48" s="18">
        <v>2</v>
      </c>
      <c r="I48" s="18">
        <v>19960</v>
      </c>
      <c r="J48" s="18">
        <v>2</v>
      </c>
      <c r="K48" s="1">
        <f t="shared" si="0"/>
        <v>2994</v>
      </c>
      <c r="L48" s="6">
        <v>7794</v>
      </c>
      <c r="M48" s="6">
        <f t="shared" si="1"/>
        <v>15588</v>
      </c>
      <c r="N48" s="6">
        <f t="shared" si="2"/>
        <v>1378</v>
      </c>
      <c r="O48" s="8">
        <f t="shared" si="3"/>
        <v>6.9038076152304603E-2</v>
      </c>
    </row>
    <row r="49" spans="1:15" ht="15.75" customHeight="1">
      <c r="A49" s="16" t="s">
        <v>1546</v>
      </c>
      <c r="B49" s="17"/>
      <c r="C49" s="18" t="s">
        <v>164</v>
      </c>
      <c r="D49" s="18">
        <v>2588</v>
      </c>
      <c r="E49" s="17"/>
      <c r="F49" s="17"/>
      <c r="G49" s="18">
        <v>4980</v>
      </c>
      <c r="H49" s="18">
        <v>4</v>
      </c>
      <c r="I49" s="18">
        <v>19920</v>
      </c>
      <c r="J49" s="18">
        <v>3</v>
      </c>
      <c r="K49" s="1">
        <f t="shared" si="0"/>
        <v>2988</v>
      </c>
      <c r="L49" s="6">
        <v>2588</v>
      </c>
      <c r="M49" s="6">
        <f t="shared" si="1"/>
        <v>10352</v>
      </c>
      <c r="N49" s="6">
        <f t="shared" si="2"/>
        <v>6580</v>
      </c>
      <c r="O49" s="8">
        <f t="shared" si="3"/>
        <v>0.33032128514056225</v>
      </c>
    </row>
    <row r="50" spans="1:15" ht="15.75" customHeight="1">
      <c r="A50" s="16" t="s">
        <v>1547</v>
      </c>
      <c r="B50" s="17"/>
      <c r="C50" s="18" t="s">
        <v>968</v>
      </c>
      <c r="D50" s="18" t="s">
        <v>969</v>
      </c>
      <c r="E50" s="17"/>
      <c r="F50" s="17"/>
      <c r="G50" s="18">
        <v>3980</v>
      </c>
      <c r="H50" s="18">
        <v>5</v>
      </c>
      <c r="I50" s="18">
        <v>19900</v>
      </c>
      <c r="J50" s="18">
        <v>5</v>
      </c>
      <c r="K50" s="1">
        <f t="shared" si="0"/>
        <v>2985</v>
      </c>
      <c r="L50" s="6">
        <v>2935</v>
      </c>
      <c r="M50" s="6">
        <f t="shared" si="1"/>
        <v>14675</v>
      </c>
      <c r="N50" s="6">
        <f t="shared" si="2"/>
        <v>2240</v>
      </c>
      <c r="O50" s="8">
        <f t="shared" si="3"/>
        <v>0.11256281407035176</v>
      </c>
    </row>
    <row r="51" spans="1:15" ht="15.75" customHeight="1">
      <c r="A51" s="16" t="s">
        <v>1292</v>
      </c>
      <c r="B51" s="17"/>
      <c r="C51" s="18" t="s">
        <v>1293</v>
      </c>
      <c r="D51" s="18" t="s">
        <v>1294</v>
      </c>
      <c r="E51" s="17"/>
      <c r="F51" s="17"/>
      <c r="G51" s="18">
        <v>3980</v>
      </c>
      <c r="H51" s="18">
        <v>5</v>
      </c>
      <c r="I51" s="18">
        <v>19900</v>
      </c>
      <c r="J51" s="18">
        <v>5</v>
      </c>
      <c r="K51" s="1">
        <f t="shared" si="0"/>
        <v>2985</v>
      </c>
      <c r="L51" s="6">
        <v>1848</v>
      </c>
      <c r="M51" s="6">
        <f t="shared" si="1"/>
        <v>9240</v>
      </c>
      <c r="N51" s="6">
        <f t="shared" si="2"/>
        <v>7675</v>
      </c>
      <c r="O51" s="8">
        <f t="shared" si="3"/>
        <v>0.38567839195979897</v>
      </c>
    </row>
    <row r="52" spans="1:15" ht="15.75" customHeight="1">
      <c r="A52" s="16" t="s">
        <v>128</v>
      </c>
      <c r="B52" s="18" t="s">
        <v>1303</v>
      </c>
      <c r="C52" s="18" t="s">
        <v>130</v>
      </c>
      <c r="D52" s="18" t="s">
        <v>131</v>
      </c>
      <c r="E52" s="18" t="s">
        <v>1548</v>
      </c>
      <c r="F52" s="17"/>
      <c r="G52" s="18">
        <v>19800</v>
      </c>
      <c r="H52" s="18">
        <v>1</v>
      </c>
      <c r="I52" s="18">
        <v>19800</v>
      </c>
      <c r="J52" s="18">
        <v>1</v>
      </c>
      <c r="K52" s="1">
        <f t="shared" si="0"/>
        <v>2970</v>
      </c>
      <c r="L52" s="6">
        <v>13990</v>
      </c>
      <c r="M52" s="6">
        <f t="shared" si="1"/>
        <v>13990</v>
      </c>
      <c r="N52" s="6">
        <f t="shared" si="2"/>
        <v>2840</v>
      </c>
      <c r="O52" s="8">
        <f t="shared" si="3"/>
        <v>0.14343434343434344</v>
      </c>
    </row>
    <row r="53" spans="1:15" ht="15.75" customHeight="1">
      <c r="A53" s="16" t="s">
        <v>1549</v>
      </c>
      <c r="B53" s="17"/>
      <c r="C53" s="18" t="s">
        <v>1550</v>
      </c>
      <c r="D53" s="18" t="s">
        <v>1551</v>
      </c>
      <c r="E53" s="17"/>
      <c r="F53" s="17"/>
      <c r="G53" s="18">
        <v>19800</v>
      </c>
      <c r="H53" s="18">
        <v>1</v>
      </c>
      <c r="I53" s="18">
        <v>19800</v>
      </c>
      <c r="J53" s="18">
        <v>1</v>
      </c>
      <c r="K53" s="1">
        <f t="shared" si="0"/>
        <v>2970</v>
      </c>
      <c r="L53" s="6">
        <v>9980</v>
      </c>
      <c r="M53" s="6">
        <f t="shared" si="1"/>
        <v>9980</v>
      </c>
      <c r="N53" s="6">
        <f t="shared" si="2"/>
        <v>6850</v>
      </c>
      <c r="O53" s="8">
        <f t="shared" si="3"/>
        <v>0.34595959595959597</v>
      </c>
    </row>
    <row r="54" spans="1:15" ht="15.75" customHeight="1">
      <c r="A54" s="16" t="s">
        <v>128</v>
      </c>
      <c r="B54" s="18" t="s">
        <v>129</v>
      </c>
      <c r="C54" s="18" t="s">
        <v>130</v>
      </c>
      <c r="D54" s="18" t="s">
        <v>131</v>
      </c>
      <c r="E54" s="18" t="s">
        <v>132</v>
      </c>
      <c r="F54" s="17"/>
      <c r="G54" s="18">
        <v>19800</v>
      </c>
      <c r="H54" s="18">
        <v>1</v>
      </c>
      <c r="I54" s="18">
        <v>19800</v>
      </c>
      <c r="J54" s="18">
        <v>1</v>
      </c>
      <c r="K54" s="1">
        <f t="shared" si="0"/>
        <v>2970</v>
      </c>
      <c r="L54" s="6">
        <v>13990</v>
      </c>
      <c r="M54" s="6">
        <f t="shared" si="1"/>
        <v>13990</v>
      </c>
      <c r="N54" s="6">
        <f t="shared" si="2"/>
        <v>2840</v>
      </c>
      <c r="O54" s="8">
        <f t="shared" si="3"/>
        <v>0.14343434343434344</v>
      </c>
    </row>
    <row r="55" spans="1:15" ht="15.75" customHeight="1">
      <c r="A55" s="16" t="s">
        <v>1036</v>
      </c>
      <c r="B55" s="17"/>
      <c r="C55" s="18" t="s">
        <v>1037</v>
      </c>
      <c r="D55" s="18">
        <v>5538</v>
      </c>
      <c r="E55" s="17"/>
      <c r="F55" s="17"/>
      <c r="G55" s="18">
        <v>9180</v>
      </c>
      <c r="H55" s="18">
        <v>2</v>
      </c>
      <c r="I55" s="18">
        <v>18360</v>
      </c>
      <c r="J55" s="18">
        <v>2</v>
      </c>
      <c r="K55" s="1">
        <f t="shared" si="0"/>
        <v>2754</v>
      </c>
      <c r="L55" s="6"/>
      <c r="M55" s="6">
        <f t="shared" si="1"/>
        <v>0</v>
      </c>
      <c r="N55" s="6">
        <f t="shared" si="2"/>
        <v>15606</v>
      </c>
      <c r="O55" s="8">
        <f t="shared" si="3"/>
        <v>0.85</v>
      </c>
    </row>
    <row r="56" spans="1:15" ht="15.75" customHeight="1">
      <c r="A56" s="16" t="s">
        <v>1552</v>
      </c>
      <c r="B56" s="17"/>
      <c r="C56" s="18">
        <v>4971710623796</v>
      </c>
      <c r="D56" s="18" t="s">
        <v>1553</v>
      </c>
      <c r="E56" s="17"/>
      <c r="F56" s="17"/>
      <c r="G56" s="18">
        <v>17980</v>
      </c>
      <c r="H56" s="18">
        <v>1</v>
      </c>
      <c r="I56" s="18">
        <v>17980</v>
      </c>
      <c r="J56" s="18">
        <v>1</v>
      </c>
      <c r="K56" s="1">
        <f t="shared" si="0"/>
        <v>2697</v>
      </c>
      <c r="L56" s="6">
        <v>11550</v>
      </c>
      <c r="M56" s="6">
        <f t="shared" si="1"/>
        <v>11550</v>
      </c>
      <c r="N56" s="6">
        <f t="shared" si="2"/>
        <v>3733</v>
      </c>
      <c r="O56" s="8">
        <f t="shared" si="3"/>
        <v>0.20761957730812014</v>
      </c>
    </row>
    <row r="57" spans="1:15" ht="15.75" customHeight="1">
      <c r="A57" s="16" t="s">
        <v>286</v>
      </c>
      <c r="B57" s="18" t="s">
        <v>133</v>
      </c>
      <c r="C57" s="18" t="s">
        <v>287</v>
      </c>
      <c r="D57" s="18" t="s">
        <v>288</v>
      </c>
      <c r="E57" s="18" t="s">
        <v>1554</v>
      </c>
      <c r="F57" s="17"/>
      <c r="G57" s="18">
        <v>8980</v>
      </c>
      <c r="H57" s="18">
        <v>2</v>
      </c>
      <c r="I57" s="18">
        <v>17960</v>
      </c>
      <c r="J57" s="18">
        <v>2</v>
      </c>
      <c r="K57" s="1">
        <f t="shared" si="0"/>
        <v>2694</v>
      </c>
      <c r="L57" s="6">
        <v>5490</v>
      </c>
      <c r="M57" s="6">
        <f t="shared" si="1"/>
        <v>10980</v>
      </c>
      <c r="N57" s="6">
        <f t="shared" si="2"/>
        <v>4286</v>
      </c>
      <c r="O57" s="8">
        <f t="shared" si="3"/>
        <v>0.23864142538975502</v>
      </c>
    </row>
    <row r="58" spans="1:15" ht="15.75" customHeight="1">
      <c r="A58" s="16" t="s">
        <v>1555</v>
      </c>
      <c r="B58" s="17"/>
      <c r="C58" s="18" t="s">
        <v>1556</v>
      </c>
      <c r="D58" s="18">
        <v>2486</v>
      </c>
      <c r="E58" s="17"/>
      <c r="F58" s="17"/>
      <c r="G58" s="18">
        <v>5980</v>
      </c>
      <c r="H58" s="18">
        <v>3</v>
      </c>
      <c r="I58" s="18">
        <v>17940</v>
      </c>
      <c r="J58" s="18">
        <v>3</v>
      </c>
      <c r="K58" s="1">
        <f t="shared" si="0"/>
        <v>2691</v>
      </c>
      <c r="L58" s="6">
        <v>2486</v>
      </c>
      <c r="M58" s="6">
        <f t="shared" si="1"/>
        <v>7458</v>
      </c>
      <c r="N58" s="6">
        <f t="shared" si="2"/>
        <v>7791</v>
      </c>
      <c r="O58" s="8">
        <f t="shared" si="3"/>
        <v>0.4342809364548495</v>
      </c>
    </row>
    <row r="59" spans="1:15" ht="15.75" customHeight="1">
      <c r="A59" s="16" t="s">
        <v>1046</v>
      </c>
      <c r="B59" s="17"/>
      <c r="C59" s="18" t="s">
        <v>205</v>
      </c>
      <c r="D59" s="18" t="s">
        <v>1047</v>
      </c>
      <c r="E59" s="17"/>
      <c r="F59" s="17"/>
      <c r="G59" s="18">
        <v>2980</v>
      </c>
      <c r="H59" s="18">
        <v>6</v>
      </c>
      <c r="I59" s="18">
        <v>17880</v>
      </c>
      <c r="J59" s="18">
        <v>4</v>
      </c>
      <c r="K59" s="1">
        <f t="shared" si="0"/>
        <v>2682</v>
      </c>
      <c r="L59" s="6">
        <v>1182</v>
      </c>
      <c r="M59" s="6">
        <f t="shared" si="1"/>
        <v>7092</v>
      </c>
      <c r="N59" s="6">
        <f t="shared" si="2"/>
        <v>8106</v>
      </c>
      <c r="O59" s="8">
        <f t="shared" si="3"/>
        <v>0.45335570469798658</v>
      </c>
    </row>
    <row r="60" spans="1:15" ht="15.75" customHeight="1">
      <c r="A60" s="16" t="s">
        <v>1557</v>
      </c>
      <c r="B60" s="17"/>
      <c r="C60" s="18" t="s">
        <v>1179</v>
      </c>
      <c r="D60" s="18" t="s">
        <v>1558</v>
      </c>
      <c r="E60" s="17"/>
      <c r="F60" s="17"/>
      <c r="G60" s="18">
        <v>4380</v>
      </c>
      <c r="H60" s="18">
        <v>4</v>
      </c>
      <c r="I60" s="18">
        <v>17520</v>
      </c>
      <c r="J60" s="18">
        <v>4</v>
      </c>
      <c r="K60" s="1">
        <f t="shared" si="0"/>
        <v>2628</v>
      </c>
      <c r="L60" s="6">
        <v>2271</v>
      </c>
      <c r="M60" s="6">
        <f t="shared" si="1"/>
        <v>9084</v>
      </c>
      <c r="N60" s="6">
        <f t="shared" si="2"/>
        <v>5808</v>
      </c>
      <c r="O60" s="8">
        <f t="shared" si="3"/>
        <v>0.33150684931506852</v>
      </c>
    </row>
    <row r="61" spans="1:15" ht="15.75" customHeight="1">
      <c r="A61" s="16" t="s">
        <v>1559</v>
      </c>
      <c r="B61" s="17"/>
      <c r="C61" s="18" t="s">
        <v>1265</v>
      </c>
      <c r="D61" s="18" t="s">
        <v>1266</v>
      </c>
      <c r="E61" s="17"/>
      <c r="F61" s="17"/>
      <c r="G61" s="18">
        <v>1580</v>
      </c>
      <c r="H61" s="18">
        <v>11</v>
      </c>
      <c r="I61" s="18">
        <v>17380</v>
      </c>
      <c r="J61" s="18">
        <v>6</v>
      </c>
      <c r="K61" s="1">
        <f t="shared" si="0"/>
        <v>2607</v>
      </c>
      <c r="L61" s="6">
        <v>715</v>
      </c>
      <c r="M61" s="6">
        <f t="shared" si="1"/>
        <v>7865</v>
      </c>
      <c r="N61" s="6">
        <f t="shared" si="2"/>
        <v>6908</v>
      </c>
      <c r="O61" s="8">
        <f t="shared" si="3"/>
        <v>0.39746835443037976</v>
      </c>
    </row>
    <row r="62" spans="1:15" ht="15.75" customHeight="1">
      <c r="A62" s="16" t="s">
        <v>416</v>
      </c>
      <c r="B62" s="17"/>
      <c r="C62" s="18" t="s">
        <v>417</v>
      </c>
      <c r="D62" s="18" t="s">
        <v>1560</v>
      </c>
      <c r="E62" s="17"/>
      <c r="F62" s="17"/>
      <c r="G62" s="18">
        <v>2780</v>
      </c>
      <c r="H62" s="18">
        <v>6</v>
      </c>
      <c r="I62" s="18">
        <v>16680</v>
      </c>
      <c r="J62" s="18">
        <v>5</v>
      </c>
      <c r="K62" s="1">
        <f t="shared" si="0"/>
        <v>2502</v>
      </c>
      <c r="L62" s="6">
        <v>1205</v>
      </c>
      <c r="M62" s="6">
        <f t="shared" si="1"/>
        <v>7230</v>
      </c>
      <c r="N62" s="6">
        <f t="shared" si="2"/>
        <v>6948</v>
      </c>
      <c r="O62" s="8">
        <f t="shared" si="3"/>
        <v>0.41654676258992807</v>
      </c>
    </row>
    <row r="63" spans="1:15" ht="15.75" customHeight="1">
      <c r="A63" s="16" t="s">
        <v>1561</v>
      </c>
      <c r="B63" s="17"/>
      <c r="C63" s="18" t="s">
        <v>1562</v>
      </c>
      <c r="D63" s="18" t="s">
        <v>1563</v>
      </c>
      <c r="E63" s="17"/>
      <c r="F63" s="17"/>
      <c r="G63" s="18">
        <v>15980</v>
      </c>
      <c r="H63" s="18">
        <v>1</v>
      </c>
      <c r="I63" s="18">
        <v>15980</v>
      </c>
      <c r="J63" s="18">
        <v>1</v>
      </c>
      <c r="K63" s="1">
        <f t="shared" si="0"/>
        <v>2397</v>
      </c>
      <c r="L63" s="6">
        <v>11071</v>
      </c>
      <c r="M63" s="6">
        <f t="shared" si="1"/>
        <v>11071</v>
      </c>
      <c r="N63" s="6">
        <f t="shared" si="2"/>
        <v>2512</v>
      </c>
      <c r="O63" s="8">
        <f t="shared" si="3"/>
        <v>0.1571964956195244</v>
      </c>
    </row>
    <row r="64" spans="1:15" ht="15.75" customHeight="1">
      <c r="A64" s="16" t="s">
        <v>113</v>
      </c>
      <c r="B64" s="17"/>
      <c r="C64" s="18" t="s">
        <v>114</v>
      </c>
      <c r="D64" s="18" t="s">
        <v>1564</v>
      </c>
      <c r="E64" s="17"/>
      <c r="F64" s="17"/>
      <c r="G64" s="18">
        <v>3980</v>
      </c>
      <c r="H64" s="18">
        <v>4</v>
      </c>
      <c r="I64" s="18">
        <v>15920</v>
      </c>
      <c r="J64" s="18">
        <v>1</v>
      </c>
      <c r="K64" s="1">
        <f t="shared" si="0"/>
        <v>2388</v>
      </c>
      <c r="L64" s="6">
        <v>1980</v>
      </c>
      <c r="M64" s="6">
        <f t="shared" si="1"/>
        <v>7920</v>
      </c>
      <c r="N64" s="6">
        <f t="shared" si="2"/>
        <v>5612</v>
      </c>
      <c r="O64" s="8">
        <f t="shared" si="3"/>
        <v>0.35251256281407034</v>
      </c>
    </row>
    <row r="65" spans="1:15" ht="15.75" customHeight="1">
      <c r="A65" s="16" t="s">
        <v>1565</v>
      </c>
      <c r="B65" s="18" t="s">
        <v>1208</v>
      </c>
      <c r="C65" s="18" t="s">
        <v>1205</v>
      </c>
      <c r="D65" s="18" t="s">
        <v>1206</v>
      </c>
      <c r="E65" s="18" t="s">
        <v>1209</v>
      </c>
      <c r="F65" s="17"/>
      <c r="G65" s="18">
        <v>3980</v>
      </c>
      <c r="H65" s="18">
        <v>4</v>
      </c>
      <c r="I65" s="18">
        <v>15920</v>
      </c>
      <c r="J65" s="18">
        <v>4</v>
      </c>
      <c r="K65" s="1">
        <f t="shared" si="0"/>
        <v>2388</v>
      </c>
      <c r="L65" s="6">
        <v>1014</v>
      </c>
      <c r="M65" s="6">
        <f t="shared" si="1"/>
        <v>4056</v>
      </c>
      <c r="N65" s="6">
        <f t="shared" si="2"/>
        <v>9476</v>
      </c>
      <c r="O65" s="8">
        <f t="shared" si="3"/>
        <v>0.59522613065326635</v>
      </c>
    </row>
    <row r="66" spans="1:15" ht="15.75" customHeight="1">
      <c r="A66" s="16" t="s">
        <v>1022</v>
      </c>
      <c r="B66" s="18" t="s">
        <v>1023</v>
      </c>
      <c r="C66" s="18" t="s">
        <v>1024</v>
      </c>
      <c r="D66" s="18" t="s">
        <v>1025</v>
      </c>
      <c r="E66" s="18" t="s">
        <v>1026</v>
      </c>
      <c r="F66" s="17"/>
      <c r="G66" s="18">
        <v>2266</v>
      </c>
      <c r="H66" s="18">
        <v>7</v>
      </c>
      <c r="I66" s="18">
        <v>15860</v>
      </c>
      <c r="J66" s="18">
        <v>7</v>
      </c>
      <c r="K66" s="1">
        <f t="shared" si="0"/>
        <v>2379</v>
      </c>
      <c r="L66" s="6">
        <v>327</v>
      </c>
      <c r="M66" s="6">
        <f t="shared" si="1"/>
        <v>2289</v>
      </c>
      <c r="N66" s="6">
        <f t="shared" si="2"/>
        <v>11192</v>
      </c>
      <c r="O66" s="8">
        <f t="shared" si="3"/>
        <v>0.70567465321563683</v>
      </c>
    </row>
    <row r="67" spans="1:15" ht="15.75" customHeight="1">
      <c r="A67" s="16" t="s">
        <v>354</v>
      </c>
      <c r="B67" s="17"/>
      <c r="C67" s="18" t="s">
        <v>355</v>
      </c>
      <c r="D67" s="18" t="s">
        <v>1397</v>
      </c>
      <c r="E67" s="17"/>
      <c r="F67" s="17"/>
      <c r="G67" s="18">
        <v>1980</v>
      </c>
      <c r="H67" s="18">
        <v>8</v>
      </c>
      <c r="I67" s="18">
        <v>15840</v>
      </c>
      <c r="J67" s="18">
        <v>7</v>
      </c>
      <c r="K67" s="1">
        <f t="shared" si="0"/>
        <v>2376</v>
      </c>
      <c r="L67" s="6">
        <v>358</v>
      </c>
      <c r="M67" s="6">
        <f t="shared" si="1"/>
        <v>2864</v>
      </c>
      <c r="N67" s="6">
        <f t="shared" si="2"/>
        <v>10600</v>
      </c>
      <c r="O67" s="8">
        <f t="shared" si="3"/>
        <v>0.66919191919191923</v>
      </c>
    </row>
    <row r="68" spans="1:15" ht="15.75" customHeight="1">
      <c r="A68" s="16" t="s">
        <v>422</v>
      </c>
      <c r="B68" s="18" t="s">
        <v>949</v>
      </c>
      <c r="C68" s="18" t="s">
        <v>423</v>
      </c>
      <c r="D68" s="18" t="s">
        <v>424</v>
      </c>
      <c r="E68" s="18" t="s">
        <v>950</v>
      </c>
      <c r="F68" s="17"/>
      <c r="G68" s="18">
        <v>5180</v>
      </c>
      <c r="H68" s="18">
        <v>3</v>
      </c>
      <c r="I68" s="18">
        <v>15540</v>
      </c>
      <c r="J68" s="18">
        <v>3</v>
      </c>
      <c r="K68" s="1">
        <f t="shared" si="0"/>
        <v>2331</v>
      </c>
      <c r="L68" s="6">
        <v>2980</v>
      </c>
      <c r="M68" s="6">
        <f t="shared" si="1"/>
        <v>8940</v>
      </c>
      <c r="N68" s="6">
        <f t="shared" si="2"/>
        <v>4269</v>
      </c>
      <c r="O68" s="8">
        <f t="shared" si="3"/>
        <v>0.27471042471042473</v>
      </c>
    </row>
    <row r="69" spans="1:15" ht="15.75" customHeight="1">
      <c r="A69" s="16" t="s">
        <v>1566</v>
      </c>
      <c r="B69" s="18" t="s">
        <v>1567</v>
      </c>
      <c r="C69" s="18" t="s">
        <v>1568</v>
      </c>
      <c r="D69" s="18">
        <v>4980</v>
      </c>
      <c r="E69" s="18" t="s">
        <v>1569</v>
      </c>
      <c r="F69" s="17"/>
      <c r="G69" s="18">
        <v>7480</v>
      </c>
      <c r="H69" s="18">
        <v>2</v>
      </c>
      <c r="I69" s="18">
        <v>14960</v>
      </c>
      <c r="J69" s="18">
        <v>2</v>
      </c>
      <c r="K69" s="1">
        <f t="shared" si="0"/>
        <v>2244</v>
      </c>
      <c r="L69" s="6">
        <v>4980</v>
      </c>
      <c r="M69" s="6">
        <f t="shared" si="1"/>
        <v>9960</v>
      </c>
      <c r="N69" s="6">
        <f t="shared" si="2"/>
        <v>2756</v>
      </c>
      <c r="O69" s="8">
        <f t="shared" si="3"/>
        <v>0.18422459893048129</v>
      </c>
    </row>
    <row r="70" spans="1:15" ht="17" customHeight="1">
      <c r="A70" s="16" t="s">
        <v>1153</v>
      </c>
      <c r="B70" s="17"/>
      <c r="C70" s="18" t="s">
        <v>1154</v>
      </c>
      <c r="D70" s="18">
        <v>2875</v>
      </c>
      <c r="E70" s="17"/>
      <c r="F70" s="17"/>
      <c r="G70" s="18">
        <v>4980</v>
      </c>
      <c r="H70" s="18">
        <v>3</v>
      </c>
      <c r="I70" s="18">
        <v>14940</v>
      </c>
      <c r="J70" s="18">
        <v>3</v>
      </c>
      <c r="K70" s="1">
        <f t="shared" si="0"/>
        <v>2241</v>
      </c>
      <c r="L70" s="6">
        <v>2875</v>
      </c>
      <c r="M70" s="6">
        <f t="shared" si="1"/>
        <v>8625</v>
      </c>
      <c r="N70" s="6">
        <f t="shared" si="2"/>
        <v>4074</v>
      </c>
      <c r="O70" s="8">
        <f t="shared" si="3"/>
        <v>0.27269076305220885</v>
      </c>
    </row>
    <row r="71" spans="1:15" ht="17" customHeight="1">
      <c r="A71" s="16" t="s">
        <v>1570</v>
      </c>
      <c r="B71" s="17"/>
      <c r="C71" s="18" t="s">
        <v>1571</v>
      </c>
      <c r="D71" s="18" t="s">
        <v>1572</v>
      </c>
      <c r="E71" s="17"/>
      <c r="F71" s="17"/>
      <c r="G71" s="18">
        <v>2980</v>
      </c>
      <c r="H71" s="18">
        <v>5</v>
      </c>
      <c r="I71" s="18">
        <v>14900</v>
      </c>
      <c r="J71" s="18">
        <v>1</v>
      </c>
      <c r="K71" s="1">
        <f t="shared" si="0"/>
        <v>2235</v>
      </c>
      <c r="L71" s="6">
        <v>1314</v>
      </c>
      <c r="M71" s="6">
        <f t="shared" si="1"/>
        <v>6570</v>
      </c>
      <c r="N71" s="6">
        <f t="shared" si="2"/>
        <v>6095</v>
      </c>
      <c r="O71" s="8">
        <f t="shared" si="3"/>
        <v>0.40906040268456378</v>
      </c>
    </row>
    <row r="72" spans="1:15" ht="17" customHeight="1">
      <c r="A72" s="16" t="s">
        <v>1136</v>
      </c>
      <c r="B72" s="18" t="s">
        <v>1573</v>
      </c>
      <c r="C72" s="18" t="s">
        <v>1138</v>
      </c>
      <c r="D72" s="18" t="s">
        <v>1139</v>
      </c>
      <c r="E72" s="18" t="s">
        <v>1574</v>
      </c>
      <c r="F72" s="17"/>
      <c r="G72" s="18">
        <v>2980</v>
      </c>
      <c r="H72" s="18">
        <v>5</v>
      </c>
      <c r="I72" s="18">
        <v>14900</v>
      </c>
      <c r="J72" s="18">
        <v>5</v>
      </c>
      <c r="K72" s="1">
        <f t="shared" ref="K72:K135" si="4">SUM(I72*0.15)</f>
        <v>2235</v>
      </c>
      <c r="L72" s="6">
        <v>693</v>
      </c>
      <c r="M72" s="6">
        <f t="shared" ref="M72:M135" si="5">SUM(H72*L72)</f>
        <v>3465</v>
      </c>
      <c r="N72" s="6">
        <f t="shared" ref="N72:N135" si="6">SUM(I72-K72-M72)</f>
        <v>9200</v>
      </c>
      <c r="O72" s="8">
        <f t="shared" ref="O72:O135" si="7">IF(I72=0,"",N72/I72)</f>
        <v>0.6174496644295302</v>
      </c>
    </row>
    <row r="73" spans="1:15" ht="17" customHeight="1">
      <c r="A73" s="16" t="s">
        <v>1575</v>
      </c>
      <c r="B73" s="17"/>
      <c r="C73" s="18" t="s">
        <v>1001</v>
      </c>
      <c r="D73" s="18" t="s">
        <v>1576</v>
      </c>
      <c r="E73" s="17"/>
      <c r="F73" s="17"/>
      <c r="G73" s="18">
        <v>2980</v>
      </c>
      <c r="H73" s="18">
        <v>5</v>
      </c>
      <c r="I73" s="18">
        <v>14900</v>
      </c>
      <c r="J73" s="18">
        <v>5</v>
      </c>
      <c r="K73" s="1">
        <f t="shared" si="4"/>
        <v>2235</v>
      </c>
      <c r="L73" s="6">
        <v>1514</v>
      </c>
      <c r="M73" s="6">
        <f t="shared" si="5"/>
        <v>7570</v>
      </c>
      <c r="N73" s="6">
        <f t="shared" si="6"/>
        <v>5095</v>
      </c>
      <c r="O73" s="8">
        <f t="shared" si="7"/>
        <v>0.34194630872483223</v>
      </c>
    </row>
    <row r="74" spans="1:15" ht="17" customHeight="1">
      <c r="A74" s="16" t="s">
        <v>1051</v>
      </c>
      <c r="B74" s="17"/>
      <c r="C74" s="18" t="s">
        <v>1052</v>
      </c>
      <c r="D74" s="18">
        <v>9524</v>
      </c>
      <c r="E74" s="17"/>
      <c r="F74" s="17"/>
      <c r="G74" s="18">
        <v>2980</v>
      </c>
      <c r="H74" s="18">
        <v>5</v>
      </c>
      <c r="I74" s="18">
        <v>14900</v>
      </c>
      <c r="J74" s="18">
        <v>4</v>
      </c>
      <c r="K74" s="1">
        <f t="shared" si="4"/>
        <v>2235</v>
      </c>
      <c r="L74" s="6">
        <v>0</v>
      </c>
      <c r="M74" s="6">
        <f t="shared" si="5"/>
        <v>0</v>
      </c>
      <c r="N74" s="6">
        <f t="shared" si="6"/>
        <v>12665</v>
      </c>
      <c r="O74" s="8">
        <f t="shared" si="7"/>
        <v>0.85</v>
      </c>
    </row>
    <row r="75" spans="1:15" ht="17" customHeight="1">
      <c r="A75" s="20" t="s">
        <v>815</v>
      </c>
      <c r="B75" s="17"/>
      <c r="C75" s="18" t="s">
        <v>816</v>
      </c>
      <c r="D75" s="18" t="s">
        <v>1077</v>
      </c>
      <c r="E75" s="17"/>
      <c r="F75" s="17"/>
      <c r="G75" s="18">
        <v>1480</v>
      </c>
      <c r="H75" s="18">
        <v>10</v>
      </c>
      <c r="I75" s="18">
        <v>14800</v>
      </c>
      <c r="J75" s="18">
        <v>1</v>
      </c>
      <c r="K75" s="1">
        <f t="shared" si="4"/>
        <v>2220</v>
      </c>
      <c r="L75" s="6">
        <v>660</v>
      </c>
      <c r="M75" s="6">
        <f t="shared" si="5"/>
        <v>6600</v>
      </c>
      <c r="N75" s="6">
        <f t="shared" si="6"/>
        <v>5980</v>
      </c>
      <c r="O75" s="8">
        <f t="shared" si="7"/>
        <v>0.40405405405405403</v>
      </c>
    </row>
    <row r="76" spans="1:15" ht="17" customHeight="1">
      <c r="A76" s="16" t="s">
        <v>651</v>
      </c>
      <c r="B76" s="18" t="s">
        <v>1132</v>
      </c>
      <c r="C76" s="18" t="s">
        <v>653</v>
      </c>
      <c r="D76" s="27">
        <v>6.2111481480589895E+20</v>
      </c>
      <c r="E76" s="18" t="s">
        <v>1133</v>
      </c>
      <c r="F76" s="17"/>
      <c r="G76" s="18">
        <v>1780</v>
      </c>
      <c r="H76" s="18">
        <v>8</v>
      </c>
      <c r="I76" s="18">
        <v>14240</v>
      </c>
      <c r="J76" s="18">
        <v>7</v>
      </c>
      <c r="K76" s="1">
        <f t="shared" si="4"/>
        <v>2136</v>
      </c>
      <c r="L76" s="6">
        <v>1216</v>
      </c>
      <c r="M76" s="6">
        <f t="shared" si="5"/>
        <v>9728</v>
      </c>
      <c r="N76" s="6">
        <f t="shared" si="6"/>
        <v>2376</v>
      </c>
      <c r="O76" s="8">
        <f t="shared" si="7"/>
        <v>0.16685393258426967</v>
      </c>
    </row>
    <row r="77" spans="1:15" ht="17" customHeight="1">
      <c r="A77" s="16" t="s">
        <v>981</v>
      </c>
      <c r="B77" s="17"/>
      <c r="C77" s="18" t="s">
        <v>271</v>
      </c>
      <c r="D77" s="18">
        <v>785</v>
      </c>
      <c r="E77" s="17"/>
      <c r="F77" s="17"/>
      <c r="G77" s="18">
        <v>1580</v>
      </c>
      <c r="H77" s="18">
        <v>9</v>
      </c>
      <c r="I77" s="18">
        <v>14220</v>
      </c>
      <c r="J77" s="18">
        <v>7</v>
      </c>
      <c r="K77" s="1">
        <f t="shared" si="4"/>
        <v>2133</v>
      </c>
      <c r="L77" s="6">
        <v>785</v>
      </c>
      <c r="M77" s="6">
        <f t="shared" si="5"/>
        <v>7065</v>
      </c>
      <c r="N77" s="6">
        <f t="shared" si="6"/>
        <v>5022</v>
      </c>
      <c r="O77" s="8">
        <f t="shared" si="7"/>
        <v>0.35316455696202531</v>
      </c>
    </row>
    <row r="78" spans="1:15" ht="17" customHeight="1">
      <c r="A78" s="16" t="s">
        <v>1577</v>
      </c>
      <c r="B78" s="17"/>
      <c r="C78" s="18" t="s">
        <v>1578</v>
      </c>
      <c r="D78" s="18" t="s">
        <v>1579</v>
      </c>
      <c r="E78" s="17"/>
      <c r="F78" s="17"/>
      <c r="G78" s="18">
        <v>2780</v>
      </c>
      <c r="H78" s="18">
        <v>5</v>
      </c>
      <c r="I78" s="18">
        <v>13900</v>
      </c>
      <c r="J78" s="18">
        <v>3</v>
      </c>
      <c r="K78" s="1">
        <f t="shared" si="4"/>
        <v>2085</v>
      </c>
      <c r="L78" s="6">
        <v>1534</v>
      </c>
      <c r="M78" s="6">
        <f t="shared" si="5"/>
        <v>7670</v>
      </c>
      <c r="N78" s="6">
        <f t="shared" si="6"/>
        <v>4145</v>
      </c>
      <c r="O78" s="8">
        <f t="shared" si="7"/>
        <v>0.29820143884892086</v>
      </c>
    </row>
    <row r="79" spans="1:15" ht="17" customHeight="1">
      <c r="A79" s="16" t="s">
        <v>41</v>
      </c>
      <c r="B79" s="18" t="s">
        <v>978</v>
      </c>
      <c r="C79" s="18" t="s">
        <v>43</v>
      </c>
      <c r="D79" s="18" t="s">
        <v>44</v>
      </c>
      <c r="E79" s="18" t="s">
        <v>979</v>
      </c>
      <c r="F79" s="17"/>
      <c r="G79" s="18">
        <v>13480</v>
      </c>
      <c r="H79" s="18">
        <v>1</v>
      </c>
      <c r="I79" s="18">
        <v>13480</v>
      </c>
      <c r="J79" s="18">
        <v>1</v>
      </c>
      <c r="K79" s="1">
        <f t="shared" si="4"/>
        <v>2022</v>
      </c>
      <c r="L79" s="6">
        <v>9100</v>
      </c>
      <c r="M79" s="6">
        <f t="shared" si="5"/>
        <v>9100</v>
      </c>
      <c r="N79" s="6">
        <f t="shared" si="6"/>
        <v>2358</v>
      </c>
      <c r="O79" s="8">
        <f t="shared" si="7"/>
        <v>0.17492581602373888</v>
      </c>
    </row>
    <row r="80" spans="1:15" ht="17" customHeight="1">
      <c r="A80" s="16" t="s">
        <v>1580</v>
      </c>
      <c r="B80" s="17"/>
      <c r="C80" s="18" t="s">
        <v>264</v>
      </c>
      <c r="D80" s="18" t="s">
        <v>898</v>
      </c>
      <c r="E80" s="17"/>
      <c r="F80" s="17"/>
      <c r="G80" s="18">
        <v>4480</v>
      </c>
      <c r="H80" s="18">
        <v>3</v>
      </c>
      <c r="I80" s="18">
        <v>13440</v>
      </c>
      <c r="J80" s="18">
        <v>3</v>
      </c>
      <c r="K80" s="1">
        <f t="shared" si="4"/>
        <v>2016</v>
      </c>
      <c r="L80" s="6">
        <v>2126</v>
      </c>
      <c r="M80" s="6">
        <f t="shared" si="5"/>
        <v>6378</v>
      </c>
      <c r="N80" s="6">
        <f t="shared" si="6"/>
        <v>5046</v>
      </c>
      <c r="O80" s="8">
        <f t="shared" si="7"/>
        <v>0.37544642857142857</v>
      </c>
    </row>
    <row r="81" spans="1:15" ht="17" customHeight="1">
      <c r="A81" s="16" t="s">
        <v>1581</v>
      </c>
      <c r="B81" s="17"/>
      <c r="C81" s="18" t="s">
        <v>1582</v>
      </c>
      <c r="D81" s="18" t="s">
        <v>1583</v>
      </c>
      <c r="E81" s="17"/>
      <c r="F81" s="17"/>
      <c r="G81" s="18">
        <v>4480</v>
      </c>
      <c r="H81" s="18">
        <v>3</v>
      </c>
      <c r="I81" s="18">
        <v>13440</v>
      </c>
      <c r="J81" s="18">
        <v>3</v>
      </c>
      <c r="K81" s="1">
        <f t="shared" si="4"/>
        <v>2016</v>
      </c>
      <c r="L81" s="6">
        <v>3578</v>
      </c>
      <c r="M81" s="6">
        <f t="shared" si="5"/>
        <v>10734</v>
      </c>
      <c r="N81" s="6">
        <f t="shared" si="6"/>
        <v>690</v>
      </c>
      <c r="O81" s="8">
        <f t="shared" si="7"/>
        <v>5.1339285714285712E-2</v>
      </c>
    </row>
    <row r="82" spans="1:15" ht="17" customHeight="1">
      <c r="A82" s="16" t="s">
        <v>1584</v>
      </c>
      <c r="B82" s="17"/>
      <c r="C82" s="18" t="s">
        <v>1585</v>
      </c>
      <c r="D82" s="18" t="s">
        <v>1586</v>
      </c>
      <c r="E82" s="17"/>
      <c r="F82" s="17"/>
      <c r="G82" s="18">
        <v>4380</v>
      </c>
      <c r="H82" s="18">
        <v>3</v>
      </c>
      <c r="I82" s="18">
        <v>13140</v>
      </c>
      <c r="J82" s="18">
        <v>3</v>
      </c>
      <c r="K82" s="1">
        <f t="shared" si="4"/>
        <v>1971</v>
      </c>
      <c r="L82" s="6">
        <v>2418</v>
      </c>
      <c r="M82" s="6">
        <f t="shared" si="5"/>
        <v>7254</v>
      </c>
      <c r="N82" s="6">
        <f t="shared" si="6"/>
        <v>3915</v>
      </c>
      <c r="O82" s="8">
        <f t="shared" si="7"/>
        <v>0.29794520547945208</v>
      </c>
    </row>
    <row r="83" spans="1:15" ht="17" customHeight="1">
      <c r="A83" s="16" t="s">
        <v>651</v>
      </c>
      <c r="B83" s="18" t="s">
        <v>956</v>
      </c>
      <c r="C83" s="18" t="s">
        <v>653</v>
      </c>
      <c r="D83" s="27">
        <v>6.2111481480589895E+20</v>
      </c>
      <c r="E83" s="18" t="s">
        <v>957</v>
      </c>
      <c r="F83" s="17"/>
      <c r="G83" s="18">
        <v>2180</v>
      </c>
      <c r="H83" s="18">
        <v>6</v>
      </c>
      <c r="I83" s="18">
        <v>13080</v>
      </c>
      <c r="J83" s="18">
        <v>6</v>
      </c>
      <c r="K83" s="1">
        <f t="shared" si="4"/>
        <v>1962</v>
      </c>
      <c r="L83" s="6">
        <v>1216</v>
      </c>
      <c r="M83" s="6">
        <f t="shared" si="5"/>
        <v>7296</v>
      </c>
      <c r="N83" s="6">
        <f t="shared" si="6"/>
        <v>3822</v>
      </c>
      <c r="O83" s="8">
        <f t="shared" si="7"/>
        <v>0.29220183486238532</v>
      </c>
    </row>
    <row r="84" spans="1:15" ht="17" customHeight="1">
      <c r="A84" s="16" t="s">
        <v>1076</v>
      </c>
      <c r="B84" s="17"/>
      <c r="C84" s="18" t="s">
        <v>117</v>
      </c>
      <c r="D84" s="18">
        <v>358</v>
      </c>
      <c r="E84" s="17"/>
      <c r="F84" s="17"/>
      <c r="G84" s="18">
        <v>2540</v>
      </c>
      <c r="H84" s="18">
        <v>5</v>
      </c>
      <c r="I84" s="18">
        <v>12700</v>
      </c>
      <c r="J84" s="18">
        <v>5</v>
      </c>
      <c r="K84" s="1">
        <f t="shared" si="4"/>
        <v>1905</v>
      </c>
      <c r="L84" s="6">
        <v>358</v>
      </c>
      <c r="M84" s="6">
        <f t="shared" si="5"/>
        <v>1790</v>
      </c>
      <c r="N84" s="6">
        <f t="shared" si="6"/>
        <v>9005</v>
      </c>
      <c r="O84" s="8">
        <f t="shared" si="7"/>
        <v>0.70905511811023625</v>
      </c>
    </row>
    <row r="85" spans="1:15" ht="17" customHeight="1">
      <c r="A85" s="16" t="s">
        <v>1587</v>
      </c>
      <c r="B85" s="17"/>
      <c r="C85" s="18" t="s">
        <v>437</v>
      </c>
      <c r="D85" s="18" t="s">
        <v>1588</v>
      </c>
      <c r="E85" s="17"/>
      <c r="F85" s="17"/>
      <c r="G85" s="18">
        <v>1568</v>
      </c>
      <c r="H85" s="18">
        <v>8</v>
      </c>
      <c r="I85" s="18">
        <v>12540</v>
      </c>
      <c r="J85" s="18">
        <v>6</v>
      </c>
      <c r="K85" s="1">
        <f t="shared" si="4"/>
        <v>1881</v>
      </c>
      <c r="L85" s="6">
        <v>730</v>
      </c>
      <c r="M85" s="6">
        <f t="shared" si="5"/>
        <v>5840</v>
      </c>
      <c r="N85" s="6">
        <f t="shared" si="6"/>
        <v>4819</v>
      </c>
      <c r="O85" s="8">
        <f t="shared" si="7"/>
        <v>0.3842902711323764</v>
      </c>
    </row>
    <row r="86" spans="1:15" ht="17" customHeight="1">
      <c r="A86" s="16" t="s">
        <v>1136</v>
      </c>
      <c r="B86" s="18" t="s">
        <v>1137</v>
      </c>
      <c r="C86" s="18" t="s">
        <v>1138</v>
      </c>
      <c r="D86" s="18" t="s">
        <v>1139</v>
      </c>
      <c r="E86" s="18" t="s">
        <v>1140</v>
      </c>
      <c r="F86" s="17"/>
      <c r="G86" s="18">
        <v>1780</v>
      </c>
      <c r="H86" s="18">
        <v>7</v>
      </c>
      <c r="I86" s="18">
        <v>12460</v>
      </c>
      <c r="J86" s="18">
        <v>7</v>
      </c>
      <c r="K86" s="1">
        <f t="shared" si="4"/>
        <v>1869</v>
      </c>
      <c r="L86" s="6">
        <v>495</v>
      </c>
      <c r="M86" s="6">
        <f t="shared" si="5"/>
        <v>3465</v>
      </c>
      <c r="N86" s="6">
        <f t="shared" si="6"/>
        <v>7126</v>
      </c>
      <c r="O86" s="8">
        <f t="shared" si="7"/>
        <v>0.57191011235955058</v>
      </c>
    </row>
    <row r="87" spans="1:15" ht="17" customHeight="1">
      <c r="A87" s="16" t="s">
        <v>1345</v>
      </c>
      <c r="B87" s="17"/>
      <c r="C87" s="18" t="s">
        <v>463</v>
      </c>
      <c r="D87" s="18" t="s">
        <v>1346</v>
      </c>
      <c r="E87" s="17"/>
      <c r="F87" s="17"/>
      <c r="G87" s="18">
        <v>2480</v>
      </c>
      <c r="H87" s="18">
        <v>5</v>
      </c>
      <c r="I87" s="18">
        <v>12400</v>
      </c>
      <c r="J87" s="18">
        <v>5</v>
      </c>
      <c r="K87" s="1">
        <f t="shared" si="4"/>
        <v>1860</v>
      </c>
      <c r="L87" s="6">
        <v>1356</v>
      </c>
      <c r="M87" s="6">
        <f t="shared" si="5"/>
        <v>6780</v>
      </c>
      <c r="N87" s="6">
        <f t="shared" si="6"/>
        <v>3760</v>
      </c>
      <c r="O87" s="8">
        <f t="shared" si="7"/>
        <v>0.3032258064516129</v>
      </c>
    </row>
    <row r="88" spans="1:15" ht="17" customHeight="1">
      <c r="A88" s="16" t="s">
        <v>1589</v>
      </c>
      <c r="B88" s="17"/>
      <c r="C88" s="18" t="s">
        <v>1590</v>
      </c>
      <c r="D88" s="18" t="s">
        <v>1591</v>
      </c>
      <c r="E88" s="17"/>
      <c r="F88" s="17"/>
      <c r="G88" s="18">
        <v>3080</v>
      </c>
      <c r="H88" s="18">
        <v>4</v>
      </c>
      <c r="I88" s="18">
        <v>12320</v>
      </c>
      <c r="J88" s="18">
        <v>1</v>
      </c>
      <c r="K88" s="1">
        <f t="shared" si="4"/>
        <v>1848</v>
      </c>
      <c r="L88" s="6">
        <v>1544</v>
      </c>
      <c r="M88" s="6">
        <f t="shared" si="5"/>
        <v>6176</v>
      </c>
      <c r="N88" s="6">
        <f t="shared" si="6"/>
        <v>4296</v>
      </c>
      <c r="O88" s="8">
        <f t="shared" si="7"/>
        <v>0.34870129870129868</v>
      </c>
    </row>
    <row r="89" spans="1:15" ht="17" customHeight="1">
      <c r="A89" s="16" t="s">
        <v>1592</v>
      </c>
      <c r="B89" s="17"/>
      <c r="C89" s="18" t="s">
        <v>889</v>
      </c>
      <c r="D89" s="18" t="s">
        <v>1593</v>
      </c>
      <c r="E89" s="17"/>
      <c r="F89" s="17"/>
      <c r="G89" s="18">
        <v>11980</v>
      </c>
      <c r="H89" s="18">
        <v>1</v>
      </c>
      <c r="I89" s="18">
        <v>11980</v>
      </c>
      <c r="J89" s="18">
        <v>1</v>
      </c>
      <c r="K89" s="1">
        <f t="shared" si="4"/>
        <v>1797</v>
      </c>
      <c r="L89" s="6">
        <v>8980</v>
      </c>
      <c r="M89" s="6">
        <f t="shared" si="5"/>
        <v>8980</v>
      </c>
      <c r="N89" s="6">
        <f t="shared" si="6"/>
        <v>1203</v>
      </c>
      <c r="O89" s="8">
        <f t="shared" si="7"/>
        <v>0.10041736227045076</v>
      </c>
    </row>
    <row r="90" spans="1:15" ht="17" customHeight="1">
      <c r="A90" s="16" t="s">
        <v>984</v>
      </c>
      <c r="B90" s="17"/>
      <c r="C90" s="18" t="s">
        <v>985</v>
      </c>
      <c r="D90" s="18">
        <v>7980</v>
      </c>
      <c r="E90" s="17"/>
      <c r="F90" s="17"/>
      <c r="G90" s="18">
        <v>11980</v>
      </c>
      <c r="H90" s="18">
        <v>1</v>
      </c>
      <c r="I90" s="18">
        <v>11980</v>
      </c>
      <c r="J90" s="18">
        <v>1</v>
      </c>
      <c r="K90" s="1">
        <f t="shared" si="4"/>
        <v>1797</v>
      </c>
      <c r="L90" s="6">
        <v>7980</v>
      </c>
      <c r="M90" s="6">
        <f t="shared" si="5"/>
        <v>7980</v>
      </c>
      <c r="N90" s="6">
        <f t="shared" si="6"/>
        <v>2203</v>
      </c>
      <c r="O90" s="8">
        <f t="shared" si="7"/>
        <v>0.183889816360601</v>
      </c>
    </row>
    <row r="91" spans="1:15" ht="17" customHeight="1">
      <c r="A91" s="16" t="s">
        <v>1565</v>
      </c>
      <c r="B91" s="18" t="s">
        <v>1594</v>
      </c>
      <c r="C91" s="18" t="s">
        <v>1205</v>
      </c>
      <c r="D91" s="18" t="s">
        <v>1206</v>
      </c>
      <c r="E91" s="18" t="s">
        <v>1595</v>
      </c>
      <c r="F91" s="17"/>
      <c r="G91" s="18">
        <v>3980</v>
      </c>
      <c r="H91" s="18">
        <v>3</v>
      </c>
      <c r="I91" s="18">
        <v>11940</v>
      </c>
      <c r="J91" s="18">
        <v>3</v>
      </c>
      <c r="K91" s="1">
        <f t="shared" si="4"/>
        <v>1791</v>
      </c>
      <c r="L91" s="6">
        <v>1014</v>
      </c>
      <c r="M91" s="6">
        <f t="shared" si="5"/>
        <v>3042</v>
      </c>
      <c r="N91" s="6">
        <f t="shared" si="6"/>
        <v>7107</v>
      </c>
      <c r="O91" s="8">
        <f t="shared" si="7"/>
        <v>0.59522613065326635</v>
      </c>
    </row>
    <row r="92" spans="1:15" ht="17" customHeight="1">
      <c r="A92" s="16" t="s">
        <v>1596</v>
      </c>
      <c r="B92" s="17"/>
      <c r="C92" s="18" t="s">
        <v>1597</v>
      </c>
      <c r="D92" s="18" t="s">
        <v>1598</v>
      </c>
      <c r="E92" s="17"/>
      <c r="F92" s="17"/>
      <c r="G92" s="18">
        <v>3980</v>
      </c>
      <c r="H92" s="18">
        <v>3</v>
      </c>
      <c r="I92" s="18">
        <v>11940</v>
      </c>
      <c r="J92" s="18">
        <v>3</v>
      </c>
      <c r="K92" s="1">
        <f t="shared" si="4"/>
        <v>1791</v>
      </c>
      <c r="L92" s="6">
        <v>1208</v>
      </c>
      <c r="M92" s="6">
        <f t="shared" si="5"/>
        <v>3624</v>
      </c>
      <c r="N92" s="6">
        <f t="shared" si="6"/>
        <v>6525</v>
      </c>
      <c r="O92" s="8">
        <f t="shared" si="7"/>
        <v>0.54648241206030146</v>
      </c>
    </row>
    <row r="93" spans="1:15" ht="17" customHeight="1">
      <c r="A93" s="16" t="s">
        <v>1565</v>
      </c>
      <c r="B93" s="18" t="s">
        <v>1599</v>
      </c>
      <c r="C93" s="18" t="s">
        <v>1205</v>
      </c>
      <c r="D93" s="18" t="s">
        <v>1206</v>
      </c>
      <c r="E93" s="18" t="s">
        <v>1600</v>
      </c>
      <c r="F93" s="17"/>
      <c r="G93" s="18">
        <v>3980</v>
      </c>
      <c r="H93" s="18">
        <v>3</v>
      </c>
      <c r="I93" s="18">
        <v>11940</v>
      </c>
      <c r="J93" s="18">
        <v>3</v>
      </c>
      <c r="K93" s="1">
        <f t="shared" si="4"/>
        <v>1791</v>
      </c>
      <c r="L93" s="6">
        <v>1014</v>
      </c>
      <c r="M93" s="6">
        <f t="shared" si="5"/>
        <v>3042</v>
      </c>
      <c r="N93" s="6">
        <f t="shared" si="6"/>
        <v>7107</v>
      </c>
      <c r="O93" s="8">
        <f t="shared" si="7"/>
        <v>0.59522613065326635</v>
      </c>
    </row>
    <row r="94" spans="1:15" ht="17" customHeight="1">
      <c r="A94" s="16" t="s">
        <v>1601</v>
      </c>
      <c r="B94" s="18" t="s">
        <v>1279</v>
      </c>
      <c r="C94" s="18" t="s">
        <v>1280</v>
      </c>
      <c r="D94" s="18" t="s">
        <v>1281</v>
      </c>
      <c r="E94" s="18" t="s">
        <v>1282</v>
      </c>
      <c r="F94" s="17"/>
      <c r="G94" s="18">
        <v>2980</v>
      </c>
      <c r="H94" s="18">
        <v>4</v>
      </c>
      <c r="I94" s="18">
        <v>11920</v>
      </c>
      <c r="J94" s="18">
        <v>4</v>
      </c>
      <c r="K94" s="1">
        <f t="shared" si="4"/>
        <v>1788</v>
      </c>
      <c r="L94" s="6">
        <v>286</v>
      </c>
      <c r="M94" s="6">
        <f t="shared" si="5"/>
        <v>1144</v>
      </c>
      <c r="N94" s="6">
        <f t="shared" si="6"/>
        <v>8988</v>
      </c>
      <c r="O94" s="8">
        <f t="shared" si="7"/>
        <v>0.75402684563758393</v>
      </c>
    </row>
    <row r="95" spans="1:15" ht="17" customHeight="1">
      <c r="A95" s="16" t="s">
        <v>1602</v>
      </c>
      <c r="B95" s="17"/>
      <c r="C95" s="18" t="s">
        <v>1093</v>
      </c>
      <c r="D95" s="18" t="s">
        <v>1094</v>
      </c>
      <c r="E95" s="17"/>
      <c r="F95" s="17"/>
      <c r="G95" s="18">
        <v>2980</v>
      </c>
      <c r="H95" s="18">
        <v>4</v>
      </c>
      <c r="I95" s="18">
        <v>11920</v>
      </c>
      <c r="J95" s="18">
        <v>4</v>
      </c>
      <c r="K95" s="1">
        <f t="shared" si="4"/>
        <v>1788</v>
      </c>
      <c r="L95" s="6">
        <v>1356</v>
      </c>
      <c r="M95" s="6">
        <f t="shared" si="5"/>
        <v>5424</v>
      </c>
      <c r="N95" s="6">
        <f t="shared" si="6"/>
        <v>4708</v>
      </c>
      <c r="O95" s="8">
        <f t="shared" si="7"/>
        <v>0.39496644295302014</v>
      </c>
    </row>
    <row r="96" spans="1:15" ht="17" customHeight="1">
      <c r="A96" s="16" t="s">
        <v>1603</v>
      </c>
      <c r="B96" s="17"/>
      <c r="C96" s="18" t="s">
        <v>407</v>
      </c>
      <c r="D96" s="18" t="s">
        <v>1604</v>
      </c>
      <c r="E96" s="17"/>
      <c r="F96" s="17"/>
      <c r="G96" s="18">
        <v>1947</v>
      </c>
      <c r="H96" s="18">
        <v>6</v>
      </c>
      <c r="I96" s="18">
        <v>11680</v>
      </c>
      <c r="J96" s="18">
        <v>5</v>
      </c>
      <c r="K96" s="1">
        <f t="shared" si="4"/>
        <v>1752</v>
      </c>
      <c r="L96" s="6">
        <v>765</v>
      </c>
      <c r="M96" s="6">
        <f t="shared" si="5"/>
        <v>4590</v>
      </c>
      <c r="N96" s="6">
        <f t="shared" si="6"/>
        <v>5338</v>
      </c>
      <c r="O96" s="8">
        <f t="shared" si="7"/>
        <v>0.45702054794520547</v>
      </c>
    </row>
    <row r="97" spans="1:15" ht="17" customHeight="1">
      <c r="A97" s="16" t="s">
        <v>1605</v>
      </c>
      <c r="B97" s="17"/>
      <c r="C97" s="18" t="s">
        <v>1606</v>
      </c>
      <c r="D97" s="18" t="s">
        <v>1607</v>
      </c>
      <c r="E97" s="17"/>
      <c r="F97" s="17"/>
      <c r="G97" s="18">
        <v>2780</v>
      </c>
      <c r="H97" s="18">
        <v>4</v>
      </c>
      <c r="I97" s="18">
        <v>11120</v>
      </c>
      <c r="J97" s="18">
        <v>4</v>
      </c>
      <c r="K97" s="1">
        <f t="shared" si="4"/>
        <v>1668</v>
      </c>
      <c r="L97" s="6">
        <v>1534</v>
      </c>
      <c r="M97" s="6">
        <f t="shared" si="5"/>
        <v>6136</v>
      </c>
      <c r="N97" s="6">
        <f t="shared" si="6"/>
        <v>3316</v>
      </c>
      <c r="O97" s="8">
        <f t="shared" si="7"/>
        <v>0.29820143884892086</v>
      </c>
    </row>
    <row r="98" spans="1:15" ht="17" customHeight="1">
      <c r="A98" s="16" t="s">
        <v>1608</v>
      </c>
      <c r="B98" s="17"/>
      <c r="C98" s="18" t="s">
        <v>103</v>
      </c>
      <c r="D98" s="18" t="s">
        <v>1078</v>
      </c>
      <c r="E98" s="17"/>
      <c r="F98" s="17"/>
      <c r="G98" s="18">
        <v>999</v>
      </c>
      <c r="H98" s="18">
        <v>11</v>
      </c>
      <c r="I98" s="18">
        <v>10989</v>
      </c>
      <c r="J98" s="18">
        <v>7</v>
      </c>
      <c r="K98" s="1">
        <f t="shared" si="4"/>
        <v>1648.35</v>
      </c>
      <c r="L98" s="6">
        <v>396</v>
      </c>
      <c r="M98" s="6">
        <f t="shared" si="5"/>
        <v>4356</v>
      </c>
      <c r="N98" s="6">
        <f t="shared" si="6"/>
        <v>4984.6499999999996</v>
      </c>
      <c r="O98" s="8">
        <f t="shared" si="7"/>
        <v>0.45360360360360358</v>
      </c>
    </row>
    <row r="99" spans="1:15" ht="17" customHeight="1">
      <c r="A99" s="16" t="s">
        <v>1609</v>
      </c>
      <c r="B99" s="17"/>
      <c r="C99" s="18" t="s">
        <v>924</v>
      </c>
      <c r="D99" s="18" t="s">
        <v>925</v>
      </c>
      <c r="E99" s="17"/>
      <c r="F99" s="17"/>
      <c r="G99" s="18">
        <v>10980</v>
      </c>
      <c r="H99" s="18">
        <v>1</v>
      </c>
      <c r="I99" s="18">
        <v>10980</v>
      </c>
      <c r="J99" s="18">
        <v>1</v>
      </c>
      <c r="K99" s="1">
        <f t="shared" si="4"/>
        <v>1647</v>
      </c>
      <c r="L99" s="6">
        <v>7907</v>
      </c>
      <c r="M99" s="6">
        <f t="shared" si="5"/>
        <v>7907</v>
      </c>
      <c r="N99" s="6">
        <f t="shared" si="6"/>
        <v>1426</v>
      </c>
      <c r="O99" s="8">
        <f t="shared" si="7"/>
        <v>0.12987249544626595</v>
      </c>
    </row>
    <row r="100" spans="1:15" ht="17" customHeight="1">
      <c r="A100" s="16" t="s">
        <v>1610</v>
      </c>
      <c r="B100" s="17"/>
      <c r="C100" s="18" t="s">
        <v>28</v>
      </c>
      <c r="D100" s="18">
        <v>8480</v>
      </c>
      <c r="E100" s="17"/>
      <c r="F100" s="17"/>
      <c r="G100" s="18">
        <v>10980</v>
      </c>
      <c r="H100" s="18">
        <v>1</v>
      </c>
      <c r="I100" s="18">
        <v>10980</v>
      </c>
      <c r="J100" s="18">
        <v>1</v>
      </c>
      <c r="K100" s="1">
        <f t="shared" si="4"/>
        <v>1647</v>
      </c>
      <c r="L100" s="6">
        <v>8480</v>
      </c>
      <c r="M100" s="6">
        <f t="shared" si="5"/>
        <v>8480</v>
      </c>
      <c r="N100" s="6">
        <f t="shared" si="6"/>
        <v>853</v>
      </c>
      <c r="O100" s="8">
        <f t="shared" si="7"/>
        <v>7.7686703096539161E-2</v>
      </c>
    </row>
    <row r="101" spans="1:15" ht="17" customHeight="1">
      <c r="A101" s="16" t="s">
        <v>651</v>
      </c>
      <c r="B101" s="18" t="s">
        <v>1056</v>
      </c>
      <c r="C101" s="18" t="s">
        <v>653</v>
      </c>
      <c r="D101" s="27">
        <v>6.2111481480589895E+20</v>
      </c>
      <c r="E101" s="18" t="s">
        <v>1057</v>
      </c>
      <c r="F101" s="17"/>
      <c r="G101" s="18">
        <v>2180</v>
      </c>
      <c r="H101" s="18">
        <v>5</v>
      </c>
      <c r="I101" s="18">
        <v>10900</v>
      </c>
      <c r="J101" s="18">
        <v>4</v>
      </c>
      <c r="K101" s="1">
        <f t="shared" si="4"/>
        <v>1635</v>
      </c>
      <c r="L101" s="6">
        <v>1216</v>
      </c>
      <c r="M101" s="6">
        <f t="shared" si="5"/>
        <v>6080</v>
      </c>
      <c r="N101" s="6">
        <f t="shared" si="6"/>
        <v>3185</v>
      </c>
      <c r="O101" s="8">
        <f t="shared" si="7"/>
        <v>0.29220183486238532</v>
      </c>
    </row>
    <row r="102" spans="1:15" ht="17" customHeight="1">
      <c r="A102" s="16" t="s">
        <v>1611</v>
      </c>
      <c r="B102" s="17"/>
      <c r="C102" s="18" t="s">
        <v>1612</v>
      </c>
      <c r="D102" s="18" t="s">
        <v>1613</v>
      </c>
      <c r="E102" s="17"/>
      <c r="F102" s="17"/>
      <c r="G102" s="18">
        <v>3580</v>
      </c>
      <c r="H102" s="18">
        <v>3</v>
      </c>
      <c r="I102" s="18">
        <v>10740</v>
      </c>
      <c r="J102" s="18">
        <v>3</v>
      </c>
      <c r="K102" s="1">
        <f t="shared" si="4"/>
        <v>1611</v>
      </c>
      <c r="L102" s="6">
        <v>1999</v>
      </c>
      <c r="M102" s="6">
        <f t="shared" si="5"/>
        <v>5997</v>
      </c>
      <c r="N102" s="6">
        <f t="shared" si="6"/>
        <v>3132</v>
      </c>
      <c r="O102" s="8">
        <f t="shared" si="7"/>
        <v>0.2916201117318436</v>
      </c>
    </row>
    <row r="103" spans="1:15" ht="17" customHeight="1">
      <c r="A103" s="16" t="s">
        <v>1072</v>
      </c>
      <c r="B103" s="17"/>
      <c r="C103" s="18" t="s">
        <v>1073</v>
      </c>
      <c r="D103" s="18" t="s">
        <v>1074</v>
      </c>
      <c r="E103" s="17"/>
      <c r="F103" s="17"/>
      <c r="G103" s="18">
        <v>2580</v>
      </c>
      <c r="H103" s="18">
        <v>4</v>
      </c>
      <c r="I103" s="18">
        <v>10320</v>
      </c>
      <c r="J103" s="18">
        <v>2</v>
      </c>
      <c r="K103" s="1">
        <f t="shared" si="4"/>
        <v>1548</v>
      </c>
      <c r="L103" s="6">
        <v>1584</v>
      </c>
      <c r="M103" s="6">
        <f t="shared" si="5"/>
        <v>6336</v>
      </c>
      <c r="N103" s="6">
        <f t="shared" si="6"/>
        <v>2436</v>
      </c>
      <c r="O103" s="8">
        <f t="shared" si="7"/>
        <v>0.23604651162790696</v>
      </c>
    </row>
    <row r="104" spans="1:15" ht="17" customHeight="1">
      <c r="A104" s="16" t="s">
        <v>686</v>
      </c>
      <c r="B104" s="17"/>
      <c r="C104" s="18" t="s">
        <v>687</v>
      </c>
      <c r="D104" s="18" t="s">
        <v>1012</v>
      </c>
      <c r="E104" s="17"/>
      <c r="F104" s="17"/>
      <c r="G104" s="18">
        <v>1280</v>
      </c>
      <c r="H104" s="18">
        <v>8</v>
      </c>
      <c r="I104" s="18">
        <v>10240</v>
      </c>
      <c r="J104" s="18">
        <v>3</v>
      </c>
      <c r="K104" s="1">
        <f t="shared" si="4"/>
        <v>1536</v>
      </c>
      <c r="L104" s="6">
        <v>806</v>
      </c>
      <c r="M104" s="6">
        <f t="shared" si="5"/>
        <v>6448</v>
      </c>
      <c r="N104" s="6">
        <f t="shared" si="6"/>
        <v>2256</v>
      </c>
      <c r="O104" s="8">
        <f t="shared" si="7"/>
        <v>0.22031249999999999</v>
      </c>
    </row>
    <row r="105" spans="1:15" ht="17" customHeight="1">
      <c r="A105" s="16" t="s">
        <v>1614</v>
      </c>
      <c r="B105" s="17"/>
      <c r="C105" s="18" t="s">
        <v>1615</v>
      </c>
      <c r="D105" s="18" t="s">
        <v>1616</v>
      </c>
      <c r="E105" s="17"/>
      <c r="F105" s="17"/>
      <c r="G105" s="18">
        <v>9980</v>
      </c>
      <c r="H105" s="18">
        <v>1</v>
      </c>
      <c r="I105" s="18">
        <v>9980</v>
      </c>
      <c r="J105" s="18">
        <v>1</v>
      </c>
      <c r="K105" s="1">
        <f t="shared" si="4"/>
        <v>1497</v>
      </c>
      <c r="L105" s="6">
        <v>9100</v>
      </c>
      <c r="M105" s="6">
        <f t="shared" si="5"/>
        <v>9100</v>
      </c>
      <c r="N105" s="6">
        <f t="shared" si="6"/>
        <v>-617</v>
      </c>
      <c r="O105" s="8">
        <f t="shared" si="7"/>
        <v>-6.1823647294589175E-2</v>
      </c>
    </row>
    <row r="106" spans="1:15" ht="17" customHeight="1">
      <c r="A106" s="16" t="s">
        <v>81</v>
      </c>
      <c r="B106" s="18" t="s">
        <v>212</v>
      </c>
      <c r="C106" s="18" t="s">
        <v>83</v>
      </c>
      <c r="D106" s="18" t="s">
        <v>84</v>
      </c>
      <c r="E106" s="18" t="s">
        <v>238</v>
      </c>
      <c r="F106" s="17"/>
      <c r="G106" s="18">
        <v>9980</v>
      </c>
      <c r="H106" s="18">
        <v>1</v>
      </c>
      <c r="I106" s="18">
        <v>9980</v>
      </c>
      <c r="J106" s="18">
        <v>1</v>
      </c>
      <c r="K106" s="1">
        <f t="shared" si="4"/>
        <v>1497</v>
      </c>
      <c r="L106" s="6">
        <v>6490</v>
      </c>
      <c r="M106" s="6">
        <f t="shared" si="5"/>
        <v>6490</v>
      </c>
      <c r="N106" s="6">
        <f t="shared" si="6"/>
        <v>1993</v>
      </c>
      <c r="O106" s="8">
        <f t="shared" si="7"/>
        <v>0.19969939879759518</v>
      </c>
    </row>
    <row r="107" spans="1:15" ht="17" customHeight="1">
      <c r="A107" s="16" t="s">
        <v>81</v>
      </c>
      <c r="B107" s="18" t="s">
        <v>1617</v>
      </c>
      <c r="C107" s="18" t="s">
        <v>83</v>
      </c>
      <c r="D107" s="18" t="s">
        <v>84</v>
      </c>
      <c r="E107" s="18" t="s">
        <v>1618</v>
      </c>
      <c r="F107" s="17"/>
      <c r="G107" s="18">
        <v>9980</v>
      </c>
      <c r="H107" s="18">
        <v>1</v>
      </c>
      <c r="I107" s="18">
        <v>9980</v>
      </c>
      <c r="J107" s="18">
        <v>1</v>
      </c>
      <c r="K107" s="1">
        <f t="shared" si="4"/>
        <v>1497</v>
      </c>
      <c r="L107" s="6">
        <v>6490</v>
      </c>
      <c r="M107" s="6">
        <f t="shared" si="5"/>
        <v>6490</v>
      </c>
      <c r="N107" s="6">
        <f t="shared" si="6"/>
        <v>1993</v>
      </c>
      <c r="O107" s="8">
        <f t="shared" si="7"/>
        <v>0.19969939879759518</v>
      </c>
    </row>
    <row r="108" spans="1:15" ht="17" customHeight="1">
      <c r="A108" s="16" t="s">
        <v>1619</v>
      </c>
      <c r="B108" s="17"/>
      <c r="C108" s="18" t="s">
        <v>1620</v>
      </c>
      <c r="D108" s="18" t="s">
        <v>1621</v>
      </c>
      <c r="E108" s="17"/>
      <c r="F108" s="17"/>
      <c r="G108" s="18">
        <v>1980</v>
      </c>
      <c r="H108" s="18">
        <v>5</v>
      </c>
      <c r="I108" s="18">
        <v>9900</v>
      </c>
      <c r="J108" s="18">
        <v>5</v>
      </c>
      <c r="K108" s="1">
        <f t="shared" si="4"/>
        <v>1485</v>
      </c>
      <c r="L108" s="6">
        <v>836</v>
      </c>
      <c r="M108" s="6">
        <f t="shared" si="5"/>
        <v>4180</v>
      </c>
      <c r="N108" s="6">
        <f t="shared" si="6"/>
        <v>4235</v>
      </c>
      <c r="O108" s="8">
        <f t="shared" si="7"/>
        <v>0.42777777777777776</v>
      </c>
    </row>
    <row r="109" spans="1:15" ht="17" customHeight="1">
      <c r="A109" s="16" t="s">
        <v>1031</v>
      </c>
      <c r="B109" s="17"/>
      <c r="C109" s="18" t="s">
        <v>1032</v>
      </c>
      <c r="D109" s="18" t="s">
        <v>1033</v>
      </c>
      <c r="E109" s="17"/>
      <c r="F109" s="17"/>
      <c r="G109" s="18">
        <v>1080</v>
      </c>
      <c r="H109" s="18">
        <v>9</v>
      </c>
      <c r="I109" s="18">
        <v>9720</v>
      </c>
      <c r="J109" s="18">
        <v>5</v>
      </c>
      <c r="K109" s="1">
        <f t="shared" si="4"/>
        <v>1458</v>
      </c>
      <c r="L109" s="6">
        <v>253</v>
      </c>
      <c r="M109" s="6">
        <f t="shared" si="5"/>
        <v>2277</v>
      </c>
      <c r="N109" s="6">
        <f t="shared" si="6"/>
        <v>5985</v>
      </c>
      <c r="O109" s="8">
        <f t="shared" si="7"/>
        <v>0.6157407407407407</v>
      </c>
    </row>
    <row r="110" spans="1:15" ht="17" customHeight="1">
      <c r="A110" s="16" t="s">
        <v>1622</v>
      </c>
      <c r="B110" s="17"/>
      <c r="C110" s="18" t="s">
        <v>1623</v>
      </c>
      <c r="D110" s="18" t="s">
        <v>1624</v>
      </c>
      <c r="E110" s="17"/>
      <c r="F110" s="17"/>
      <c r="G110" s="18">
        <v>9500</v>
      </c>
      <c r="H110" s="18">
        <v>1</v>
      </c>
      <c r="I110" s="18">
        <v>9500</v>
      </c>
      <c r="J110" s="18">
        <v>1</v>
      </c>
      <c r="K110" s="1">
        <f t="shared" si="4"/>
        <v>1425</v>
      </c>
      <c r="L110" s="6">
        <v>10947</v>
      </c>
      <c r="M110" s="6">
        <f t="shared" si="5"/>
        <v>10947</v>
      </c>
      <c r="N110" s="6">
        <f t="shared" si="6"/>
        <v>-2872</v>
      </c>
      <c r="O110" s="8">
        <f t="shared" si="7"/>
        <v>-0.3023157894736842</v>
      </c>
    </row>
    <row r="111" spans="1:15" ht="17" customHeight="1">
      <c r="A111" s="16" t="s">
        <v>1022</v>
      </c>
      <c r="B111" s="18" t="s">
        <v>1311</v>
      </c>
      <c r="C111" s="18" t="s">
        <v>1024</v>
      </c>
      <c r="D111" s="18" t="s">
        <v>1025</v>
      </c>
      <c r="E111" s="18" t="s">
        <v>1312</v>
      </c>
      <c r="F111" s="17"/>
      <c r="G111" s="18">
        <v>1880</v>
      </c>
      <c r="H111" s="18">
        <v>5</v>
      </c>
      <c r="I111" s="18">
        <v>9400</v>
      </c>
      <c r="J111" s="18">
        <v>3</v>
      </c>
      <c r="K111" s="1">
        <f t="shared" si="4"/>
        <v>1410</v>
      </c>
      <c r="L111" s="6">
        <v>218</v>
      </c>
      <c r="M111" s="6">
        <f t="shared" si="5"/>
        <v>1090</v>
      </c>
      <c r="N111" s="6">
        <f t="shared" si="6"/>
        <v>6900</v>
      </c>
      <c r="O111" s="8">
        <f t="shared" si="7"/>
        <v>0.73404255319148937</v>
      </c>
    </row>
    <row r="112" spans="1:15" ht="17" customHeight="1">
      <c r="A112" s="16" t="s">
        <v>1625</v>
      </c>
      <c r="B112" s="17"/>
      <c r="C112" s="18" t="s">
        <v>1626</v>
      </c>
      <c r="D112" s="18">
        <v>6980</v>
      </c>
      <c r="E112" s="17"/>
      <c r="F112" s="17"/>
      <c r="G112" s="18">
        <v>9380</v>
      </c>
      <c r="H112" s="18">
        <v>1</v>
      </c>
      <c r="I112" s="18">
        <v>9380</v>
      </c>
      <c r="J112" s="18">
        <v>1</v>
      </c>
      <c r="K112" s="1">
        <f t="shared" si="4"/>
        <v>1407</v>
      </c>
      <c r="L112" s="6">
        <v>6980</v>
      </c>
      <c r="M112" s="6">
        <f t="shared" si="5"/>
        <v>6980</v>
      </c>
      <c r="N112" s="6">
        <f t="shared" si="6"/>
        <v>993</v>
      </c>
      <c r="O112" s="8">
        <f t="shared" si="7"/>
        <v>0.105863539445629</v>
      </c>
    </row>
    <row r="113" spans="1:15" ht="17" customHeight="1">
      <c r="A113" s="16" t="s">
        <v>1511</v>
      </c>
      <c r="B113" s="18" t="s">
        <v>212</v>
      </c>
      <c r="C113" s="18" t="s">
        <v>54</v>
      </c>
      <c r="D113" s="18" t="s">
        <v>55</v>
      </c>
      <c r="E113" s="18" t="s">
        <v>266</v>
      </c>
      <c r="F113" s="17"/>
      <c r="G113" s="18">
        <v>8990</v>
      </c>
      <c r="H113" s="18">
        <v>1</v>
      </c>
      <c r="I113" s="18">
        <v>8990</v>
      </c>
      <c r="J113" s="18">
        <v>1</v>
      </c>
      <c r="K113" s="1">
        <f t="shared" si="4"/>
        <v>1348.5</v>
      </c>
      <c r="L113" s="6">
        <v>6390</v>
      </c>
      <c r="M113" s="6">
        <f t="shared" si="5"/>
        <v>6390</v>
      </c>
      <c r="N113" s="6">
        <f t="shared" si="6"/>
        <v>1251.5</v>
      </c>
      <c r="O113" s="8">
        <f t="shared" si="7"/>
        <v>0.13921023359288098</v>
      </c>
    </row>
    <row r="114" spans="1:15" ht="17" customHeight="1">
      <c r="A114" s="16" t="s">
        <v>257</v>
      </c>
      <c r="B114" s="18" t="s">
        <v>258</v>
      </c>
      <c r="C114" s="18">
        <v>4550391046508</v>
      </c>
      <c r="D114" s="18" t="s">
        <v>1627</v>
      </c>
      <c r="E114" s="18" t="s">
        <v>260</v>
      </c>
      <c r="F114" s="17"/>
      <c r="G114" s="18">
        <v>2980</v>
      </c>
      <c r="H114" s="18">
        <v>3</v>
      </c>
      <c r="I114" s="18">
        <v>8940</v>
      </c>
      <c r="J114" s="18">
        <v>3</v>
      </c>
      <c r="K114" s="1">
        <f t="shared" si="4"/>
        <v>1341</v>
      </c>
      <c r="L114" s="6">
        <v>1130</v>
      </c>
      <c r="M114" s="6">
        <f t="shared" si="5"/>
        <v>3390</v>
      </c>
      <c r="N114" s="6">
        <f t="shared" si="6"/>
        <v>4209</v>
      </c>
      <c r="O114" s="8">
        <f t="shared" si="7"/>
        <v>0.4708053691275168</v>
      </c>
    </row>
    <row r="115" spans="1:15" ht="17" customHeight="1">
      <c r="A115" s="16" t="s">
        <v>399</v>
      </c>
      <c r="B115" s="17"/>
      <c r="C115" s="18" t="s">
        <v>400</v>
      </c>
      <c r="D115" s="18" t="s">
        <v>1628</v>
      </c>
      <c r="E115" s="17"/>
      <c r="F115" s="17"/>
      <c r="G115" s="18">
        <v>2980</v>
      </c>
      <c r="H115" s="18">
        <v>3</v>
      </c>
      <c r="I115" s="18">
        <v>8940</v>
      </c>
      <c r="J115" s="18">
        <v>3</v>
      </c>
      <c r="K115" s="1">
        <f t="shared" si="4"/>
        <v>1341</v>
      </c>
      <c r="L115" s="6">
        <v>850</v>
      </c>
      <c r="M115" s="6">
        <f t="shared" si="5"/>
        <v>2550</v>
      </c>
      <c r="N115" s="6">
        <f t="shared" si="6"/>
        <v>5049</v>
      </c>
      <c r="O115" s="8">
        <f t="shared" si="7"/>
        <v>0.56476510067114094</v>
      </c>
    </row>
    <row r="116" spans="1:15" ht="17" customHeight="1">
      <c r="A116" s="16" t="s">
        <v>1629</v>
      </c>
      <c r="B116" s="17"/>
      <c r="C116" s="18" t="s">
        <v>388</v>
      </c>
      <c r="D116" s="18" t="s">
        <v>1284</v>
      </c>
      <c r="E116" s="17"/>
      <c r="F116" s="17"/>
      <c r="G116" s="18">
        <v>2980</v>
      </c>
      <c r="H116" s="18">
        <v>3</v>
      </c>
      <c r="I116" s="18">
        <v>8940</v>
      </c>
      <c r="J116" s="18">
        <v>3</v>
      </c>
      <c r="K116" s="1">
        <f t="shared" si="4"/>
        <v>1341</v>
      </c>
      <c r="L116" s="6">
        <v>1856</v>
      </c>
      <c r="M116" s="6">
        <f t="shared" si="5"/>
        <v>5568</v>
      </c>
      <c r="N116" s="6">
        <f t="shared" si="6"/>
        <v>2031</v>
      </c>
      <c r="O116" s="8">
        <f t="shared" si="7"/>
        <v>0.22718120805369127</v>
      </c>
    </row>
    <row r="117" spans="1:15" ht="17" customHeight="1">
      <c r="A117" s="16" t="s">
        <v>261</v>
      </c>
      <c r="B117" s="17"/>
      <c r="C117" s="18" t="s">
        <v>262</v>
      </c>
      <c r="D117" s="18">
        <v>1980</v>
      </c>
      <c r="E117" s="17"/>
      <c r="F117" s="17"/>
      <c r="G117" s="18">
        <v>2980</v>
      </c>
      <c r="H117" s="18">
        <v>3</v>
      </c>
      <c r="I117" s="18">
        <v>8940</v>
      </c>
      <c r="J117" s="18">
        <v>3</v>
      </c>
      <c r="K117" s="1">
        <f t="shared" si="4"/>
        <v>1341</v>
      </c>
      <c r="L117" s="6">
        <v>1980</v>
      </c>
      <c r="M117" s="6">
        <f t="shared" si="5"/>
        <v>5940</v>
      </c>
      <c r="N117" s="6">
        <f t="shared" si="6"/>
        <v>1659</v>
      </c>
      <c r="O117" s="8">
        <f t="shared" si="7"/>
        <v>0.18557046979865771</v>
      </c>
    </row>
    <row r="118" spans="1:15" ht="17" customHeight="1">
      <c r="A118" s="16" t="s">
        <v>1630</v>
      </c>
      <c r="B118" s="17"/>
      <c r="C118" s="18" t="s">
        <v>1631</v>
      </c>
      <c r="D118" s="18" t="s">
        <v>1632</v>
      </c>
      <c r="E118" s="17"/>
      <c r="F118" s="17"/>
      <c r="G118" s="18">
        <v>2980</v>
      </c>
      <c r="H118" s="18">
        <v>3</v>
      </c>
      <c r="I118" s="18">
        <v>8940</v>
      </c>
      <c r="J118" s="18">
        <v>1</v>
      </c>
      <c r="K118" s="1">
        <f t="shared" si="4"/>
        <v>1341</v>
      </c>
      <c r="L118" s="6">
        <v>1725</v>
      </c>
      <c r="M118" s="6">
        <f t="shared" si="5"/>
        <v>5175</v>
      </c>
      <c r="N118" s="6">
        <f t="shared" si="6"/>
        <v>2424</v>
      </c>
      <c r="O118" s="8">
        <f t="shared" si="7"/>
        <v>0.27114093959731544</v>
      </c>
    </row>
    <row r="119" spans="1:15" ht="17" customHeight="1">
      <c r="A119" s="16" t="s">
        <v>1300</v>
      </c>
      <c r="B119" s="17"/>
      <c r="C119" s="18" t="s">
        <v>1301</v>
      </c>
      <c r="D119" s="18" t="s">
        <v>1302</v>
      </c>
      <c r="E119" s="17"/>
      <c r="F119" s="17"/>
      <c r="G119" s="18">
        <v>2980</v>
      </c>
      <c r="H119" s="18">
        <v>3</v>
      </c>
      <c r="I119" s="18">
        <v>8940</v>
      </c>
      <c r="J119" s="18">
        <v>1</v>
      </c>
      <c r="K119" s="1">
        <f t="shared" si="4"/>
        <v>1341</v>
      </c>
      <c r="L119" s="6">
        <v>1540</v>
      </c>
      <c r="M119" s="6">
        <f t="shared" si="5"/>
        <v>4620</v>
      </c>
      <c r="N119" s="6">
        <f t="shared" si="6"/>
        <v>2979</v>
      </c>
      <c r="O119" s="8">
        <f t="shared" si="7"/>
        <v>0.33322147651006712</v>
      </c>
    </row>
    <row r="120" spans="1:15" ht="17" customHeight="1">
      <c r="A120" s="20" t="s">
        <v>1305</v>
      </c>
      <c r="B120" s="17"/>
      <c r="C120" s="18" t="s">
        <v>1306</v>
      </c>
      <c r="D120" s="18" t="s">
        <v>1307</v>
      </c>
      <c r="E120" s="17"/>
      <c r="F120" s="17"/>
      <c r="G120" s="18">
        <v>2980</v>
      </c>
      <c r="H120" s="18">
        <v>3</v>
      </c>
      <c r="I120" s="18">
        <v>8940</v>
      </c>
      <c r="J120" s="18">
        <v>3</v>
      </c>
      <c r="K120" s="1">
        <f t="shared" si="4"/>
        <v>1341</v>
      </c>
      <c r="L120" s="6">
        <v>574</v>
      </c>
      <c r="M120" s="6">
        <f t="shared" si="5"/>
        <v>1722</v>
      </c>
      <c r="N120" s="6">
        <f t="shared" si="6"/>
        <v>5877</v>
      </c>
      <c r="O120" s="8">
        <f t="shared" si="7"/>
        <v>0.65738255033557047</v>
      </c>
    </row>
    <row r="121" spans="1:15" ht="17" customHeight="1">
      <c r="A121" s="16" t="s">
        <v>1633</v>
      </c>
      <c r="B121" s="17"/>
      <c r="C121" s="18" t="s">
        <v>641</v>
      </c>
      <c r="D121" s="18" t="s">
        <v>642</v>
      </c>
      <c r="E121" s="17"/>
      <c r="F121" s="17"/>
      <c r="G121" s="18">
        <v>2780</v>
      </c>
      <c r="H121" s="18">
        <v>3</v>
      </c>
      <c r="I121" s="18">
        <v>8340</v>
      </c>
      <c r="J121" s="18">
        <v>2</v>
      </c>
      <c r="K121" s="1">
        <f t="shared" si="4"/>
        <v>1251</v>
      </c>
      <c r="L121" s="6">
        <v>1633</v>
      </c>
      <c r="M121" s="6">
        <f t="shared" si="5"/>
        <v>4899</v>
      </c>
      <c r="N121" s="6">
        <f t="shared" si="6"/>
        <v>2190</v>
      </c>
      <c r="O121" s="8">
        <f t="shared" si="7"/>
        <v>0.26258992805755393</v>
      </c>
    </row>
    <row r="122" spans="1:15" ht="17" customHeight="1">
      <c r="A122" s="16" t="s">
        <v>1634</v>
      </c>
      <c r="B122" s="18" t="s">
        <v>133</v>
      </c>
      <c r="C122" s="18" t="s">
        <v>229</v>
      </c>
      <c r="D122" s="18" t="s">
        <v>983</v>
      </c>
      <c r="E122" s="18" t="s">
        <v>449</v>
      </c>
      <c r="F122" s="17"/>
      <c r="G122" s="18">
        <v>1380</v>
      </c>
      <c r="H122" s="18">
        <v>6</v>
      </c>
      <c r="I122" s="18">
        <v>8280</v>
      </c>
      <c r="J122" s="18">
        <v>5</v>
      </c>
      <c r="K122" s="1">
        <f t="shared" si="4"/>
        <v>1242</v>
      </c>
      <c r="L122" s="6">
        <v>504</v>
      </c>
      <c r="M122" s="6">
        <f t="shared" si="5"/>
        <v>3024</v>
      </c>
      <c r="N122" s="6">
        <f t="shared" si="6"/>
        <v>4014</v>
      </c>
      <c r="O122" s="8">
        <f t="shared" si="7"/>
        <v>0.48478260869565215</v>
      </c>
    </row>
    <row r="123" spans="1:15" ht="17" customHeight="1">
      <c r="A123" s="16" t="s">
        <v>1146</v>
      </c>
      <c r="B123" s="17"/>
      <c r="C123" s="18" t="s">
        <v>836</v>
      </c>
      <c r="D123" s="18" t="s">
        <v>1147</v>
      </c>
      <c r="E123" s="17"/>
      <c r="F123" s="17"/>
      <c r="G123" s="18">
        <v>999</v>
      </c>
      <c r="H123" s="18">
        <v>8</v>
      </c>
      <c r="I123" s="18">
        <v>7992</v>
      </c>
      <c r="J123" s="18">
        <v>6</v>
      </c>
      <c r="K123" s="1">
        <f t="shared" si="4"/>
        <v>1198.8</v>
      </c>
      <c r="L123" s="6">
        <v>244</v>
      </c>
      <c r="M123" s="6">
        <f t="shared" si="5"/>
        <v>1952</v>
      </c>
      <c r="N123" s="6">
        <f t="shared" si="6"/>
        <v>4841.2</v>
      </c>
      <c r="O123" s="8">
        <f t="shared" si="7"/>
        <v>0.60575575575575569</v>
      </c>
    </row>
    <row r="124" spans="1:15" ht="17" customHeight="1">
      <c r="A124" s="16" t="s">
        <v>125</v>
      </c>
      <c r="B124" s="17"/>
      <c r="C124" s="18" t="s">
        <v>126</v>
      </c>
      <c r="D124" s="18" t="s">
        <v>1194</v>
      </c>
      <c r="E124" s="17"/>
      <c r="F124" s="17"/>
      <c r="G124" s="18">
        <v>3980</v>
      </c>
      <c r="H124" s="18">
        <v>2</v>
      </c>
      <c r="I124" s="18">
        <v>7960</v>
      </c>
      <c r="J124" s="18">
        <v>2</v>
      </c>
      <c r="K124" s="1">
        <f t="shared" si="4"/>
        <v>1194</v>
      </c>
      <c r="L124" s="6">
        <v>1978</v>
      </c>
      <c r="M124" s="6">
        <f t="shared" si="5"/>
        <v>3956</v>
      </c>
      <c r="N124" s="6">
        <f t="shared" si="6"/>
        <v>2810</v>
      </c>
      <c r="O124" s="8">
        <f t="shared" si="7"/>
        <v>0.35301507537688442</v>
      </c>
    </row>
    <row r="125" spans="1:15" ht="17" customHeight="1">
      <c r="A125" s="16" t="s">
        <v>1195</v>
      </c>
      <c r="B125" s="17"/>
      <c r="C125" s="18" t="s">
        <v>1196</v>
      </c>
      <c r="D125" s="18" t="s">
        <v>1197</v>
      </c>
      <c r="E125" s="17"/>
      <c r="F125" s="17"/>
      <c r="G125" s="18">
        <v>3980</v>
      </c>
      <c r="H125" s="18">
        <v>2</v>
      </c>
      <c r="I125" s="18">
        <v>7960</v>
      </c>
      <c r="J125" s="18">
        <v>2</v>
      </c>
      <c r="K125" s="1">
        <f t="shared" si="4"/>
        <v>1194</v>
      </c>
      <c r="L125" s="6">
        <v>1998</v>
      </c>
      <c r="M125" s="6">
        <f t="shared" si="5"/>
        <v>3996</v>
      </c>
      <c r="N125" s="6">
        <f t="shared" si="6"/>
        <v>2770</v>
      </c>
      <c r="O125" s="8">
        <f t="shared" si="7"/>
        <v>0.3479899497487437</v>
      </c>
    </row>
    <row r="126" spans="1:15" ht="17" customHeight="1">
      <c r="A126" s="16" t="s">
        <v>1565</v>
      </c>
      <c r="B126" s="18" t="s">
        <v>1635</v>
      </c>
      <c r="C126" s="18" t="s">
        <v>1205</v>
      </c>
      <c r="D126" s="18" t="s">
        <v>1206</v>
      </c>
      <c r="E126" s="18" t="s">
        <v>1636</v>
      </c>
      <c r="F126" s="17"/>
      <c r="G126" s="18">
        <v>3980</v>
      </c>
      <c r="H126" s="18">
        <v>2</v>
      </c>
      <c r="I126" s="18">
        <v>7960</v>
      </c>
      <c r="J126" s="18">
        <v>2</v>
      </c>
      <c r="K126" s="1">
        <f t="shared" si="4"/>
        <v>1194</v>
      </c>
      <c r="L126" s="6">
        <v>1014</v>
      </c>
      <c r="M126" s="6">
        <f t="shared" si="5"/>
        <v>2028</v>
      </c>
      <c r="N126" s="6">
        <f t="shared" si="6"/>
        <v>4738</v>
      </c>
      <c r="O126" s="8">
        <f t="shared" si="7"/>
        <v>0.59522613065326635</v>
      </c>
    </row>
    <row r="127" spans="1:15" ht="17" customHeight="1">
      <c r="A127" s="16" t="s">
        <v>310</v>
      </c>
      <c r="B127" s="17"/>
      <c r="C127" s="18" t="s">
        <v>311</v>
      </c>
      <c r="D127" s="18" t="s">
        <v>312</v>
      </c>
      <c r="E127" s="17"/>
      <c r="F127" s="17"/>
      <c r="G127" s="18">
        <v>3980</v>
      </c>
      <c r="H127" s="18">
        <v>2</v>
      </c>
      <c r="I127" s="18">
        <v>7960</v>
      </c>
      <c r="J127" s="18">
        <v>2</v>
      </c>
      <c r="K127" s="1">
        <f t="shared" si="4"/>
        <v>1194</v>
      </c>
      <c r="L127" s="6">
        <v>1998</v>
      </c>
      <c r="M127" s="6">
        <f t="shared" si="5"/>
        <v>3996</v>
      </c>
      <c r="N127" s="6">
        <f t="shared" si="6"/>
        <v>2770</v>
      </c>
      <c r="O127" s="8">
        <f t="shared" si="7"/>
        <v>0.3479899497487437</v>
      </c>
    </row>
    <row r="128" spans="1:15" ht="17" customHeight="1">
      <c r="A128" s="16" t="s">
        <v>1637</v>
      </c>
      <c r="B128" s="18" t="s">
        <v>1638</v>
      </c>
      <c r="C128" s="18" t="s">
        <v>1639</v>
      </c>
      <c r="D128" s="18" t="s">
        <v>1640</v>
      </c>
      <c r="E128" s="18" t="s">
        <v>1641</v>
      </c>
      <c r="F128" s="17"/>
      <c r="G128" s="18">
        <v>3980</v>
      </c>
      <c r="H128" s="18">
        <v>2</v>
      </c>
      <c r="I128" s="18">
        <v>7960</v>
      </c>
      <c r="J128" s="18">
        <v>2</v>
      </c>
      <c r="K128" s="1">
        <f t="shared" si="4"/>
        <v>1194</v>
      </c>
      <c r="L128" s="6">
        <v>1133</v>
      </c>
      <c r="M128" s="6">
        <f t="shared" si="5"/>
        <v>2266</v>
      </c>
      <c r="N128" s="6">
        <f t="shared" si="6"/>
        <v>4500</v>
      </c>
      <c r="O128" s="8">
        <f t="shared" si="7"/>
        <v>0.5653266331658291</v>
      </c>
    </row>
    <row r="129" spans="1:15" ht="17" customHeight="1">
      <c r="A129" s="16" t="s">
        <v>1565</v>
      </c>
      <c r="B129" s="18" t="s">
        <v>959</v>
      </c>
      <c r="C129" s="18" t="s">
        <v>1205</v>
      </c>
      <c r="D129" s="18" t="s">
        <v>1206</v>
      </c>
      <c r="E129" s="18" t="s">
        <v>1207</v>
      </c>
      <c r="F129" s="17"/>
      <c r="G129" s="18">
        <v>3980</v>
      </c>
      <c r="H129" s="18">
        <v>2</v>
      </c>
      <c r="I129" s="18">
        <v>7960</v>
      </c>
      <c r="J129" s="18">
        <v>2</v>
      </c>
      <c r="K129" s="1">
        <f t="shared" si="4"/>
        <v>1194</v>
      </c>
      <c r="L129" s="6">
        <v>1014</v>
      </c>
      <c r="M129" s="6">
        <f t="shared" si="5"/>
        <v>2028</v>
      </c>
      <c r="N129" s="6">
        <f t="shared" si="6"/>
        <v>4738</v>
      </c>
      <c r="O129" s="8">
        <f t="shared" si="7"/>
        <v>0.59522613065326635</v>
      </c>
    </row>
    <row r="130" spans="1:15" ht="17" customHeight="1">
      <c r="A130" s="16" t="s">
        <v>635</v>
      </c>
      <c r="B130" s="18" t="s">
        <v>636</v>
      </c>
      <c r="C130" s="18" t="s">
        <v>637</v>
      </c>
      <c r="D130" s="18" t="s">
        <v>638</v>
      </c>
      <c r="E130" s="18" t="s">
        <v>639</v>
      </c>
      <c r="F130" s="17"/>
      <c r="G130" s="18">
        <v>3980</v>
      </c>
      <c r="H130" s="18">
        <v>2</v>
      </c>
      <c r="I130" s="18">
        <v>7960</v>
      </c>
      <c r="J130" s="18">
        <v>2</v>
      </c>
      <c r="K130" s="1">
        <f t="shared" si="4"/>
        <v>1194</v>
      </c>
      <c r="L130" s="6">
        <v>1014</v>
      </c>
      <c r="M130" s="6">
        <f t="shared" si="5"/>
        <v>2028</v>
      </c>
      <c r="N130" s="6">
        <f t="shared" si="6"/>
        <v>4738</v>
      </c>
      <c r="O130" s="8">
        <f t="shared" si="7"/>
        <v>0.59522613065326635</v>
      </c>
    </row>
    <row r="131" spans="1:15" ht="17" customHeight="1">
      <c r="A131" s="16" t="s">
        <v>995</v>
      </c>
      <c r="B131" s="17"/>
      <c r="C131" s="18" t="s">
        <v>996</v>
      </c>
      <c r="D131" s="18" t="s">
        <v>997</v>
      </c>
      <c r="E131" s="17"/>
      <c r="F131" s="17"/>
      <c r="G131" s="18">
        <v>3980</v>
      </c>
      <c r="H131" s="18">
        <v>2</v>
      </c>
      <c r="I131" s="18">
        <v>7960</v>
      </c>
      <c r="J131" s="18">
        <v>2</v>
      </c>
      <c r="K131" s="1">
        <f t="shared" si="4"/>
        <v>1194</v>
      </c>
      <c r="L131" s="6">
        <v>2550</v>
      </c>
      <c r="M131" s="6">
        <f t="shared" si="5"/>
        <v>5100</v>
      </c>
      <c r="N131" s="6">
        <f t="shared" si="6"/>
        <v>1666</v>
      </c>
      <c r="O131" s="8">
        <f t="shared" si="7"/>
        <v>0.20929648241206031</v>
      </c>
    </row>
    <row r="132" spans="1:15" ht="17" customHeight="1">
      <c r="A132" s="16" t="s">
        <v>1642</v>
      </c>
      <c r="B132" s="17"/>
      <c r="C132" s="18" t="s">
        <v>1643</v>
      </c>
      <c r="D132" s="18" t="s">
        <v>1644</v>
      </c>
      <c r="E132" s="17"/>
      <c r="F132" s="17"/>
      <c r="G132" s="18">
        <v>3980</v>
      </c>
      <c r="H132" s="18">
        <v>2</v>
      </c>
      <c r="I132" s="18">
        <v>7960</v>
      </c>
      <c r="J132" s="18">
        <v>2</v>
      </c>
      <c r="K132" s="1">
        <f t="shared" si="4"/>
        <v>1194</v>
      </c>
      <c r="L132" s="6">
        <v>1956</v>
      </c>
      <c r="M132" s="6">
        <f t="shared" si="5"/>
        <v>3912</v>
      </c>
      <c r="N132" s="6">
        <f t="shared" si="6"/>
        <v>2854</v>
      </c>
      <c r="O132" s="8">
        <f t="shared" si="7"/>
        <v>0.35854271356783918</v>
      </c>
    </row>
    <row r="133" spans="1:15" ht="17" customHeight="1">
      <c r="A133" s="16" t="s">
        <v>1645</v>
      </c>
      <c r="B133" s="17"/>
      <c r="C133" s="18" t="s">
        <v>506</v>
      </c>
      <c r="D133" s="18" t="s">
        <v>1646</v>
      </c>
      <c r="E133" s="17"/>
      <c r="F133" s="17"/>
      <c r="G133" s="18">
        <v>3980</v>
      </c>
      <c r="H133" s="18">
        <v>2</v>
      </c>
      <c r="I133" s="18">
        <v>7960</v>
      </c>
      <c r="J133" s="18">
        <v>2</v>
      </c>
      <c r="K133" s="1">
        <f t="shared" si="4"/>
        <v>1194</v>
      </c>
      <c r="L133" s="6">
        <v>2338</v>
      </c>
      <c r="M133" s="6">
        <f t="shared" si="5"/>
        <v>4676</v>
      </c>
      <c r="N133" s="6">
        <f t="shared" si="6"/>
        <v>2090</v>
      </c>
      <c r="O133" s="8">
        <f t="shared" si="7"/>
        <v>0.26256281407035176</v>
      </c>
    </row>
    <row r="134" spans="1:15" ht="17" customHeight="1">
      <c r="A134" s="16" t="s">
        <v>1378</v>
      </c>
      <c r="B134" s="17"/>
      <c r="C134" s="18" t="s">
        <v>1379</v>
      </c>
      <c r="D134" s="18">
        <v>1040</v>
      </c>
      <c r="E134" s="17"/>
      <c r="F134" s="17"/>
      <c r="G134" s="18">
        <v>1980</v>
      </c>
      <c r="H134" s="18">
        <v>4</v>
      </c>
      <c r="I134" s="18">
        <v>7920</v>
      </c>
      <c r="J134" s="18">
        <v>1</v>
      </c>
      <c r="K134" s="1">
        <f t="shared" si="4"/>
        <v>1188</v>
      </c>
      <c r="L134" s="6">
        <v>1040</v>
      </c>
      <c r="M134" s="6">
        <f t="shared" si="5"/>
        <v>4160</v>
      </c>
      <c r="N134" s="6">
        <f t="shared" si="6"/>
        <v>2572</v>
      </c>
      <c r="O134" s="8">
        <f t="shared" si="7"/>
        <v>0.32474747474747473</v>
      </c>
    </row>
    <row r="135" spans="1:15" ht="17" customHeight="1">
      <c r="A135" s="16" t="s">
        <v>753</v>
      </c>
      <c r="B135" s="17"/>
      <c r="C135" s="18" t="s">
        <v>754</v>
      </c>
      <c r="D135" s="18" t="s">
        <v>1070</v>
      </c>
      <c r="E135" s="17"/>
      <c r="F135" s="17"/>
      <c r="G135" s="18">
        <v>1580</v>
      </c>
      <c r="H135" s="18">
        <v>5</v>
      </c>
      <c r="I135" s="18">
        <v>7900</v>
      </c>
      <c r="J135" s="18">
        <v>1</v>
      </c>
      <c r="K135" s="1">
        <f t="shared" si="4"/>
        <v>1185</v>
      </c>
      <c r="L135" s="6">
        <v>660</v>
      </c>
      <c r="M135" s="6">
        <f t="shared" si="5"/>
        <v>3300</v>
      </c>
      <c r="N135" s="6">
        <f t="shared" si="6"/>
        <v>3415</v>
      </c>
      <c r="O135" s="8">
        <f t="shared" si="7"/>
        <v>0.43227848101265826</v>
      </c>
    </row>
    <row r="136" spans="1:15" ht="17" customHeight="1">
      <c r="A136" s="16" t="s">
        <v>337</v>
      </c>
      <c r="B136" s="18" t="s">
        <v>133</v>
      </c>
      <c r="C136" s="18" t="s">
        <v>338</v>
      </c>
      <c r="D136" s="18" t="s">
        <v>339</v>
      </c>
      <c r="E136" s="18" t="s">
        <v>1647</v>
      </c>
      <c r="F136" s="17"/>
      <c r="G136" s="18">
        <v>7480</v>
      </c>
      <c r="H136" s="18">
        <v>1</v>
      </c>
      <c r="I136" s="18">
        <v>7480</v>
      </c>
      <c r="J136" s="18">
        <v>1</v>
      </c>
      <c r="K136" s="1">
        <f t="shared" ref="K136:K199" si="8">SUM(I136*0.15)</f>
        <v>1122</v>
      </c>
      <c r="L136" s="6">
        <v>4490</v>
      </c>
      <c r="M136" s="6">
        <f t="shared" ref="M136:M199" si="9">SUM(H136*L136)</f>
        <v>4490</v>
      </c>
      <c r="N136" s="6">
        <f t="shared" ref="N136:N199" si="10">SUM(I136-K136-M136)</f>
        <v>1868</v>
      </c>
      <c r="O136" s="8">
        <f t="shared" ref="O136:O199" si="11">IF(I136=0,"",N136/I136)</f>
        <v>0.24973262032085561</v>
      </c>
    </row>
    <row r="137" spans="1:15" ht="17" customHeight="1">
      <c r="A137" s="16" t="s">
        <v>1648</v>
      </c>
      <c r="B137" s="17"/>
      <c r="C137" s="18" t="s">
        <v>1649</v>
      </c>
      <c r="D137" s="18" t="s">
        <v>1650</v>
      </c>
      <c r="E137" s="17"/>
      <c r="F137" s="17"/>
      <c r="G137" s="18">
        <v>2480</v>
      </c>
      <c r="H137" s="18">
        <v>3</v>
      </c>
      <c r="I137" s="18">
        <v>7440</v>
      </c>
      <c r="J137" s="18">
        <v>2</v>
      </c>
      <c r="K137" s="1">
        <f t="shared" si="8"/>
        <v>1116</v>
      </c>
      <c r="L137" s="6">
        <v>1116</v>
      </c>
      <c r="M137" s="6">
        <f t="shared" si="9"/>
        <v>3348</v>
      </c>
      <c r="N137" s="6">
        <f t="shared" si="10"/>
        <v>2976</v>
      </c>
      <c r="O137" s="8">
        <f t="shared" si="11"/>
        <v>0.4</v>
      </c>
    </row>
    <row r="138" spans="1:15" ht="17" customHeight="1">
      <c r="A138" s="16" t="s">
        <v>1242</v>
      </c>
      <c r="B138" s="17"/>
      <c r="C138" s="18" t="s">
        <v>1243</v>
      </c>
      <c r="D138" s="18" t="s">
        <v>1244</v>
      </c>
      <c r="E138" s="17"/>
      <c r="F138" s="17"/>
      <c r="G138" s="18">
        <v>3580</v>
      </c>
      <c r="H138" s="18">
        <v>2</v>
      </c>
      <c r="I138" s="18">
        <v>7160</v>
      </c>
      <c r="J138" s="18">
        <v>2</v>
      </c>
      <c r="K138" s="1">
        <f t="shared" si="8"/>
        <v>1074</v>
      </c>
      <c r="L138" s="6">
        <v>2418</v>
      </c>
      <c r="M138" s="6">
        <f t="shared" si="9"/>
        <v>4836</v>
      </c>
      <c r="N138" s="6">
        <f t="shared" si="10"/>
        <v>1250</v>
      </c>
      <c r="O138" s="8">
        <f t="shared" si="11"/>
        <v>0.17458100558659218</v>
      </c>
    </row>
    <row r="139" spans="1:15" ht="17" customHeight="1">
      <c r="A139" s="16" t="s">
        <v>1467</v>
      </c>
      <c r="B139" s="17"/>
      <c r="C139" s="18" t="s">
        <v>1468</v>
      </c>
      <c r="D139" s="18" t="s">
        <v>1469</v>
      </c>
      <c r="E139" s="17"/>
      <c r="F139" s="17"/>
      <c r="G139" s="18">
        <v>999</v>
      </c>
      <c r="H139" s="18">
        <v>7</v>
      </c>
      <c r="I139" s="18">
        <v>6993</v>
      </c>
      <c r="J139" s="18">
        <v>3</v>
      </c>
      <c r="K139" s="1">
        <f t="shared" si="8"/>
        <v>1048.95</v>
      </c>
      <c r="L139" s="6">
        <v>598</v>
      </c>
      <c r="M139" s="6">
        <f t="shared" si="9"/>
        <v>4186</v>
      </c>
      <c r="N139" s="6">
        <f t="shared" si="10"/>
        <v>1758.0500000000002</v>
      </c>
      <c r="O139" s="8">
        <f t="shared" si="11"/>
        <v>0.25140140140140144</v>
      </c>
    </row>
    <row r="140" spans="1:15" ht="17" customHeight="1">
      <c r="A140" s="16" t="s">
        <v>376</v>
      </c>
      <c r="B140" s="17"/>
      <c r="C140" s="18" t="s">
        <v>377</v>
      </c>
      <c r="D140" s="18" t="s">
        <v>378</v>
      </c>
      <c r="E140" s="17"/>
      <c r="F140" s="17"/>
      <c r="G140" s="18">
        <v>6480</v>
      </c>
      <c r="H140" s="18">
        <v>1</v>
      </c>
      <c r="I140" s="18">
        <v>6480</v>
      </c>
      <c r="J140" s="18">
        <v>1</v>
      </c>
      <c r="K140" s="1">
        <f t="shared" si="8"/>
        <v>972</v>
      </c>
      <c r="L140" s="6">
        <v>2499</v>
      </c>
      <c r="M140" s="6">
        <f t="shared" si="9"/>
        <v>2499</v>
      </c>
      <c r="N140" s="6">
        <f t="shared" si="10"/>
        <v>3009</v>
      </c>
      <c r="O140" s="8">
        <f t="shared" si="11"/>
        <v>0.46435185185185185</v>
      </c>
    </row>
    <row r="141" spans="1:15" ht="17" customHeight="1">
      <c r="A141" s="16" t="s">
        <v>1651</v>
      </c>
      <c r="B141" s="17"/>
      <c r="C141" s="18" t="s">
        <v>1652</v>
      </c>
      <c r="D141" s="18" t="s">
        <v>1653</v>
      </c>
      <c r="E141" s="17"/>
      <c r="F141" s="17"/>
      <c r="G141" s="18">
        <v>1280</v>
      </c>
      <c r="H141" s="18">
        <v>5</v>
      </c>
      <c r="I141" s="18">
        <v>6400</v>
      </c>
      <c r="J141" s="18">
        <v>1</v>
      </c>
      <c r="K141" s="1">
        <f t="shared" si="8"/>
        <v>960</v>
      </c>
      <c r="L141" s="6">
        <v>383</v>
      </c>
      <c r="M141" s="6">
        <f t="shared" si="9"/>
        <v>1915</v>
      </c>
      <c r="N141" s="6">
        <f t="shared" si="10"/>
        <v>3525</v>
      </c>
      <c r="O141" s="8">
        <f t="shared" si="11"/>
        <v>0.55078125</v>
      </c>
    </row>
    <row r="142" spans="1:15" ht="17" customHeight="1">
      <c r="A142" s="16" t="s">
        <v>1654</v>
      </c>
      <c r="B142" s="17"/>
      <c r="C142" s="18" t="s">
        <v>1017</v>
      </c>
      <c r="D142" s="18" t="s">
        <v>1018</v>
      </c>
      <c r="E142" s="17"/>
      <c r="F142" s="17"/>
      <c r="G142" s="18">
        <v>698</v>
      </c>
      <c r="H142" s="18">
        <v>9</v>
      </c>
      <c r="I142" s="18">
        <v>6282</v>
      </c>
      <c r="J142" s="18">
        <v>4</v>
      </c>
      <c r="K142" s="1">
        <f t="shared" si="8"/>
        <v>942.3</v>
      </c>
      <c r="L142" s="6">
        <v>670</v>
      </c>
      <c r="M142" s="6">
        <f t="shared" si="9"/>
        <v>6030</v>
      </c>
      <c r="N142" s="6">
        <f t="shared" si="10"/>
        <v>-690.30000000000018</v>
      </c>
      <c r="O142" s="8">
        <f t="shared" si="11"/>
        <v>-0.10988538681948427</v>
      </c>
    </row>
    <row r="143" spans="1:15" ht="17" customHeight="1">
      <c r="A143" s="16" t="s">
        <v>1655</v>
      </c>
      <c r="B143" s="17"/>
      <c r="C143" s="18" t="s">
        <v>1656</v>
      </c>
      <c r="D143" s="18" t="s">
        <v>1657</v>
      </c>
      <c r="E143" s="17"/>
      <c r="F143" s="17"/>
      <c r="G143" s="18">
        <v>999</v>
      </c>
      <c r="H143" s="18">
        <v>6</v>
      </c>
      <c r="I143" s="18">
        <v>5994</v>
      </c>
      <c r="J143" s="18">
        <v>1</v>
      </c>
      <c r="K143" s="1">
        <f t="shared" si="8"/>
        <v>899.1</v>
      </c>
      <c r="L143" s="6">
        <v>730</v>
      </c>
      <c r="M143" s="6">
        <f t="shared" si="9"/>
        <v>4380</v>
      </c>
      <c r="N143" s="6">
        <f t="shared" si="10"/>
        <v>714.89999999999964</v>
      </c>
      <c r="O143" s="8">
        <f t="shared" si="11"/>
        <v>0.11926926926926922</v>
      </c>
    </row>
    <row r="144" spans="1:15" ht="17" customHeight="1">
      <c r="A144" s="16" t="s">
        <v>1658</v>
      </c>
      <c r="B144" s="17"/>
      <c r="C144" s="18" t="s">
        <v>1659</v>
      </c>
      <c r="D144" s="18" t="s">
        <v>1660</v>
      </c>
      <c r="E144" s="17"/>
      <c r="F144" s="17"/>
      <c r="G144" s="18">
        <v>5980</v>
      </c>
      <c r="H144" s="18">
        <v>1</v>
      </c>
      <c r="I144" s="18">
        <v>5980</v>
      </c>
      <c r="J144" s="18">
        <v>1</v>
      </c>
      <c r="K144" s="1">
        <f t="shared" si="8"/>
        <v>897</v>
      </c>
      <c r="L144" s="6">
        <v>2990</v>
      </c>
      <c r="M144" s="6">
        <f t="shared" si="9"/>
        <v>2990</v>
      </c>
      <c r="N144" s="6">
        <f t="shared" si="10"/>
        <v>2093</v>
      </c>
      <c r="O144" s="8">
        <f t="shared" si="11"/>
        <v>0.35</v>
      </c>
    </row>
    <row r="145" spans="1:15" ht="17" customHeight="1">
      <c r="A145" s="16" t="s">
        <v>489</v>
      </c>
      <c r="B145" s="17"/>
      <c r="C145" s="18">
        <v>4550391012541</v>
      </c>
      <c r="D145" s="27">
        <v>2.5412558256525699E+23</v>
      </c>
      <c r="E145" s="17"/>
      <c r="F145" s="17"/>
      <c r="G145" s="18">
        <v>5980</v>
      </c>
      <c r="H145" s="18">
        <v>1</v>
      </c>
      <c r="I145" s="18">
        <v>5980</v>
      </c>
      <c r="J145" s="18">
        <v>1</v>
      </c>
      <c r="K145" s="1">
        <f t="shared" si="8"/>
        <v>897</v>
      </c>
      <c r="L145" s="6">
        <v>1530</v>
      </c>
      <c r="M145" s="6">
        <f t="shared" si="9"/>
        <v>1530</v>
      </c>
      <c r="N145" s="6">
        <f t="shared" si="10"/>
        <v>3553</v>
      </c>
      <c r="O145" s="8">
        <f t="shared" si="11"/>
        <v>0.59414715719063549</v>
      </c>
    </row>
    <row r="146" spans="1:15" ht="17" customHeight="1">
      <c r="A146" s="16" t="s">
        <v>1103</v>
      </c>
      <c r="B146" s="18" t="s">
        <v>1104</v>
      </c>
      <c r="C146" s="18" t="s">
        <v>1105</v>
      </c>
      <c r="D146" s="18" t="s">
        <v>1106</v>
      </c>
      <c r="E146" s="18" t="s">
        <v>1107</v>
      </c>
      <c r="F146" s="17"/>
      <c r="G146" s="18">
        <v>5980</v>
      </c>
      <c r="H146" s="18">
        <v>1</v>
      </c>
      <c r="I146" s="18">
        <v>5980</v>
      </c>
      <c r="J146" s="18">
        <v>1</v>
      </c>
      <c r="K146" s="1">
        <f t="shared" si="8"/>
        <v>897</v>
      </c>
      <c r="L146" s="6">
        <v>2980</v>
      </c>
      <c r="M146" s="6">
        <f t="shared" si="9"/>
        <v>2980</v>
      </c>
      <c r="N146" s="6">
        <f t="shared" si="10"/>
        <v>2103</v>
      </c>
      <c r="O146" s="8">
        <f t="shared" si="11"/>
        <v>0.35167224080267556</v>
      </c>
    </row>
    <row r="147" spans="1:15" ht="17" customHeight="1">
      <c r="A147" s="16" t="s">
        <v>1661</v>
      </c>
      <c r="B147" s="17"/>
      <c r="C147" s="18" t="s">
        <v>1662</v>
      </c>
      <c r="D147" s="18" t="s">
        <v>1663</v>
      </c>
      <c r="E147" s="17"/>
      <c r="F147" s="17"/>
      <c r="G147" s="18">
        <v>5980</v>
      </c>
      <c r="H147" s="18">
        <v>1</v>
      </c>
      <c r="I147" s="18">
        <v>5980</v>
      </c>
      <c r="J147" s="18">
        <v>1</v>
      </c>
      <c r="K147" s="1">
        <f t="shared" si="8"/>
        <v>897</v>
      </c>
      <c r="L147" s="6">
        <v>2396</v>
      </c>
      <c r="M147" s="6">
        <f t="shared" si="9"/>
        <v>2396</v>
      </c>
      <c r="N147" s="6">
        <f t="shared" si="10"/>
        <v>2687</v>
      </c>
      <c r="O147" s="8">
        <f t="shared" si="11"/>
        <v>0.44933110367892976</v>
      </c>
    </row>
    <row r="148" spans="1:15" ht="17" customHeight="1">
      <c r="A148" s="16" t="s">
        <v>1664</v>
      </c>
      <c r="B148" s="17"/>
      <c r="C148" s="18">
        <v>4550391911226</v>
      </c>
      <c r="D148" s="18" t="s">
        <v>1665</v>
      </c>
      <c r="E148" s="17"/>
      <c r="F148" s="17"/>
      <c r="G148" s="18">
        <v>5980</v>
      </c>
      <c r="H148" s="18">
        <v>1</v>
      </c>
      <c r="I148" s="18">
        <v>5980</v>
      </c>
      <c r="J148" s="18">
        <v>1</v>
      </c>
      <c r="K148" s="1">
        <f t="shared" si="8"/>
        <v>897</v>
      </c>
      <c r="L148" s="6">
        <v>660</v>
      </c>
      <c r="M148" s="6">
        <f t="shared" si="9"/>
        <v>660</v>
      </c>
      <c r="N148" s="6">
        <f t="shared" si="10"/>
        <v>4423</v>
      </c>
      <c r="O148" s="8">
        <f t="shared" si="11"/>
        <v>0.73963210702341142</v>
      </c>
    </row>
    <row r="149" spans="1:15" ht="17" customHeight="1">
      <c r="A149" s="16" t="s">
        <v>391</v>
      </c>
      <c r="B149" s="17"/>
      <c r="C149" s="18" t="s">
        <v>392</v>
      </c>
      <c r="D149" s="18" t="s">
        <v>393</v>
      </c>
      <c r="E149" s="17"/>
      <c r="F149" s="17"/>
      <c r="G149" s="18">
        <v>2980</v>
      </c>
      <c r="H149" s="18">
        <v>2</v>
      </c>
      <c r="I149" s="18">
        <v>5960</v>
      </c>
      <c r="J149" s="18">
        <v>2</v>
      </c>
      <c r="K149" s="1">
        <f t="shared" si="8"/>
        <v>894</v>
      </c>
      <c r="L149" s="6">
        <v>1641</v>
      </c>
      <c r="M149" s="6">
        <f t="shared" si="9"/>
        <v>3282</v>
      </c>
      <c r="N149" s="6">
        <f t="shared" si="10"/>
        <v>1784</v>
      </c>
      <c r="O149" s="8">
        <f t="shared" si="11"/>
        <v>0.29932885906040269</v>
      </c>
    </row>
    <row r="150" spans="1:15" ht="17" customHeight="1">
      <c r="A150" s="16" t="s">
        <v>1666</v>
      </c>
      <c r="B150" s="17"/>
      <c r="C150" s="18" t="s">
        <v>1667</v>
      </c>
      <c r="D150" s="18" t="s">
        <v>1668</v>
      </c>
      <c r="E150" s="17"/>
      <c r="F150" s="17"/>
      <c r="G150" s="18">
        <v>2980</v>
      </c>
      <c r="H150" s="18">
        <v>2</v>
      </c>
      <c r="I150" s="18">
        <v>5960</v>
      </c>
      <c r="J150" s="18">
        <v>2</v>
      </c>
      <c r="K150" s="1">
        <f t="shared" si="8"/>
        <v>894</v>
      </c>
      <c r="L150" s="6">
        <v>1698</v>
      </c>
      <c r="M150" s="6">
        <f t="shared" si="9"/>
        <v>3396</v>
      </c>
      <c r="N150" s="6">
        <f t="shared" si="10"/>
        <v>1670</v>
      </c>
      <c r="O150" s="8">
        <f t="shared" si="11"/>
        <v>0.28020134228187921</v>
      </c>
    </row>
    <row r="151" spans="1:15" ht="17" customHeight="1">
      <c r="A151" s="16" t="s">
        <v>257</v>
      </c>
      <c r="B151" s="18" t="s">
        <v>697</v>
      </c>
      <c r="C151" s="18">
        <v>4550391046508</v>
      </c>
      <c r="D151" s="18" t="s">
        <v>1627</v>
      </c>
      <c r="E151" s="18" t="s">
        <v>698</v>
      </c>
      <c r="F151" s="17"/>
      <c r="G151" s="18">
        <v>2980</v>
      </c>
      <c r="H151" s="18">
        <v>2</v>
      </c>
      <c r="I151" s="18">
        <v>5960</v>
      </c>
      <c r="J151" s="18">
        <v>2</v>
      </c>
      <c r="K151" s="1">
        <f t="shared" si="8"/>
        <v>894</v>
      </c>
      <c r="L151" s="6">
        <v>1130</v>
      </c>
      <c r="M151" s="6">
        <f t="shared" si="9"/>
        <v>2260</v>
      </c>
      <c r="N151" s="6">
        <f t="shared" si="10"/>
        <v>2806</v>
      </c>
      <c r="O151" s="8">
        <f t="shared" si="11"/>
        <v>0.4708053691275168</v>
      </c>
    </row>
    <row r="152" spans="1:15" ht="17" customHeight="1">
      <c r="A152" s="16" t="s">
        <v>646</v>
      </c>
      <c r="B152" s="17"/>
      <c r="C152" s="18" t="s">
        <v>647</v>
      </c>
      <c r="D152" s="18" t="s">
        <v>1669</v>
      </c>
      <c r="E152" s="17"/>
      <c r="F152" s="17"/>
      <c r="G152" s="18">
        <v>2980</v>
      </c>
      <c r="H152" s="18">
        <v>2</v>
      </c>
      <c r="I152" s="18">
        <v>5960</v>
      </c>
      <c r="J152" s="18">
        <v>2</v>
      </c>
      <c r="K152" s="1">
        <f t="shared" si="8"/>
        <v>894</v>
      </c>
      <c r="L152" s="6">
        <v>2090</v>
      </c>
      <c r="M152" s="6">
        <f t="shared" si="9"/>
        <v>4180</v>
      </c>
      <c r="N152" s="6">
        <f t="shared" si="10"/>
        <v>886</v>
      </c>
      <c r="O152" s="8">
        <f t="shared" si="11"/>
        <v>0.14865771812080536</v>
      </c>
    </row>
    <row r="153" spans="1:15" ht="17" customHeight="1">
      <c r="A153" s="16" t="s">
        <v>1117</v>
      </c>
      <c r="B153" s="17"/>
      <c r="C153" s="18" t="s">
        <v>1118</v>
      </c>
      <c r="D153" s="18" t="s">
        <v>1119</v>
      </c>
      <c r="E153" s="17"/>
      <c r="F153" s="17"/>
      <c r="G153" s="18">
        <v>2980</v>
      </c>
      <c r="H153" s="18">
        <v>2</v>
      </c>
      <c r="I153" s="18">
        <v>5960</v>
      </c>
      <c r="J153" s="18">
        <v>2</v>
      </c>
      <c r="K153" s="1">
        <f t="shared" si="8"/>
        <v>894</v>
      </c>
      <c r="L153" s="6">
        <v>1508</v>
      </c>
      <c r="M153" s="6">
        <f t="shared" si="9"/>
        <v>3016</v>
      </c>
      <c r="N153" s="6">
        <f t="shared" si="10"/>
        <v>2050</v>
      </c>
      <c r="O153" s="8">
        <f t="shared" si="11"/>
        <v>0.34395973154362414</v>
      </c>
    </row>
    <row r="154" spans="1:15" ht="17" customHeight="1">
      <c r="A154" s="16" t="s">
        <v>1350</v>
      </c>
      <c r="B154" s="17"/>
      <c r="C154" s="18" t="s">
        <v>1351</v>
      </c>
      <c r="D154" s="18" t="s">
        <v>1352</v>
      </c>
      <c r="E154" s="17"/>
      <c r="F154" s="17"/>
      <c r="G154" s="18">
        <v>2980</v>
      </c>
      <c r="H154" s="18">
        <v>2</v>
      </c>
      <c r="I154" s="18">
        <v>5960</v>
      </c>
      <c r="J154" s="18">
        <v>2</v>
      </c>
      <c r="K154" s="1">
        <f t="shared" si="8"/>
        <v>894</v>
      </c>
      <c r="L154" s="6">
        <v>549</v>
      </c>
      <c r="M154" s="6">
        <f t="shared" si="9"/>
        <v>1098</v>
      </c>
      <c r="N154" s="6">
        <f t="shared" si="10"/>
        <v>3968</v>
      </c>
      <c r="O154" s="8">
        <f t="shared" si="11"/>
        <v>0.66577181208053693</v>
      </c>
    </row>
    <row r="155" spans="1:15" ht="17" customHeight="1">
      <c r="A155" s="16" t="s">
        <v>516</v>
      </c>
      <c r="B155" s="17"/>
      <c r="C155" s="18" t="s">
        <v>517</v>
      </c>
      <c r="D155" s="18">
        <v>9785</v>
      </c>
      <c r="E155" s="17"/>
      <c r="F155" s="17"/>
      <c r="G155" s="18">
        <v>2980</v>
      </c>
      <c r="H155" s="18">
        <v>2</v>
      </c>
      <c r="I155" s="18">
        <v>5960</v>
      </c>
      <c r="J155" s="18">
        <v>2</v>
      </c>
      <c r="K155" s="1">
        <f t="shared" si="8"/>
        <v>894</v>
      </c>
      <c r="L155" s="6"/>
      <c r="M155" s="6">
        <f t="shared" si="9"/>
        <v>0</v>
      </c>
      <c r="N155" s="6">
        <f t="shared" si="10"/>
        <v>5066</v>
      </c>
      <c r="O155" s="8">
        <f t="shared" si="11"/>
        <v>0.85</v>
      </c>
    </row>
    <row r="156" spans="1:15" ht="17" customHeight="1">
      <c r="A156" s="16" t="s">
        <v>296</v>
      </c>
      <c r="B156" s="17"/>
      <c r="C156" s="18" t="s">
        <v>297</v>
      </c>
      <c r="D156" s="18" t="s">
        <v>1670</v>
      </c>
      <c r="E156" s="17"/>
      <c r="F156" s="17"/>
      <c r="G156" s="18">
        <v>2980</v>
      </c>
      <c r="H156" s="18">
        <v>2</v>
      </c>
      <c r="I156" s="18">
        <v>5960</v>
      </c>
      <c r="J156" s="18">
        <v>2</v>
      </c>
      <c r="K156" s="1">
        <f t="shared" si="8"/>
        <v>894</v>
      </c>
      <c r="L156" s="6">
        <v>1270</v>
      </c>
      <c r="M156" s="6">
        <f t="shared" si="9"/>
        <v>2540</v>
      </c>
      <c r="N156" s="6">
        <f t="shared" si="10"/>
        <v>2526</v>
      </c>
      <c r="O156" s="8">
        <f t="shared" si="11"/>
        <v>0.42382550335570468</v>
      </c>
    </row>
    <row r="157" spans="1:15" ht="17" customHeight="1">
      <c r="A157" s="16" t="s">
        <v>293</v>
      </c>
      <c r="B157" s="17"/>
      <c r="C157" s="18" t="s">
        <v>294</v>
      </c>
      <c r="D157" s="18" t="s">
        <v>1671</v>
      </c>
      <c r="E157" s="17"/>
      <c r="F157" s="17"/>
      <c r="G157" s="18">
        <v>2980</v>
      </c>
      <c r="H157" s="18">
        <v>2</v>
      </c>
      <c r="I157" s="18">
        <v>5960</v>
      </c>
      <c r="J157" s="18">
        <v>2</v>
      </c>
      <c r="K157" s="1">
        <f t="shared" si="8"/>
        <v>894</v>
      </c>
      <c r="L157" s="6">
        <v>1316</v>
      </c>
      <c r="M157" s="6">
        <f t="shared" si="9"/>
        <v>2632</v>
      </c>
      <c r="N157" s="6">
        <f t="shared" si="10"/>
        <v>2434</v>
      </c>
      <c r="O157" s="8">
        <f t="shared" si="11"/>
        <v>0.40838926174496643</v>
      </c>
    </row>
    <row r="158" spans="1:15" ht="17" customHeight="1">
      <c r="A158" s="16" t="s">
        <v>1672</v>
      </c>
      <c r="B158" s="17"/>
      <c r="C158" s="18" t="s">
        <v>380</v>
      </c>
      <c r="D158" s="18" t="s">
        <v>1008</v>
      </c>
      <c r="E158" s="17"/>
      <c r="F158" s="17"/>
      <c r="G158" s="18">
        <v>2980</v>
      </c>
      <c r="H158" s="18">
        <v>2</v>
      </c>
      <c r="I158" s="18">
        <v>5960</v>
      </c>
      <c r="J158" s="18">
        <v>2</v>
      </c>
      <c r="K158" s="1">
        <f t="shared" si="8"/>
        <v>894</v>
      </c>
      <c r="L158" s="6">
        <v>1884</v>
      </c>
      <c r="M158" s="6">
        <f t="shared" si="9"/>
        <v>3768</v>
      </c>
      <c r="N158" s="6">
        <f t="shared" si="10"/>
        <v>1298</v>
      </c>
      <c r="O158" s="8">
        <f t="shared" si="11"/>
        <v>0.21778523489932886</v>
      </c>
    </row>
    <row r="159" spans="1:15" ht="17" customHeight="1">
      <c r="A159" s="16" t="s">
        <v>1673</v>
      </c>
      <c r="B159" s="17"/>
      <c r="C159" s="18" t="s">
        <v>1674</v>
      </c>
      <c r="D159" s="18" t="s">
        <v>1675</v>
      </c>
      <c r="E159" s="17"/>
      <c r="F159" s="17"/>
      <c r="G159" s="18">
        <v>2980</v>
      </c>
      <c r="H159" s="18">
        <v>2</v>
      </c>
      <c r="I159" s="18">
        <v>5960</v>
      </c>
      <c r="J159" s="18">
        <v>2</v>
      </c>
      <c r="K159" s="1">
        <f t="shared" si="8"/>
        <v>894</v>
      </c>
      <c r="L159" s="6">
        <v>1856</v>
      </c>
      <c r="M159" s="6">
        <f t="shared" si="9"/>
        <v>3712</v>
      </c>
      <c r="N159" s="6">
        <f t="shared" si="10"/>
        <v>1354</v>
      </c>
      <c r="O159" s="8">
        <f t="shared" si="11"/>
        <v>0.22718120805369127</v>
      </c>
    </row>
    <row r="160" spans="1:15" ht="17" customHeight="1">
      <c r="A160" s="16" t="s">
        <v>1676</v>
      </c>
      <c r="B160" s="17"/>
      <c r="C160" s="18" t="s">
        <v>1677</v>
      </c>
      <c r="D160" s="18" t="s">
        <v>1678</v>
      </c>
      <c r="E160" s="17"/>
      <c r="F160" s="17"/>
      <c r="G160" s="18">
        <v>1980</v>
      </c>
      <c r="H160" s="18">
        <v>3</v>
      </c>
      <c r="I160" s="18">
        <v>5940</v>
      </c>
      <c r="J160" s="18">
        <v>3</v>
      </c>
      <c r="K160" s="1">
        <f t="shared" si="8"/>
        <v>891</v>
      </c>
      <c r="L160" s="6">
        <v>528</v>
      </c>
      <c r="M160" s="6">
        <f t="shared" si="9"/>
        <v>1584</v>
      </c>
      <c r="N160" s="6">
        <f t="shared" si="10"/>
        <v>3465</v>
      </c>
      <c r="O160" s="8">
        <f t="shared" si="11"/>
        <v>0.58333333333333337</v>
      </c>
    </row>
    <row r="161" spans="1:15" ht="17" customHeight="1">
      <c r="A161" s="16" t="s">
        <v>217</v>
      </c>
      <c r="B161" s="17"/>
      <c r="C161" s="18" t="s">
        <v>218</v>
      </c>
      <c r="D161" s="18" t="s">
        <v>1679</v>
      </c>
      <c r="E161" s="17"/>
      <c r="F161" s="17"/>
      <c r="G161" s="18">
        <v>1980</v>
      </c>
      <c r="H161" s="18">
        <v>3</v>
      </c>
      <c r="I161" s="18">
        <v>5940</v>
      </c>
      <c r="J161" s="18">
        <v>3</v>
      </c>
      <c r="K161" s="1">
        <f t="shared" si="8"/>
        <v>891</v>
      </c>
      <c r="L161" s="6">
        <v>416</v>
      </c>
      <c r="M161" s="6">
        <f t="shared" si="9"/>
        <v>1248</v>
      </c>
      <c r="N161" s="6">
        <f t="shared" si="10"/>
        <v>3801</v>
      </c>
      <c r="O161" s="8">
        <f t="shared" si="11"/>
        <v>0.63989898989898986</v>
      </c>
    </row>
    <row r="162" spans="1:15" ht="17" customHeight="1">
      <c r="A162" s="16" t="s">
        <v>246</v>
      </c>
      <c r="B162" s="17"/>
      <c r="C162" s="18" t="s">
        <v>247</v>
      </c>
      <c r="D162" s="18" t="s">
        <v>1680</v>
      </c>
      <c r="E162" s="17"/>
      <c r="F162" s="17"/>
      <c r="G162" s="18">
        <v>5780</v>
      </c>
      <c r="H162" s="18">
        <v>1</v>
      </c>
      <c r="I162" s="18">
        <v>5780</v>
      </c>
      <c r="J162" s="18">
        <v>1</v>
      </c>
      <c r="K162" s="1">
        <f t="shared" si="8"/>
        <v>867</v>
      </c>
      <c r="L162" s="6">
        <v>2728</v>
      </c>
      <c r="M162" s="6">
        <f t="shared" si="9"/>
        <v>2728</v>
      </c>
      <c r="N162" s="6">
        <f t="shared" si="10"/>
        <v>2185</v>
      </c>
      <c r="O162" s="8">
        <f t="shared" si="11"/>
        <v>0.37802768166089967</v>
      </c>
    </row>
    <row r="163" spans="1:15" ht="17" customHeight="1">
      <c r="A163" s="16" t="s">
        <v>1681</v>
      </c>
      <c r="B163" s="17"/>
      <c r="C163" s="18" t="s">
        <v>927</v>
      </c>
      <c r="D163" s="18" t="s">
        <v>928</v>
      </c>
      <c r="E163" s="17"/>
      <c r="F163" s="17"/>
      <c r="G163" s="18">
        <v>2780</v>
      </c>
      <c r="H163" s="18">
        <v>2</v>
      </c>
      <c r="I163" s="18">
        <v>5560</v>
      </c>
      <c r="J163" s="18">
        <v>2</v>
      </c>
      <c r="K163" s="1">
        <f t="shared" si="8"/>
        <v>834</v>
      </c>
      <c r="L163" s="6">
        <v>1370</v>
      </c>
      <c r="M163" s="6">
        <f t="shared" si="9"/>
        <v>2740</v>
      </c>
      <c r="N163" s="6">
        <f t="shared" si="10"/>
        <v>1986</v>
      </c>
      <c r="O163" s="8">
        <f t="shared" si="11"/>
        <v>0.35719424460431654</v>
      </c>
    </row>
    <row r="164" spans="1:15" ht="17" customHeight="1">
      <c r="A164" s="16" t="s">
        <v>458</v>
      </c>
      <c r="B164" s="17"/>
      <c r="C164" s="18" t="s">
        <v>459</v>
      </c>
      <c r="D164" s="18" t="s">
        <v>1682</v>
      </c>
      <c r="E164" s="17"/>
      <c r="F164" s="17"/>
      <c r="G164" s="18">
        <v>2730</v>
      </c>
      <c r="H164" s="18">
        <v>2</v>
      </c>
      <c r="I164" s="18">
        <v>5460</v>
      </c>
      <c r="J164" s="18">
        <v>2</v>
      </c>
      <c r="K164" s="1">
        <f t="shared" si="8"/>
        <v>819</v>
      </c>
      <c r="L164" s="6">
        <v>1164</v>
      </c>
      <c r="M164" s="6">
        <f t="shared" si="9"/>
        <v>2328</v>
      </c>
      <c r="N164" s="6">
        <f t="shared" si="10"/>
        <v>2313</v>
      </c>
      <c r="O164" s="8">
        <f t="shared" si="11"/>
        <v>0.42362637362637362</v>
      </c>
    </row>
    <row r="165" spans="1:15" ht="17" customHeight="1">
      <c r="A165" s="16" t="s">
        <v>841</v>
      </c>
      <c r="B165" s="18" t="s">
        <v>1251</v>
      </c>
      <c r="C165" s="18" t="s">
        <v>843</v>
      </c>
      <c r="D165" s="27">
        <v>605858638891</v>
      </c>
      <c r="E165" s="18" t="s">
        <v>1252</v>
      </c>
      <c r="F165" s="17"/>
      <c r="G165" s="18">
        <v>1780</v>
      </c>
      <c r="H165" s="18">
        <v>3</v>
      </c>
      <c r="I165" s="18">
        <v>5340</v>
      </c>
      <c r="J165" s="18">
        <v>2</v>
      </c>
      <c r="K165" s="1">
        <f t="shared" si="8"/>
        <v>801</v>
      </c>
      <c r="L165" s="6">
        <v>605</v>
      </c>
      <c r="M165" s="6">
        <f t="shared" si="9"/>
        <v>1815</v>
      </c>
      <c r="N165" s="6">
        <f t="shared" si="10"/>
        <v>2724</v>
      </c>
      <c r="O165" s="8">
        <f t="shared" si="11"/>
        <v>0.51011235955056178</v>
      </c>
    </row>
    <row r="166" spans="1:15" ht="17" customHeight="1">
      <c r="A166" s="16" t="s">
        <v>422</v>
      </c>
      <c r="B166" s="18" t="s">
        <v>1148</v>
      </c>
      <c r="C166" s="18" t="s">
        <v>423</v>
      </c>
      <c r="D166" s="18" t="s">
        <v>424</v>
      </c>
      <c r="E166" s="18" t="s">
        <v>1149</v>
      </c>
      <c r="F166" s="17"/>
      <c r="G166" s="18">
        <v>5280</v>
      </c>
      <c r="H166" s="18">
        <v>1</v>
      </c>
      <c r="I166" s="18">
        <v>5280</v>
      </c>
      <c r="J166" s="18">
        <v>1</v>
      </c>
      <c r="K166" s="1">
        <f t="shared" si="8"/>
        <v>792</v>
      </c>
      <c r="L166" s="6">
        <v>2980</v>
      </c>
      <c r="M166" s="6">
        <f t="shared" si="9"/>
        <v>2980</v>
      </c>
      <c r="N166" s="6">
        <f t="shared" si="10"/>
        <v>1508</v>
      </c>
      <c r="O166" s="8">
        <f t="shared" si="11"/>
        <v>0.28560606060606059</v>
      </c>
    </row>
    <row r="167" spans="1:15" ht="17" customHeight="1">
      <c r="A167" s="16" t="s">
        <v>78</v>
      </c>
      <c r="B167" s="17"/>
      <c r="C167" s="18" t="s">
        <v>79</v>
      </c>
      <c r="D167" s="18" t="s">
        <v>80</v>
      </c>
      <c r="E167" s="17"/>
      <c r="F167" s="17"/>
      <c r="G167" s="18">
        <v>5280</v>
      </c>
      <c r="H167" s="18">
        <v>1</v>
      </c>
      <c r="I167" s="18">
        <v>5280</v>
      </c>
      <c r="J167" s="18">
        <v>1</v>
      </c>
      <c r="K167" s="1">
        <f t="shared" si="8"/>
        <v>792</v>
      </c>
      <c r="L167" s="6">
        <v>3771</v>
      </c>
      <c r="M167" s="6">
        <f t="shared" si="9"/>
        <v>3771</v>
      </c>
      <c r="N167" s="6">
        <f t="shared" si="10"/>
        <v>717</v>
      </c>
      <c r="O167" s="8">
        <f t="shared" si="11"/>
        <v>0.13579545454545455</v>
      </c>
    </row>
    <row r="168" spans="1:15" ht="17" customHeight="1">
      <c r="A168" s="16" t="s">
        <v>221</v>
      </c>
      <c r="B168" s="17"/>
      <c r="C168" s="18" t="s">
        <v>222</v>
      </c>
      <c r="D168" s="18" t="s">
        <v>948</v>
      </c>
      <c r="E168" s="17"/>
      <c r="F168" s="17"/>
      <c r="G168" s="18">
        <v>5280</v>
      </c>
      <c r="H168" s="18">
        <v>1</v>
      </c>
      <c r="I168" s="18">
        <v>5280</v>
      </c>
      <c r="J168" s="18">
        <v>1</v>
      </c>
      <c r="K168" s="1">
        <f t="shared" si="8"/>
        <v>792</v>
      </c>
      <c r="L168" s="6">
        <v>2990</v>
      </c>
      <c r="M168" s="6">
        <f t="shared" si="9"/>
        <v>2990</v>
      </c>
      <c r="N168" s="6">
        <f t="shared" si="10"/>
        <v>1498</v>
      </c>
      <c r="O168" s="8">
        <f t="shared" si="11"/>
        <v>0.28371212121212119</v>
      </c>
    </row>
    <row r="169" spans="1:15" ht="17" customHeight="1">
      <c r="A169" s="16" t="s">
        <v>1683</v>
      </c>
      <c r="B169" s="17"/>
      <c r="C169" s="18" t="s">
        <v>1684</v>
      </c>
      <c r="D169" s="18" t="s">
        <v>1685</v>
      </c>
      <c r="E169" s="17"/>
      <c r="F169" s="17"/>
      <c r="G169" s="18">
        <v>2580</v>
      </c>
      <c r="H169" s="18">
        <v>2</v>
      </c>
      <c r="I169" s="18">
        <v>5160</v>
      </c>
      <c r="J169" s="18">
        <v>2</v>
      </c>
      <c r="K169" s="1">
        <f t="shared" si="8"/>
        <v>774</v>
      </c>
      <c r="L169" s="6">
        <v>1575</v>
      </c>
      <c r="M169" s="6">
        <f t="shared" si="9"/>
        <v>3150</v>
      </c>
      <c r="N169" s="6">
        <f t="shared" si="10"/>
        <v>1236</v>
      </c>
      <c r="O169" s="8">
        <f t="shared" si="11"/>
        <v>0.23953488372093024</v>
      </c>
    </row>
    <row r="170" spans="1:15" ht="17" customHeight="1">
      <c r="A170" s="16" t="s">
        <v>1686</v>
      </c>
      <c r="B170" s="17"/>
      <c r="C170" s="18" t="s">
        <v>1687</v>
      </c>
      <c r="D170" s="18" t="s">
        <v>1688</v>
      </c>
      <c r="E170" s="17"/>
      <c r="F170" s="17"/>
      <c r="G170" s="18">
        <v>999</v>
      </c>
      <c r="H170" s="18">
        <v>5</v>
      </c>
      <c r="I170" s="18">
        <v>4995</v>
      </c>
      <c r="J170" s="18">
        <v>3</v>
      </c>
      <c r="K170" s="1">
        <f t="shared" si="8"/>
        <v>749.25</v>
      </c>
      <c r="L170" s="6">
        <v>396</v>
      </c>
      <c r="M170" s="6">
        <f t="shared" si="9"/>
        <v>1980</v>
      </c>
      <c r="N170" s="6">
        <f t="shared" si="10"/>
        <v>2265.75</v>
      </c>
      <c r="O170" s="8">
        <f t="shared" si="11"/>
        <v>0.45360360360360358</v>
      </c>
    </row>
    <row r="171" spans="1:15" ht="17" customHeight="1">
      <c r="A171" s="16" t="s">
        <v>1689</v>
      </c>
      <c r="B171" s="17"/>
      <c r="C171" s="18" t="s">
        <v>1690</v>
      </c>
      <c r="D171" s="18" t="s">
        <v>1691</v>
      </c>
      <c r="E171" s="17"/>
      <c r="F171" s="17"/>
      <c r="G171" s="18">
        <v>4980</v>
      </c>
      <c r="H171" s="18">
        <v>1</v>
      </c>
      <c r="I171" s="18">
        <v>4980</v>
      </c>
      <c r="J171" s="18">
        <v>1</v>
      </c>
      <c r="K171" s="1">
        <f t="shared" si="8"/>
        <v>747</v>
      </c>
      <c r="L171" s="6">
        <v>2145</v>
      </c>
      <c r="M171" s="6">
        <f t="shared" si="9"/>
        <v>2145</v>
      </c>
      <c r="N171" s="6">
        <f t="shared" si="10"/>
        <v>2088</v>
      </c>
      <c r="O171" s="8">
        <f t="shared" si="11"/>
        <v>0.41927710843373495</v>
      </c>
    </row>
    <row r="172" spans="1:15" ht="17" customHeight="1">
      <c r="A172" s="16" t="s">
        <v>692</v>
      </c>
      <c r="B172" s="18" t="s">
        <v>693</v>
      </c>
      <c r="C172" s="18" t="s">
        <v>694</v>
      </c>
      <c r="D172" s="18" t="s">
        <v>1692</v>
      </c>
      <c r="E172" s="18" t="s">
        <v>696</v>
      </c>
      <c r="F172" s="17"/>
      <c r="G172" s="18">
        <v>2480</v>
      </c>
      <c r="H172" s="18">
        <v>2</v>
      </c>
      <c r="I172" s="18">
        <v>4960</v>
      </c>
      <c r="J172" s="18">
        <v>2</v>
      </c>
      <c r="K172" s="1">
        <f t="shared" si="8"/>
        <v>744</v>
      </c>
      <c r="L172" s="6">
        <v>803</v>
      </c>
      <c r="M172" s="6">
        <f t="shared" si="9"/>
        <v>1606</v>
      </c>
      <c r="N172" s="6">
        <f t="shared" si="10"/>
        <v>2610</v>
      </c>
      <c r="O172" s="8">
        <f t="shared" si="11"/>
        <v>0.52620967741935487</v>
      </c>
    </row>
    <row r="173" spans="1:15" ht="17" customHeight="1">
      <c r="A173" s="16" t="s">
        <v>1693</v>
      </c>
      <c r="B173" s="17"/>
      <c r="C173" s="18" t="s">
        <v>342</v>
      </c>
      <c r="D173" s="18" t="s">
        <v>343</v>
      </c>
      <c r="E173" s="17"/>
      <c r="F173" s="17"/>
      <c r="G173" s="18">
        <v>2480</v>
      </c>
      <c r="H173" s="18">
        <v>2</v>
      </c>
      <c r="I173" s="18">
        <v>4960</v>
      </c>
      <c r="J173" s="18">
        <v>2</v>
      </c>
      <c r="K173" s="1">
        <f t="shared" si="8"/>
        <v>744</v>
      </c>
      <c r="L173" s="6">
        <v>1116</v>
      </c>
      <c r="M173" s="6">
        <f t="shared" si="9"/>
        <v>2232</v>
      </c>
      <c r="N173" s="6">
        <f t="shared" si="10"/>
        <v>1984</v>
      </c>
      <c r="O173" s="8">
        <f t="shared" si="11"/>
        <v>0.4</v>
      </c>
    </row>
    <row r="174" spans="1:15" ht="17" customHeight="1">
      <c r="A174" s="16" t="s">
        <v>1694</v>
      </c>
      <c r="B174" s="17"/>
      <c r="C174" s="18" t="s">
        <v>1695</v>
      </c>
      <c r="D174" s="18" t="s">
        <v>1696</v>
      </c>
      <c r="E174" s="17"/>
      <c r="F174" s="17"/>
      <c r="G174" s="18">
        <v>2480</v>
      </c>
      <c r="H174" s="18">
        <v>2</v>
      </c>
      <c r="I174" s="18">
        <v>4960</v>
      </c>
      <c r="J174" s="18">
        <v>2</v>
      </c>
      <c r="K174" s="1">
        <f t="shared" si="8"/>
        <v>744</v>
      </c>
      <c r="L174" s="6">
        <v>1394</v>
      </c>
      <c r="M174" s="6">
        <f t="shared" si="9"/>
        <v>2788</v>
      </c>
      <c r="N174" s="6">
        <f t="shared" si="10"/>
        <v>1428</v>
      </c>
      <c r="O174" s="8">
        <f t="shared" si="11"/>
        <v>0.28790322580645161</v>
      </c>
    </row>
    <row r="175" spans="1:15" ht="17" customHeight="1">
      <c r="A175" s="16" t="s">
        <v>1697</v>
      </c>
      <c r="B175" s="17"/>
      <c r="C175" s="18" t="s">
        <v>1698</v>
      </c>
      <c r="D175" s="18" t="s">
        <v>1699</v>
      </c>
      <c r="E175" s="17"/>
      <c r="F175" s="17"/>
      <c r="G175" s="18">
        <v>4800</v>
      </c>
      <c r="H175" s="18">
        <v>1</v>
      </c>
      <c r="I175" s="18">
        <v>4800</v>
      </c>
      <c r="J175" s="18">
        <v>1</v>
      </c>
      <c r="K175" s="1">
        <f t="shared" si="8"/>
        <v>720</v>
      </c>
      <c r="L175" s="6">
        <v>2700</v>
      </c>
      <c r="M175" s="6">
        <f t="shared" si="9"/>
        <v>2700</v>
      </c>
      <c r="N175" s="6">
        <f t="shared" si="10"/>
        <v>1380</v>
      </c>
      <c r="O175" s="8">
        <f t="shared" si="11"/>
        <v>0.28749999999999998</v>
      </c>
    </row>
    <row r="176" spans="1:15" ht="17" customHeight="1">
      <c r="A176" s="16" t="s">
        <v>1700</v>
      </c>
      <c r="B176" s="17"/>
      <c r="C176" s="18" t="s">
        <v>1701</v>
      </c>
      <c r="D176" s="18" t="s">
        <v>1702</v>
      </c>
      <c r="E176" s="17"/>
      <c r="F176" s="17"/>
      <c r="G176" s="18">
        <v>4780</v>
      </c>
      <c r="H176" s="18">
        <v>1</v>
      </c>
      <c r="I176" s="18">
        <v>4780</v>
      </c>
      <c r="J176" s="18">
        <v>1</v>
      </c>
      <c r="K176" s="1">
        <f t="shared" si="8"/>
        <v>717</v>
      </c>
      <c r="L176" s="6">
        <v>2418</v>
      </c>
      <c r="M176" s="6">
        <f t="shared" si="9"/>
        <v>2418</v>
      </c>
      <c r="N176" s="6">
        <f t="shared" si="10"/>
        <v>1645</v>
      </c>
      <c r="O176" s="8">
        <f t="shared" si="11"/>
        <v>0.34414225941422594</v>
      </c>
    </row>
    <row r="177" spans="1:15" ht="17" customHeight="1">
      <c r="A177" s="16" t="s">
        <v>1703</v>
      </c>
      <c r="B177" s="17"/>
      <c r="C177" s="18" t="s">
        <v>303</v>
      </c>
      <c r="D177" s="18" t="s">
        <v>1704</v>
      </c>
      <c r="E177" s="17"/>
      <c r="F177" s="17"/>
      <c r="G177" s="18">
        <v>2280</v>
      </c>
      <c r="H177" s="18">
        <v>2</v>
      </c>
      <c r="I177" s="18">
        <v>4560</v>
      </c>
      <c r="J177" s="18">
        <v>1</v>
      </c>
      <c r="K177" s="1">
        <f t="shared" si="8"/>
        <v>684</v>
      </c>
      <c r="L177" s="6">
        <v>1619</v>
      </c>
      <c r="M177" s="6">
        <f t="shared" si="9"/>
        <v>3238</v>
      </c>
      <c r="N177" s="6">
        <f t="shared" si="10"/>
        <v>638</v>
      </c>
      <c r="O177" s="8">
        <f t="shared" si="11"/>
        <v>0.13991228070175438</v>
      </c>
    </row>
    <row r="178" spans="1:15" ht="17" customHeight="1">
      <c r="A178" s="16" t="s">
        <v>483</v>
      </c>
      <c r="B178" s="17"/>
      <c r="C178" s="18" t="s">
        <v>484</v>
      </c>
      <c r="D178" s="18" t="s">
        <v>1705</v>
      </c>
      <c r="E178" s="17"/>
      <c r="F178" s="17"/>
      <c r="G178" s="18">
        <v>2280</v>
      </c>
      <c r="H178" s="18">
        <v>2</v>
      </c>
      <c r="I178" s="18">
        <v>4560</v>
      </c>
      <c r="J178" s="18">
        <v>2</v>
      </c>
      <c r="K178" s="1">
        <f t="shared" si="8"/>
        <v>684</v>
      </c>
      <c r="L178" s="6">
        <v>1254</v>
      </c>
      <c r="M178" s="6">
        <f t="shared" si="9"/>
        <v>2508</v>
      </c>
      <c r="N178" s="6">
        <f t="shared" si="10"/>
        <v>1368</v>
      </c>
      <c r="O178" s="8">
        <f t="shared" si="11"/>
        <v>0.3</v>
      </c>
    </row>
    <row r="179" spans="1:15" ht="17" customHeight="1">
      <c r="A179" s="16" t="s">
        <v>1706</v>
      </c>
      <c r="B179" s="17"/>
      <c r="C179" s="18" t="s">
        <v>1707</v>
      </c>
      <c r="D179" s="18" t="s">
        <v>1708</v>
      </c>
      <c r="E179" s="17"/>
      <c r="F179" s="17"/>
      <c r="G179" s="18">
        <v>4480</v>
      </c>
      <c r="H179" s="18">
        <v>1</v>
      </c>
      <c r="I179" s="18">
        <v>4480</v>
      </c>
      <c r="J179" s="18">
        <v>1</v>
      </c>
      <c r="K179" s="1">
        <f t="shared" si="8"/>
        <v>672</v>
      </c>
      <c r="L179" s="6">
        <v>2198</v>
      </c>
      <c r="M179" s="6">
        <f t="shared" si="9"/>
        <v>2198</v>
      </c>
      <c r="N179" s="6">
        <f t="shared" si="10"/>
        <v>1610</v>
      </c>
      <c r="O179" s="8">
        <f t="shared" si="11"/>
        <v>0.359375</v>
      </c>
    </row>
    <row r="180" spans="1:15" ht="17" customHeight="1">
      <c r="A180" s="16" t="s">
        <v>1709</v>
      </c>
      <c r="B180" s="17"/>
      <c r="C180" s="18" t="s">
        <v>1710</v>
      </c>
      <c r="D180" s="18" t="s">
        <v>1711</v>
      </c>
      <c r="E180" s="17"/>
      <c r="F180" s="17"/>
      <c r="G180" s="18">
        <v>4380</v>
      </c>
      <c r="H180" s="18">
        <v>1</v>
      </c>
      <c r="I180" s="18">
        <v>4380</v>
      </c>
      <c r="J180" s="18">
        <v>1</v>
      </c>
      <c r="K180" s="1">
        <f t="shared" si="8"/>
        <v>657</v>
      </c>
      <c r="L180" s="6">
        <v>2418</v>
      </c>
      <c r="M180" s="6">
        <f t="shared" si="9"/>
        <v>2418</v>
      </c>
      <c r="N180" s="6">
        <f t="shared" si="10"/>
        <v>1305</v>
      </c>
      <c r="O180" s="8">
        <f t="shared" si="11"/>
        <v>0.29794520547945208</v>
      </c>
    </row>
    <row r="181" spans="1:15" ht="17" customHeight="1">
      <c r="A181" s="16" t="s">
        <v>1712</v>
      </c>
      <c r="B181" s="17"/>
      <c r="C181" s="18">
        <v>3264680009808</v>
      </c>
      <c r="D181" s="18" t="s">
        <v>1713</v>
      </c>
      <c r="E181" s="17"/>
      <c r="F181" s="17"/>
      <c r="G181" s="18">
        <v>4280</v>
      </c>
      <c r="H181" s="18">
        <v>1</v>
      </c>
      <c r="I181" s="18">
        <v>4280</v>
      </c>
      <c r="J181" s="18">
        <v>1</v>
      </c>
      <c r="K181" s="1">
        <f t="shared" si="8"/>
        <v>642</v>
      </c>
      <c r="L181" s="6">
        <v>2762</v>
      </c>
      <c r="M181" s="6">
        <f t="shared" si="9"/>
        <v>2762</v>
      </c>
      <c r="N181" s="6">
        <f t="shared" si="10"/>
        <v>876</v>
      </c>
      <c r="O181" s="8">
        <f t="shared" si="11"/>
        <v>0.20467289719626169</v>
      </c>
    </row>
    <row r="182" spans="1:15" ht="17" customHeight="1">
      <c r="A182" s="16" t="s">
        <v>1714</v>
      </c>
      <c r="B182" s="17"/>
      <c r="C182" s="18" t="s">
        <v>1715</v>
      </c>
      <c r="D182" s="18" t="s">
        <v>1688</v>
      </c>
      <c r="E182" s="17"/>
      <c r="F182" s="17"/>
      <c r="G182" s="18">
        <v>175</v>
      </c>
      <c r="H182" s="18">
        <v>24</v>
      </c>
      <c r="I182" s="18">
        <v>4200</v>
      </c>
      <c r="J182" s="18">
        <v>1</v>
      </c>
      <c r="K182" s="1">
        <f t="shared" si="8"/>
        <v>630</v>
      </c>
      <c r="L182" s="6">
        <v>66</v>
      </c>
      <c r="M182" s="6">
        <f t="shared" si="9"/>
        <v>1584</v>
      </c>
      <c r="N182" s="6">
        <f t="shared" si="10"/>
        <v>1986</v>
      </c>
      <c r="O182" s="8">
        <f t="shared" si="11"/>
        <v>0.47285714285714286</v>
      </c>
    </row>
    <row r="183" spans="1:15" ht="17" customHeight="1">
      <c r="A183" s="16" t="s">
        <v>1435</v>
      </c>
      <c r="B183" s="17"/>
      <c r="C183" s="18" t="s">
        <v>1436</v>
      </c>
      <c r="D183" s="18" t="s">
        <v>1437</v>
      </c>
      <c r="E183" s="17"/>
      <c r="F183" s="17"/>
      <c r="G183" s="18">
        <v>1380</v>
      </c>
      <c r="H183" s="18">
        <v>3</v>
      </c>
      <c r="I183" s="18">
        <v>4140</v>
      </c>
      <c r="J183" s="18">
        <v>2</v>
      </c>
      <c r="K183" s="1">
        <f t="shared" si="8"/>
        <v>621</v>
      </c>
      <c r="L183" s="6">
        <v>630</v>
      </c>
      <c r="M183" s="6">
        <f t="shared" si="9"/>
        <v>1890</v>
      </c>
      <c r="N183" s="6">
        <f t="shared" si="10"/>
        <v>1629</v>
      </c>
      <c r="O183" s="8">
        <f t="shared" si="11"/>
        <v>0.39347826086956522</v>
      </c>
    </row>
    <row r="184" spans="1:15" ht="17" customHeight="1">
      <c r="A184" s="16" t="s">
        <v>1716</v>
      </c>
      <c r="B184" s="17"/>
      <c r="C184" s="18" t="s">
        <v>474</v>
      </c>
      <c r="D184" s="18" t="s">
        <v>1193</v>
      </c>
      <c r="E184" s="17"/>
      <c r="F184" s="17"/>
      <c r="G184" s="18">
        <v>999</v>
      </c>
      <c r="H184" s="18">
        <v>4</v>
      </c>
      <c r="I184" s="18">
        <v>3996</v>
      </c>
      <c r="J184" s="18">
        <v>3</v>
      </c>
      <c r="K184" s="1">
        <f t="shared" si="8"/>
        <v>599.4</v>
      </c>
      <c r="L184" s="6">
        <v>396</v>
      </c>
      <c r="M184" s="6">
        <f t="shared" si="9"/>
        <v>1584</v>
      </c>
      <c r="N184" s="6">
        <f t="shared" si="10"/>
        <v>1812.6</v>
      </c>
      <c r="O184" s="8">
        <f t="shared" si="11"/>
        <v>0.45360360360360358</v>
      </c>
    </row>
    <row r="185" spans="1:15" ht="17" customHeight="1">
      <c r="A185" s="16" t="s">
        <v>1717</v>
      </c>
      <c r="B185" s="17"/>
      <c r="C185" s="18" t="s">
        <v>1718</v>
      </c>
      <c r="D185" s="18" t="s">
        <v>1719</v>
      </c>
      <c r="E185" s="17"/>
      <c r="F185" s="17"/>
      <c r="G185" s="18">
        <v>3980</v>
      </c>
      <c r="H185" s="18">
        <v>1</v>
      </c>
      <c r="I185" s="18">
        <v>3980</v>
      </c>
      <c r="J185" s="18">
        <v>1</v>
      </c>
      <c r="K185" s="1">
        <f t="shared" si="8"/>
        <v>597</v>
      </c>
      <c r="L185" s="6">
        <v>2061</v>
      </c>
      <c r="M185" s="6">
        <f t="shared" si="9"/>
        <v>2061</v>
      </c>
      <c r="N185" s="6">
        <f t="shared" si="10"/>
        <v>1322</v>
      </c>
      <c r="O185" s="8">
        <f t="shared" si="11"/>
        <v>0.33216080402010051</v>
      </c>
    </row>
    <row r="186" spans="1:15" ht="17" customHeight="1">
      <c r="A186" s="16" t="s">
        <v>1720</v>
      </c>
      <c r="B186" s="17"/>
      <c r="C186" s="18" t="s">
        <v>532</v>
      </c>
      <c r="D186" s="18" t="s">
        <v>1721</v>
      </c>
      <c r="E186" s="17"/>
      <c r="F186" s="17"/>
      <c r="G186" s="18">
        <v>3980</v>
      </c>
      <c r="H186" s="18">
        <v>1</v>
      </c>
      <c r="I186" s="18">
        <v>3980</v>
      </c>
      <c r="J186" s="18">
        <v>1</v>
      </c>
      <c r="K186" s="1">
        <f t="shared" si="8"/>
        <v>597</v>
      </c>
      <c r="L186" s="6">
        <v>1534</v>
      </c>
      <c r="M186" s="6">
        <f t="shared" si="9"/>
        <v>1534</v>
      </c>
      <c r="N186" s="6">
        <f t="shared" si="10"/>
        <v>1849</v>
      </c>
      <c r="O186" s="8">
        <f t="shared" si="11"/>
        <v>0.46457286432160805</v>
      </c>
    </row>
    <row r="187" spans="1:15" ht="17" customHeight="1">
      <c r="A187" s="16" t="s">
        <v>555</v>
      </c>
      <c r="B187" s="17"/>
      <c r="C187" s="18" t="s">
        <v>556</v>
      </c>
      <c r="D187" s="18" t="s">
        <v>557</v>
      </c>
      <c r="E187" s="17"/>
      <c r="F187" s="17"/>
      <c r="G187" s="18">
        <v>3980</v>
      </c>
      <c r="H187" s="18">
        <v>1</v>
      </c>
      <c r="I187" s="18">
        <v>3980</v>
      </c>
      <c r="J187" s="18">
        <v>1</v>
      </c>
      <c r="K187" s="1">
        <f t="shared" si="8"/>
        <v>597</v>
      </c>
      <c r="L187" s="6">
        <v>1542</v>
      </c>
      <c r="M187" s="6">
        <f t="shared" si="9"/>
        <v>1542</v>
      </c>
      <c r="N187" s="6">
        <f t="shared" si="10"/>
        <v>1841</v>
      </c>
      <c r="O187" s="8">
        <f t="shared" si="11"/>
        <v>0.46256281407035177</v>
      </c>
    </row>
    <row r="188" spans="1:15" ht="17" customHeight="1">
      <c r="A188" s="16" t="s">
        <v>1722</v>
      </c>
      <c r="B188" s="17"/>
      <c r="C188" s="18" t="s">
        <v>1723</v>
      </c>
      <c r="D188" s="18" t="s">
        <v>1724</v>
      </c>
      <c r="E188" s="17"/>
      <c r="F188" s="17"/>
      <c r="G188" s="18">
        <v>3980</v>
      </c>
      <c r="H188" s="18">
        <v>1</v>
      </c>
      <c r="I188" s="18">
        <v>3980</v>
      </c>
      <c r="J188" s="18">
        <v>1</v>
      </c>
      <c r="K188" s="1">
        <f t="shared" si="8"/>
        <v>597</v>
      </c>
      <c r="L188" s="6">
        <v>2262</v>
      </c>
      <c r="M188" s="6">
        <f t="shared" si="9"/>
        <v>2262</v>
      </c>
      <c r="N188" s="6">
        <f t="shared" si="10"/>
        <v>1121</v>
      </c>
      <c r="O188" s="8">
        <f t="shared" si="11"/>
        <v>0.28165829145728644</v>
      </c>
    </row>
    <row r="189" spans="1:15" ht="17" customHeight="1">
      <c r="A189" s="16" t="s">
        <v>1725</v>
      </c>
      <c r="B189" s="17"/>
      <c r="C189" s="18" t="s">
        <v>1726</v>
      </c>
      <c r="D189" s="18">
        <v>419</v>
      </c>
      <c r="E189" s="17"/>
      <c r="F189" s="17"/>
      <c r="G189" s="18">
        <v>3980</v>
      </c>
      <c r="H189" s="18">
        <v>1</v>
      </c>
      <c r="I189" s="18">
        <v>3980</v>
      </c>
      <c r="J189" s="18">
        <v>1</v>
      </c>
      <c r="K189" s="1">
        <f t="shared" si="8"/>
        <v>597</v>
      </c>
      <c r="L189" s="6"/>
      <c r="M189" s="6">
        <f t="shared" si="9"/>
        <v>0</v>
      </c>
      <c r="N189" s="6">
        <f t="shared" si="10"/>
        <v>3383</v>
      </c>
      <c r="O189" s="8">
        <f t="shared" si="11"/>
        <v>0.85</v>
      </c>
    </row>
    <row r="190" spans="1:15" ht="17" customHeight="1">
      <c r="A190" s="16" t="s">
        <v>1727</v>
      </c>
      <c r="B190" s="17"/>
      <c r="C190" s="18" t="s">
        <v>502</v>
      </c>
      <c r="D190" s="18" t="s">
        <v>503</v>
      </c>
      <c r="E190" s="17"/>
      <c r="F190" s="17"/>
      <c r="G190" s="18">
        <v>3980</v>
      </c>
      <c r="H190" s="18">
        <v>1</v>
      </c>
      <c r="I190" s="18">
        <v>3980</v>
      </c>
      <c r="J190" s="18">
        <v>1</v>
      </c>
      <c r="K190" s="1">
        <f t="shared" si="8"/>
        <v>597</v>
      </c>
      <c r="L190" s="6">
        <v>1980</v>
      </c>
      <c r="M190" s="6">
        <f t="shared" si="9"/>
        <v>1980</v>
      </c>
      <c r="N190" s="6">
        <f t="shared" si="10"/>
        <v>1403</v>
      </c>
      <c r="O190" s="8">
        <f t="shared" si="11"/>
        <v>0.35251256281407034</v>
      </c>
    </row>
    <row r="191" spans="1:15" ht="17" customHeight="1">
      <c r="A191" s="16" t="s">
        <v>1637</v>
      </c>
      <c r="B191" s="18" t="s">
        <v>1728</v>
      </c>
      <c r="C191" s="18" t="s">
        <v>1639</v>
      </c>
      <c r="D191" s="18" t="s">
        <v>1640</v>
      </c>
      <c r="E191" s="18" t="s">
        <v>1729</v>
      </c>
      <c r="F191" s="17"/>
      <c r="G191" s="18">
        <v>3980</v>
      </c>
      <c r="H191" s="18">
        <v>1</v>
      </c>
      <c r="I191" s="18">
        <v>3980</v>
      </c>
      <c r="J191" s="18">
        <v>1</v>
      </c>
      <c r="K191" s="1">
        <f t="shared" si="8"/>
        <v>597</v>
      </c>
      <c r="L191" s="6">
        <v>1133</v>
      </c>
      <c r="M191" s="6">
        <f t="shared" si="9"/>
        <v>1133</v>
      </c>
      <c r="N191" s="6">
        <f t="shared" si="10"/>
        <v>2250</v>
      </c>
      <c r="O191" s="8">
        <f t="shared" si="11"/>
        <v>0.5653266331658291</v>
      </c>
    </row>
    <row r="192" spans="1:15" ht="17" customHeight="1">
      <c r="A192" s="16" t="s">
        <v>987</v>
      </c>
      <c r="B192" s="17"/>
      <c r="C192" s="18" t="s">
        <v>988</v>
      </c>
      <c r="D192" s="18" t="s">
        <v>989</v>
      </c>
      <c r="E192" s="17"/>
      <c r="F192" s="17"/>
      <c r="G192" s="18">
        <v>3980</v>
      </c>
      <c r="H192" s="18">
        <v>1</v>
      </c>
      <c r="I192" s="18">
        <v>3980</v>
      </c>
      <c r="J192" s="18">
        <v>1</v>
      </c>
      <c r="K192" s="1">
        <f t="shared" si="8"/>
        <v>597</v>
      </c>
      <c r="L192" s="6">
        <v>2200</v>
      </c>
      <c r="M192" s="6">
        <f t="shared" si="9"/>
        <v>2200</v>
      </c>
      <c r="N192" s="6">
        <f t="shared" si="10"/>
        <v>1183</v>
      </c>
      <c r="O192" s="8">
        <f t="shared" si="11"/>
        <v>0.29723618090452264</v>
      </c>
    </row>
    <row r="193" spans="1:15" ht="17" customHeight="1">
      <c r="A193" s="16" t="s">
        <v>1730</v>
      </c>
      <c r="B193" s="17"/>
      <c r="C193" s="18" t="s">
        <v>1731</v>
      </c>
      <c r="D193" s="18" t="s">
        <v>1732</v>
      </c>
      <c r="E193" s="17"/>
      <c r="F193" s="17"/>
      <c r="G193" s="18">
        <v>3980</v>
      </c>
      <c r="H193" s="18">
        <v>1</v>
      </c>
      <c r="I193" s="18">
        <v>3980</v>
      </c>
      <c r="J193" s="18">
        <v>1</v>
      </c>
      <c r="K193" s="1">
        <f t="shared" si="8"/>
        <v>597</v>
      </c>
      <c r="L193" s="6">
        <v>1182</v>
      </c>
      <c r="M193" s="6">
        <f t="shared" si="9"/>
        <v>1182</v>
      </c>
      <c r="N193" s="6">
        <f t="shared" si="10"/>
        <v>2201</v>
      </c>
      <c r="O193" s="8">
        <f t="shared" si="11"/>
        <v>0.55301507537688444</v>
      </c>
    </row>
    <row r="194" spans="1:15" ht="17" customHeight="1">
      <c r="A194" s="16" t="s">
        <v>525</v>
      </c>
      <c r="B194" s="17"/>
      <c r="C194" s="18" t="s">
        <v>526</v>
      </c>
      <c r="D194" s="18" t="s">
        <v>1733</v>
      </c>
      <c r="E194" s="17"/>
      <c r="F194" s="17"/>
      <c r="G194" s="18">
        <v>3980</v>
      </c>
      <c r="H194" s="18">
        <v>1</v>
      </c>
      <c r="I194" s="18">
        <v>3980</v>
      </c>
      <c r="J194" s="18">
        <v>1</v>
      </c>
      <c r="K194" s="1">
        <f t="shared" si="8"/>
        <v>597</v>
      </c>
      <c r="L194" s="6">
        <v>972</v>
      </c>
      <c r="M194" s="6">
        <f t="shared" si="9"/>
        <v>972</v>
      </c>
      <c r="N194" s="6">
        <f t="shared" si="10"/>
        <v>2411</v>
      </c>
      <c r="O194" s="8">
        <f t="shared" si="11"/>
        <v>0.60577889447236177</v>
      </c>
    </row>
    <row r="195" spans="1:15" ht="17" customHeight="1">
      <c r="A195" s="16" t="s">
        <v>1201</v>
      </c>
      <c r="B195" s="17"/>
      <c r="C195" s="18" t="s">
        <v>1202</v>
      </c>
      <c r="D195" s="18" t="s">
        <v>1203</v>
      </c>
      <c r="E195" s="17"/>
      <c r="F195" s="17"/>
      <c r="G195" s="18">
        <v>3980</v>
      </c>
      <c r="H195" s="18">
        <v>1</v>
      </c>
      <c r="I195" s="18">
        <v>3980</v>
      </c>
      <c r="J195" s="18">
        <v>1</v>
      </c>
      <c r="K195" s="1">
        <f t="shared" si="8"/>
        <v>597</v>
      </c>
      <c r="L195" s="6">
        <v>2199</v>
      </c>
      <c r="M195" s="6">
        <f t="shared" si="9"/>
        <v>2199</v>
      </c>
      <c r="N195" s="6">
        <f t="shared" si="10"/>
        <v>1184</v>
      </c>
      <c r="O195" s="8">
        <f t="shared" si="11"/>
        <v>0.29748743718592963</v>
      </c>
    </row>
    <row r="196" spans="1:15" ht="17" customHeight="1">
      <c r="A196" s="16" t="s">
        <v>858</v>
      </c>
      <c r="B196" s="17"/>
      <c r="C196" s="18" t="s">
        <v>859</v>
      </c>
      <c r="D196" s="18" t="s">
        <v>1734</v>
      </c>
      <c r="E196" s="17"/>
      <c r="F196" s="17"/>
      <c r="G196" s="18">
        <v>3980</v>
      </c>
      <c r="H196" s="18">
        <v>1</v>
      </c>
      <c r="I196" s="18">
        <v>3980</v>
      </c>
      <c r="J196" s="18">
        <v>1</v>
      </c>
      <c r="K196" s="1">
        <f t="shared" si="8"/>
        <v>597</v>
      </c>
      <c r="L196" s="6">
        <v>1200</v>
      </c>
      <c r="M196" s="6">
        <f t="shared" si="9"/>
        <v>1200</v>
      </c>
      <c r="N196" s="6">
        <f t="shared" si="10"/>
        <v>2183</v>
      </c>
      <c r="O196" s="8">
        <f t="shared" si="11"/>
        <v>0.54849246231155779</v>
      </c>
    </row>
    <row r="197" spans="1:15" ht="17" customHeight="1">
      <c r="A197" s="16" t="s">
        <v>528</v>
      </c>
      <c r="B197" s="17"/>
      <c r="C197" s="18" t="s">
        <v>529</v>
      </c>
      <c r="D197" s="18" t="s">
        <v>1735</v>
      </c>
      <c r="E197" s="17"/>
      <c r="F197" s="17"/>
      <c r="G197" s="18">
        <v>3980</v>
      </c>
      <c r="H197" s="18">
        <v>1</v>
      </c>
      <c r="I197" s="18">
        <v>3980</v>
      </c>
      <c r="J197" s="18">
        <v>1</v>
      </c>
      <c r="K197" s="1">
        <f t="shared" si="8"/>
        <v>597</v>
      </c>
      <c r="L197" s="6">
        <v>1311</v>
      </c>
      <c r="M197" s="6">
        <f t="shared" si="9"/>
        <v>1311</v>
      </c>
      <c r="N197" s="6">
        <f t="shared" si="10"/>
        <v>2072</v>
      </c>
      <c r="O197" s="8">
        <f t="shared" si="11"/>
        <v>0.52060301507537687</v>
      </c>
    </row>
    <row r="198" spans="1:15" ht="17" customHeight="1">
      <c r="A198" s="16" t="s">
        <v>1637</v>
      </c>
      <c r="B198" s="18" t="s">
        <v>1208</v>
      </c>
      <c r="C198" s="18" t="s">
        <v>1639</v>
      </c>
      <c r="D198" s="18" t="s">
        <v>1640</v>
      </c>
      <c r="E198" s="18" t="s">
        <v>1736</v>
      </c>
      <c r="F198" s="17"/>
      <c r="G198" s="18">
        <v>3980</v>
      </c>
      <c r="H198" s="18">
        <v>1</v>
      </c>
      <c r="I198" s="18">
        <v>3980</v>
      </c>
      <c r="J198" s="18">
        <v>1</v>
      </c>
      <c r="K198" s="1">
        <f t="shared" si="8"/>
        <v>597</v>
      </c>
      <c r="L198" s="6">
        <v>1133</v>
      </c>
      <c r="M198" s="6">
        <f t="shared" si="9"/>
        <v>1133</v>
      </c>
      <c r="N198" s="6">
        <f t="shared" si="10"/>
        <v>2250</v>
      </c>
      <c r="O198" s="8">
        <f t="shared" si="11"/>
        <v>0.5653266331658291</v>
      </c>
    </row>
    <row r="199" spans="1:15" ht="17" customHeight="1">
      <c r="A199" s="16" t="s">
        <v>521</v>
      </c>
      <c r="B199" s="17"/>
      <c r="C199" s="18" t="s">
        <v>522</v>
      </c>
      <c r="D199" s="18" t="s">
        <v>1737</v>
      </c>
      <c r="E199" s="17"/>
      <c r="F199" s="17"/>
      <c r="G199" s="18">
        <v>3980</v>
      </c>
      <c r="H199" s="18">
        <v>1</v>
      </c>
      <c r="I199" s="18">
        <v>3980</v>
      </c>
      <c r="J199" s="18">
        <v>1</v>
      </c>
      <c r="K199" s="1">
        <f t="shared" si="8"/>
        <v>597</v>
      </c>
      <c r="L199" s="6">
        <v>2283</v>
      </c>
      <c r="M199" s="6">
        <f t="shared" si="9"/>
        <v>2283</v>
      </c>
      <c r="N199" s="6">
        <f t="shared" si="10"/>
        <v>1100</v>
      </c>
      <c r="O199" s="8">
        <f t="shared" si="11"/>
        <v>0.27638190954773867</v>
      </c>
    </row>
    <row r="200" spans="1:15" ht="17" customHeight="1">
      <c r="A200" s="16" t="s">
        <v>1738</v>
      </c>
      <c r="B200" s="17"/>
      <c r="C200" s="18" t="s">
        <v>1739</v>
      </c>
      <c r="D200" s="18" t="s">
        <v>1740</v>
      </c>
      <c r="E200" s="17"/>
      <c r="F200" s="17"/>
      <c r="G200" s="18">
        <v>3980</v>
      </c>
      <c r="H200" s="18">
        <v>1</v>
      </c>
      <c r="I200" s="18">
        <v>3980</v>
      </c>
      <c r="J200" s="18">
        <v>1</v>
      </c>
      <c r="K200" s="1">
        <f t="shared" ref="K200:K263" si="12">SUM(I200*0.15)</f>
        <v>597</v>
      </c>
      <c r="L200" s="6">
        <v>2262</v>
      </c>
      <c r="M200" s="6">
        <f t="shared" ref="M200:M263" si="13">SUM(H200*L200)</f>
        <v>2262</v>
      </c>
      <c r="N200" s="6">
        <f t="shared" ref="N200:N263" si="14">SUM(I200-K200-M200)</f>
        <v>1121</v>
      </c>
      <c r="O200" s="8">
        <f t="shared" ref="O200:O263" si="15">IF(I200=0,"",N200/I200)</f>
        <v>0.28165829145728644</v>
      </c>
    </row>
    <row r="201" spans="1:15" ht="17" customHeight="1">
      <c r="A201" s="16" t="s">
        <v>1741</v>
      </c>
      <c r="B201" s="17"/>
      <c r="C201" s="18" t="s">
        <v>1742</v>
      </c>
      <c r="D201" s="18" t="s">
        <v>1743</v>
      </c>
      <c r="E201" s="17"/>
      <c r="F201" s="17"/>
      <c r="G201" s="18">
        <v>3980</v>
      </c>
      <c r="H201" s="18">
        <v>1</v>
      </c>
      <c r="I201" s="18">
        <v>3980</v>
      </c>
      <c r="J201" s="18">
        <v>1</v>
      </c>
      <c r="K201" s="1">
        <f t="shared" si="12"/>
        <v>597</v>
      </c>
      <c r="L201" s="6">
        <v>1644</v>
      </c>
      <c r="M201" s="6">
        <f t="shared" si="13"/>
        <v>1644</v>
      </c>
      <c r="N201" s="6">
        <f t="shared" si="14"/>
        <v>1739</v>
      </c>
      <c r="O201" s="8">
        <f t="shared" si="15"/>
        <v>0.43693467336683417</v>
      </c>
    </row>
    <row r="202" spans="1:15" ht="17" customHeight="1">
      <c r="A202" s="16" t="s">
        <v>1744</v>
      </c>
      <c r="B202" s="17"/>
      <c r="C202" s="18" t="s">
        <v>1745</v>
      </c>
      <c r="D202" s="18" t="s">
        <v>1746</v>
      </c>
      <c r="E202" s="17"/>
      <c r="F202" s="17"/>
      <c r="G202" s="18">
        <v>3980</v>
      </c>
      <c r="H202" s="18">
        <v>1</v>
      </c>
      <c r="I202" s="18">
        <v>3980</v>
      </c>
      <c r="J202" s="18">
        <v>1</v>
      </c>
      <c r="K202" s="1">
        <f t="shared" si="12"/>
        <v>597</v>
      </c>
      <c r="L202" s="6">
        <v>2060</v>
      </c>
      <c r="M202" s="6">
        <f t="shared" si="13"/>
        <v>2060</v>
      </c>
      <c r="N202" s="6">
        <f t="shared" si="14"/>
        <v>1323</v>
      </c>
      <c r="O202" s="8">
        <f t="shared" si="15"/>
        <v>0.33241206030150755</v>
      </c>
    </row>
    <row r="203" spans="1:15" ht="17" customHeight="1">
      <c r="A203" s="16" t="s">
        <v>1565</v>
      </c>
      <c r="B203" s="18" t="s">
        <v>1747</v>
      </c>
      <c r="C203" s="18" t="s">
        <v>1205</v>
      </c>
      <c r="D203" s="18" t="s">
        <v>1206</v>
      </c>
      <c r="E203" s="18" t="s">
        <v>1748</v>
      </c>
      <c r="F203" s="17"/>
      <c r="G203" s="18">
        <v>3980</v>
      </c>
      <c r="H203" s="18">
        <v>1</v>
      </c>
      <c r="I203" s="18">
        <v>3980</v>
      </c>
      <c r="J203" s="18">
        <v>1</v>
      </c>
      <c r="K203" s="1">
        <f t="shared" si="12"/>
        <v>597</v>
      </c>
      <c r="L203" s="6">
        <v>1014</v>
      </c>
      <c r="M203" s="6">
        <f t="shared" si="13"/>
        <v>1014</v>
      </c>
      <c r="N203" s="6">
        <f t="shared" si="14"/>
        <v>2369</v>
      </c>
      <c r="O203" s="8">
        <f t="shared" si="15"/>
        <v>0.59522613065326635</v>
      </c>
    </row>
    <row r="204" spans="1:15" ht="17" customHeight="1">
      <c r="A204" s="16" t="s">
        <v>1749</v>
      </c>
      <c r="B204" s="17"/>
      <c r="C204" s="18" t="s">
        <v>1750</v>
      </c>
      <c r="D204" s="18" t="s">
        <v>1751</v>
      </c>
      <c r="E204" s="17"/>
      <c r="F204" s="17"/>
      <c r="G204" s="18">
        <v>3980</v>
      </c>
      <c r="H204" s="18">
        <v>1</v>
      </c>
      <c r="I204" s="18">
        <v>3980</v>
      </c>
      <c r="J204" s="18">
        <v>1</v>
      </c>
      <c r="K204" s="1">
        <f t="shared" si="12"/>
        <v>597</v>
      </c>
      <c r="L204" s="6">
        <v>2110</v>
      </c>
      <c r="M204" s="6">
        <f t="shared" si="13"/>
        <v>2110</v>
      </c>
      <c r="N204" s="6">
        <f t="shared" si="14"/>
        <v>1273</v>
      </c>
      <c r="O204" s="8">
        <f t="shared" si="15"/>
        <v>0.31984924623115579</v>
      </c>
    </row>
    <row r="205" spans="1:15" ht="17" customHeight="1">
      <c r="A205" s="16" t="s">
        <v>1752</v>
      </c>
      <c r="B205" s="18" t="s">
        <v>1753</v>
      </c>
      <c r="C205" s="18" t="s">
        <v>1754</v>
      </c>
      <c r="D205" s="18" t="s">
        <v>1640</v>
      </c>
      <c r="E205" s="18" t="s">
        <v>1755</v>
      </c>
      <c r="F205" s="17"/>
      <c r="G205" s="18">
        <v>3980</v>
      </c>
      <c r="H205" s="18">
        <v>1</v>
      </c>
      <c r="I205" s="18">
        <v>3980</v>
      </c>
      <c r="J205" s="18">
        <v>1</v>
      </c>
      <c r="K205" s="1">
        <f t="shared" si="12"/>
        <v>597</v>
      </c>
      <c r="L205" s="6">
        <v>1133</v>
      </c>
      <c r="M205" s="6">
        <f t="shared" si="13"/>
        <v>1133</v>
      </c>
      <c r="N205" s="6">
        <f t="shared" si="14"/>
        <v>2250</v>
      </c>
      <c r="O205" s="8">
        <f t="shared" si="15"/>
        <v>0.5653266331658291</v>
      </c>
    </row>
    <row r="206" spans="1:15" ht="17" customHeight="1">
      <c r="A206" s="16" t="s">
        <v>1756</v>
      </c>
      <c r="B206" s="17"/>
      <c r="C206" s="18" t="s">
        <v>1757</v>
      </c>
      <c r="D206" s="18" t="s">
        <v>1758</v>
      </c>
      <c r="E206" s="17"/>
      <c r="F206" s="17"/>
      <c r="G206" s="18">
        <v>3980</v>
      </c>
      <c r="H206" s="18">
        <v>1</v>
      </c>
      <c r="I206" s="18">
        <v>3980</v>
      </c>
      <c r="J206" s="18">
        <v>1</v>
      </c>
      <c r="K206" s="1">
        <f t="shared" si="12"/>
        <v>597</v>
      </c>
      <c r="L206" s="6">
        <v>1534</v>
      </c>
      <c r="M206" s="6">
        <f t="shared" si="13"/>
        <v>1534</v>
      </c>
      <c r="N206" s="6">
        <f t="shared" si="14"/>
        <v>1849</v>
      </c>
      <c r="O206" s="8">
        <f t="shared" si="15"/>
        <v>0.46457286432160805</v>
      </c>
    </row>
    <row r="207" spans="1:15" ht="17" customHeight="1">
      <c r="A207" s="16" t="s">
        <v>550</v>
      </c>
      <c r="B207" s="17"/>
      <c r="C207" s="18" t="s">
        <v>551</v>
      </c>
      <c r="D207" s="18" t="s">
        <v>552</v>
      </c>
      <c r="E207" s="17"/>
      <c r="F207" s="17"/>
      <c r="G207" s="18">
        <v>3980</v>
      </c>
      <c r="H207" s="18">
        <v>1</v>
      </c>
      <c r="I207" s="18">
        <v>3980</v>
      </c>
      <c r="J207" s="18">
        <v>1</v>
      </c>
      <c r="K207" s="1">
        <f t="shared" si="12"/>
        <v>597</v>
      </c>
      <c r="L207" s="6">
        <v>2211</v>
      </c>
      <c r="M207" s="6">
        <f t="shared" si="13"/>
        <v>2211</v>
      </c>
      <c r="N207" s="6">
        <f t="shared" si="14"/>
        <v>1172</v>
      </c>
      <c r="O207" s="8">
        <f t="shared" si="15"/>
        <v>0.29447236180904524</v>
      </c>
    </row>
    <row r="208" spans="1:15" ht="17" customHeight="1">
      <c r="A208" s="16" t="s">
        <v>486</v>
      </c>
      <c r="B208" s="17"/>
      <c r="C208" s="18" t="s">
        <v>487</v>
      </c>
      <c r="D208" s="18" t="s">
        <v>1219</v>
      </c>
      <c r="E208" s="17"/>
      <c r="F208" s="17"/>
      <c r="G208" s="18">
        <v>1980</v>
      </c>
      <c r="H208" s="18">
        <v>2</v>
      </c>
      <c r="I208" s="18">
        <v>3960</v>
      </c>
      <c r="J208" s="18">
        <v>2</v>
      </c>
      <c r="K208" s="1">
        <f t="shared" si="12"/>
        <v>594</v>
      </c>
      <c r="L208" s="6">
        <v>358</v>
      </c>
      <c r="M208" s="6">
        <f t="shared" si="13"/>
        <v>716</v>
      </c>
      <c r="N208" s="6">
        <f t="shared" si="14"/>
        <v>2650</v>
      </c>
      <c r="O208" s="8">
        <f t="shared" si="15"/>
        <v>0.66919191919191923</v>
      </c>
    </row>
    <row r="209" spans="1:15" ht="17" customHeight="1">
      <c r="A209" s="16" t="s">
        <v>1759</v>
      </c>
      <c r="B209" s="17"/>
      <c r="C209" s="18" t="s">
        <v>1121</v>
      </c>
      <c r="D209" s="18" t="s">
        <v>1122</v>
      </c>
      <c r="E209" s="17"/>
      <c r="F209" s="17"/>
      <c r="G209" s="18">
        <v>1980</v>
      </c>
      <c r="H209" s="18">
        <v>2</v>
      </c>
      <c r="I209" s="18">
        <v>3960</v>
      </c>
      <c r="J209" s="18">
        <v>2</v>
      </c>
      <c r="K209" s="1">
        <f t="shared" si="12"/>
        <v>594</v>
      </c>
      <c r="L209" s="6">
        <v>764</v>
      </c>
      <c r="M209" s="6">
        <f t="shared" si="13"/>
        <v>1528</v>
      </c>
      <c r="N209" s="6">
        <f t="shared" si="14"/>
        <v>1838</v>
      </c>
      <c r="O209" s="8">
        <f t="shared" si="15"/>
        <v>0.46414141414141413</v>
      </c>
    </row>
    <row r="210" spans="1:15" ht="17" customHeight="1">
      <c r="A210" s="16" t="s">
        <v>1760</v>
      </c>
      <c r="B210" s="17"/>
      <c r="C210" s="18" t="s">
        <v>1761</v>
      </c>
      <c r="D210" s="18" t="s">
        <v>1762</v>
      </c>
      <c r="E210" s="17"/>
      <c r="F210" s="17"/>
      <c r="G210" s="18">
        <v>1980</v>
      </c>
      <c r="H210" s="18">
        <v>2</v>
      </c>
      <c r="I210" s="18">
        <v>3960</v>
      </c>
      <c r="J210" s="18">
        <v>2</v>
      </c>
      <c r="K210" s="1">
        <f t="shared" si="12"/>
        <v>594</v>
      </c>
      <c r="L210" s="6">
        <v>891</v>
      </c>
      <c r="M210" s="6">
        <f t="shared" si="13"/>
        <v>1782</v>
      </c>
      <c r="N210" s="6">
        <f t="shared" si="14"/>
        <v>1584</v>
      </c>
      <c r="O210" s="8">
        <f t="shared" si="15"/>
        <v>0.4</v>
      </c>
    </row>
    <row r="211" spans="1:15" ht="17" customHeight="1">
      <c r="A211" s="16" t="s">
        <v>742</v>
      </c>
      <c r="B211" s="17"/>
      <c r="C211" s="18" t="s">
        <v>743</v>
      </c>
      <c r="D211" s="18" t="s">
        <v>744</v>
      </c>
      <c r="E211" s="17"/>
      <c r="F211" s="17"/>
      <c r="G211" s="18">
        <v>1980</v>
      </c>
      <c r="H211" s="18">
        <v>2</v>
      </c>
      <c r="I211" s="18">
        <v>3960</v>
      </c>
      <c r="J211" s="18">
        <v>2</v>
      </c>
      <c r="K211" s="1">
        <f t="shared" si="12"/>
        <v>594</v>
      </c>
      <c r="L211" s="6">
        <v>979</v>
      </c>
      <c r="M211" s="6">
        <f t="shared" si="13"/>
        <v>1958</v>
      </c>
      <c r="N211" s="6">
        <f t="shared" si="14"/>
        <v>1408</v>
      </c>
      <c r="O211" s="8">
        <f t="shared" si="15"/>
        <v>0.35555555555555557</v>
      </c>
    </row>
    <row r="212" spans="1:15" ht="17" customHeight="1">
      <c r="A212" s="16" t="s">
        <v>1235</v>
      </c>
      <c r="B212" s="17"/>
      <c r="C212" s="18" t="s">
        <v>565</v>
      </c>
      <c r="D212" s="18" t="s">
        <v>1236</v>
      </c>
      <c r="E212" s="17"/>
      <c r="F212" s="17"/>
      <c r="G212" s="18">
        <v>1980</v>
      </c>
      <c r="H212" s="18">
        <v>2</v>
      </c>
      <c r="I212" s="18">
        <v>3960</v>
      </c>
      <c r="J212" s="18">
        <v>2</v>
      </c>
      <c r="K212" s="1">
        <f t="shared" si="12"/>
        <v>594</v>
      </c>
      <c r="L212" s="6">
        <v>533</v>
      </c>
      <c r="M212" s="6">
        <f t="shared" si="13"/>
        <v>1066</v>
      </c>
      <c r="N212" s="6">
        <f t="shared" si="14"/>
        <v>2300</v>
      </c>
      <c r="O212" s="8">
        <f t="shared" si="15"/>
        <v>0.58080808080808077</v>
      </c>
    </row>
    <row r="213" spans="1:15" ht="17" customHeight="1">
      <c r="A213" s="16" t="s">
        <v>153</v>
      </c>
      <c r="B213" s="17"/>
      <c r="C213" s="18" t="s">
        <v>154</v>
      </c>
      <c r="D213" s="18" t="s">
        <v>1763</v>
      </c>
      <c r="E213" s="17"/>
      <c r="F213" s="17"/>
      <c r="G213" s="18">
        <v>3900</v>
      </c>
      <c r="H213" s="18">
        <v>1</v>
      </c>
      <c r="I213" s="18">
        <v>3900</v>
      </c>
      <c r="J213" s="18">
        <v>1</v>
      </c>
      <c r="K213" s="1">
        <f t="shared" si="12"/>
        <v>585</v>
      </c>
      <c r="L213" s="6">
        <v>2970</v>
      </c>
      <c r="M213" s="6">
        <f t="shared" si="13"/>
        <v>2970</v>
      </c>
      <c r="N213" s="6">
        <f t="shared" si="14"/>
        <v>345</v>
      </c>
      <c r="O213" s="8">
        <f t="shared" si="15"/>
        <v>8.8461538461538466E-2</v>
      </c>
    </row>
    <row r="214" spans="1:15" ht="17" customHeight="1">
      <c r="A214" s="16" t="s">
        <v>1764</v>
      </c>
      <c r="B214" s="17"/>
      <c r="C214" s="18" t="s">
        <v>1765</v>
      </c>
      <c r="D214" s="18" t="s">
        <v>1766</v>
      </c>
      <c r="E214" s="17"/>
      <c r="F214" s="17"/>
      <c r="G214" s="18">
        <v>1280</v>
      </c>
      <c r="H214" s="18">
        <v>3</v>
      </c>
      <c r="I214" s="18">
        <v>3840</v>
      </c>
      <c r="J214" s="18">
        <v>3</v>
      </c>
      <c r="K214" s="1">
        <f t="shared" si="12"/>
        <v>576</v>
      </c>
      <c r="L214" s="6">
        <v>439</v>
      </c>
      <c r="M214" s="6">
        <f t="shared" si="13"/>
        <v>1317</v>
      </c>
      <c r="N214" s="6">
        <f t="shared" si="14"/>
        <v>1947</v>
      </c>
      <c r="O214" s="8">
        <f t="shared" si="15"/>
        <v>0.50703125000000004</v>
      </c>
    </row>
    <row r="215" spans="1:15" ht="17" customHeight="1">
      <c r="A215" s="16" t="s">
        <v>1767</v>
      </c>
      <c r="B215" s="18" t="s">
        <v>1768</v>
      </c>
      <c r="C215" s="18" t="s">
        <v>575</v>
      </c>
      <c r="D215" s="18" t="s">
        <v>1769</v>
      </c>
      <c r="E215" s="18" t="s">
        <v>1770</v>
      </c>
      <c r="F215" s="17"/>
      <c r="G215" s="18">
        <v>3780</v>
      </c>
      <c r="H215" s="18">
        <v>1</v>
      </c>
      <c r="I215" s="18">
        <v>3780</v>
      </c>
      <c r="J215" s="18">
        <v>1</v>
      </c>
      <c r="K215" s="1">
        <f t="shared" si="12"/>
        <v>567</v>
      </c>
      <c r="L215" s="6">
        <v>2191</v>
      </c>
      <c r="M215" s="6">
        <f t="shared" si="13"/>
        <v>2191</v>
      </c>
      <c r="N215" s="6">
        <f t="shared" si="14"/>
        <v>1022</v>
      </c>
      <c r="O215" s="8">
        <f t="shared" si="15"/>
        <v>0.27037037037037037</v>
      </c>
    </row>
    <row r="216" spans="1:15" ht="17" customHeight="1">
      <c r="A216" s="16" t="s">
        <v>1237</v>
      </c>
      <c r="B216" s="17"/>
      <c r="C216" s="18" t="s">
        <v>1238</v>
      </c>
      <c r="D216" s="18" t="s">
        <v>1239</v>
      </c>
      <c r="E216" s="17"/>
      <c r="F216" s="17"/>
      <c r="G216" s="18">
        <v>3780</v>
      </c>
      <c r="H216" s="18">
        <v>1</v>
      </c>
      <c r="I216" s="18">
        <v>3780</v>
      </c>
      <c r="J216" s="18">
        <v>1</v>
      </c>
      <c r="K216" s="1">
        <f t="shared" si="12"/>
        <v>567</v>
      </c>
      <c r="L216" s="6">
        <v>2514</v>
      </c>
      <c r="M216" s="6">
        <f t="shared" si="13"/>
        <v>2514</v>
      </c>
      <c r="N216" s="6">
        <f t="shared" si="14"/>
        <v>699</v>
      </c>
      <c r="O216" s="8">
        <f t="shared" si="15"/>
        <v>0.18492063492063493</v>
      </c>
    </row>
    <row r="217" spans="1:15" ht="17" customHeight="1">
      <c r="A217" s="16" t="s">
        <v>188</v>
      </c>
      <c r="B217" s="17"/>
      <c r="C217" s="18" t="s">
        <v>189</v>
      </c>
      <c r="D217" s="18" t="s">
        <v>1771</v>
      </c>
      <c r="E217" s="17"/>
      <c r="F217" s="17"/>
      <c r="G217" s="18">
        <v>1780</v>
      </c>
      <c r="H217" s="18">
        <v>2</v>
      </c>
      <c r="I217" s="18">
        <v>3560</v>
      </c>
      <c r="J217" s="18">
        <v>1</v>
      </c>
      <c r="K217" s="1">
        <f t="shared" si="12"/>
        <v>534</v>
      </c>
      <c r="L217" s="6">
        <v>970</v>
      </c>
      <c r="M217" s="6">
        <f t="shared" si="13"/>
        <v>1940</v>
      </c>
      <c r="N217" s="6">
        <f t="shared" si="14"/>
        <v>1086</v>
      </c>
      <c r="O217" s="8">
        <f t="shared" si="15"/>
        <v>0.30505617977528088</v>
      </c>
    </row>
    <row r="218" spans="1:15" ht="17" customHeight="1">
      <c r="A218" s="16" t="s">
        <v>1095</v>
      </c>
      <c r="B218" s="17"/>
      <c r="C218" s="18" t="s">
        <v>584</v>
      </c>
      <c r="D218" s="18" t="s">
        <v>1096</v>
      </c>
      <c r="E218" s="17"/>
      <c r="F218" s="17"/>
      <c r="G218" s="18">
        <v>1680</v>
      </c>
      <c r="H218" s="18">
        <v>2</v>
      </c>
      <c r="I218" s="18">
        <v>3360</v>
      </c>
      <c r="J218" s="18">
        <v>2</v>
      </c>
      <c r="K218" s="1">
        <f t="shared" si="12"/>
        <v>504</v>
      </c>
      <c r="L218" s="6">
        <v>648</v>
      </c>
      <c r="M218" s="6">
        <f t="shared" si="13"/>
        <v>1296</v>
      </c>
      <c r="N218" s="6">
        <f t="shared" si="14"/>
        <v>1560</v>
      </c>
      <c r="O218" s="8">
        <f t="shared" si="15"/>
        <v>0.4642857142857143</v>
      </c>
    </row>
    <row r="219" spans="1:15" ht="17" customHeight="1">
      <c r="A219" s="16" t="s">
        <v>1772</v>
      </c>
      <c r="B219" s="17"/>
      <c r="C219" s="18" t="s">
        <v>1773</v>
      </c>
      <c r="D219" s="18" t="s">
        <v>1774</v>
      </c>
      <c r="E219" s="17"/>
      <c r="F219" s="17"/>
      <c r="G219" s="18">
        <v>3280</v>
      </c>
      <c r="H219" s="18">
        <v>1</v>
      </c>
      <c r="I219" s="18">
        <v>3280</v>
      </c>
      <c r="J219" s="18">
        <v>1</v>
      </c>
      <c r="K219" s="1">
        <f t="shared" si="12"/>
        <v>492</v>
      </c>
      <c r="L219" s="6">
        <v>1881</v>
      </c>
      <c r="M219" s="6">
        <f t="shared" si="13"/>
        <v>1881</v>
      </c>
      <c r="N219" s="6">
        <f t="shared" si="14"/>
        <v>907</v>
      </c>
      <c r="O219" s="8">
        <f t="shared" si="15"/>
        <v>0.27652439024390246</v>
      </c>
    </row>
    <row r="220" spans="1:15" ht="17" customHeight="1">
      <c r="A220" s="16" t="s">
        <v>1775</v>
      </c>
      <c r="B220" s="17"/>
      <c r="C220" s="18" t="s">
        <v>1776</v>
      </c>
      <c r="D220" s="18" t="s">
        <v>1777</v>
      </c>
      <c r="E220" s="17"/>
      <c r="F220" s="17"/>
      <c r="G220" s="18">
        <v>3280</v>
      </c>
      <c r="H220" s="18">
        <v>1</v>
      </c>
      <c r="I220" s="18">
        <v>3280</v>
      </c>
      <c r="J220" s="18">
        <v>1</v>
      </c>
      <c r="K220" s="1">
        <f t="shared" si="12"/>
        <v>492</v>
      </c>
      <c r="L220" s="6">
        <v>1931</v>
      </c>
      <c r="M220" s="6">
        <f t="shared" si="13"/>
        <v>1931</v>
      </c>
      <c r="N220" s="6">
        <f t="shared" si="14"/>
        <v>857</v>
      </c>
      <c r="O220" s="8">
        <f t="shared" si="15"/>
        <v>0.26128048780487806</v>
      </c>
    </row>
    <row r="221" spans="1:15" ht="17" customHeight="1">
      <c r="A221" s="16" t="s">
        <v>1261</v>
      </c>
      <c r="B221" s="17"/>
      <c r="C221" s="18" t="s">
        <v>1262</v>
      </c>
      <c r="D221" s="18" t="s">
        <v>1263</v>
      </c>
      <c r="E221" s="17"/>
      <c r="F221" s="17"/>
      <c r="G221" s="18">
        <v>3280</v>
      </c>
      <c r="H221" s="18">
        <v>1</v>
      </c>
      <c r="I221" s="18">
        <v>3280</v>
      </c>
      <c r="J221" s="18">
        <v>1</v>
      </c>
      <c r="K221" s="1">
        <f t="shared" si="12"/>
        <v>492</v>
      </c>
      <c r="L221" s="6">
        <v>1978</v>
      </c>
      <c r="M221" s="6">
        <f t="shared" si="13"/>
        <v>1978</v>
      </c>
      <c r="N221" s="6">
        <f t="shared" si="14"/>
        <v>810</v>
      </c>
      <c r="O221" s="8">
        <f t="shared" si="15"/>
        <v>0.24695121951219512</v>
      </c>
    </row>
    <row r="222" spans="1:15" ht="17" customHeight="1">
      <c r="A222" s="16" t="s">
        <v>1170</v>
      </c>
      <c r="B222" s="17"/>
      <c r="C222" s="18" t="s">
        <v>1171</v>
      </c>
      <c r="D222" s="18" t="s">
        <v>1172</v>
      </c>
      <c r="E222" s="17"/>
      <c r="F222" s="17"/>
      <c r="G222" s="18">
        <v>1580</v>
      </c>
      <c r="H222" s="18">
        <v>2</v>
      </c>
      <c r="I222" s="18">
        <v>3160</v>
      </c>
      <c r="J222" s="18">
        <v>2</v>
      </c>
      <c r="K222" s="1">
        <f t="shared" si="12"/>
        <v>474</v>
      </c>
      <c r="L222" s="6">
        <v>555</v>
      </c>
      <c r="M222" s="6">
        <f t="shared" si="13"/>
        <v>1110</v>
      </c>
      <c r="N222" s="6">
        <f t="shared" si="14"/>
        <v>1576</v>
      </c>
      <c r="O222" s="8">
        <f t="shared" si="15"/>
        <v>0.49873417721518987</v>
      </c>
    </row>
    <row r="223" spans="1:15" ht="17" customHeight="1">
      <c r="A223" s="16" t="s">
        <v>1100</v>
      </c>
      <c r="B223" s="17"/>
      <c r="C223" s="18" t="s">
        <v>170</v>
      </c>
      <c r="D223" s="18" t="s">
        <v>1778</v>
      </c>
      <c r="E223" s="17"/>
      <c r="F223" s="17"/>
      <c r="G223" s="18">
        <v>1580</v>
      </c>
      <c r="H223" s="18">
        <v>2</v>
      </c>
      <c r="I223" s="18">
        <v>3160</v>
      </c>
      <c r="J223" s="18">
        <v>2</v>
      </c>
      <c r="K223" s="1">
        <f t="shared" si="12"/>
        <v>474</v>
      </c>
      <c r="L223" s="6">
        <v>874</v>
      </c>
      <c r="M223" s="6">
        <f t="shared" si="13"/>
        <v>1748</v>
      </c>
      <c r="N223" s="6">
        <f t="shared" si="14"/>
        <v>938</v>
      </c>
      <c r="O223" s="8">
        <f t="shared" si="15"/>
        <v>0.29683544303797471</v>
      </c>
    </row>
    <row r="224" spans="1:15" ht="17" customHeight="1">
      <c r="A224" s="16" t="s">
        <v>1779</v>
      </c>
      <c r="B224" s="17"/>
      <c r="C224" s="18" t="s">
        <v>1780</v>
      </c>
      <c r="D224" s="18" t="s">
        <v>1781</v>
      </c>
      <c r="E224" s="17"/>
      <c r="F224" s="17"/>
      <c r="G224" s="18">
        <v>1580</v>
      </c>
      <c r="H224" s="18">
        <v>2</v>
      </c>
      <c r="I224" s="18">
        <v>3160</v>
      </c>
      <c r="J224" s="18">
        <v>1</v>
      </c>
      <c r="K224" s="1">
        <f t="shared" si="12"/>
        <v>474</v>
      </c>
      <c r="L224" s="6">
        <v>438</v>
      </c>
      <c r="M224" s="6">
        <f t="shared" si="13"/>
        <v>876</v>
      </c>
      <c r="N224" s="6">
        <f t="shared" si="14"/>
        <v>1810</v>
      </c>
      <c r="O224" s="8">
        <f t="shared" si="15"/>
        <v>0.57278481012658233</v>
      </c>
    </row>
    <row r="225" spans="1:15" ht="17" customHeight="1">
      <c r="A225" s="16" t="s">
        <v>1782</v>
      </c>
      <c r="B225" s="17"/>
      <c r="C225" s="18" t="s">
        <v>1443</v>
      </c>
      <c r="D225" s="18" t="s">
        <v>1444</v>
      </c>
      <c r="E225" s="17"/>
      <c r="F225" s="17"/>
      <c r="G225" s="18">
        <v>999</v>
      </c>
      <c r="H225" s="18">
        <v>3</v>
      </c>
      <c r="I225" s="18">
        <v>2997</v>
      </c>
      <c r="J225" s="18">
        <v>2</v>
      </c>
      <c r="K225" s="1">
        <f t="shared" si="12"/>
        <v>449.55</v>
      </c>
      <c r="L225" s="6">
        <v>530</v>
      </c>
      <c r="M225" s="6">
        <f t="shared" si="13"/>
        <v>1590</v>
      </c>
      <c r="N225" s="6">
        <f t="shared" si="14"/>
        <v>957.44999999999982</v>
      </c>
      <c r="O225" s="8">
        <f t="shared" si="15"/>
        <v>0.31946946946946941</v>
      </c>
    </row>
    <row r="226" spans="1:15" ht="17" customHeight="1">
      <c r="A226" s="16" t="s">
        <v>1783</v>
      </c>
      <c r="B226" s="17"/>
      <c r="C226" s="18" t="s">
        <v>1784</v>
      </c>
      <c r="D226" s="18" t="s">
        <v>1785</v>
      </c>
      <c r="E226" s="17"/>
      <c r="F226" s="17"/>
      <c r="G226" s="18">
        <v>2980</v>
      </c>
      <c r="H226" s="18">
        <v>1</v>
      </c>
      <c r="I226" s="18">
        <v>2980</v>
      </c>
      <c r="J226" s="18">
        <v>1</v>
      </c>
      <c r="K226" s="1">
        <f t="shared" si="12"/>
        <v>447</v>
      </c>
      <c r="L226" s="6">
        <v>1593</v>
      </c>
      <c r="M226" s="6">
        <f t="shared" si="13"/>
        <v>1593</v>
      </c>
      <c r="N226" s="6">
        <f t="shared" si="14"/>
        <v>940</v>
      </c>
      <c r="O226" s="8">
        <f t="shared" si="15"/>
        <v>0.31543624161073824</v>
      </c>
    </row>
    <row r="227" spans="1:15" ht="17" customHeight="1">
      <c r="A227" s="16" t="s">
        <v>1786</v>
      </c>
      <c r="B227" s="18" t="s">
        <v>808</v>
      </c>
      <c r="C227" s="18" t="s">
        <v>1787</v>
      </c>
      <c r="D227" s="18" t="s">
        <v>1788</v>
      </c>
      <c r="E227" s="18" t="s">
        <v>1789</v>
      </c>
      <c r="F227" s="17"/>
      <c r="G227" s="18">
        <v>2980</v>
      </c>
      <c r="H227" s="18">
        <v>1</v>
      </c>
      <c r="I227" s="18">
        <v>2980</v>
      </c>
      <c r="J227" s="18">
        <v>1</v>
      </c>
      <c r="K227" s="1">
        <f t="shared" si="12"/>
        <v>447</v>
      </c>
      <c r="L227" s="6">
        <v>1155</v>
      </c>
      <c r="M227" s="6">
        <f t="shared" si="13"/>
        <v>1155</v>
      </c>
      <c r="N227" s="6">
        <f t="shared" si="14"/>
        <v>1378</v>
      </c>
      <c r="O227" s="8">
        <f t="shared" si="15"/>
        <v>0.46241610738255035</v>
      </c>
    </row>
    <row r="228" spans="1:15" ht="17" customHeight="1">
      <c r="A228" s="16" t="s">
        <v>1790</v>
      </c>
      <c r="B228" s="17"/>
      <c r="C228" s="18" t="s">
        <v>1791</v>
      </c>
      <c r="D228" s="18" t="s">
        <v>1792</v>
      </c>
      <c r="E228" s="17"/>
      <c r="F228" s="17"/>
      <c r="G228" s="18">
        <v>2980</v>
      </c>
      <c r="H228" s="18">
        <v>1</v>
      </c>
      <c r="I228" s="18">
        <v>2980</v>
      </c>
      <c r="J228" s="18">
        <v>1</v>
      </c>
      <c r="K228" s="1">
        <f t="shared" si="12"/>
        <v>447</v>
      </c>
      <c r="L228" s="6">
        <v>1884</v>
      </c>
      <c r="M228" s="6">
        <f t="shared" si="13"/>
        <v>1884</v>
      </c>
      <c r="N228" s="6">
        <f t="shared" si="14"/>
        <v>649</v>
      </c>
      <c r="O228" s="8">
        <f t="shared" si="15"/>
        <v>0.21778523489932886</v>
      </c>
    </row>
    <row r="229" spans="1:15" ht="17" customHeight="1">
      <c r="A229" s="16" t="s">
        <v>1793</v>
      </c>
      <c r="B229" s="17"/>
      <c r="C229" s="18" t="s">
        <v>1794</v>
      </c>
      <c r="D229" s="18" t="s">
        <v>1795</v>
      </c>
      <c r="E229" s="17"/>
      <c r="F229" s="17"/>
      <c r="G229" s="18">
        <v>2980</v>
      </c>
      <c r="H229" s="18">
        <v>1</v>
      </c>
      <c r="I229" s="18">
        <v>2980</v>
      </c>
      <c r="J229" s="18">
        <v>1</v>
      </c>
      <c r="K229" s="1">
        <f t="shared" si="12"/>
        <v>447</v>
      </c>
      <c r="L229" s="6">
        <v>990</v>
      </c>
      <c r="M229" s="6">
        <f t="shared" si="13"/>
        <v>990</v>
      </c>
      <c r="N229" s="6">
        <f t="shared" si="14"/>
        <v>1543</v>
      </c>
      <c r="O229" s="8">
        <f t="shared" si="15"/>
        <v>0.51778523489932882</v>
      </c>
    </row>
    <row r="230" spans="1:15" ht="17" customHeight="1">
      <c r="A230" s="16" t="s">
        <v>1285</v>
      </c>
      <c r="B230" s="17"/>
      <c r="C230" s="18" t="s">
        <v>1286</v>
      </c>
      <c r="D230" s="18" t="s">
        <v>1287</v>
      </c>
      <c r="E230" s="17"/>
      <c r="F230" s="17"/>
      <c r="G230" s="18">
        <v>2980</v>
      </c>
      <c r="H230" s="18">
        <v>1</v>
      </c>
      <c r="I230" s="18">
        <v>2980</v>
      </c>
      <c r="J230" s="18">
        <v>1</v>
      </c>
      <c r="K230" s="1">
        <f t="shared" si="12"/>
        <v>447</v>
      </c>
      <c r="L230" s="6">
        <v>1641</v>
      </c>
      <c r="M230" s="6">
        <f t="shared" si="13"/>
        <v>1641</v>
      </c>
      <c r="N230" s="6">
        <f t="shared" si="14"/>
        <v>892</v>
      </c>
      <c r="O230" s="8">
        <f t="shared" si="15"/>
        <v>0.29932885906040269</v>
      </c>
    </row>
    <row r="231" spans="1:15" ht="17" customHeight="1">
      <c r="A231" s="16" t="s">
        <v>632</v>
      </c>
      <c r="B231" s="18" t="s">
        <v>1796</v>
      </c>
      <c r="C231" s="18">
        <v>4550391062164</v>
      </c>
      <c r="D231" s="18" t="s">
        <v>634</v>
      </c>
      <c r="E231" s="18">
        <v>4550391062195</v>
      </c>
      <c r="F231" s="17"/>
      <c r="G231" s="18">
        <v>2980</v>
      </c>
      <c r="H231" s="18">
        <v>1</v>
      </c>
      <c r="I231" s="18">
        <v>2980</v>
      </c>
      <c r="J231" s="18">
        <v>1</v>
      </c>
      <c r="K231" s="1">
        <f t="shared" si="12"/>
        <v>447</v>
      </c>
      <c r="L231" s="6">
        <v>1072</v>
      </c>
      <c r="M231" s="6">
        <f t="shared" si="13"/>
        <v>1072</v>
      </c>
      <c r="N231" s="6">
        <f t="shared" si="14"/>
        <v>1461</v>
      </c>
      <c r="O231" s="8">
        <f t="shared" si="15"/>
        <v>0.49026845637583893</v>
      </c>
    </row>
    <row r="232" spans="1:15" ht="17" customHeight="1">
      <c r="A232" s="16" t="s">
        <v>1797</v>
      </c>
      <c r="B232" s="17"/>
      <c r="C232" s="18" t="s">
        <v>1798</v>
      </c>
      <c r="D232" s="27">
        <v>63691632</v>
      </c>
      <c r="E232" s="17"/>
      <c r="F232" s="17"/>
      <c r="G232" s="18">
        <v>2980</v>
      </c>
      <c r="H232" s="18">
        <v>1</v>
      </c>
      <c r="I232" s="18">
        <v>2980</v>
      </c>
      <c r="J232" s="18">
        <v>1</v>
      </c>
      <c r="K232" s="1">
        <f t="shared" si="12"/>
        <v>447</v>
      </c>
      <c r="L232" s="6">
        <v>1632</v>
      </c>
      <c r="M232" s="6">
        <f t="shared" si="13"/>
        <v>1632</v>
      </c>
      <c r="N232" s="6">
        <f t="shared" si="14"/>
        <v>901</v>
      </c>
      <c r="O232" s="8">
        <f t="shared" si="15"/>
        <v>0.30234899328859061</v>
      </c>
    </row>
    <row r="233" spans="1:15" ht="17" customHeight="1">
      <c r="A233" s="16" t="s">
        <v>1799</v>
      </c>
      <c r="B233" s="17"/>
      <c r="C233" s="18">
        <v>4550391011940</v>
      </c>
      <c r="D233" s="18" t="s">
        <v>1800</v>
      </c>
      <c r="E233" s="17"/>
      <c r="F233" s="17"/>
      <c r="G233" s="18">
        <v>1480</v>
      </c>
      <c r="H233" s="18">
        <v>2</v>
      </c>
      <c r="I233" s="18">
        <v>2960</v>
      </c>
      <c r="J233" s="18">
        <v>2</v>
      </c>
      <c r="K233" s="1">
        <f t="shared" si="12"/>
        <v>444</v>
      </c>
      <c r="L233" s="6">
        <v>612</v>
      </c>
      <c r="M233" s="6">
        <f t="shared" si="13"/>
        <v>1224</v>
      </c>
      <c r="N233" s="6">
        <f t="shared" si="14"/>
        <v>1292</v>
      </c>
      <c r="O233" s="8">
        <f t="shared" si="15"/>
        <v>0.43648648648648647</v>
      </c>
    </row>
    <row r="234" spans="1:15" ht="17" customHeight="1">
      <c r="A234" s="16" t="s">
        <v>1801</v>
      </c>
      <c r="B234" s="17"/>
      <c r="C234" s="18" t="s">
        <v>1802</v>
      </c>
      <c r="D234" s="18" t="s">
        <v>1803</v>
      </c>
      <c r="E234" s="17"/>
      <c r="F234" s="17"/>
      <c r="G234" s="18">
        <v>1480</v>
      </c>
      <c r="H234" s="18">
        <v>2</v>
      </c>
      <c r="I234" s="18">
        <v>2960</v>
      </c>
      <c r="J234" s="18">
        <v>2</v>
      </c>
      <c r="K234" s="1">
        <f t="shared" si="12"/>
        <v>444</v>
      </c>
      <c r="L234" s="6">
        <v>660</v>
      </c>
      <c r="M234" s="6">
        <f t="shared" si="13"/>
        <v>1320</v>
      </c>
      <c r="N234" s="6">
        <f t="shared" si="14"/>
        <v>1196</v>
      </c>
      <c r="O234" s="8">
        <f t="shared" si="15"/>
        <v>0.40405405405405403</v>
      </c>
    </row>
    <row r="235" spans="1:15" ht="17" customHeight="1">
      <c r="A235" s="16" t="s">
        <v>1804</v>
      </c>
      <c r="B235" s="17"/>
      <c r="C235" s="18">
        <v>4902806133806</v>
      </c>
      <c r="D235" s="18" t="s">
        <v>1805</v>
      </c>
      <c r="E235" s="17"/>
      <c r="F235" s="17"/>
      <c r="G235" s="18">
        <v>980</v>
      </c>
      <c r="H235" s="18">
        <v>3</v>
      </c>
      <c r="I235" s="18">
        <v>2940</v>
      </c>
      <c r="J235" s="18">
        <v>3</v>
      </c>
      <c r="K235" s="1">
        <f t="shared" si="12"/>
        <v>441</v>
      </c>
      <c r="L235" s="6">
        <v>140</v>
      </c>
      <c r="M235" s="6">
        <f t="shared" si="13"/>
        <v>420</v>
      </c>
      <c r="N235" s="6">
        <f t="shared" si="14"/>
        <v>2079</v>
      </c>
      <c r="O235" s="8">
        <f t="shared" si="15"/>
        <v>0.70714285714285718</v>
      </c>
    </row>
    <row r="236" spans="1:15" ht="17" customHeight="1">
      <c r="A236" s="16" t="s">
        <v>1127</v>
      </c>
      <c r="B236" s="18" t="s">
        <v>1313</v>
      </c>
      <c r="C236" s="18" t="s">
        <v>1129</v>
      </c>
      <c r="D236" s="18" t="s">
        <v>1130</v>
      </c>
      <c r="E236" s="18" t="s">
        <v>1314</v>
      </c>
      <c r="F236" s="17"/>
      <c r="G236" s="18">
        <v>2780</v>
      </c>
      <c r="H236" s="18">
        <v>1</v>
      </c>
      <c r="I236" s="18">
        <v>2780</v>
      </c>
      <c r="J236" s="18">
        <v>1</v>
      </c>
      <c r="K236" s="1">
        <f t="shared" si="12"/>
        <v>417</v>
      </c>
      <c r="L236" s="6">
        <v>2580</v>
      </c>
      <c r="M236" s="6">
        <f t="shared" si="13"/>
        <v>2580</v>
      </c>
      <c r="N236" s="6">
        <f t="shared" si="14"/>
        <v>-217</v>
      </c>
      <c r="O236" s="8">
        <f t="shared" si="15"/>
        <v>-7.805755395683453E-2</v>
      </c>
    </row>
    <row r="237" spans="1:15" ht="17" customHeight="1">
      <c r="A237" s="16" t="s">
        <v>419</v>
      </c>
      <c r="B237" s="17"/>
      <c r="C237" s="18" t="s">
        <v>420</v>
      </c>
      <c r="D237" s="18" t="s">
        <v>421</v>
      </c>
      <c r="E237" s="17"/>
      <c r="F237" s="17"/>
      <c r="G237" s="18">
        <v>2780</v>
      </c>
      <c r="H237" s="18">
        <v>1</v>
      </c>
      <c r="I237" s="18">
        <v>2780</v>
      </c>
      <c r="J237" s="18">
        <v>1</v>
      </c>
      <c r="K237" s="1">
        <f t="shared" si="12"/>
        <v>417</v>
      </c>
      <c r="L237" s="6">
        <v>1654</v>
      </c>
      <c r="M237" s="6">
        <f t="shared" si="13"/>
        <v>1654</v>
      </c>
      <c r="N237" s="6">
        <f t="shared" si="14"/>
        <v>709</v>
      </c>
      <c r="O237" s="8">
        <f t="shared" si="15"/>
        <v>0.25503597122302157</v>
      </c>
    </row>
    <row r="238" spans="1:15" ht="17" customHeight="1">
      <c r="A238" s="16" t="s">
        <v>1127</v>
      </c>
      <c r="B238" s="18" t="s">
        <v>1319</v>
      </c>
      <c r="C238" s="18" t="s">
        <v>1129</v>
      </c>
      <c r="D238" s="18" t="s">
        <v>1130</v>
      </c>
      <c r="E238" s="18" t="s">
        <v>1320</v>
      </c>
      <c r="F238" s="17"/>
      <c r="G238" s="18">
        <v>2780</v>
      </c>
      <c r="H238" s="18">
        <v>1</v>
      </c>
      <c r="I238" s="18">
        <v>2780</v>
      </c>
      <c r="J238" s="18">
        <v>1</v>
      </c>
      <c r="K238" s="1">
        <f t="shared" si="12"/>
        <v>417</v>
      </c>
      <c r="L238" s="6">
        <v>2580</v>
      </c>
      <c r="M238" s="6">
        <f t="shared" si="13"/>
        <v>2580</v>
      </c>
      <c r="N238" s="6">
        <f t="shared" si="14"/>
        <v>-217</v>
      </c>
      <c r="O238" s="8">
        <f t="shared" si="15"/>
        <v>-7.805755395683453E-2</v>
      </c>
    </row>
    <row r="239" spans="1:15" ht="17" customHeight="1">
      <c r="A239" s="16" t="s">
        <v>1127</v>
      </c>
      <c r="B239" s="18" t="s">
        <v>1806</v>
      </c>
      <c r="C239" s="18" t="s">
        <v>1129</v>
      </c>
      <c r="D239" s="18" t="s">
        <v>1130</v>
      </c>
      <c r="E239" s="18" t="s">
        <v>1807</v>
      </c>
      <c r="F239" s="17"/>
      <c r="G239" s="18">
        <v>2780</v>
      </c>
      <c r="H239" s="18">
        <v>1</v>
      </c>
      <c r="I239" s="18">
        <v>2780</v>
      </c>
      <c r="J239" s="18">
        <v>1</v>
      </c>
      <c r="K239" s="1">
        <f t="shared" si="12"/>
        <v>417</v>
      </c>
      <c r="L239" s="6">
        <v>2580</v>
      </c>
      <c r="M239" s="6">
        <f t="shared" si="13"/>
        <v>2580</v>
      </c>
      <c r="N239" s="6">
        <f t="shared" si="14"/>
        <v>-217</v>
      </c>
      <c r="O239" s="8">
        <f t="shared" si="15"/>
        <v>-7.805755395683453E-2</v>
      </c>
    </row>
    <row r="240" spans="1:15" ht="17" customHeight="1">
      <c r="A240" s="16" t="s">
        <v>1067</v>
      </c>
      <c r="B240" s="17"/>
      <c r="C240" s="18" t="s">
        <v>1068</v>
      </c>
      <c r="D240" s="18" t="s">
        <v>1069</v>
      </c>
      <c r="E240" s="17"/>
      <c r="F240" s="17"/>
      <c r="G240" s="18">
        <v>2780</v>
      </c>
      <c r="H240" s="18">
        <v>1</v>
      </c>
      <c r="I240" s="18">
        <v>2780</v>
      </c>
      <c r="J240" s="18">
        <v>1</v>
      </c>
      <c r="K240" s="1">
        <f t="shared" si="12"/>
        <v>417</v>
      </c>
      <c r="L240" s="6">
        <v>950</v>
      </c>
      <c r="M240" s="6">
        <f t="shared" si="13"/>
        <v>950</v>
      </c>
      <c r="N240" s="6">
        <f t="shared" si="14"/>
        <v>1413</v>
      </c>
      <c r="O240" s="8">
        <f t="shared" si="15"/>
        <v>0.50827338129496402</v>
      </c>
    </row>
    <row r="241" spans="1:15" ht="17" customHeight="1">
      <c r="A241" s="16" t="s">
        <v>1808</v>
      </c>
      <c r="B241" s="18" t="s">
        <v>1182</v>
      </c>
      <c r="C241" s="18" t="s">
        <v>1809</v>
      </c>
      <c r="D241" s="18" t="s">
        <v>1810</v>
      </c>
      <c r="E241" s="18" t="s">
        <v>1811</v>
      </c>
      <c r="F241" s="17"/>
      <c r="G241" s="18">
        <v>2780</v>
      </c>
      <c r="H241" s="18">
        <v>1</v>
      </c>
      <c r="I241" s="18">
        <v>2780</v>
      </c>
      <c r="J241" s="18">
        <v>1</v>
      </c>
      <c r="K241" s="1">
        <f t="shared" si="12"/>
        <v>417</v>
      </c>
      <c r="L241" s="6">
        <v>660</v>
      </c>
      <c r="M241" s="6">
        <f t="shared" si="13"/>
        <v>660</v>
      </c>
      <c r="N241" s="6">
        <f t="shared" si="14"/>
        <v>1703</v>
      </c>
      <c r="O241" s="8">
        <f t="shared" si="15"/>
        <v>0.61258992805755397</v>
      </c>
    </row>
    <row r="242" spans="1:15" ht="17" customHeight="1">
      <c r="A242" s="16" t="s">
        <v>1812</v>
      </c>
      <c r="B242" s="17"/>
      <c r="C242" s="18" t="s">
        <v>1813</v>
      </c>
      <c r="D242" s="18" t="s">
        <v>1814</v>
      </c>
      <c r="E242" s="17"/>
      <c r="F242" s="17"/>
      <c r="G242" s="18">
        <v>2780</v>
      </c>
      <c r="H242" s="18">
        <v>1</v>
      </c>
      <c r="I242" s="18">
        <v>2780</v>
      </c>
      <c r="J242" s="18">
        <v>1</v>
      </c>
      <c r="K242" s="1">
        <f t="shared" si="12"/>
        <v>417</v>
      </c>
      <c r="L242" s="6">
        <v>1534</v>
      </c>
      <c r="M242" s="6">
        <f t="shared" si="13"/>
        <v>1534</v>
      </c>
      <c r="N242" s="6">
        <f t="shared" si="14"/>
        <v>829</v>
      </c>
      <c r="O242" s="8">
        <f t="shared" si="15"/>
        <v>0.29820143884892086</v>
      </c>
    </row>
    <row r="243" spans="1:15" ht="17" customHeight="1">
      <c r="A243" s="16" t="s">
        <v>1815</v>
      </c>
      <c r="B243" s="17"/>
      <c r="C243" s="18" t="s">
        <v>1816</v>
      </c>
      <c r="D243" s="18" t="s">
        <v>1817</v>
      </c>
      <c r="E243" s="17"/>
      <c r="F243" s="17"/>
      <c r="G243" s="18">
        <v>2780</v>
      </c>
      <c r="H243" s="18">
        <v>1</v>
      </c>
      <c r="I243" s="18">
        <v>2780</v>
      </c>
      <c r="J243" s="18">
        <v>1</v>
      </c>
      <c r="K243" s="1">
        <f t="shared" si="12"/>
        <v>417</v>
      </c>
      <c r="L243" s="6">
        <v>1800</v>
      </c>
      <c r="M243" s="6">
        <f t="shared" si="13"/>
        <v>1800</v>
      </c>
      <c r="N243" s="6">
        <f t="shared" si="14"/>
        <v>563</v>
      </c>
      <c r="O243" s="8">
        <f t="shared" si="15"/>
        <v>0.2025179856115108</v>
      </c>
    </row>
    <row r="244" spans="1:15" ht="17" customHeight="1">
      <c r="A244" s="16" t="s">
        <v>1438</v>
      </c>
      <c r="B244" s="17"/>
      <c r="C244" s="18" t="s">
        <v>1439</v>
      </c>
      <c r="D244" s="18" t="s">
        <v>1440</v>
      </c>
      <c r="E244" s="17"/>
      <c r="F244" s="17"/>
      <c r="G244" s="18">
        <v>1380</v>
      </c>
      <c r="H244" s="18">
        <v>2</v>
      </c>
      <c r="I244" s="18">
        <v>2760</v>
      </c>
      <c r="J244" s="18">
        <v>2</v>
      </c>
      <c r="K244" s="1">
        <f t="shared" si="12"/>
        <v>414</v>
      </c>
      <c r="L244" s="6">
        <v>550</v>
      </c>
      <c r="M244" s="6">
        <f t="shared" si="13"/>
        <v>1100</v>
      </c>
      <c r="N244" s="6">
        <f t="shared" si="14"/>
        <v>1246</v>
      </c>
      <c r="O244" s="8">
        <f t="shared" si="15"/>
        <v>0.45144927536231882</v>
      </c>
    </row>
    <row r="245" spans="1:15" ht="17" customHeight="1">
      <c r="A245" s="16" t="s">
        <v>1818</v>
      </c>
      <c r="B245" s="17"/>
      <c r="C245" s="18" t="s">
        <v>1819</v>
      </c>
      <c r="D245" s="18" t="s">
        <v>1820</v>
      </c>
      <c r="E245" s="17"/>
      <c r="F245" s="17"/>
      <c r="G245" s="18">
        <v>1298</v>
      </c>
      <c r="H245" s="18">
        <v>2</v>
      </c>
      <c r="I245" s="18">
        <v>2596</v>
      </c>
      <c r="J245" s="18">
        <v>2</v>
      </c>
      <c r="K245" s="1">
        <f t="shared" si="12"/>
        <v>389.4</v>
      </c>
      <c r="L245" s="6">
        <v>438</v>
      </c>
      <c r="M245" s="6">
        <f t="shared" si="13"/>
        <v>876</v>
      </c>
      <c r="N245" s="6">
        <f t="shared" si="14"/>
        <v>1330.6</v>
      </c>
      <c r="O245" s="8">
        <f t="shared" si="15"/>
        <v>0.51255778120184892</v>
      </c>
    </row>
    <row r="246" spans="1:15" ht="17" customHeight="1">
      <c r="A246" s="16" t="s">
        <v>1821</v>
      </c>
      <c r="B246" s="17"/>
      <c r="C246" s="18" t="s">
        <v>1332</v>
      </c>
      <c r="D246" s="18">
        <v>1170</v>
      </c>
      <c r="E246" s="17"/>
      <c r="F246" s="17"/>
      <c r="G246" s="18">
        <v>2580</v>
      </c>
      <c r="H246" s="18">
        <v>1</v>
      </c>
      <c r="I246" s="18">
        <v>2580</v>
      </c>
      <c r="J246" s="18">
        <v>1</v>
      </c>
      <c r="K246" s="1">
        <f t="shared" si="12"/>
        <v>387</v>
      </c>
      <c r="L246" s="6">
        <v>1170</v>
      </c>
      <c r="M246" s="6">
        <f t="shared" si="13"/>
        <v>1170</v>
      </c>
      <c r="N246" s="6">
        <f t="shared" si="14"/>
        <v>1023</v>
      </c>
      <c r="O246" s="8">
        <f t="shared" si="15"/>
        <v>0.39651162790697675</v>
      </c>
    </row>
    <row r="247" spans="1:15" ht="17" customHeight="1">
      <c r="A247" s="16" t="s">
        <v>958</v>
      </c>
      <c r="B247" s="18" t="s">
        <v>975</v>
      </c>
      <c r="C247" s="18" t="s">
        <v>960</v>
      </c>
      <c r="D247" s="25" t="s">
        <v>961</v>
      </c>
      <c r="E247" s="18" t="s">
        <v>976</v>
      </c>
      <c r="F247" s="17"/>
      <c r="G247" s="18">
        <v>2580</v>
      </c>
      <c r="H247" s="18">
        <v>1</v>
      </c>
      <c r="I247" s="18">
        <v>2580</v>
      </c>
      <c r="J247" s="18">
        <v>1</v>
      </c>
      <c r="K247" s="1">
        <f t="shared" si="12"/>
        <v>387</v>
      </c>
      <c r="L247" s="6">
        <v>1148</v>
      </c>
      <c r="M247" s="6">
        <f t="shared" si="13"/>
        <v>1148</v>
      </c>
      <c r="N247" s="6">
        <f t="shared" si="14"/>
        <v>1045</v>
      </c>
      <c r="O247" s="8">
        <f t="shared" si="15"/>
        <v>0.40503875968992248</v>
      </c>
    </row>
    <row r="248" spans="1:15" ht="17" customHeight="1">
      <c r="A248" s="16" t="s">
        <v>1336</v>
      </c>
      <c r="B248" s="17"/>
      <c r="C248" s="18" t="s">
        <v>1337</v>
      </c>
      <c r="D248" s="18" t="s">
        <v>1338</v>
      </c>
      <c r="E248" s="17"/>
      <c r="F248" s="17"/>
      <c r="G248" s="18">
        <v>2580</v>
      </c>
      <c r="H248" s="18">
        <v>1</v>
      </c>
      <c r="I248" s="18">
        <v>2580</v>
      </c>
      <c r="J248" s="18">
        <v>1</v>
      </c>
      <c r="K248" s="1">
        <f t="shared" si="12"/>
        <v>387</v>
      </c>
      <c r="L248" s="6">
        <v>1320</v>
      </c>
      <c r="M248" s="6">
        <f t="shared" si="13"/>
        <v>1320</v>
      </c>
      <c r="N248" s="6">
        <f t="shared" si="14"/>
        <v>873</v>
      </c>
      <c r="O248" s="8">
        <f t="shared" si="15"/>
        <v>0.33837209302325583</v>
      </c>
    </row>
    <row r="249" spans="1:15" ht="17" customHeight="1">
      <c r="A249" s="16" t="s">
        <v>1822</v>
      </c>
      <c r="B249" s="17"/>
      <c r="C249" s="18" t="s">
        <v>1823</v>
      </c>
      <c r="D249" s="18" t="s">
        <v>1824</v>
      </c>
      <c r="E249" s="17"/>
      <c r="F249" s="17"/>
      <c r="G249" s="18">
        <v>2580</v>
      </c>
      <c r="H249" s="18">
        <v>1</v>
      </c>
      <c r="I249" s="18">
        <v>2580</v>
      </c>
      <c r="J249" s="18">
        <v>1</v>
      </c>
      <c r="K249" s="1">
        <f t="shared" si="12"/>
        <v>387</v>
      </c>
      <c r="L249" s="6">
        <v>1584</v>
      </c>
      <c r="M249" s="6">
        <f t="shared" si="13"/>
        <v>1584</v>
      </c>
      <c r="N249" s="6">
        <f t="shared" si="14"/>
        <v>609</v>
      </c>
      <c r="O249" s="8">
        <f t="shared" si="15"/>
        <v>0.23604651162790696</v>
      </c>
    </row>
    <row r="250" spans="1:15" ht="17" customHeight="1">
      <c r="A250" s="16" t="s">
        <v>958</v>
      </c>
      <c r="B250" s="18" t="s">
        <v>963</v>
      </c>
      <c r="C250" s="18" t="s">
        <v>960</v>
      </c>
      <c r="D250" s="25" t="s">
        <v>961</v>
      </c>
      <c r="E250" s="18" t="s">
        <v>964</v>
      </c>
      <c r="F250" s="17"/>
      <c r="G250" s="18">
        <v>2580</v>
      </c>
      <c r="H250" s="18">
        <v>1</v>
      </c>
      <c r="I250" s="18">
        <v>2580</v>
      </c>
      <c r="J250" s="18">
        <v>1</v>
      </c>
      <c r="K250" s="1">
        <f t="shared" si="12"/>
        <v>387</v>
      </c>
      <c r="L250" s="6">
        <v>1148</v>
      </c>
      <c r="M250" s="6">
        <f t="shared" si="13"/>
        <v>1148</v>
      </c>
      <c r="N250" s="6">
        <f t="shared" si="14"/>
        <v>1045</v>
      </c>
      <c r="O250" s="8">
        <f t="shared" si="15"/>
        <v>0.40503875968992248</v>
      </c>
    </row>
    <row r="251" spans="1:15" ht="17" customHeight="1">
      <c r="A251" s="16" t="s">
        <v>1825</v>
      </c>
      <c r="B251" s="17"/>
      <c r="C251" s="18" t="s">
        <v>1826</v>
      </c>
      <c r="D251" s="18" t="s">
        <v>1827</v>
      </c>
      <c r="E251" s="17"/>
      <c r="F251" s="17"/>
      <c r="G251" s="18">
        <v>2580</v>
      </c>
      <c r="H251" s="18">
        <v>1</v>
      </c>
      <c r="I251" s="18">
        <v>2580</v>
      </c>
      <c r="J251" s="18">
        <v>1</v>
      </c>
      <c r="K251" s="1">
        <f t="shared" si="12"/>
        <v>387</v>
      </c>
      <c r="L251" s="6">
        <v>1480</v>
      </c>
      <c r="M251" s="6">
        <f t="shared" si="13"/>
        <v>1480</v>
      </c>
      <c r="N251" s="6">
        <f t="shared" si="14"/>
        <v>713</v>
      </c>
      <c r="O251" s="8">
        <f t="shared" si="15"/>
        <v>0.27635658914728684</v>
      </c>
    </row>
    <row r="252" spans="1:15" ht="17" customHeight="1">
      <c r="A252" s="20" t="s">
        <v>1828</v>
      </c>
      <c r="B252" s="17"/>
      <c r="C252" s="18" t="s">
        <v>1829</v>
      </c>
      <c r="D252" s="18" t="s">
        <v>1830</v>
      </c>
      <c r="E252" s="17"/>
      <c r="F252" s="17"/>
      <c r="G252" s="18">
        <v>1280</v>
      </c>
      <c r="H252" s="18">
        <v>2</v>
      </c>
      <c r="I252" s="18">
        <v>2560</v>
      </c>
      <c r="J252" s="18">
        <v>2</v>
      </c>
      <c r="K252" s="1">
        <f t="shared" si="12"/>
        <v>384</v>
      </c>
      <c r="L252" s="6">
        <v>620</v>
      </c>
      <c r="M252" s="6">
        <f t="shared" si="13"/>
        <v>1240</v>
      </c>
      <c r="N252" s="6">
        <f t="shared" si="14"/>
        <v>936</v>
      </c>
      <c r="O252" s="8">
        <f t="shared" si="15"/>
        <v>0.36562499999999998</v>
      </c>
    </row>
    <row r="253" spans="1:15" ht="17" customHeight="1">
      <c r="A253" s="16" t="s">
        <v>1831</v>
      </c>
      <c r="B253" s="17"/>
      <c r="C253" s="18" t="s">
        <v>1832</v>
      </c>
      <c r="D253" s="18" t="s">
        <v>1833</v>
      </c>
      <c r="E253" s="17"/>
      <c r="F253" s="17"/>
      <c r="G253" s="18">
        <v>2480</v>
      </c>
      <c r="H253" s="18">
        <v>1</v>
      </c>
      <c r="I253" s="18">
        <v>2480</v>
      </c>
      <c r="J253" s="18">
        <v>1</v>
      </c>
      <c r="K253" s="1">
        <f t="shared" si="12"/>
        <v>372</v>
      </c>
      <c r="L253" s="6">
        <v>1642</v>
      </c>
      <c r="M253" s="6">
        <f t="shared" si="13"/>
        <v>1642</v>
      </c>
      <c r="N253" s="6">
        <f t="shared" si="14"/>
        <v>466</v>
      </c>
      <c r="O253" s="8">
        <f t="shared" si="15"/>
        <v>0.18790322580645161</v>
      </c>
    </row>
    <row r="254" spans="1:15" ht="17" customHeight="1">
      <c r="A254" s="16" t="s">
        <v>1834</v>
      </c>
      <c r="B254" s="17"/>
      <c r="C254" s="18" t="s">
        <v>710</v>
      </c>
      <c r="D254" s="18" t="s">
        <v>1835</v>
      </c>
      <c r="E254" s="17"/>
      <c r="F254" s="17"/>
      <c r="G254" s="18">
        <v>2480</v>
      </c>
      <c r="H254" s="18">
        <v>1</v>
      </c>
      <c r="I254" s="18">
        <v>2480</v>
      </c>
      <c r="J254" s="18">
        <v>1</v>
      </c>
      <c r="K254" s="1">
        <f t="shared" si="12"/>
        <v>372</v>
      </c>
      <c r="L254" s="6">
        <v>876</v>
      </c>
      <c r="M254" s="6">
        <f t="shared" si="13"/>
        <v>876</v>
      </c>
      <c r="N254" s="6">
        <f t="shared" si="14"/>
        <v>1232</v>
      </c>
      <c r="O254" s="8">
        <f t="shared" si="15"/>
        <v>0.49677419354838709</v>
      </c>
    </row>
    <row r="255" spans="1:15" ht="17" customHeight="1">
      <c r="A255" s="16" t="s">
        <v>1836</v>
      </c>
      <c r="B255" s="17"/>
      <c r="C255" s="18" t="s">
        <v>1837</v>
      </c>
      <c r="D255" s="18" t="s">
        <v>1838</v>
      </c>
      <c r="E255" s="17"/>
      <c r="F255" s="17"/>
      <c r="G255" s="18">
        <v>2480</v>
      </c>
      <c r="H255" s="18">
        <v>1</v>
      </c>
      <c r="I255" s="18">
        <v>2480</v>
      </c>
      <c r="J255" s="18">
        <v>1</v>
      </c>
      <c r="K255" s="1">
        <f t="shared" si="12"/>
        <v>372</v>
      </c>
      <c r="L255" s="6">
        <v>768</v>
      </c>
      <c r="M255" s="6">
        <f t="shared" si="13"/>
        <v>768</v>
      </c>
      <c r="N255" s="6">
        <f t="shared" si="14"/>
        <v>1340</v>
      </c>
      <c r="O255" s="8">
        <f t="shared" si="15"/>
        <v>0.54032258064516125</v>
      </c>
    </row>
    <row r="256" spans="1:15" ht="17" customHeight="1">
      <c r="A256" s="16" t="s">
        <v>706</v>
      </c>
      <c r="B256" s="17"/>
      <c r="C256" s="18" t="s">
        <v>707</v>
      </c>
      <c r="D256" s="18" t="s">
        <v>708</v>
      </c>
      <c r="E256" s="17"/>
      <c r="F256" s="17"/>
      <c r="G256" s="18">
        <v>2480</v>
      </c>
      <c r="H256" s="18">
        <v>1</v>
      </c>
      <c r="I256" s="18">
        <v>2480</v>
      </c>
      <c r="J256" s="18">
        <v>1</v>
      </c>
      <c r="K256" s="1">
        <f t="shared" si="12"/>
        <v>372</v>
      </c>
      <c r="L256" s="6">
        <v>1292</v>
      </c>
      <c r="M256" s="6">
        <f t="shared" si="13"/>
        <v>1292</v>
      </c>
      <c r="N256" s="6">
        <f t="shared" si="14"/>
        <v>816</v>
      </c>
      <c r="O256" s="8">
        <f t="shared" si="15"/>
        <v>0.32903225806451614</v>
      </c>
    </row>
    <row r="257" spans="1:15" ht="17" customHeight="1">
      <c r="A257" s="16" t="s">
        <v>699</v>
      </c>
      <c r="B257" s="17"/>
      <c r="C257" s="18" t="s">
        <v>700</v>
      </c>
      <c r="D257" s="18" t="s">
        <v>971</v>
      </c>
      <c r="E257" s="17"/>
      <c r="F257" s="17"/>
      <c r="G257" s="18">
        <v>2480</v>
      </c>
      <c r="H257" s="18">
        <v>1</v>
      </c>
      <c r="I257" s="18">
        <v>2480</v>
      </c>
      <c r="J257" s="18">
        <v>1</v>
      </c>
      <c r="K257" s="1">
        <f t="shared" si="12"/>
        <v>372</v>
      </c>
      <c r="L257" s="6">
        <v>884</v>
      </c>
      <c r="M257" s="6">
        <f t="shared" si="13"/>
        <v>884</v>
      </c>
      <c r="N257" s="6">
        <f t="shared" si="14"/>
        <v>1224</v>
      </c>
      <c r="O257" s="8">
        <f t="shared" si="15"/>
        <v>0.49354838709677418</v>
      </c>
    </row>
    <row r="258" spans="1:15" ht="17" customHeight="1">
      <c r="A258" s="16" t="s">
        <v>1839</v>
      </c>
      <c r="B258" s="17"/>
      <c r="C258" s="18" t="s">
        <v>1840</v>
      </c>
      <c r="D258" s="18" t="s">
        <v>1841</v>
      </c>
      <c r="E258" s="17"/>
      <c r="F258" s="17"/>
      <c r="G258" s="18">
        <v>2480</v>
      </c>
      <c r="H258" s="18">
        <v>1</v>
      </c>
      <c r="I258" s="18">
        <v>2480</v>
      </c>
      <c r="J258" s="18">
        <v>1</v>
      </c>
      <c r="K258" s="1">
        <f t="shared" si="12"/>
        <v>372</v>
      </c>
      <c r="L258" s="6">
        <v>1428</v>
      </c>
      <c r="M258" s="6">
        <f t="shared" si="13"/>
        <v>1428</v>
      </c>
      <c r="N258" s="6">
        <f t="shared" si="14"/>
        <v>680</v>
      </c>
      <c r="O258" s="8">
        <f t="shared" si="15"/>
        <v>0.27419354838709675</v>
      </c>
    </row>
    <row r="259" spans="1:15" ht="17" customHeight="1">
      <c r="A259" s="16" t="s">
        <v>715</v>
      </c>
      <c r="B259" s="17"/>
      <c r="C259" s="18" t="s">
        <v>716</v>
      </c>
      <c r="D259" s="18" t="s">
        <v>1842</v>
      </c>
      <c r="E259" s="17"/>
      <c r="F259" s="17"/>
      <c r="G259" s="18">
        <v>2480</v>
      </c>
      <c r="H259" s="18">
        <v>1</v>
      </c>
      <c r="I259" s="18">
        <v>2480</v>
      </c>
      <c r="J259" s="18">
        <v>1</v>
      </c>
      <c r="K259" s="1">
        <f t="shared" si="12"/>
        <v>372</v>
      </c>
      <c r="L259" s="6">
        <v>1094</v>
      </c>
      <c r="M259" s="6">
        <f t="shared" si="13"/>
        <v>1094</v>
      </c>
      <c r="N259" s="6">
        <f t="shared" si="14"/>
        <v>1014</v>
      </c>
      <c r="O259" s="8">
        <f t="shared" si="15"/>
        <v>0.40887096774193549</v>
      </c>
    </row>
    <row r="260" spans="1:15" ht="17" customHeight="1">
      <c r="A260" s="16" t="s">
        <v>1843</v>
      </c>
      <c r="B260" s="17"/>
      <c r="C260" s="18" t="s">
        <v>1844</v>
      </c>
      <c r="D260" s="18" t="s">
        <v>1845</v>
      </c>
      <c r="E260" s="17"/>
      <c r="F260" s="17"/>
      <c r="G260" s="18">
        <v>2480</v>
      </c>
      <c r="H260" s="18">
        <v>1</v>
      </c>
      <c r="I260" s="18">
        <v>2480</v>
      </c>
      <c r="J260" s="18">
        <v>1</v>
      </c>
      <c r="K260" s="1">
        <f t="shared" si="12"/>
        <v>372</v>
      </c>
      <c r="L260" s="6">
        <v>920</v>
      </c>
      <c r="M260" s="6">
        <f t="shared" si="13"/>
        <v>920</v>
      </c>
      <c r="N260" s="6">
        <f t="shared" si="14"/>
        <v>1188</v>
      </c>
      <c r="O260" s="8">
        <f t="shared" si="15"/>
        <v>0.4790322580645161</v>
      </c>
    </row>
    <row r="261" spans="1:15" ht="17" customHeight="1">
      <c r="A261" s="16" t="s">
        <v>1846</v>
      </c>
      <c r="B261" s="17"/>
      <c r="C261" s="18" t="s">
        <v>1847</v>
      </c>
      <c r="D261" s="18" t="s">
        <v>1848</v>
      </c>
      <c r="E261" s="17"/>
      <c r="F261" s="17"/>
      <c r="G261" s="18">
        <v>2480</v>
      </c>
      <c r="H261" s="18">
        <v>1</v>
      </c>
      <c r="I261" s="18">
        <v>2480</v>
      </c>
      <c r="J261" s="18">
        <v>1</v>
      </c>
      <c r="K261" s="1">
        <f t="shared" si="12"/>
        <v>372</v>
      </c>
      <c r="L261" s="6">
        <v>1188</v>
      </c>
      <c r="M261" s="6">
        <f t="shared" si="13"/>
        <v>1188</v>
      </c>
      <c r="N261" s="6">
        <f t="shared" si="14"/>
        <v>920</v>
      </c>
      <c r="O261" s="8">
        <f t="shared" si="15"/>
        <v>0.37096774193548387</v>
      </c>
    </row>
    <row r="262" spans="1:15" ht="17" customHeight="1">
      <c r="A262" s="16" t="s">
        <v>1849</v>
      </c>
      <c r="B262" s="17"/>
      <c r="C262" s="18">
        <v>4901133980183</v>
      </c>
      <c r="D262" s="18" t="s">
        <v>1850</v>
      </c>
      <c r="E262" s="17"/>
      <c r="F262" s="17"/>
      <c r="G262" s="18">
        <v>2480</v>
      </c>
      <c r="H262" s="18">
        <v>1</v>
      </c>
      <c r="I262" s="18">
        <v>2480</v>
      </c>
      <c r="J262" s="18">
        <v>1</v>
      </c>
      <c r="K262" s="1">
        <f t="shared" si="12"/>
        <v>372</v>
      </c>
      <c r="L262" s="6">
        <v>1980</v>
      </c>
      <c r="M262" s="6">
        <f t="shared" si="13"/>
        <v>1980</v>
      </c>
      <c r="N262" s="6">
        <f t="shared" si="14"/>
        <v>128</v>
      </c>
      <c r="O262" s="8">
        <f t="shared" si="15"/>
        <v>5.1612903225806452E-2</v>
      </c>
    </row>
    <row r="263" spans="1:15" ht="17" customHeight="1">
      <c r="A263" s="16" t="s">
        <v>692</v>
      </c>
      <c r="B263" s="18" t="s">
        <v>1851</v>
      </c>
      <c r="C263" s="18" t="s">
        <v>694</v>
      </c>
      <c r="D263" s="25" t="s">
        <v>1692</v>
      </c>
      <c r="E263" s="18" t="s">
        <v>1852</v>
      </c>
      <c r="F263" s="17"/>
      <c r="G263" s="18">
        <v>2480</v>
      </c>
      <c r="H263" s="18">
        <v>1</v>
      </c>
      <c r="I263" s="18">
        <v>2480</v>
      </c>
      <c r="J263" s="18">
        <v>1</v>
      </c>
      <c r="K263" s="1">
        <f t="shared" si="12"/>
        <v>372</v>
      </c>
      <c r="L263" s="6">
        <v>803</v>
      </c>
      <c r="M263" s="6">
        <f t="shared" si="13"/>
        <v>803</v>
      </c>
      <c r="N263" s="6">
        <f t="shared" si="14"/>
        <v>1305</v>
      </c>
      <c r="O263" s="8">
        <f t="shared" si="15"/>
        <v>0.52620967741935487</v>
      </c>
    </row>
    <row r="264" spans="1:15" ht="17" customHeight="1">
      <c r="A264" s="16" t="s">
        <v>1853</v>
      </c>
      <c r="B264" s="17"/>
      <c r="C264" s="18" t="s">
        <v>719</v>
      </c>
      <c r="D264" s="18" t="s">
        <v>720</v>
      </c>
      <c r="E264" s="17"/>
      <c r="F264" s="17"/>
      <c r="G264" s="18">
        <v>2480</v>
      </c>
      <c r="H264" s="18">
        <v>1</v>
      </c>
      <c r="I264" s="18">
        <v>2480</v>
      </c>
      <c r="J264" s="18">
        <v>1</v>
      </c>
      <c r="K264" s="1">
        <f t="shared" ref="K264:K320" si="16">SUM(I264*0.15)</f>
        <v>372</v>
      </c>
      <c r="L264" s="6">
        <v>1116</v>
      </c>
      <c r="M264" s="6">
        <f t="shared" ref="M264:M327" si="17">SUM(H264*L264)</f>
        <v>1116</v>
      </c>
      <c r="N264" s="6">
        <f t="shared" ref="N264:N327" si="18">SUM(I264-K264-M264)</f>
        <v>992</v>
      </c>
      <c r="O264" s="8">
        <f t="shared" ref="O264:O327" si="19">IF(I264=0,"",N264/I264)</f>
        <v>0.4</v>
      </c>
    </row>
    <row r="265" spans="1:15" ht="17" customHeight="1">
      <c r="A265" s="16" t="s">
        <v>1854</v>
      </c>
      <c r="B265" s="17"/>
      <c r="C265" s="18" t="s">
        <v>1855</v>
      </c>
      <c r="D265" s="18" t="s">
        <v>1856</v>
      </c>
      <c r="E265" s="17"/>
      <c r="F265" s="17"/>
      <c r="G265" s="18">
        <v>2380</v>
      </c>
      <c r="H265" s="18">
        <v>1</v>
      </c>
      <c r="I265" s="18">
        <v>2380</v>
      </c>
      <c r="J265" s="18">
        <v>1</v>
      </c>
      <c r="K265" s="1">
        <f t="shared" si="16"/>
        <v>357</v>
      </c>
      <c r="L265" s="6">
        <v>1096</v>
      </c>
      <c r="M265" s="6">
        <f t="shared" si="17"/>
        <v>1096</v>
      </c>
      <c r="N265" s="6">
        <f t="shared" si="18"/>
        <v>927</v>
      </c>
      <c r="O265" s="8">
        <f t="shared" si="19"/>
        <v>0.38949579831932774</v>
      </c>
    </row>
    <row r="266" spans="1:15" ht="17" customHeight="1">
      <c r="A266" s="16" t="s">
        <v>1857</v>
      </c>
      <c r="B266" s="17"/>
      <c r="C266" s="18" t="s">
        <v>1858</v>
      </c>
      <c r="D266" s="18" t="s">
        <v>1859</v>
      </c>
      <c r="E266" s="17"/>
      <c r="F266" s="17"/>
      <c r="G266" s="18">
        <v>2380</v>
      </c>
      <c r="H266" s="18">
        <v>1</v>
      </c>
      <c r="I266" s="18">
        <v>2380</v>
      </c>
      <c r="J266" s="18">
        <v>1</v>
      </c>
      <c r="K266" s="1">
        <f t="shared" si="16"/>
        <v>357</v>
      </c>
      <c r="L266" s="6">
        <v>1100</v>
      </c>
      <c r="M266" s="6">
        <f t="shared" si="17"/>
        <v>1100</v>
      </c>
      <c r="N266" s="6">
        <f t="shared" si="18"/>
        <v>923</v>
      </c>
      <c r="O266" s="8">
        <f t="shared" si="19"/>
        <v>0.38781512605042018</v>
      </c>
    </row>
    <row r="267" spans="1:15" ht="17" customHeight="1">
      <c r="A267" s="16" t="s">
        <v>1860</v>
      </c>
      <c r="B267" s="17"/>
      <c r="C267" s="18" t="s">
        <v>1861</v>
      </c>
      <c r="D267" s="18" t="s">
        <v>1862</v>
      </c>
      <c r="E267" s="17"/>
      <c r="F267" s="17"/>
      <c r="G267" s="18">
        <v>2380</v>
      </c>
      <c r="H267" s="18">
        <v>1</v>
      </c>
      <c r="I267" s="18">
        <v>2380</v>
      </c>
      <c r="J267" s="18">
        <v>1</v>
      </c>
      <c r="K267" s="1">
        <f t="shared" si="16"/>
        <v>357</v>
      </c>
      <c r="L267" s="6">
        <v>1718</v>
      </c>
      <c r="M267" s="6">
        <f t="shared" si="17"/>
        <v>1718</v>
      </c>
      <c r="N267" s="6">
        <f t="shared" si="18"/>
        <v>305</v>
      </c>
      <c r="O267" s="8">
        <f t="shared" si="19"/>
        <v>0.12815126050420167</v>
      </c>
    </row>
    <row r="268" spans="1:15" ht="17" customHeight="1">
      <c r="A268" s="16" t="s">
        <v>841</v>
      </c>
      <c r="B268" s="25" t="s">
        <v>842</v>
      </c>
      <c r="C268" s="18" t="s">
        <v>843</v>
      </c>
      <c r="D268" s="40">
        <v>605858638891</v>
      </c>
      <c r="E268" s="18" t="s">
        <v>845</v>
      </c>
      <c r="F268" s="17"/>
      <c r="G268" s="18">
        <v>1180</v>
      </c>
      <c r="H268" s="18">
        <v>2</v>
      </c>
      <c r="I268" s="18">
        <v>2360</v>
      </c>
      <c r="J268" s="18">
        <v>2</v>
      </c>
      <c r="K268" s="1">
        <f t="shared" si="16"/>
        <v>354</v>
      </c>
      <c r="L268" s="6">
        <v>605</v>
      </c>
      <c r="M268" s="6">
        <f t="shared" si="17"/>
        <v>1210</v>
      </c>
      <c r="N268" s="6">
        <f t="shared" si="18"/>
        <v>796</v>
      </c>
      <c r="O268" s="8">
        <f t="shared" si="19"/>
        <v>0.33728813559322035</v>
      </c>
    </row>
    <row r="269" spans="1:15" ht="17" customHeight="1">
      <c r="A269" s="16" t="s">
        <v>1863</v>
      </c>
      <c r="B269" s="17"/>
      <c r="C269" s="18" t="s">
        <v>1864</v>
      </c>
      <c r="D269" s="18" t="s">
        <v>1865</v>
      </c>
      <c r="E269" s="17"/>
      <c r="F269" s="17"/>
      <c r="G269" s="18">
        <v>1180</v>
      </c>
      <c r="H269" s="18">
        <v>2</v>
      </c>
      <c r="I269" s="18">
        <v>2360</v>
      </c>
      <c r="J269" s="18">
        <v>1</v>
      </c>
      <c r="K269" s="1">
        <f t="shared" si="16"/>
        <v>354</v>
      </c>
      <c r="L269" s="6">
        <v>576</v>
      </c>
      <c r="M269" s="6">
        <f t="shared" si="17"/>
        <v>1152</v>
      </c>
      <c r="N269" s="6">
        <f t="shared" si="18"/>
        <v>854</v>
      </c>
      <c r="O269" s="8">
        <f t="shared" si="19"/>
        <v>0.36186440677966103</v>
      </c>
    </row>
    <row r="270" spans="1:15" ht="17" customHeight="1">
      <c r="A270" s="16" t="s">
        <v>841</v>
      </c>
      <c r="B270" s="18" t="s">
        <v>853</v>
      </c>
      <c r="C270" s="18" t="s">
        <v>843</v>
      </c>
      <c r="D270" s="27">
        <v>605858638891</v>
      </c>
      <c r="E270" s="18" t="s">
        <v>854</v>
      </c>
      <c r="F270" s="17"/>
      <c r="G270" s="18">
        <v>1180</v>
      </c>
      <c r="H270" s="18">
        <v>2</v>
      </c>
      <c r="I270" s="18">
        <v>2360</v>
      </c>
      <c r="J270" s="18">
        <v>2</v>
      </c>
      <c r="K270" s="1">
        <f t="shared" si="16"/>
        <v>354</v>
      </c>
      <c r="L270" s="6">
        <v>638</v>
      </c>
      <c r="M270" s="6">
        <f t="shared" si="17"/>
        <v>1276</v>
      </c>
      <c r="N270" s="6">
        <f t="shared" si="18"/>
        <v>730</v>
      </c>
      <c r="O270" s="8">
        <f t="shared" si="19"/>
        <v>0.30932203389830509</v>
      </c>
    </row>
    <row r="271" spans="1:15" ht="17" customHeight="1">
      <c r="A271" s="16" t="s">
        <v>1866</v>
      </c>
      <c r="B271" s="17"/>
      <c r="C271" s="18" t="s">
        <v>1867</v>
      </c>
      <c r="D271" s="18" t="s">
        <v>1868</v>
      </c>
      <c r="E271" s="17"/>
      <c r="F271" s="17"/>
      <c r="G271" s="18">
        <v>2280</v>
      </c>
      <c r="H271" s="18">
        <v>1</v>
      </c>
      <c r="I271" s="18">
        <v>2280</v>
      </c>
      <c r="J271" s="18">
        <v>1</v>
      </c>
      <c r="K271" s="1">
        <f t="shared" si="16"/>
        <v>342</v>
      </c>
      <c r="L271" s="6">
        <v>1152</v>
      </c>
      <c r="M271" s="6">
        <f t="shared" si="17"/>
        <v>1152</v>
      </c>
      <c r="N271" s="6">
        <f t="shared" si="18"/>
        <v>786</v>
      </c>
      <c r="O271" s="8">
        <f t="shared" si="19"/>
        <v>0.34473684210526317</v>
      </c>
    </row>
    <row r="272" spans="1:15" ht="17" customHeight="1">
      <c r="A272" s="16" t="s">
        <v>1869</v>
      </c>
      <c r="B272" s="17"/>
      <c r="C272" s="18" t="s">
        <v>1870</v>
      </c>
      <c r="D272" s="18">
        <v>3917</v>
      </c>
      <c r="E272" s="17"/>
      <c r="F272" s="17"/>
      <c r="G272" s="18">
        <v>1100</v>
      </c>
      <c r="H272" s="18">
        <v>2</v>
      </c>
      <c r="I272" s="18">
        <v>2200</v>
      </c>
      <c r="J272" s="18">
        <v>2</v>
      </c>
      <c r="K272" s="1">
        <f t="shared" si="16"/>
        <v>330</v>
      </c>
      <c r="L272" s="6"/>
      <c r="M272" s="6">
        <f t="shared" si="17"/>
        <v>0</v>
      </c>
      <c r="N272" s="6">
        <f t="shared" si="18"/>
        <v>1870</v>
      </c>
      <c r="O272" s="8">
        <f t="shared" si="19"/>
        <v>0.85</v>
      </c>
    </row>
    <row r="273" spans="1:15" ht="17" customHeight="1">
      <c r="A273" s="20" t="s">
        <v>1871</v>
      </c>
      <c r="B273" s="17"/>
      <c r="C273" s="18" t="s">
        <v>1872</v>
      </c>
      <c r="D273" s="18" t="s">
        <v>1873</v>
      </c>
      <c r="E273" s="17"/>
      <c r="F273" s="17"/>
      <c r="G273" s="18">
        <v>2180</v>
      </c>
      <c r="H273" s="18">
        <v>1</v>
      </c>
      <c r="I273" s="18">
        <v>2180</v>
      </c>
      <c r="J273" s="18">
        <v>1</v>
      </c>
      <c r="K273" s="1">
        <f t="shared" si="16"/>
        <v>327</v>
      </c>
      <c r="L273" s="6">
        <v>1275</v>
      </c>
      <c r="M273" s="6">
        <f t="shared" si="17"/>
        <v>1275</v>
      </c>
      <c r="N273" s="6">
        <f t="shared" si="18"/>
        <v>578</v>
      </c>
      <c r="O273" s="8">
        <f t="shared" si="19"/>
        <v>0.26513761467889907</v>
      </c>
    </row>
    <row r="274" spans="1:15" ht="17" customHeight="1">
      <c r="A274" s="16" t="s">
        <v>1181</v>
      </c>
      <c r="B274" s="18" t="s">
        <v>1182</v>
      </c>
      <c r="C274" s="18" t="s">
        <v>733</v>
      </c>
      <c r="D274" s="18" t="s">
        <v>1183</v>
      </c>
      <c r="E274" s="18" t="s">
        <v>1184</v>
      </c>
      <c r="F274" s="17"/>
      <c r="G274" s="18">
        <v>2180</v>
      </c>
      <c r="H274" s="18">
        <v>1</v>
      </c>
      <c r="I274" s="18">
        <v>2180</v>
      </c>
      <c r="J274" s="18">
        <v>1</v>
      </c>
      <c r="K274" s="1">
        <f t="shared" si="16"/>
        <v>327</v>
      </c>
      <c r="L274" s="6">
        <v>1130</v>
      </c>
      <c r="M274" s="6">
        <f t="shared" si="17"/>
        <v>1130</v>
      </c>
      <c r="N274" s="6">
        <f t="shared" si="18"/>
        <v>723</v>
      </c>
      <c r="O274" s="8">
        <f t="shared" si="19"/>
        <v>0.33165137614678897</v>
      </c>
    </row>
    <row r="275" spans="1:15" ht="17" customHeight="1">
      <c r="A275" s="16" t="s">
        <v>480</v>
      </c>
      <c r="B275" s="17"/>
      <c r="C275" s="18" t="s">
        <v>481</v>
      </c>
      <c r="D275" s="18" t="s">
        <v>1874</v>
      </c>
      <c r="E275" s="17"/>
      <c r="F275" s="17"/>
      <c r="G275" s="18">
        <v>2180</v>
      </c>
      <c r="H275" s="18">
        <v>1</v>
      </c>
      <c r="I275" s="18">
        <v>2180</v>
      </c>
      <c r="J275" s="18">
        <v>1</v>
      </c>
      <c r="K275" s="1">
        <f t="shared" si="16"/>
        <v>327</v>
      </c>
      <c r="L275" s="6">
        <v>1429</v>
      </c>
      <c r="M275" s="6">
        <f t="shared" si="17"/>
        <v>1429</v>
      </c>
      <c r="N275" s="6">
        <f t="shared" si="18"/>
        <v>424</v>
      </c>
      <c r="O275" s="8">
        <f t="shared" si="19"/>
        <v>0.19449541284403671</v>
      </c>
    </row>
    <row r="276" spans="1:15" ht="17" customHeight="1">
      <c r="A276" s="16" t="s">
        <v>1875</v>
      </c>
      <c r="B276" s="17"/>
      <c r="C276" s="18">
        <v>4903301377597</v>
      </c>
      <c r="D276" s="18" t="s">
        <v>739</v>
      </c>
      <c r="E276" s="17"/>
      <c r="F276" s="17"/>
      <c r="G276" s="18">
        <v>2080</v>
      </c>
      <c r="H276" s="18">
        <v>1</v>
      </c>
      <c r="I276" s="18">
        <v>2080</v>
      </c>
      <c r="J276" s="18">
        <v>1</v>
      </c>
      <c r="K276" s="1">
        <f t="shared" si="16"/>
        <v>312</v>
      </c>
      <c r="L276" s="6">
        <v>1020</v>
      </c>
      <c r="M276" s="6">
        <f t="shared" si="17"/>
        <v>1020</v>
      </c>
      <c r="N276" s="6">
        <f t="shared" si="18"/>
        <v>748</v>
      </c>
      <c r="O276" s="8">
        <f t="shared" si="19"/>
        <v>0.35961538461538461</v>
      </c>
    </row>
    <row r="277" spans="1:15" ht="17" customHeight="1">
      <c r="A277" s="16" t="s">
        <v>1876</v>
      </c>
      <c r="B277" s="17"/>
      <c r="C277" s="18" t="s">
        <v>1224</v>
      </c>
      <c r="D277" s="18" t="s">
        <v>1225</v>
      </c>
      <c r="E277" s="17"/>
      <c r="F277" s="17"/>
      <c r="G277" s="18">
        <v>1980</v>
      </c>
      <c r="H277" s="18">
        <v>1</v>
      </c>
      <c r="I277" s="18">
        <v>1980</v>
      </c>
      <c r="J277" s="18">
        <v>1</v>
      </c>
      <c r="K277" s="1">
        <f t="shared" si="16"/>
        <v>297</v>
      </c>
      <c r="L277" s="6">
        <v>357</v>
      </c>
      <c r="M277" s="6">
        <f t="shared" si="17"/>
        <v>357</v>
      </c>
      <c r="N277" s="6">
        <f t="shared" si="18"/>
        <v>1326</v>
      </c>
      <c r="O277" s="8">
        <f t="shared" si="19"/>
        <v>0.66969696969696968</v>
      </c>
    </row>
    <row r="278" spans="1:15" ht="17" customHeight="1">
      <c r="A278" s="16" t="s">
        <v>1877</v>
      </c>
      <c r="B278" s="17"/>
      <c r="C278" s="18" t="s">
        <v>1878</v>
      </c>
      <c r="D278" s="18" t="s">
        <v>1879</v>
      </c>
      <c r="E278" s="17"/>
      <c r="F278" s="17"/>
      <c r="G278" s="18">
        <v>1980</v>
      </c>
      <c r="H278" s="18">
        <v>1</v>
      </c>
      <c r="I278" s="18">
        <v>1980</v>
      </c>
      <c r="J278" s="18">
        <v>1</v>
      </c>
      <c r="K278" s="1">
        <f t="shared" si="16"/>
        <v>297</v>
      </c>
      <c r="L278" s="6">
        <v>981</v>
      </c>
      <c r="M278" s="6">
        <f t="shared" si="17"/>
        <v>981</v>
      </c>
      <c r="N278" s="6">
        <f t="shared" si="18"/>
        <v>702</v>
      </c>
      <c r="O278" s="8">
        <f t="shared" si="19"/>
        <v>0.35454545454545455</v>
      </c>
    </row>
    <row r="279" spans="1:15" ht="17" customHeight="1">
      <c r="A279" s="16" t="s">
        <v>1880</v>
      </c>
      <c r="B279" s="17"/>
      <c r="C279" s="18" t="s">
        <v>1881</v>
      </c>
      <c r="D279" s="18" t="s">
        <v>1882</v>
      </c>
      <c r="E279" s="17"/>
      <c r="F279" s="17"/>
      <c r="G279" s="18">
        <v>1980</v>
      </c>
      <c r="H279" s="18">
        <v>1</v>
      </c>
      <c r="I279" s="18">
        <v>1980</v>
      </c>
      <c r="J279" s="18">
        <v>1</v>
      </c>
      <c r="K279" s="1">
        <f t="shared" si="16"/>
        <v>297</v>
      </c>
      <c r="L279" s="6">
        <v>990</v>
      </c>
      <c r="M279" s="6">
        <f t="shared" si="17"/>
        <v>990</v>
      </c>
      <c r="N279" s="6">
        <f t="shared" si="18"/>
        <v>693</v>
      </c>
      <c r="O279" s="8">
        <f t="shared" si="19"/>
        <v>0.35</v>
      </c>
    </row>
    <row r="280" spans="1:15" ht="17" customHeight="1">
      <c r="A280" s="16" t="s">
        <v>1883</v>
      </c>
      <c r="B280" s="18" t="s">
        <v>808</v>
      </c>
      <c r="C280" s="18" t="s">
        <v>1884</v>
      </c>
      <c r="D280" s="18" t="s">
        <v>1885</v>
      </c>
      <c r="E280" s="18" t="s">
        <v>1886</v>
      </c>
      <c r="F280" s="17"/>
      <c r="G280" s="18">
        <v>1980</v>
      </c>
      <c r="H280" s="18">
        <v>1</v>
      </c>
      <c r="I280" s="18">
        <v>1980</v>
      </c>
      <c r="J280" s="18">
        <v>1</v>
      </c>
      <c r="K280" s="1">
        <f t="shared" si="16"/>
        <v>297</v>
      </c>
      <c r="L280" s="6">
        <v>825</v>
      </c>
      <c r="M280" s="6">
        <f t="shared" si="17"/>
        <v>825</v>
      </c>
      <c r="N280" s="6">
        <f t="shared" si="18"/>
        <v>858</v>
      </c>
      <c r="O280" s="8">
        <f t="shared" si="19"/>
        <v>0.43333333333333335</v>
      </c>
    </row>
    <row r="281" spans="1:15" ht="17" customHeight="1">
      <c r="A281" s="16" t="s">
        <v>759</v>
      </c>
      <c r="B281" s="17"/>
      <c r="C281" s="18" t="s">
        <v>760</v>
      </c>
      <c r="D281" s="18" t="s">
        <v>1377</v>
      </c>
      <c r="E281" s="17"/>
      <c r="F281" s="17"/>
      <c r="G281" s="18">
        <v>1980</v>
      </c>
      <c r="H281" s="18">
        <v>1</v>
      </c>
      <c r="I281" s="18">
        <v>1980</v>
      </c>
      <c r="J281" s="18">
        <v>1</v>
      </c>
      <c r="K281" s="1">
        <f t="shared" si="16"/>
        <v>297</v>
      </c>
      <c r="L281" s="6">
        <v>630</v>
      </c>
      <c r="M281" s="6">
        <f t="shared" si="17"/>
        <v>630</v>
      </c>
      <c r="N281" s="6">
        <f t="shared" si="18"/>
        <v>1053</v>
      </c>
      <c r="O281" s="8">
        <f t="shared" si="19"/>
        <v>0.53181818181818186</v>
      </c>
    </row>
    <row r="282" spans="1:15" ht="17" customHeight="1">
      <c r="A282" s="16" t="s">
        <v>1380</v>
      </c>
      <c r="B282" s="17"/>
      <c r="C282" s="18" t="s">
        <v>1381</v>
      </c>
      <c r="D282" s="18" t="s">
        <v>1382</v>
      </c>
      <c r="E282" s="17"/>
      <c r="F282" s="17"/>
      <c r="G282" s="18">
        <v>1980</v>
      </c>
      <c r="H282" s="18">
        <v>1</v>
      </c>
      <c r="I282" s="18">
        <v>1980</v>
      </c>
      <c r="J282" s="18">
        <v>1</v>
      </c>
      <c r="K282" s="1">
        <f t="shared" si="16"/>
        <v>297</v>
      </c>
      <c r="L282" s="6">
        <v>788</v>
      </c>
      <c r="M282" s="6">
        <f t="shared" si="17"/>
        <v>788</v>
      </c>
      <c r="N282" s="6">
        <f t="shared" si="18"/>
        <v>895</v>
      </c>
      <c r="O282" s="8">
        <f t="shared" si="19"/>
        <v>0.45202020202020204</v>
      </c>
    </row>
    <row r="283" spans="1:15" ht="17" customHeight="1">
      <c r="A283" s="16" t="s">
        <v>1887</v>
      </c>
      <c r="B283" s="17"/>
      <c r="C283" s="18" t="s">
        <v>1888</v>
      </c>
      <c r="D283" s="18" t="s">
        <v>1889</v>
      </c>
      <c r="E283" s="17"/>
      <c r="F283" s="17"/>
      <c r="G283" s="18">
        <v>1980</v>
      </c>
      <c r="H283" s="18">
        <v>1</v>
      </c>
      <c r="I283" s="18">
        <v>1980</v>
      </c>
      <c r="J283" s="18">
        <v>1</v>
      </c>
      <c r="K283" s="1">
        <f t="shared" si="16"/>
        <v>297</v>
      </c>
      <c r="L283" s="6">
        <v>825</v>
      </c>
      <c r="M283" s="6">
        <f t="shared" si="17"/>
        <v>825</v>
      </c>
      <c r="N283" s="6">
        <f t="shared" si="18"/>
        <v>858</v>
      </c>
      <c r="O283" s="8">
        <f t="shared" si="19"/>
        <v>0.43333333333333335</v>
      </c>
    </row>
    <row r="284" spans="1:15" ht="17" customHeight="1">
      <c r="A284" s="16" t="s">
        <v>1388</v>
      </c>
      <c r="B284" s="17"/>
      <c r="C284" s="18" t="s">
        <v>1389</v>
      </c>
      <c r="D284" s="18" t="s">
        <v>1390</v>
      </c>
      <c r="E284" s="17"/>
      <c r="F284" s="17"/>
      <c r="G284" s="18">
        <v>1980</v>
      </c>
      <c r="H284" s="18">
        <v>1</v>
      </c>
      <c r="I284" s="18">
        <v>1980</v>
      </c>
      <c r="J284" s="18">
        <v>1</v>
      </c>
      <c r="K284" s="1">
        <f t="shared" si="16"/>
        <v>297</v>
      </c>
      <c r="L284" s="6">
        <v>1023</v>
      </c>
      <c r="M284" s="6">
        <f t="shared" si="17"/>
        <v>1023</v>
      </c>
      <c r="N284" s="6">
        <f t="shared" si="18"/>
        <v>660</v>
      </c>
      <c r="O284" s="8">
        <f t="shared" si="19"/>
        <v>0.33333333333333331</v>
      </c>
    </row>
    <row r="285" spans="1:15" ht="17" customHeight="1">
      <c r="A285" s="16" t="s">
        <v>1395</v>
      </c>
      <c r="B285" s="17"/>
      <c r="C285" s="18" t="s">
        <v>559</v>
      </c>
      <c r="D285" s="18" t="s">
        <v>1396</v>
      </c>
      <c r="E285" s="17"/>
      <c r="F285" s="17"/>
      <c r="G285" s="18">
        <v>1980</v>
      </c>
      <c r="H285" s="18">
        <v>1</v>
      </c>
      <c r="I285" s="18">
        <v>1980</v>
      </c>
      <c r="J285" s="18">
        <v>1</v>
      </c>
      <c r="K285" s="1">
        <f t="shared" si="16"/>
        <v>297</v>
      </c>
      <c r="L285" s="6">
        <v>946</v>
      </c>
      <c r="M285" s="6">
        <f t="shared" si="17"/>
        <v>946</v>
      </c>
      <c r="N285" s="6">
        <f t="shared" si="18"/>
        <v>737</v>
      </c>
      <c r="O285" s="8">
        <f t="shared" si="19"/>
        <v>0.37222222222222223</v>
      </c>
    </row>
    <row r="286" spans="1:15" ht="17" customHeight="1">
      <c r="A286" s="20" t="s">
        <v>1328</v>
      </c>
      <c r="B286" s="17"/>
      <c r="C286" s="18" t="s">
        <v>1329</v>
      </c>
      <c r="D286" s="18" t="s">
        <v>1890</v>
      </c>
      <c r="E286" s="17"/>
      <c r="F286" s="17"/>
      <c r="G286" s="18">
        <v>1853</v>
      </c>
      <c r="H286" s="18">
        <v>1</v>
      </c>
      <c r="I286" s="18">
        <v>1853</v>
      </c>
      <c r="J286" s="18">
        <v>1</v>
      </c>
      <c r="K286" s="1">
        <f t="shared" si="16"/>
        <v>277.95</v>
      </c>
      <c r="L286" s="6">
        <v>1608</v>
      </c>
      <c r="M286" s="6">
        <f t="shared" si="17"/>
        <v>1608</v>
      </c>
      <c r="N286" s="6">
        <f t="shared" si="18"/>
        <v>-32.950000000000045</v>
      </c>
      <c r="O286" s="8">
        <f t="shared" si="19"/>
        <v>-1.7781975175391283E-2</v>
      </c>
    </row>
    <row r="287" spans="1:15" ht="17" customHeight="1">
      <c r="A287" s="16" t="s">
        <v>1402</v>
      </c>
      <c r="B287" s="17"/>
      <c r="C287" s="18" t="s">
        <v>1403</v>
      </c>
      <c r="D287" s="18" t="s">
        <v>1404</v>
      </c>
      <c r="E287" s="17"/>
      <c r="F287" s="17"/>
      <c r="G287" s="18">
        <v>1780</v>
      </c>
      <c r="H287" s="18">
        <v>1</v>
      </c>
      <c r="I287" s="18">
        <v>1780</v>
      </c>
      <c r="J287" s="18">
        <v>1</v>
      </c>
      <c r="K287" s="1">
        <f t="shared" si="16"/>
        <v>267</v>
      </c>
      <c r="L287" s="6">
        <v>605</v>
      </c>
      <c r="M287" s="6">
        <f t="shared" si="17"/>
        <v>605</v>
      </c>
      <c r="N287" s="6">
        <f t="shared" si="18"/>
        <v>908</v>
      </c>
      <c r="O287" s="8">
        <f t="shared" si="19"/>
        <v>0.51011235955056178</v>
      </c>
    </row>
    <row r="288" spans="1:15" ht="17" customHeight="1">
      <c r="A288" s="16" t="s">
        <v>651</v>
      </c>
      <c r="B288" s="18" t="s">
        <v>1400</v>
      </c>
      <c r="C288" s="18" t="s">
        <v>653</v>
      </c>
      <c r="D288" s="27">
        <v>6.2111481480589895E+20</v>
      </c>
      <c r="E288" s="18" t="s">
        <v>1401</v>
      </c>
      <c r="F288" s="17"/>
      <c r="G288" s="18">
        <v>1780</v>
      </c>
      <c r="H288" s="18">
        <v>1</v>
      </c>
      <c r="I288" s="18">
        <v>1780</v>
      </c>
      <c r="J288" s="18">
        <v>1</v>
      </c>
      <c r="K288" s="1">
        <f t="shared" si="16"/>
        <v>267</v>
      </c>
      <c r="L288" s="6">
        <v>880</v>
      </c>
      <c r="M288" s="6">
        <f t="shared" si="17"/>
        <v>880</v>
      </c>
      <c r="N288" s="6">
        <f t="shared" si="18"/>
        <v>633</v>
      </c>
      <c r="O288" s="8">
        <f t="shared" si="19"/>
        <v>0.35561797752808988</v>
      </c>
    </row>
    <row r="289" spans="1:15" ht="17" customHeight="1">
      <c r="A289" s="16" t="s">
        <v>1405</v>
      </c>
      <c r="B289" s="17"/>
      <c r="C289" s="18" t="s">
        <v>1406</v>
      </c>
      <c r="D289" s="18" t="s">
        <v>1407</v>
      </c>
      <c r="E289" s="17"/>
      <c r="F289" s="17"/>
      <c r="G289" s="18">
        <v>1780</v>
      </c>
      <c r="H289" s="18">
        <v>1</v>
      </c>
      <c r="I289" s="18">
        <v>1780</v>
      </c>
      <c r="J289" s="18">
        <v>1</v>
      </c>
      <c r="K289" s="1">
        <f t="shared" si="16"/>
        <v>267</v>
      </c>
      <c r="L289" s="6">
        <v>980</v>
      </c>
      <c r="M289" s="6">
        <f t="shared" si="17"/>
        <v>980</v>
      </c>
      <c r="N289" s="6">
        <f t="shared" si="18"/>
        <v>533</v>
      </c>
      <c r="O289" s="8">
        <f t="shared" si="19"/>
        <v>0.29943820224719103</v>
      </c>
    </row>
    <row r="290" spans="1:15" ht="17" customHeight="1">
      <c r="A290" s="16" t="s">
        <v>601</v>
      </c>
      <c r="B290" s="17"/>
      <c r="C290" s="18" t="s">
        <v>602</v>
      </c>
      <c r="D290" s="18" t="s">
        <v>1891</v>
      </c>
      <c r="E290" s="17"/>
      <c r="F290" s="17"/>
      <c r="G290" s="18">
        <v>1680</v>
      </c>
      <c r="H290" s="18">
        <v>1</v>
      </c>
      <c r="I290" s="18">
        <v>1680</v>
      </c>
      <c r="J290" s="18">
        <v>1</v>
      </c>
      <c r="K290" s="1">
        <f t="shared" si="16"/>
        <v>252</v>
      </c>
      <c r="L290" s="6">
        <v>980</v>
      </c>
      <c r="M290" s="6">
        <f t="shared" si="17"/>
        <v>980</v>
      </c>
      <c r="N290" s="6">
        <f t="shared" si="18"/>
        <v>448</v>
      </c>
      <c r="O290" s="8">
        <f t="shared" si="19"/>
        <v>0.26666666666666666</v>
      </c>
    </row>
    <row r="291" spans="1:15" ht="17" customHeight="1">
      <c r="A291" s="16" t="s">
        <v>1144</v>
      </c>
      <c r="B291" s="17"/>
      <c r="C291" s="18" t="s">
        <v>794</v>
      </c>
      <c r="D291" s="18" t="s">
        <v>1145</v>
      </c>
      <c r="E291" s="17"/>
      <c r="F291" s="17"/>
      <c r="G291" s="18">
        <v>1680</v>
      </c>
      <c r="H291" s="18">
        <v>1</v>
      </c>
      <c r="I291" s="18">
        <v>1680</v>
      </c>
      <c r="J291" s="18">
        <v>1</v>
      </c>
      <c r="K291" s="1">
        <f t="shared" si="16"/>
        <v>252</v>
      </c>
      <c r="L291" s="6">
        <v>942</v>
      </c>
      <c r="M291" s="6">
        <f t="shared" si="17"/>
        <v>942</v>
      </c>
      <c r="N291" s="6">
        <f t="shared" si="18"/>
        <v>486</v>
      </c>
      <c r="O291" s="8">
        <f t="shared" si="19"/>
        <v>0.28928571428571431</v>
      </c>
    </row>
    <row r="292" spans="1:15" ht="17" customHeight="1">
      <c r="A292" s="16" t="s">
        <v>787</v>
      </c>
      <c r="B292" s="17"/>
      <c r="C292" s="18" t="s">
        <v>788</v>
      </c>
      <c r="D292" s="18" t="s">
        <v>1892</v>
      </c>
      <c r="E292" s="17"/>
      <c r="F292" s="17"/>
      <c r="G292" s="18">
        <v>1680</v>
      </c>
      <c r="H292" s="18">
        <v>1</v>
      </c>
      <c r="I292" s="18">
        <v>1680</v>
      </c>
      <c r="J292" s="18">
        <v>1</v>
      </c>
      <c r="K292" s="1">
        <f t="shared" si="16"/>
        <v>252</v>
      </c>
      <c r="L292" s="6">
        <v>835</v>
      </c>
      <c r="M292" s="6">
        <f t="shared" si="17"/>
        <v>835</v>
      </c>
      <c r="N292" s="6">
        <f t="shared" si="18"/>
        <v>593</v>
      </c>
      <c r="O292" s="8">
        <f t="shared" si="19"/>
        <v>0.3529761904761905</v>
      </c>
    </row>
    <row r="293" spans="1:15" ht="17" customHeight="1">
      <c r="A293" s="16" t="s">
        <v>1410</v>
      </c>
      <c r="B293" s="17"/>
      <c r="C293" s="18" t="s">
        <v>791</v>
      </c>
      <c r="D293" s="18" t="s">
        <v>1145</v>
      </c>
      <c r="E293" s="17"/>
      <c r="F293" s="17"/>
      <c r="G293" s="18">
        <v>1680</v>
      </c>
      <c r="H293" s="18">
        <v>1</v>
      </c>
      <c r="I293" s="18">
        <v>1680</v>
      </c>
      <c r="J293" s="18">
        <v>1</v>
      </c>
      <c r="K293" s="1">
        <f t="shared" si="16"/>
        <v>252</v>
      </c>
      <c r="L293" s="6">
        <v>942</v>
      </c>
      <c r="M293" s="6">
        <f t="shared" si="17"/>
        <v>942</v>
      </c>
      <c r="N293" s="6">
        <f t="shared" si="18"/>
        <v>486</v>
      </c>
      <c r="O293" s="8">
        <f t="shared" si="19"/>
        <v>0.28928571428571431</v>
      </c>
    </row>
    <row r="294" spans="1:15" ht="17" customHeight="1">
      <c r="A294" s="16" t="s">
        <v>1893</v>
      </c>
      <c r="B294" s="17"/>
      <c r="C294" s="18" t="s">
        <v>1894</v>
      </c>
      <c r="D294" s="18" t="s">
        <v>1895</v>
      </c>
      <c r="E294" s="17"/>
      <c r="F294" s="17"/>
      <c r="G294" s="18">
        <v>1580</v>
      </c>
      <c r="H294" s="18">
        <v>1</v>
      </c>
      <c r="I294" s="18">
        <v>1580</v>
      </c>
      <c r="J294" s="18">
        <v>1</v>
      </c>
      <c r="K294" s="1">
        <f t="shared" si="16"/>
        <v>237</v>
      </c>
      <c r="L294" s="6">
        <v>548</v>
      </c>
      <c r="M294" s="6">
        <f t="shared" si="17"/>
        <v>548</v>
      </c>
      <c r="N294" s="6">
        <f t="shared" si="18"/>
        <v>795</v>
      </c>
      <c r="O294" s="8">
        <f t="shared" si="19"/>
        <v>0.50316455696202533</v>
      </c>
    </row>
    <row r="295" spans="1:15" ht="17" customHeight="1">
      <c r="A295" s="16" t="s">
        <v>812</v>
      </c>
      <c r="B295" s="17"/>
      <c r="C295" s="18" t="s">
        <v>813</v>
      </c>
      <c r="D295" s="18" t="s">
        <v>814</v>
      </c>
      <c r="E295" s="17"/>
      <c r="F295" s="17"/>
      <c r="G295" s="18">
        <v>1480</v>
      </c>
      <c r="H295" s="18">
        <v>1</v>
      </c>
      <c r="I295" s="18">
        <v>1480</v>
      </c>
      <c r="J295" s="18">
        <v>1</v>
      </c>
      <c r="K295" s="1">
        <f t="shared" si="16"/>
        <v>222</v>
      </c>
      <c r="L295" s="6">
        <v>439</v>
      </c>
      <c r="M295" s="6">
        <f t="shared" si="17"/>
        <v>439</v>
      </c>
      <c r="N295" s="6">
        <f t="shared" si="18"/>
        <v>819</v>
      </c>
      <c r="O295" s="8">
        <f t="shared" si="19"/>
        <v>0.55337837837837833</v>
      </c>
    </row>
    <row r="296" spans="1:15" ht="17" customHeight="1">
      <c r="A296" s="16" t="s">
        <v>330</v>
      </c>
      <c r="B296" s="17"/>
      <c r="C296" s="18" t="s">
        <v>331</v>
      </c>
      <c r="D296" s="18">
        <v>830</v>
      </c>
      <c r="E296" s="17"/>
      <c r="F296" s="17"/>
      <c r="G296" s="18">
        <v>1480</v>
      </c>
      <c r="H296" s="18">
        <v>1</v>
      </c>
      <c r="I296" s="18">
        <v>1480</v>
      </c>
      <c r="J296" s="18">
        <v>1</v>
      </c>
      <c r="K296" s="1">
        <f t="shared" si="16"/>
        <v>222</v>
      </c>
      <c r="L296" s="6">
        <v>830</v>
      </c>
      <c r="M296" s="6">
        <f t="shared" si="17"/>
        <v>830</v>
      </c>
      <c r="N296" s="6">
        <f t="shared" si="18"/>
        <v>428</v>
      </c>
      <c r="O296" s="8">
        <f t="shared" si="19"/>
        <v>0.28918918918918918</v>
      </c>
    </row>
    <row r="297" spans="1:15" ht="17" customHeight="1">
      <c r="A297" s="16" t="s">
        <v>1896</v>
      </c>
      <c r="B297" s="17"/>
      <c r="C297" s="18" t="s">
        <v>1897</v>
      </c>
      <c r="D297" s="18" t="s">
        <v>1898</v>
      </c>
      <c r="E297" s="17"/>
      <c r="F297" s="17"/>
      <c r="G297" s="18">
        <v>1480</v>
      </c>
      <c r="H297" s="18">
        <v>1</v>
      </c>
      <c r="I297" s="18">
        <v>1480</v>
      </c>
      <c r="J297" s="18">
        <v>1</v>
      </c>
      <c r="K297" s="1">
        <f t="shared" si="16"/>
        <v>222</v>
      </c>
      <c r="L297" s="6">
        <v>539</v>
      </c>
      <c r="M297" s="6">
        <f t="shared" si="17"/>
        <v>539</v>
      </c>
      <c r="N297" s="6">
        <f t="shared" si="18"/>
        <v>719</v>
      </c>
      <c r="O297" s="8">
        <f t="shared" si="19"/>
        <v>0.48581081081081079</v>
      </c>
    </row>
    <row r="298" spans="1:15" ht="17" customHeight="1">
      <c r="A298" s="16" t="s">
        <v>1136</v>
      </c>
      <c r="B298" s="18" t="s">
        <v>808</v>
      </c>
      <c r="C298" s="18" t="s">
        <v>1138</v>
      </c>
      <c r="D298" s="18" t="s">
        <v>1139</v>
      </c>
      <c r="E298" s="18" t="s">
        <v>1899</v>
      </c>
      <c r="F298" s="17"/>
      <c r="G298" s="18">
        <v>1480</v>
      </c>
      <c r="H298" s="18">
        <v>1</v>
      </c>
      <c r="I298" s="18">
        <v>1480</v>
      </c>
      <c r="J298" s="18">
        <v>1</v>
      </c>
      <c r="K298" s="1">
        <f t="shared" si="16"/>
        <v>222</v>
      </c>
      <c r="L298" s="6">
        <v>495</v>
      </c>
      <c r="M298" s="6">
        <f t="shared" si="17"/>
        <v>495</v>
      </c>
      <c r="N298" s="6">
        <f t="shared" si="18"/>
        <v>763</v>
      </c>
      <c r="O298" s="8">
        <f t="shared" si="19"/>
        <v>0.51554054054054055</v>
      </c>
    </row>
    <row r="299" spans="1:15" ht="17" customHeight="1">
      <c r="A299" s="16" t="s">
        <v>1900</v>
      </c>
      <c r="B299" s="17"/>
      <c r="C299" s="18" t="s">
        <v>1901</v>
      </c>
      <c r="D299" s="18" t="s">
        <v>1902</v>
      </c>
      <c r="E299" s="17"/>
      <c r="F299" s="17"/>
      <c r="G299" s="18">
        <v>1480</v>
      </c>
      <c r="H299" s="18">
        <v>1</v>
      </c>
      <c r="I299" s="18">
        <v>1480</v>
      </c>
      <c r="J299" s="18">
        <v>1</v>
      </c>
      <c r="K299" s="1">
        <f t="shared" si="16"/>
        <v>222</v>
      </c>
      <c r="L299" s="6">
        <v>550</v>
      </c>
      <c r="M299" s="6">
        <f t="shared" si="17"/>
        <v>550</v>
      </c>
      <c r="N299" s="6">
        <f t="shared" si="18"/>
        <v>708</v>
      </c>
      <c r="O299" s="8">
        <f t="shared" si="19"/>
        <v>0.47837837837837838</v>
      </c>
    </row>
    <row r="300" spans="1:15" ht="17" customHeight="1">
      <c r="A300" s="16" t="s">
        <v>495</v>
      </c>
      <c r="B300" s="17"/>
      <c r="C300" s="18" t="s">
        <v>496</v>
      </c>
      <c r="D300" s="18" t="s">
        <v>1310</v>
      </c>
      <c r="E300" s="17"/>
      <c r="F300" s="17"/>
      <c r="G300" s="18">
        <v>1480</v>
      </c>
      <c r="H300" s="18">
        <v>1</v>
      </c>
      <c r="I300" s="18">
        <v>1480</v>
      </c>
      <c r="J300" s="18">
        <v>1</v>
      </c>
      <c r="K300" s="1">
        <f t="shared" si="16"/>
        <v>222</v>
      </c>
      <c r="L300" s="6">
        <v>720</v>
      </c>
      <c r="M300" s="6">
        <f t="shared" si="17"/>
        <v>720</v>
      </c>
      <c r="N300" s="6">
        <f t="shared" si="18"/>
        <v>538</v>
      </c>
      <c r="O300" s="8">
        <f t="shared" si="19"/>
        <v>0.36351351351351352</v>
      </c>
    </row>
    <row r="301" spans="1:15" ht="17" customHeight="1">
      <c r="A301" s="20" t="s">
        <v>1903</v>
      </c>
      <c r="B301" s="17"/>
      <c r="C301" s="18" t="s">
        <v>1186</v>
      </c>
      <c r="D301" s="18" t="s">
        <v>1187</v>
      </c>
      <c r="E301" s="17"/>
      <c r="F301" s="17"/>
      <c r="G301" s="18">
        <v>1480</v>
      </c>
      <c r="H301" s="18">
        <v>1</v>
      </c>
      <c r="I301" s="18">
        <v>1480</v>
      </c>
      <c r="J301" s="18">
        <v>1</v>
      </c>
      <c r="K301" s="1">
        <f t="shared" si="16"/>
        <v>222</v>
      </c>
      <c r="L301" s="6">
        <v>398</v>
      </c>
      <c r="M301" s="6">
        <f t="shared" si="17"/>
        <v>398</v>
      </c>
      <c r="N301" s="6">
        <f t="shared" si="18"/>
        <v>860</v>
      </c>
      <c r="O301" s="8">
        <f t="shared" si="19"/>
        <v>0.58108108108108103</v>
      </c>
    </row>
    <row r="302" spans="1:15" ht="17" customHeight="1">
      <c r="A302" s="16" t="s">
        <v>1904</v>
      </c>
      <c r="B302" s="17"/>
      <c r="C302" s="18" t="s">
        <v>1905</v>
      </c>
      <c r="D302" s="18" t="s">
        <v>1906</v>
      </c>
      <c r="E302" s="17"/>
      <c r="F302" s="17"/>
      <c r="G302" s="18">
        <v>1398</v>
      </c>
      <c r="H302" s="18">
        <v>1</v>
      </c>
      <c r="I302" s="18">
        <v>1398</v>
      </c>
      <c r="J302" s="18">
        <v>1</v>
      </c>
      <c r="K302" s="1">
        <f t="shared" si="16"/>
        <v>209.7</v>
      </c>
      <c r="L302" s="6">
        <v>329</v>
      </c>
      <c r="M302" s="6">
        <f t="shared" si="17"/>
        <v>329</v>
      </c>
      <c r="N302" s="6">
        <f t="shared" si="18"/>
        <v>859.3</v>
      </c>
      <c r="O302" s="8">
        <f t="shared" si="19"/>
        <v>0.61466380543633758</v>
      </c>
    </row>
    <row r="303" spans="1:15" ht="17" customHeight="1">
      <c r="A303" s="16" t="s">
        <v>1634</v>
      </c>
      <c r="B303" s="18" t="s">
        <v>228</v>
      </c>
      <c r="C303" s="18" t="s">
        <v>229</v>
      </c>
      <c r="D303" s="18" t="s">
        <v>983</v>
      </c>
      <c r="E303" s="18" t="s">
        <v>231</v>
      </c>
      <c r="F303" s="17"/>
      <c r="G303" s="18">
        <v>1380</v>
      </c>
      <c r="H303" s="18">
        <v>1</v>
      </c>
      <c r="I303" s="18">
        <v>1380</v>
      </c>
      <c r="J303" s="18">
        <v>1</v>
      </c>
      <c r="K303" s="1">
        <f t="shared" si="16"/>
        <v>207</v>
      </c>
      <c r="L303" s="6">
        <v>504</v>
      </c>
      <c r="M303" s="6">
        <f t="shared" si="17"/>
        <v>504</v>
      </c>
      <c r="N303" s="6">
        <f t="shared" si="18"/>
        <v>669</v>
      </c>
      <c r="O303" s="8">
        <f t="shared" si="19"/>
        <v>0.48478260869565215</v>
      </c>
    </row>
    <row r="304" spans="1:15" ht="17" customHeight="1">
      <c r="A304" s="16" t="s">
        <v>1445</v>
      </c>
      <c r="B304" s="17"/>
      <c r="C304" s="18" t="s">
        <v>1446</v>
      </c>
      <c r="D304" s="18">
        <v>737</v>
      </c>
      <c r="E304" s="17"/>
      <c r="F304" s="17"/>
      <c r="G304" s="18">
        <v>1280</v>
      </c>
      <c r="H304" s="18">
        <v>1</v>
      </c>
      <c r="I304" s="18">
        <v>1280</v>
      </c>
      <c r="J304" s="18">
        <v>1</v>
      </c>
      <c r="K304" s="1">
        <f t="shared" si="16"/>
        <v>192</v>
      </c>
      <c r="L304" s="6">
        <v>737</v>
      </c>
      <c r="M304" s="6">
        <f t="shared" si="17"/>
        <v>737</v>
      </c>
      <c r="N304" s="6">
        <f t="shared" si="18"/>
        <v>351</v>
      </c>
      <c r="O304" s="8">
        <f t="shared" si="19"/>
        <v>0.27421875000000001</v>
      </c>
    </row>
    <row r="305" spans="1:15" ht="17" customHeight="1">
      <c r="A305" s="16" t="s">
        <v>1907</v>
      </c>
      <c r="B305" s="17"/>
      <c r="C305" s="18" t="s">
        <v>1044</v>
      </c>
      <c r="D305" s="18" t="s">
        <v>1045</v>
      </c>
      <c r="E305" s="17"/>
      <c r="F305" s="17"/>
      <c r="G305" s="18">
        <v>1280</v>
      </c>
      <c r="H305" s="18">
        <v>1</v>
      </c>
      <c r="I305" s="18">
        <v>1280</v>
      </c>
      <c r="J305" s="18">
        <v>1</v>
      </c>
      <c r="K305" s="1">
        <f t="shared" si="16"/>
        <v>192</v>
      </c>
      <c r="L305" s="6">
        <v>783</v>
      </c>
      <c r="M305" s="6">
        <f t="shared" si="17"/>
        <v>783</v>
      </c>
      <c r="N305" s="6">
        <f t="shared" si="18"/>
        <v>305</v>
      </c>
      <c r="O305" s="8">
        <f t="shared" si="19"/>
        <v>0.23828125</v>
      </c>
    </row>
    <row r="306" spans="1:15" ht="17" customHeight="1">
      <c r="A306" s="16" t="s">
        <v>1908</v>
      </c>
      <c r="B306" s="17"/>
      <c r="C306" s="18" t="s">
        <v>1909</v>
      </c>
      <c r="D306" s="18" t="s">
        <v>1910</v>
      </c>
      <c r="E306" s="17"/>
      <c r="F306" s="17"/>
      <c r="G306" s="18">
        <v>1280</v>
      </c>
      <c r="H306" s="18">
        <v>1</v>
      </c>
      <c r="I306" s="18">
        <v>1280</v>
      </c>
      <c r="J306" s="18">
        <v>1</v>
      </c>
      <c r="K306" s="1">
        <f t="shared" si="16"/>
        <v>192</v>
      </c>
      <c r="L306" s="6">
        <v>440</v>
      </c>
      <c r="M306" s="6">
        <f t="shared" si="17"/>
        <v>440</v>
      </c>
      <c r="N306" s="6">
        <f t="shared" si="18"/>
        <v>648</v>
      </c>
      <c r="O306" s="8">
        <f t="shared" si="19"/>
        <v>0.50624999999999998</v>
      </c>
    </row>
    <row r="307" spans="1:15" ht="17" customHeight="1">
      <c r="A307" s="16" t="s">
        <v>1911</v>
      </c>
      <c r="B307" s="17"/>
      <c r="C307" s="18" t="s">
        <v>679</v>
      </c>
      <c r="D307" s="18" t="s">
        <v>1912</v>
      </c>
      <c r="E307" s="17"/>
      <c r="F307" s="17"/>
      <c r="G307" s="18">
        <v>1280</v>
      </c>
      <c r="H307" s="18">
        <v>1</v>
      </c>
      <c r="I307" s="18">
        <v>1280</v>
      </c>
      <c r="J307" s="18">
        <v>1</v>
      </c>
      <c r="K307" s="1">
        <f t="shared" si="16"/>
        <v>192</v>
      </c>
      <c r="L307" s="6">
        <v>522</v>
      </c>
      <c r="M307" s="6">
        <f t="shared" si="17"/>
        <v>522</v>
      </c>
      <c r="N307" s="6">
        <f t="shared" si="18"/>
        <v>566</v>
      </c>
      <c r="O307" s="8">
        <f t="shared" si="19"/>
        <v>0.44218750000000001</v>
      </c>
    </row>
    <row r="308" spans="1:15" ht="17" customHeight="1">
      <c r="A308" s="16" t="s">
        <v>1913</v>
      </c>
      <c r="B308" s="17"/>
      <c r="C308" s="18" t="s">
        <v>1914</v>
      </c>
      <c r="D308" s="18" t="s">
        <v>1915</v>
      </c>
      <c r="E308" s="17"/>
      <c r="F308" s="17"/>
      <c r="G308" s="18">
        <v>1280</v>
      </c>
      <c r="H308" s="18">
        <v>1</v>
      </c>
      <c r="I308" s="18">
        <v>1280</v>
      </c>
      <c r="J308" s="18">
        <v>1</v>
      </c>
      <c r="K308" s="1">
        <f t="shared" si="16"/>
        <v>192</v>
      </c>
      <c r="L308" s="6">
        <v>219</v>
      </c>
      <c r="M308" s="6">
        <f t="shared" si="17"/>
        <v>219</v>
      </c>
      <c r="N308" s="6">
        <f t="shared" si="18"/>
        <v>869</v>
      </c>
      <c r="O308" s="8">
        <f t="shared" si="19"/>
        <v>0.67890625000000004</v>
      </c>
    </row>
    <row r="309" spans="1:15" ht="17" customHeight="1">
      <c r="A309" s="16" t="s">
        <v>850</v>
      </c>
      <c r="B309" s="17"/>
      <c r="C309" s="18" t="s">
        <v>851</v>
      </c>
      <c r="D309" s="18" t="s">
        <v>852</v>
      </c>
      <c r="E309" s="17"/>
      <c r="F309" s="17"/>
      <c r="G309" s="18">
        <v>1180</v>
      </c>
      <c r="H309" s="18">
        <v>1</v>
      </c>
      <c r="I309" s="18">
        <v>1180</v>
      </c>
      <c r="J309" s="18">
        <v>1</v>
      </c>
      <c r="K309" s="1">
        <f t="shared" si="16"/>
        <v>177</v>
      </c>
      <c r="L309" s="6">
        <v>294</v>
      </c>
      <c r="M309" s="6">
        <f t="shared" si="17"/>
        <v>294</v>
      </c>
      <c r="N309" s="6">
        <f t="shared" si="18"/>
        <v>709</v>
      </c>
      <c r="O309" s="8">
        <f t="shared" si="19"/>
        <v>0.60084745762711866</v>
      </c>
    </row>
    <row r="310" spans="1:15" ht="17" customHeight="1">
      <c r="A310" s="16" t="s">
        <v>1916</v>
      </c>
      <c r="B310" s="17"/>
      <c r="C310" s="18" t="s">
        <v>1917</v>
      </c>
      <c r="D310" s="18" t="s">
        <v>1918</v>
      </c>
      <c r="E310" s="17"/>
      <c r="F310" s="17"/>
      <c r="G310" s="18">
        <v>1080</v>
      </c>
      <c r="H310" s="18">
        <v>1</v>
      </c>
      <c r="I310" s="18">
        <v>1080</v>
      </c>
      <c r="J310" s="18">
        <v>1</v>
      </c>
      <c r="K310" s="1">
        <f t="shared" si="16"/>
        <v>162</v>
      </c>
      <c r="L310" s="6">
        <v>861</v>
      </c>
      <c r="M310" s="6">
        <f t="shared" si="17"/>
        <v>861</v>
      </c>
      <c r="N310" s="6">
        <f t="shared" si="18"/>
        <v>57</v>
      </c>
      <c r="O310" s="8">
        <f t="shared" si="19"/>
        <v>5.2777777777777778E-2</v>
      </c>
    </row>
    <row r="311" spans="1:15" ht="17" customHeight="1">
      <c r="A311" s="16" t="s">
        <v>1919</v>
      </c>
      <c r="B311" s="17"/>
      <c r="C311" s="18" t="s">
        <v>1920</v>
      </c>
      <c r="D311" s="18" t="s">
        <v>1921</v>
      </c>
      <c r="E311" s="17"/>
      <c r="F311" s="17"/>
      <c r="G311" s="18">
        <v>1080</v>
      </c>
      <c r="H311" s="18">
        <v>1</v>
      </c>
      <c r="I311" s="18">
        <v>1080</v>
      </c>
      <c r="J311" s="18">
        <v>1</v>
      </c>
      <c r="K311" s="1">
        <f t="shared" si="16"/>
        <v>162</v>
      </c>
      <c r="L311" s="6">
        <v>580</v>
      </c>
      <c r="M311" s="6">
        <f t="shared" si="17"/>
        <v>580</v>
      </c>
      <c r="N311" s="6">
        <f t="shared" si="18"/>
        <v>338</v>
      </c>
      <c r="O311" s="8">
        <f t="shared" si="19"/>
        <v>0.31296296296296294</v>
      </c>
    </row>
    <row r="312" spans="1:15" ht="17" customHeight="1">
      <c r="A312" s="16" t="s">
        <v>1461</v>
      </c>
      <c r="B312" s="17"/>
      <c r="C312" s="18" t="s">
        <v>1462</v>
      </c>
      <c r="D312" s="18" t="s">
        <v>1463</v>
      </c>
      <c r="E312" s="17"/>
      <c r="F312" s="17"/>
      <c r="G312" s="18">
        <v>999</v>
      </c>
      <c r="H312" s="18">
        <v>1</v>
      </c>
      <c r="I312" s="18">
        <v>999</v>
      </c>
      <c r="J312" s="18">
        <v>1</v>
      </c>
      <c r="K312" s="1">
        <f t="shared" si="16"/>
        <v>149.85</v>
      </c>
      <c r="L312" s="6">
        <v>502</v>
      </c>
      <c r="M312" s="6">
        <f t="shared" si="17"/>
        <v>502</v>
      </c>
      <c r="N312" s="6">
        <f t="shared" si="18"/>
        <v>347.15</v>
      </c>
      <c r="O312" s="8">
        <f t="shared" si="19"/>
        <v>0.34749749749749748</v>
      </c>
    </row>
    <row r="313" spans="1:15" ht="17" customHeight="1">
      <c r="A313" s="16" t="s">
        <v>1275</v>
      </c>
      <c r="B313" s="17"/>
      <c r="C313" s="18" t="s">
        <v>1276</v>
      </c>
      <c r="D313" s="18" t="s">
        <v>1277</v>
      </c>
      <c r="E313" s="17"/>
      <c r="F313" s="17"/>
      <c r="G313" s="18">
        <v>999</v>
      </c>
      <c r="H313" s="18">
        <v>1</v>
      </c>
      <c r="I313" s="18">
        <v>999</v>
      </c>
      <c r="J313" s="18">
        <v>1</v>
      </c>
      <c r="K313" s="1">
        <f t="shared" si="16"/>
        <v>149.85</v>
      </c>
      <c r="L313" s="6">
        <v>750</v>
      </c>
      <c r="M313" s="6">
        <f t="shared" si="17"/>
        <v>750</v>
      </c>
      <c r="N313" s="6">
        <f t="shared" si="18"/>
        <v>99.149999999999977</v>
      </c>
      <c r="O313" s="8">
        <f t="shared" si="19"/>
        <v>9.924924924924923E-2</v>
      </c>
    </row>
    <row r="314" spans="1:15" ht="17" customHeight="1">
      <c r="A314" s="16" t="s">
        <v>512</v>
      </c>
      <c r="B314" s="17"/>
      <c r="C314" s="18" t="s">
        <v>513</v>
      </c>
      <c r="D314" s="18" t="s">
        <v>1470</v>
      </c>
      <c r="E314" s="17"/>
      <c r="F314" s="17"/>
      <c r="G314" s="18">
        <v>999</v>
      </c>
      <c r="H314" s="18">
        <v>1</v>
      </c>
      <c r="I314" s="18">
        <v>999</v>
      </c>
      <c r="J314" s="18">
        <v>1</v>
      </c>
      <c r="K314" s="1">
        <f t="shared" si="16"/>
        <v>149.85</v>
      </c>
      <c r="L314" s="6">
        <v>598</v>
      </c>
      <c r="M314" s="6">
        <f t="shared" si="17"/>
        <v>598</v>
      </c>
      <c r="N314" s="6">
        <f t="shared" si="18"/>
        <v>251.14999999999998</v>
      </c>
      <c r="O314" s="8">
        <f t="shared" si="19"/>
        <v>0.25140140140140138</v>
      </c>
    </row>
    <row r="315" spans="1:15" ht="17" customHeight="1">
      <c r="A315" s="16" t="s">
        <v>1474</v>
      </c>
      <c r="B315" s="17"/>
      <c r="C315" s="18" t="s">
        <v>1475</v>
      </c>
      <c r="D315" s="18" t="s">
        <v>1476</v>
      </c>
      <c r="E315" s="17"/>
      <c r="F315" s="17"/>
      <c r="G315" s="18">
        <v>980</v>
      </c>
      <c r="H315" s="18">
        <v>1</v>
      </c>
      <c r="I315" s="18">
        <v>980</v>
      </c>
      <c r="J315" s="18">
        <v>1</v>
      </c>
      <c r="K315" s="1">
        <f t="shared" si="16"/>
        <v>147</v>
      </c>
      <c r="L315" s="6">
        <v>220</v>
      </c>
      <c r="M315" s="6">
        <f t="shared" si="17"/>
        <v>220</v>
      </c>
      <c r="N315" s="6">
        <f t="shared" si="18"/>
        <v>613</v>
      </c>
      <c r="O315" s="8">
        <f t="shared" si="19"/>
        <v>0.6255102040816326</v>
      </c>
    </row>
    <row r="316" spans="1:15" ht="17" customHeight="1">
      <c r="A316" s="16" t="s">
        <v>1477</v>
      </c>
      <c r="B316" s="17"/>
      <c r="C316" s="18" t="s">
        <v>1478</v>
      </c>
      <c r="D316" s="18" t="s">
        <v>1479</v>
      </c>
      <c r="E316" s="17"/>
      <c r="F316" s="17"/>
      <c r="G316" s="18">
        <v>980</v>
      </c>
      <c r="H316" s="18">
        <v>1</v>
      </c>
      <c r="I316" s="18">
        <v>980</v>
      </c>
      <c r="J316" s="18">
        <v>1</v>
      </c>
      <c r="K316" s="1">
        <f t="shared" si="16"/>
        <v>147</v>
      </c>
      <c r="L316" s="6">
        <v>250</v>
      </c>
      <c r="M316" s="6">
        <f t="shared" si="17"/>
        <v>250</v>
      </c>
      <c r="N316" s="6">
        <f t="shared" si="18"/>
        <v>583</v>
      </c>
      <c r="O316" s="8">
        <f t="shared" si="19"/>
        <v>0.5948979591836735</v>
      </c>
    </row>
    <row r="317" spans="1:15" ht="17" customHeight="1">
      <c r="A317" s="16" t="s">
        <v>1922</v>
      </c>
      <c r="B317" s="17"/>
      <c r="C317" s="18" t="s">
        <v>1923</v>
      </c>
      <c r="D317" s="18">
        <v>659</v>
      </c>
      <c r="E317" s="17"/>
      <c r="F317" s="17"/>
      <c r="G317" s="18">
        <v>899</v>
      </c>
      <c r="H317" s="18">
        <v>1</v>
      </c>
      <c r="I317" s="18">
        <v>899</v>
      </c>
      <c r="J317" s="18">
        <v>1</v>
      </c>
      <c r="K317" s="1">
        <f t="shared" si="16"/>
        <v>134.85</v>
      </c>
      <c r="L317" s="6">
        <v>659</v>
      </c>
      <c r="M317" s="6">
        <f t="shared" si="17"/>
        <v>659</v>
      </c>
      <c r="N317" s="6">
        <f t="shared" si="18"/>
        <v>105.14999999999998</v>
      </c>
      <c r="O317" s="8">
        <f t="shared" si="19"/>
        <v>0.11696329254727472</v>
      </c>
    </row>
    <row r="318" spans="1:15" ht="17" customHeight="1">
      <c r="A318" s="16" t="s">
        <v>1924</v>
      </c>
      <c r="B318" s="17"/>
      <c r="C318" s="18" t="s">
        <v>1925</v>
      </c>
      <c r="D318" s="18" t="s">
        <v>1926</v>
      </c>
      <c r="E318" s="17"/>
      <c r="F318" s="17"/>
      <c r="G318" s="18">
        <v>848</v>
      </c>
      <c r="H318" s="18">
        <v>1</v>
      </c>
      <c r="I318" s="18">
        <v>848</v>
      </c>
      <c r="J318" s="18">
        <v>1</v>
      </c>
      <c r="K318" s="1">
        <f t="shared" si="16"/>
        <v>127.19999999999999</v>
      </c>
      <c r="L318" s="6">
        <v>193</v>
      </c>
      <c r="M318" s="6">
        <f t="shared" si="17"/>
        <v>193</v>
      </c>
      <c r="N318" s="6">
        <f t="shared" si="18"/>
        <v>527.79999999999995</v>
      </c>
      <c r="O318" s="8">
        <f t="shared" si="19"/>
        <v>0.62240566037735845</v>
      </c>
    </row>
    <row r="319" spans="1:15" ht="17" customHeight="1">
      <c r="A319" s="16" t="s">
        <v>1489</v>
      </c>
      <c r="B319" s="17"/>
      <c r="C319" s="18" t="s">
        <v>1490</v>
      </c>
      <c r="D319" s="18" t="s">
        <v>1491</v>
      </c>
      <c r="E319" s="17"/>
      <c r="F319" s="17"/>
      <c r="G319" s="18">
        <v>498</v>
      </c>
      <c r="H319" s="18">
        <v>1</v>
      </c>
      <c r="I319" s="18">
        <v>498</v>
      </c>
      <c r="J319" s="18">
        <v>1</v>
      </c>
      <c r="K319" s="1">
        <f t="shared" si="16"/>
        <v>74.7</v>
      </c>
      <c r="L319" s="6">
        <v>199</v>
      </c>
      <c r="M319" s="6">
        <f t="shared" si="17"/>
        <v>199</v>
      </c>
      <c r="N319" s="6">
        <f t="shared" si="18"/>
        <v>224.3</v>
      </c>
      <c r="O319" s="8">
        <f t="shared" si="19"/>
        <v>0.45040160642570282</v>
      </c>
    </row>
    <row r="320" spans="1:15" ht="17" customHeight="1">
      <c r="A320" s="16" t="s">
        <v>1927</v>
      </c>
      <c r="B320" s="17"/>
      <c r="C320" s="18" t="s">
        <v>1928</v>
      </c>
      <c r="D320" s="18" t="s">
        <v>1929</v>
      </c>
      <c r="E320" s="17"/>
      <c r="F320" s="17"/>
      <c r="G320" s="18">
        <v>0</v>
      </c>
      <c r="H320" s="18">
        <v>0</v>
      </c>
      <c r="I320" s="18">
        <v>0</v>
      </c>
      <c r="J320" s="18">
        <v>1</v>
      </c>
      <c r="K320" s="1">
        <f t="shared" si="16"/>
        <v>0</v>
      </c>
      <c r="L320" s="6">
        <v>0</v>
      </c>
      <c r="M320" s="6">
        <f t="shared" si="17"/>
        <v>0</v>
      </c>
      <c r="N320" s="6">
        <f t="shared" si="18"/>
        <v>0</v>
      </c>
      <c r="O320" s="8" t="str">
        <f t="shared" si="19"/>
        <v/>
      </c>
    </row>
    <row r="321" spans="8:15" ht="13" customHeight="1">
      <c r="H321" s="1">
        <f>SUM(H8:H320)</f>
        <v>1021</v>
      </c>
      <c r="I321" s="1">
        <f>SUM(I8:I320)</f>
        <v>3573457</v>
      </c>
      <c r="J321" s="1">
        <f>SUM(J8:J320)</f>
        <v>753</v>
      </c>
      <c r="K321" s="3">
        <f>SUM(K8:K320)</f>
        <v>536018.5499999997</v>
      </c>
      <c r="L321" s="28"/>
      <c r="M321" s="28">
        <f>SUM(M8:M320)</f>
        <v>1667896</v>
      </c>
      <c r="N321" s="29">
        <f>SUM(N8:N320)</f>
        <v>1369542.4499999997</v>
      </c>
      <c r="O321" s="8">
        <f t="shared" si="19"/>
        <v>0.38325421293722012</v>
      </c>
    </row>
    <row r="322" spans="8:15" ht="17" customHeight="1">
      <c r="L322" s="6"/>
      <c r="M322" s="6"/>
      <c r="N322" s="6"/>
      <c r="O322" s="8" t="str">
        <f t="shared" si="19"/>
        <v/>
      </c>
    </row>
    <row r="323" spans="8:15" ht="17" customHeight="1">
      <c r="L323" s="6"/>
      <c r="M323" s="30" t="s">
        <v>861</v>
      </c>
      <c r="N323" s="31">
        <v>132680</v>
      </c>
      <c r="O323" s="32">
        <f>SUM(N323/I321)</f>
        <v>3.7129312035936071E-2</v>
      </c>
    </row>
    <row r="324" spans="8:15" ht="17" customHeight="1">
      <c r="L324" s="6"/>
      <c r="M324" s="33" t="s">
        <v>862</v>
      </c>
      <c r="N324" s="28">
        <v>92210</v>
      </c>
      <c r="O324" s="34">
        <f>SUM(N324/I321)</f>
        <v>2.5804144278215743E-2</v>
      </c>
    </row>
    <row r="325" spans="8:15" ht="17" customHeight="1">
      <c r="L325" s="6"/>
      <c r="M325" s="33" t="s">
        <v>863</v>
      </c>
      <c r="N325" s="28">
        <v>3600</v>
      </c>
      <c r="O325" s="34">
        <f>SUM(N325/I321)</f>
        <v>1.0074278212946176E-3</v>
      </c>
    </row>
    <row r="326" spans="8:15" ht="17" customHeight="1">
      <c r="L326" s="6"/>
      <c r="M326" s="33" t="s">
        <v>864</v>
      </c>
      <c r="N326" s="28">
        <v>0</v>
      </c>
      <c r="O326" s="35"/>
    </row>
    <row r="327" spans="8:15" ht="17" customHeight="1">
      <c r="L327" s="6"/>
      <c r="M327" s="33" t="s">
        <v>866</v>
      </c>
      <c r="N327" s="28">
        <f>SUM(N323:N326)</f>
        <v>228490</v>
      </c>
      <c r="O327" s="34">
        <f>SUM(N327/I321)</f>
        <v>6.3940884135446435E-2</v>
      </c>
    </row>
    <row r="328" spans="8:15" ht="17" customHeight="1">
      <c r="L328" s="6"/>
      <c r="M328" s="33"/>
      <c r="N328" s="28"/>
      <c r="O328" s="34"/>
    </row>
    <row r="329" spans="8:15" ht="17" customHeight="1">
      <c r="L329" s="6"/>
      <c r="M329" s="33" t="s">
        <v>867</v>
      </c>
      <c r="N329" s="28">
        <v>291366</v>
      </c>
      <c r="O329" s="34">
        <f>SUM(N329/I321)</f>
        <v>8.1536170716479867E-2</v>
      </c>
    </row>
    <row r="330" spans="8:15" ht="17" customHeight="1">
      <c r="L330" s="6"/>
      <c r="M330" s="36" t="s">
        <v>868</v>
      </c>
      <c r="N330" s="1">
        <v>28864</v>
      </c>
      <c r="O330" s="34">
        <f>SUM(N330/I321)</f>
        <v>8.0773323982910664E-3</v>
      </c>
    </row>
    <row r="331" spans="8:15" ht="17" customHeight="1">
      <c r="L331" s="6"/>
      <c r="M331" s="36" t="s">
        <v>866</v>
      </c>
      <c r="N331" s="1">
        <f>SUM(N329:N330)</f>
        <v>320230</v>
      </c>
      <c r="O331" s="34">
        <f>SUM(O329:O330)</f>
        <v>8.9613503114770926E-2</v>
      </c>
    </row>
    <row r="332" spans="8:15" ht="17" customHeight="1">
      <c r="L332" s="6"/>
      <c r="M332" s="33"/>
      <c r="N332" s="28"/>
      <c r="O332" s="35"/>
    </row>
    <row r="333" spans="8:15" ht="17" customHeight="1">
      <c r="L333" s="6"/>
      <c r="M333" s="33" t="s">
        <v>869</v>
      </c>
      <c r="N333" s="29">
        <f>IF(COUNTBLANK(N323:N326)+COUNTBLANK(N329:N330)&gt;0,"未確定",N321-N327-N331)</f>
        <v>820822.44999999972</v>
      </c>
      <c r="O333" s="35"/>
    </row>
    <row r="334" spans="8:15" ht="17" customHeight="1">
      <c r="L334" s="6"/>
      <c r="M334" s="37" t="s">
        <v>870</v>
      </c>
      <c r="N334" s="38">
        <f>IF(ISTEXT(N333),"未確定",IF(I321=0,"",N333/I321))</f>
        <v>0.22969982568700273</v>
      </c>
      <c r="O334" s="39"/>
    </row>
    <row r="335" spans="8:15" ht="17" customHeight="1">
      <c r="L335" s="6"/>
      <c r="M335" s="6"/>
      <c r="N335" s="6"/>
      <c r="O335" s="8"/>
    </row>
    <row r="336" spans="8:15" ht="17" customHeight="1">
      <c r="L336" s="6"/>
      <c r="M336" s="6"/>
      <c r="N336" s="6"/>
      <c r="O336" s="8"/>
    </row>
    <row r="337" spans="11:15" ht="17" customHeight="1">
      <c r="L337" s="6"/>
      <c r="M337" s="6"/>
      <c r="N337" s="6"/>
      <c r="O337" s="8"/>
    </row>
    <row r="338" spans="11:15" ht="17" customHeight="1">
      <c r="L338" s="6"/>
      <c r="M338" s="6"/>
      <c r="N338" s="6"/>
      <c r="O338" s="8"/>
    </row>
    <row r="339" spans="11:15" ht="17" customHeight="1">
      <c r="L339" s="6"/>
      <c r="M339" s="6"/>
      <c r="N339" s="6"/>
      <c r="O339" s="8"/>
    </row>
    <row r="340" spans="11:15" ht="17" customHeight="1">
      <c r="L340" s="6"/>
      <c r="M340" s="6"/>
      <c r="N340" s="6"/>
      <c r="O340" s="8"/>
    </row>
    <row r="341" spans="11:15" ht="17" customHeight="1">
      <c r="L341" s="6"/>
      <c r="M341" s="6"/>
      <c r="N341" s="6"/>
      <c r="O341" s="8"/>
    </row>
    <row r="342" spans="11:15" ht="17" customHeight="1">
      <c r="L342" s="6"/>
      <c r="M342" s="6"/>
      <c r="N342" s="6"/>
      <c r="O342" s="8"/>
    </row>
    <row r="343" spans="11:15" ht="17" customHeight="1">
      <c r="L343" s="6"/>
      <c r="M343" s="6"/>
      <c r="N343" s="6"/>
      <c r="O343" s="8"/>
    </row>
    <row r="344" spans="11:15" ht="17" customHeight="1">
      <c r="L344" s="6"/>
      <c r="M344" s="6"/>
      <c r="N344" s="6"/>
      <c r="O344" s="8"/>
    </row>
    <row r="345" spans="11:15" ht="17" customHeight="1">
      <c r="L345" s="6"/>
      <c r="M345" s="6"/>
      <c r="N345" s="6"/>
      <c r="O345" s="8"/>
    </row>
    <row r="346" spans="11:15" ht="17" customHeight="1">
      <c r="L346" s="6"/>
      <c r="M346" s="6"/>
      <c r="N346" s="6"/>
      <c r="O346" s="8"/>
    </row>
    <row r="347" spans="11:15" ht="17" customHeight="1">
      <c r="L347" s="6"/>
      <c r="M347" s="6"/>
      <c r="N347" s="6"/>
      <c r="O347" s="8"/>
    </row>
    <row r="348" spans="11:15" ht="17" customHeight="1">
      <c r="L348" s="6"/>
      <c r="M348" s="6"/>
      <c r="N348" s="6"/>
      <c r="O348" s="8"/>
    </row>
    <row r="349" spans="11:15" ht="17" customHeight="1">
      <c r="L349" s="6"/>
      <c r="M349" s="6"/>
      <c r="N349" s="6"/>
      <c r="O349" s="8"/>
    </row>
    <row r="350" spans="11:15" ht="17" customHeight="1">
      <c r="L350" s="6"/>
      <c r="M350" s="6"/>
      <c r="N350" s="6"/>
      <c r="O350" s="8"/>
    </row>
    <row r="351" spans="11:15" ht="17" customHeight="1">
      <c r="L351" s="6"/>
      <c r="M351" s="6"/>
      <c r="N351" s="6"/>
      <c r="O351" s="8"/>
    </row>
    <row r="352" spans="11:15" ht="17" customHeight="1">
      <c r="K352" s="1">
        <f t="shared" ref="K352:K415" si="20">SUM(I352*0.15)</f>
        <v>0</v>
      </c>
      <c r="L352" s="6"/>
      <c r="M352" s="6">
        <f t="shared" ref="M352:M415" si="21">SUM(H352*L352)</f>
        <v>0</v>
      </c>
      <c r="N352" s="6">
        <f t="shared" ref="N352:N415" si="22">SUM(I352-K352-M352)</f>
        <v>0</v>
      </c>
      <c r="O352" s="8" t="str">
        <f t="shared" ref="O352:O415" si="23">IF(I352=0,"",N352/I352)</f>
        <v/>
      </c>
    </row>
    <row r="353" spans="11:15" ht="17" customHeight="1">
      <c r="K353" s="1">
        <f t="shared" si="20"/>
        <v>0</v>
      </c>
      <c r="L353" s="6"/>
      <c r="M353" s="6">
        <f t="shared" si="21"/>
        <v>0</v>
      </c>
      <c r="N353" s="6">
        <f t="shared" si="22"/>
        <v>0</v>
      </c>
      <c r="O353" s="8" t="str">
        <f t="shared" si="23"/>
        <v/>
      </c>
    </row>
    <row r="354" spans="11:15" ht="17" customHeight="1">
      <c r="K354" s="1">
        <f t="shared" si="20"/>
        <v>0</v>
      </c>
      <c r="L354" s="6"/>
      <c r="M354" s="6">
        <f t="shared" si="21"/>
        <v>0</v>
      </c>
      <c r="N354" s="6">
        <f t="shared" si="22"/>
        <v>0</v>
      </c>
      <c r="O354" s="8" t="str">
        <f t="shared" si="23"/>
        <v/>
      </c>
    </row>
    <row r="355" spans="11:15" ht="17" customHeight="1">
      <c r="K355" s="1">
        <f t="shared" si="20"/>
        <v>0</v>
      </c>
      <c r="L355" s="6"/>
      <c r="M355" s="6">
        <f t="shared" si="21"/>
        <v>0</v>
      </c>
      <c r="N355" s="6">
        <f t="shared" si="22"/>
        <v>0</v>
      </c>
      <c r="O355" s="8" t="str">
        <f t="shared" si="23"/>
        <v/>
      </c>
    </row>
    <row r="356" spans="11:15" ht="17" customHeight="1">
      <c r="K356" s="1">
        <f t="shared" si="20"/>
        <v>0</v>
      </c>
      <c r="L356" s="6"/>
      <c r="M356" s="6">
        <f t="shared" si="21"/>
        <v>0</v>
      </c>
      <c r="N356" s="6">
        <f t="shared" si="22"/>
        <v>0</v>
      </c>
      <c r="O356" s="8" t="str">
        <f t="shared" si="23"/>
        <v/>
      </c>
    </row>
    <row r="357" spans="11:15" ht="17" customHeight="1">
      <c r="K357" s="1">
        <f t="shared" si="20"/>
        <v>0</v>
      </c>
      <c r="L357" s="6"/>
      <c r="M357" s="6">
        <f t="shared" si="21"/>
        <v>0</v>
      </c>
      <c r="N357" s="6">
        <f t="shared" si="22"/>
        <v>0</v>
      </c>
      <c r="O357" s="8" t="str">
        <f t="shared" si="23"/>
        <v/>
      </c>
    </row>
    <row r="358" spans="11:15" ht="17" customHeight="1">
      <c r="K358" s="1">
        <f t="shared" si="20"/>
        <v>0</v>
      </c>
      <c r="L358" s="6"/>
      <c r="M358" s="6">
        <f t="shared" si="21"/>
        <v>0</v>
      </c>
      <c r="N358" s="6">
        <f t="shared" si="22"/>
        <v>0</v>
      </c>
      <c r="O358" s="8" t="str">
        <f t="shared" si="23"/>
        <v/>
      </c>
    </row>
    <row r="359" spans="11:15" ht="17" customHeight="1">
      <c r="K359" s="1">
        <f t="shared" si="20"/>
        <v>0</v>
      </c>
      <c r="L359" s="6"/>
      <c r="M359" s="6">
        <f t="shared" si="21"/>
        <v>0</v>
      </c>
      <c r="N359" s="6">
        <f t="shared" si="22"/>
        <v>0</v>
      </c>
      <c r="O359" s="8" t="str">
        <f t="shared" si="23"/>
        <v/>
      </c>
    </row>
    <row r="360" spans="11:15" ht="17" customHeight="1">
      <c r="K360" s="1">
        <f t="shared" si="20"/>
        <v>0</v>
      </c>
      <c r="L360" s="6"/>
      <c r="M360" s="6">
        <f t="shared" si="21"/>
        <v>0</v>
      </c>
      <c r="N360" s="6">
        <f t="shared" si="22"/>
        <v>0</v>
      </c>
      <c r="O360" s="8" t="str">
        <f t="shared" si="23"/>
        <v/>
      </c>
    </row>
    <row r="361" spans="11:15" ht="17" customHeight="1">
      <c r="K361" s="1">
        <f t="shared" si="20"/>
        <v>0</v>
      </c>
      <c r="L361" s="6"/>
      <c r="M361" s="6">
        <f t="shared" si="21"/>
        <v>0</v>
      </c>
      <c r="N361" s="6">
        <f t="shared" si="22"/>
        <v>0</v>
      </c>
      <c r="O361" s="8" t="str">
        <f t="shared" si="23"/>
        <v/>
      </c>
    </row>
    <row r="362" spans="11:15" ht="17" customHeight="1">
      <c r="K362" s="1">
        <f t="shared" si="20"/>
        <v>0</v>
      </c>
      <c r="L362" s="6"/>
      <c r="M362" s="6">
        <f t="shared" si="21"/>
        <v>0</v>
      </c>
      <c r="N362" s="6">
        <f t="shared" si="22"/>
        <v>0</v>
      </c>
      <c r="O362" s="8" t="str">
        <f t="shared" si="23"/>
        <v/>
      </c>
    </row>
    <row r="363" spans="11:15" ht="17" customHeight="1">
      <c r="K363" s="1">
        <f t="shared" si="20"/>
        <v>0</v>
      </c>
      <c r="L363" s="6"/>
      <c r="M363" s="6">
        <f t="shared" si="21"/>
        <v>0</v>
      </c>
      <c r="N363" s="6">
        <f t="shared" si="22"/>
        <v>0</v>
      </c>
      <c r="O363" s="8" t="str">
        <f t="shared" si="23"/>
        <v/>
      </c>
    </row>
    <row r="364" spans="11:15" ht="17" customHeight="1">
      <c r="K364" s="1">
        <f t="shared" si="20"/>
        <v>0</v>
      </c>
      <c r="L364" s="6"/>
      <c r="M364" s="6">
        <f t="shared" si="21"/>
        <v>0</v>
      </c>
      <c r="N364" s="6">
        <f t="shared" si="22"/>
        <v>0</v>
      </c>
      <c r="O364" s="8" t="str">
        <f t="shared" si="23"/>
        <v/>
      </c>
    </row>
    <row r="365" spans="11:15" ht="17" customHeight="1">
      <c r="K365" s="1">
        <f t="shared" si="20"/>
        <v>0</v>
      </c>
      <c r="L365" s="6"/>
      <c r="M365" s="6">
        <f t="shared" si="21"/>
        <v>0</v>
      </c>
      <c r="N365" s="6">
        <f t="shared" si="22"/>
        <v>0</v>
      </c>
      <c r="O365" s="8" t="str">
        <f t="shared" si="23"/>
        <v/>
      </c>
    </row>
    <row r="366" spans="11:15" ht="17" customHeight="1">
      <c r="K366" s="1">
        <f t="shared" si="20"/>
        <v>0</v>
      </c>
      <c r="L366" s="6"/>
      <c r="M366" s="6">
        <f t="shared" si="21"/>
        <v>0</v>
      </c>
      <c r="N366" s="6">
        <f t="shared" si="22"/>
        <v>0</v>
      </c>
      <c r="O366" s="8" t="str">
        <f t="shared" si="23"/>
        <v/>
      </c>
    </row>
    <row r="367" spans="11:15" ht="17" customHeight="1">
      <c r="K367" s="1">
        <f t="shared" si="20"/>
        <v>0</v>
      </c>
      <c r="L367" s="6"/>
      <c r="M367" s="6">
        <f t="shared" si="21"/>
        <v>0</v>
      </c>
      <c r="N367" s="6">
        <f t="shared" si="22"/>
        <v>0</v>
      </c>
      <c r="O367" s="8" t="str">
        <f t="shared" si="23"/>
        <v/>
      </c>
    </row>
    <row r="368" spans="11:15" ht="17" customHeight="1">
      <c r="K368" s="1">
        <f t="shared" si="20"/>
        <v>0</v>
      </c>
      <c r="L368" s="6"/>
      <c r="M368" s="6">
        <f t="shared" si="21"/>
        <v>0</v>
      </c>
      <c r="N368" s="6">
        <f t="shared" si="22"/>
        <v>0</v>
      </c>
      <c r="O368" s="8" t="str">
        <f t="shared" si="23"/>
        <v/>
      </c>
    </row>
    <row r="369" spans="11:15" ht="17" customHeight="1">
      <c r="K369" s="1">
        <f t="shared" si="20"/>
        <v>0</v>
      </c>
      <c r="L369" s="6"/>
      <c r="M369" s="6">
        <f t="shared" si="21"/>
        <v>0</v>
      </c>
      <c r="N369" s="6">
        <f t="shared" si="22"/>
        <v>0</v>
      </c>
      <c r="O369" s="8" t="str">
        <f t="shared" si="23"/>
        <v/>
      </c>
    </row>
    <row r="370" spans="11:15" ht="17" customHeight="1">
      <c r="K370" s="1">
        <f t="shared" si="20"/>
        <v>0</v>
      </c>
      <c r="L370" s="6"/>
      <c r="M370" s="6">
        <f t="shared" si="21"/>
        <v>0</v>
      </c>
      <c r="N370" s="6">
        <f t="shared" si="22"/>
        <v>0</v>
      </c>
      <c r="O370" s="8" t="str">
        <f t="shared" si="23"/>
        <v/>
      </c>
    </row>
    <row r="371" spans="11:15" ht="17" customHeight="1">
      <c r="K371" s="1">
        <f t="shared" si="20"/>
        <v>0</v>
      </c>
      <c r="L371" s="6"/>
      <c r="M371" s="6">
        <f t="shared" si="21"/>
        <v>0</v>
      </c>
      <c r="N371" s="6">
        <f t="shared" si="22"/>
        <v>0</v>
      </c>
      <c r="O371" s="8" t="str">
        <f t="shared" si="23"/>
        <v/>
      </c>
    </row>
    <row r="372" spans="11:15" ht="17" customHeight="1">
      <c r="K372" s="1">
        <f t="shared" si="20"/>
        <v>0</v>
      </c>
      <c r="L372" s="6"/>
      <c r="M372" s="6">
        <f t="shared" si="21"/>
        <v>0</v>
      </c>
      <c r="N372" s="6">
        <f t="shared" si="22"/>
        <v>0</v>
      </c>
      <c r="O372" s="8" t="str">
        <f t="shared" si="23"/>
        <v/>
      </c>
    </row>
    <row r="373" spans="11:15" ht="17" customHeight="1">
      <c r="K373" s="1">
        <f t="shared" si="20"/>
        <v>0</v>
      </c>
      <c r="L373" s="6"/>
      <c r="M373" s="6">
        <f t="shared" si="21"/>
        <v>0</v>
      </c>
      <c r="N373" s="6">
        <f t="shared" si="22"/>
        <v>0</v>
      </c>
      <c r="O373" s="8" t="str">
        <f t="shared" si="23"/>
        <v/>
      </c>
    </row>
    <row r="374" spans="11:15" ht="17" customHeight="1">
      <c r="K374" s="1">
        <f t="shared" si="20"/>
        <v>0</v>
      </c>
      <c r="L374" s="6"/>
      <c r="M374" s="6">
        <f t="shared" si="21"/>
        <v>0</v>
      </c>
      <c r="N374" s="6">
        <f t="shared" si="22"/>
        <v>0</v>
      </c>
      <c r="O374" s="8" t="str">
        <f t="shared" si="23"/>
        <v/>
      </c>
    </row>
    <row r="375" spans="11:15" ht="17" customHeight="1">
      <c r="K375" s="1">
        <f t="shared" si="20"/>
        <v>0</v>
      </c>
      <c r="L375" s="6"/>
      <c r="M375" s="6">
        <f t="shared" si="21"/>
        <v>0</v>
      </c>
      <c r="N375" s="6">
        <f t="shared" si="22"/>
        <v>0</v>
      </c>
      <c r="O375" s="8" t="str">
        <f t="shared" si="23"/>
        <v/>
      </c>
    </row>
    <row r="376" spans="11:15" ht="17" customHeight="1">
      <c r="K376" s="1">
        <f t="shared" si="20"/>
        <v>0</v>
      </c>
      <c r="L376" s="6"/>
      <c r="M376" s="6">
        <f t="shared" si="21"/>
        <v>0</v>
      </c>
      <c r="N376" s="6">
        <f t="shared" si="22"/>
        <v>0</v>
      </c>
      <c r="O376" s="8" t="str">
        <f t="shared" si="23"/>
        <v/>
      </c>
    </row>
    <row r="377" spans="11:15" ht="17" customHeight="1">
      <c r="K377" s="1">
        <f t="shared" si="20"/>
        <v>0</v>
      </c>
      <c r="L377" s="6"/>
      <c r="M377" s="6">
        <f t="shared" si="21"/>
        <v>0</v>
      </c>
      <c r="N377" s="6">
        <f t="shared" si="22"/>
        <v>0</v>
      </c>
      <c r="O377" s="8" t="str">
        <f t="shared" si="23"/>
        <v/>
      </c>
    </row>
    <row r="378" spans="11:15" ht="17" customHeight="1">
      <c r="K378" s="1">
        <f t="shared" si="20"/>
        <v>0</v>
      </c>
      <c r="L378" s="6"/>
      <c r="M378" s="6">
        <f t="shared" si="21"/>
        <v>0</v>
      </c>
      <c r="N378" s="6">
        <f t="shared" si="22"/>
        <v>0</v>
      </c>
      <c r="O378" s="8" t="str">
        <f t="shared" si="23"/>
        <v/>
      </c>
    </row>
    <row r="379" spans="11:15" ht="17" customHeight="1">
      <c r="K379" s="1">
        <f t="shared" si="20"/>
        <v>0</v>
      </c>
      <c r="L379" s="6"/>
      <c r="M379" s="6">
        <f t="shared" si="21"/>
        <v>0</v>
      </c>
      <c r="N379" s="6">
        <f t="shared" si="22"/>
        <v>0</v>
      </c>
      <c r="O379" s="8" t="str">
        <f t="shared" si="23"/>
        <v/>
      </c>
    </row>
    <row r="380" spans="11:15" ht="17" customHeight="1">
      <c r="K380" s="1">
        <f t="shared" si="20"/>
        <v>0</v>
      </c>
      <c r="L380" s="6"/>
      <c r="M380" s="6">
        <f t="shared" si="21"/>
        <v>0</v>
      </c>
      <c r="N380" s="6">
        <f t="shared" si="22"/>
        <v>0</v>
      </c>
      <c r="O380" s="8" t="str">
        <f t="shared" si="23"/>
        <v/>
      </c>
    </row>
    <row r="381" spans="11:15" ht="17" customHeight="1">
      <c r="K381" s="1">
        <f t="shared" si="20"/>
        <v>0</v>
      </c>
      <c r="L381" s="6"/>
      <c r="M381" s="6">
        <f t="shared" si="21"/>
        <v>0</v>
      </c>
      <c r="N381" s="6">
        <f t="shared" si="22"/>
        <v>0</v>
      </c>
      <c r="O381" s="8" t="str">
        <f t="shared" si="23"/>
        <v/>
      </c>
    </row>
    <row r="382" spans="11:15" ht="17" customHeight="1">
      <c r="K382" s="1">
        <f t="shared" si="20"/>
        <v>0</v>
      </c>
      <c r="L382" s="6"/>
      <c r="M382" s="6">
        <f t="shared" si="21"/>
        <v>0</v>
      </c>
      <c r="N382" s="6">
        <f t="shared" si="22"/>
        <v>0</v>
      </c>
      <c r="O382" s="8" t="str">
        <f t="shared" si="23"/>
        <v/>
      </c>
    </row>
    <row r="383" spans="11:15" ht="17" customHeight="1">
      <c r="K383" s="1">
        <f t="shared" si="20"/>
        <v>0</v>
      </c>
      <c r="L383" s="6"/>
      <c r="M383" s="6">
        <f t="shared" si="21"/>
        <v>0</v>
      </c>
      <c r="N383" s="6">
        <f t="shared" si="22"/>
        <v>0</v>
      </c>
      <c r="O383" s="8" t="str">
        <f t="shared" si="23"/>
        <v/>
      </c>
    </row>
    <row r="384" spans="11:15" ht="17" customHeight="1">
      <c r="K384" s="1">
        <f t="shared" si="20"/>
        <v>0</v>
      </c>
      <c r="L384" s="6"/>
      <c r="M384" s="6">
        <f t="shared" si="21"/>
        <v>0</v>
      </c>
      <c r="N384" s="6">
        <f t="shared" si="22"/>
        <v>0</v>
      </c>
      <c r="O384" s="8" t="str">
        <f t="shared" si="23"/>
        <v/>
      </c>
    </row>
    <row r="385" spans="11:15" ht="17" customHeight="1">
      <c r="K385" s="1">
        <f t="shared" si="20"/>
        <v>0</v>
      </c>
      <c r="L385" s="6"/>
      <c r="M385" s="6">
        <f t="shared" si="21"/>
        <v>0</v>
      </c>
      <c r="N385" s="6">
        <f t="shared" si="22"/>
        <v>0</v>
      </c>
      <c r="O385" s="8" t="str">
        <f t="shared" si="23"/>
        <v/>
      </c>
    </row>
    <row r="386" spans="11:15" ht="17" customHeight="1">
      <c r="K386" s="1">
        <f t="shared" si="20"/>
        <v>0</v>
      </c>
      <c r="L386" s="6"/>
      <c r="M386" s="6">
        <f t="shared" si="21"/>
        <v>0</v>
      </c>
      <c r="N386" s="6">
        <f t="shared" si="22"/>
        <v>0</v>
      </c>
      <c r="O386" s="8" t="str">
        <f t="shared" si="23"/>
        <v/>
      </c>
    </row>
    <row r="387" spans="11:15" ht="17" customHeight="1">
      <c r="K387" s="1">
        <f t="shared" si="20"/>
        <v>0</v>
      </c>
      <c r="L387" s="6"/>
      <c r="M387" s="6">
        <f t="shared" si="21"/>
        <v>0</v>
      </c>
      <c r="N387" s="6">
        <f t="shared" si="22"/>
        <v>0</v>
      </c>
      <c r="O387" s="8" t="str">
        <f t="shared" si="23"/>
        <v/>
      </c>
    </row>
    <row r="388" spans="11:15" ht="17" customHeight="1">
      <c r="K388" s="1">
        <f t="shared" si="20"/>
        <v>0</v>
      </c>
      <c r="L388" s="6"/>
      <c r="M388" s="6">
        <f t="shared" si="21"/>
        <v>0</v>
      </c>
      <c r="N388" s="6">
        <f t="shared" si="22"/>
        <v>0</v>
      </c>
      <c r="O388" s="8" t="str">
        <f t="shared" si="23"/>
        <v/>
      </c>
    </row>
    <row r="389" spans="11:15" ht="17" customHeight="1">
      <c r="K389" s="1">
        <f t="shared" si="20"/>
        <v>0</v>
      </c>
      <c r="L389" s="6"/>
      <c r="M389" s="6">
        <f t="shared" si="21"/>
        <v>0</v>
      </c>
      <c r="N389" s="6">
        <f t="shared" si="22"/>
        <v>0</v>
      </c>
      <c r="O389" s="8" t="str">
        <f t="shared" si="23"/>
        <v/>
      </c>
    </row>
    <row r="390" spans="11:15" ht="17" customHeight="1">
      <c r="K390" s="1">
        <f t="shared" si="20"/>
        <v>0</v>
      </c>
      <c r="L390" s="6"/>
      <c r="M390" s="6">
        <f t="shared" si="21"/>
        <v>0</v>
      </c>
      <c r="N390" s="6">
        <f t="shared" si="22"/>
        <v>0</v>
      </c>
      <c r="O390" s="8" t="str">
        <f t="shared" si="23"/>
        <v/>
      </c>
    </row>
    <row r="391" spans="11:15" ht="17" customHeight="1">
      <c r="K391" s="1">
        <f t="shared" si="20"/>
        <v>0</v>
      </c>
      <c r="L391" s="6"/>
      <c r="M391" s="6">
        <f t="shared" si="21"/>
        <v>0</v>
      </c>
      <c r="N391" s="6">
        <f t="shared" si="22"/>
        <v>0</v>
      </c>
      <c r="O391" s="8" t="str">
        <f t="shared" si="23"/>
        <v/>
      </c>
    </row>
    <row r="392" spans="11:15" ht="17" customHeight="1">
      <c r="K392" s="1">
        <f t="shared" si="20"/>
        <v>0</v>
      </c>
      <c r="L392" s="6"/>
      <c r="M392" s="6">
        <f t="shared" si="21"/>
        <v>0</v>
      </c>
      <c r="N392" s="6">
        <f t="shared" si="22"/>
        <v>0</v>
      </c>
      <c r="O392" s="8" t="str">
        <f t="shared" si="23"/>
        <v/>
      </c>
    </row>
    <row r="393" spans="11:15" ht="17" customHeight="1">
      <c r="K393" s="1">
        <f t="shared" si="20"/>
        <v>0</v>
      </c>
      <c r="L393" s="6"/>
      <c r="M393" s="6">
        <f t="shared" si="21"/>
        <v>0</v>
      </c>
      <c r="N393" s="6">
        <f t="shared" si="22"/>
        <v>0</v>
      </c>
      <c r="O393" s="8" t="str">
        <f t="shared" si="23"/>
        <v/>
      </c>
    </row>
    <row r="394" spans="11:15" ht="17" customHeight="1">
      <c r="K394" s="1">
        <f t="shared" si="20"/>
        <v>0</v>
      </c>
      <c r="L394" s="6"/>
      <c r="M394" s="6">
        <f t="shared" si="21"/>
        <v>0</v>
      </c>
      <c r="N394" s="6">
        <f t="shared" si="22"/>
        <v>0</v>
      </c>
      <c r="O394" s="8" t="str">
        <f t="shared" si="23"/>
        <v/>
      </c>
    </row>
    <row r="395" spans="11:15" ht="17" customHeight="1">
      <c r="K395" s="1">
        <f t="shared" si="20"/>
        <v>0</v>
      </c>
      <c r="L395" s="6"/>
      <c r="M395" s="6">
        <f t="shared" si="21"/>
        <v>0</v>
      </c>
      <c r="N395" s="6">
        <f t="shared" si="22"/>
        <v>0</v>
      </c>
      <c r="O395" s="8" t="str">
        <f t="shared" si="23"/>
        <v/>
      </c>
    </row>
    <row r="396" spans="11:15" ht="17" customHeight="1">
      <c r="K396" s="1">
        <f t="shared" si="20"/>
        <v>0</v>
      </c>
      <c r="L396" s="6"/>
      <c r="M396" s="6">
        <f t="shared" si="21"/>
        <v>0</v>
      </c>
      <c r="N396" s="6">
        <f t="shared" si="22"/>
        <v>0</v>
      </c>
      <c r="O396" s="8" t="str">
        <f t="shared" si="23"/>
        <v/>
      </c>
    </row>
    <row r="397" spans="11:15" ht="17" customHeight="1">
      <c r="K397" s="1">
        <f t="shared" si="20"/>
        <v>0</v>
      </c>
      <c r="L397" s="6"/>
      <c r="M397" s="6">
        <f t="shared" si="21"/>
        <v>0</v>
      </c>
      <c r="N397" s="6">
        <f t="shared" si="22"/>
        <v>0</v>
      </c>
      <c r="O397" s="8" t="str">
        <f t="shared" si="23"/>
        <v/>
      </c>
    </row>
    <row r="398" spans="11:15" ht="17" customHeight="1">
      <c r="K398" s="1">
        <f t="shared" si="20"/>
        <v>0</v>
      </c>
      <c r="L398" s="6"/>
      <c r="M398" s="6">
        <f t="shared" si="21"/>
        <v>0</v>
      </c>
      <c r="N398" s="6">
        <f t="shared" si="22"/>
        <v>0</v>
      </c>
      <c r="O398" s="8" t="str">
        <f t="shared" si="23"/>
        <v/>
      </c>
    </row>
    <row r="399" spans="11:15" ht="17" customHeight="1">
      <c r="K399" s="1">
        <f t="shared" si="20"/>
        <v>0</v>
      </c>
      <c r="L399" s="6"/>
      <c r="M399" s="6">
        <f t="shared" si="21"/>
        <v>0</v>
      </c>
      <c r="N399" s="6">
        <f t="shared" si="22"/>
        <v>0</v>
      </c>
      <c r="O399" s="8" t="str">
        <f t="shared" si="23"/>
        <v/>
      </c>
    </row>
    <row r="400" spans="11:15" ht="17" customHeight="1">
      <c r="K400" s="1">
        <f t="shared" si="20"/>
        <v>0</v>
      </c>
      <c r="L400" s="6"/>
      <c r="M400" s="6">
        <f t="shared" si="21"/>
        <v>0</v>
      </c>
      <c r="N400" s="6">
        <f t="shared" si="22"/>
        <v>0</v>
      </c>
      <c r="O400" s="8" t="str">
        <f t="shared" si="23"/>
        <v/>
      </c>
    </row>
    <row r="401" spans="11:15" ht="17" customHeight="1">
      <c r="K401" s="1">
        <f t="shared" si="20"/>
        <v>0</v>
      </c>
      <c r="L401" s="6"/>
      <c r="M401" s="6">
        <f t="shared" si="21"/>
        <v>0</v>
      </c>
      <c r="N401" s="6">
        <f t="shared" si="22"/>
        <v>0</v>
      </c>
      <c r="O401" s="8" t="str">
        <f t="shared" si="23"/>
        <v/>
      </c>
    </row>
    <row r="402" spans="11:15" ht="17" customHeight="1">
      <c r="K402" s="1">
        <f t="shared" si="20"/>
        <v>0</v>
      </c>
      <c r="L402" s="6"/>
      <c r="M402" s="6">
        <f t="shared" si="21"/>
        <v>0</v>
      </c>
      <c r="N402" s="6">
        <f t="shared" si="22"/>
        <v>0</v>
      </c>
      <c r="O402" s="8" t="str">
        <f t="shared" si="23"/>
        <v/>
      </c>
    </row>
    <row r="403" spans="11:15" ht="17" customHeight="1">
      <c r="K403" s="1">
        <f t="shared" si="20"/>
        <v>0</v>
      </c>
      <c r="L403" s="6"/>
      <c r="M403" s="6">
        <f t="shared" si="21"/>
        <v>0</v>
      </c>
      <c r="N403" s="6">
        <f t="shared" si="22"/>
        <v>0</v>
      </c>
      <c r="O403" s="8" t="str">
        <f t="shared" si="23"/>
        <v/>
      </c>
    </row>
    <row r="404" spans="11:15" ht="17" customHeight="1">
      <c r="K404" s="1">
        <f t="shared" si="20"/>
        <v>0</v>
      </c>
      <c r="L404" s="6"/>
      <c r="M404" s="6">
        <f t="shared" si="21"/>
        <v>0</v>
      </c>
      <c r="N404" s="6">
        <f t="shared" si="22"/>
        <v>0</v>
      </c>
      <c r="O404" s="8" t="str">
        <f t="shared" si="23"/>
        <v/>
      </c>
    </row>
    <row r="405" spans="11:15" ht="17" customHeight="1">
      <c r="K405" s="1">
        <f t="shared" si="20"/>
        <v>0</v>
      </c>
      <c r="L405" s="6"/>
      <c r="M405" s="6">
        <f t="shared" si="21"/>
        <v>0</v>
      </c>
      <c r="N405" s="6">
        <f t="shared" si="22"/>
        <v>0</v>
      </c>
      <c r="O405" s="8" t="str">
        <f t="shared" si="23"/>
        <v/>
      </c>
    </row>
    <row r="406" spans="11:15" ht="17" customHeight="1">
      <c r="K406" s="1">
        <f t="shared" si="20"/>
        <v>0</v>
      </c>
      <c r="L406" s="6"/>
      <c r="M406" s="6">
        <f t="shared" si="21"/>
        <v>0</v>
      </c>
      <c r="N406" s="6">
        <f t="shared" si="22"/>
        <v>0</v>
      </c>
      <c r="O406" s="8" t="str">
        <f t="shared" si="23"/>
        <v/>
      </c>
    </row>
    <row r="407" spans="11:15" ht="17" customHeight="1">
      <c r="K407" s="1">
        <f t="shared" si="20"/>
        <v>0</v>
      </c>
      <c r="L407" s="6"/>
      <c r="M407" s="6">
        <f t="shared" si="21"/>
        <v>0</v>
      </c>
      <c r="N407" s="6">
        <f t="shared" si="22"/>
        <v>0</v>
      </c>
      <c r="O407" s="8" t="str">
        <f t="shared" si="23"/>
        <v/>
      </c>
    </row>
    <row r="408" spans="11:15" ht="17" customHeight="1">
      <c r="K408" s="1">
        <f t="shared" si="20"/>
        <v>0</v>
      </c>
      <c r="L408" s="6"/>
      <c r="M408" s="6">
        <f t="shared" si="21"/>
        <v>0</v>
      </c>
      <c r="N408" s="6">
        <f t="shared" si="22"/>
        <v>0</v>
      </c>
      <c r="O408" s="8" t="str">
        <f t="shared" si="23"/>
        <v/>
      </c>
    </row>
    <row r="409" spans="11:15" ht="17" customHeight="1">
      <c r="K409" s="1">
        <f t="shared" si="20"/>
        <v>0</v>
      </c>
      <c r="L409" s="6"/>
      <c r="M409" s="6">
        <f t="shared" si="21"/>
        <v>0</v>
      </c>
      <c r="N409" s="6">
        <f t="shared" si="22"/>
        <v>0</v>
      </c>
      <c r="O409" s="8" t="str">
        <f t="shared" si="23"/>
        <v/>
      </c>
    </row>
    <row r="410" spans="11:15" ht="17" customHeight="1">
      <c r="K410" s="1">
        <f t="shared" si="20"/>
        <v>0</v>
      </c>
      <c r="L410" s="6"/>
      <c r="M410" s="6">
        <f t="shared" si="21"/>
        <v>0</v>
      </c>
      <c r="N410" s="6">
        <f t="shared" si="22"/>
        <v>0</v>
      </c>
      <c r="O410" s="8" t="str">
        <f t="shared" si="23"/>
        <v/>
      </c>
    </row>
    <row r="411" spans="11:15" ht="17" customHeight="1">
      <c r="K411" s="1">
        <f t="shared" si="20"/>
        <v>0</v>
      </c>
      <c r="L411" s="6"/>
      <c r="M411" s="6">
        <f t="shared" si="21"/>
        <v>0</v>
      </c>
      <c r="N411" s="6">
        <f t="shared" si="22"/>
        <v>0</v>
      </c>
      <c r="O411" s="8" t="str">
        <f t="shared" si="23"/>
        <v/>
      </c>
    </row>
    <row r="412" spans="11:15" ht="17" customHeight="1">
      <c r="K412" s="1">
        <f t="shared" si="20"/>
        <v>0</v>
      </c>
      <c r="L412" s="6"/>
      <c r="M412" s="6">
        <f t="shared" si="21"/>
        <v>0</v>
      </c>
      <c r="N412" s="6">
        <f t="shared" si="22"/>
        <v>0</v>
      </c>
      <c r="O412" s="8" t="str">
        <f t="shared" si="23"/>
        <v/>
      </c>
    </row>
    <row r="413" spans="11:15" ht="17" customHeight="1">
      <c r="K413" s="1">
        <f t="shared" si="20"/>
        <v>0</v>
      </c>
      <c r="L413" s="6"/>
      <c r="M413" s="6">
        <f t="shared" si="21"/>
        <v>0</v>
      </c>
      <c r="N413" s="6">
        <f t="shared" si="22"/>
        <v>0</v>
      </c>
      <c r="O413" s="8" t="str">
        <f t="shared" si="23"/>
        <v/>
      </c>
    </row>
    <row r="414" spans="11:15" ht="17" customHeight="1">
      <c r="K414" s="1">
        <f t="shared" si="20"/>
        <v>0</v>
      </c>
      <c r="L414" s="6"/>
      <c r="M414" s="6">
        <f t="shared" si="21"/>
        <v>0</v>
      </c>
      <c r="N414" s="6">
        <f t="shared" si="22"/>
        <v>0</v>
      </c>
      <c r="O414" s="8" t="str">
        <f t="shared" si="23"/>
        <v/>
      </c>
    </row>
    <row r="415" spans="11:15" ht="17" customHeight="1">
      <c r="K415" s="1">
        <f t="shared" si="20"/>
        <v>0</v>
      </c>
      <c r="L415" s="6"/>
      <c r="M415" s="6">
        <f t="shared" si="21"/>
        <v>0</v>
      </c>
      <c r="N415" s="6">
        <f t="shared" si="22"/>
        <v>0</v>
      </c>
      <c r="O415" s="8" t="str">
        <f t="shared" si="23"/>
        <v/>
      </c>
    </row>
    <row r="416" spans="11:15" ht="17" customHeight="1">
      <c r="K416" s="1">
        <f t="shared" ref="K416:K479" si="24">SUM(I416*0.15)</f>
        <v>0</v>
      </c>
      <c r="L416" s="6"/>
      <c r="M416" s="6">
        <f t="shared" ref="M416:M479" si="25">SUM(H416*L416)</f>
        <v>0</v>
      </c>
      <c r="N416" s="6">
        <f t="shared" ref="N416:N479" si="26">SUM(I416-K416-M416)</f>
        <v>0</v>
      </c>
      <c r="O416" s="8" t="str">
        <f t="shared" ref="O416:O479" si="27">IF(I416=0,"",N416/I416)</f>
        <v/>
      </c>
    </row>
    <row r="417" spans="11:15" ht="17" customHeight="1">
      <c r="K417" s="1">
        <f t="shared" si="24"/>
        <v>0</v>
      </c>
      <c r="L417" s="6"/>
      <c r="M417" s="6">
        <f t="shared" si="25"/>
        <v>0</v>
      </c>
      <c r="N417" s="6">
        <f t="shared" si="26"/>
        <v>0</v>
      </c>
      <c r="O417" s="8" t="str">
        <f t="shared" si="27"/>
        <v/>
      </c>
    </row>
    <row r="418" spans="11:15" ht="17" customHeight="1">
      <c r="K418" s="1">
        <f t="shared" si="24"/>
        <v>0</v>
      </c>
      <c r="L418" s="6"/>
      <c r="M418" s="6">
        <f t="shared" si="25"/>
        <v>0</v>
      </c>
      <c r="N418" s="6">
        <f t="shared" si="26"/>
        <v>0</v>
      </c>
      <c r="O418" s="8" t="str">
        <f t="shared" si="27"/>
        <v/>
      </c>
    </row>
    <row r="419" spans="11:15" ht="17" customHeight="1">
      <c r="K419" s="1">
        <f t="shared" si="24"/>
        <v>0</v>
      </c>
      <c r="L419" s="6"/>
      <c r="M419" s="6">
        <f t="shared" si="25"/>
        <v>0</v>
      </c>
      <c r="N419" s="6">
        <f t="shared" si="26"/>
        <v>0</v>
      </c>
      <c r="O419" s="8" t="str">
        <f t="shared" si="27"/>
        <v/>
      </c>
    </row>
    <row r="420" spans="11:15" ht="17" customHeight="1">
      <c r="K420" s="1">
        <f t="shared" si="24"/>
        <v>0</v>
      </c>
      <c r="L420" s="6"/>
      <c r="M420" s="6">
        <f t="shared" si="25"/>
        <v>0</v>
      </c>
      <c r="N420" s="6">
        <f t="shared" si="26"/>
        <v>0</v>
      </c>
      <c r="O420" s="8" t="str">
        <f t="shared" si="27"/>
        <v/>
      </c>
    </row>
    <row r="421" spans="11:15" ht="17" customHeight="1">
      <c r="K421" s="1">
        <f t="shared" si="24"/>
        <v>0</v>
      </c>
      <c r="L421" s="6"/>
      <c r="M421" s="6">
        <f t="shared" si="25"/>
        <v>0</v>
      </c>
      <c r="N421" s="6">
        <f t="shared" si="26"/>
        <v>0</v>
      </c>
      <c r="O421" s="8" t="str">
        <f t="shared" si="27"/>
        <v/>
      </c>
    </row>
    <row r="422" spans="11:15" ht="17" customHeight="1">
      <c r="K422" s="1">
        <f t="shared" si="24"/>
        <v>0</v>
      </c>
      <c r="L422" s="6"/>
      <c r="M422" s="6">
        <f t="shared" si="25"/>
        <v>0</v>
      </c>
      <c r="N422" s="6">
        <f t="shared" si="26"/>
        <v>0</v>
      </c>
      <c r="O422" s="8" t="str">
        <f t="shared" si="27"/>
        <v/>
      </c>
    </row>
    <row r="423" spans="11:15" ht="17" customHeight="1">
      <c r="K423" s="1">
        <f t="shared" si="24"/>
        <v>0</v>
      </c>
      <c r="L423" s="6"/>
      <c r="M423" s="6">
        <f t="shared" si="25"/>
        <v>0</v>
      </c>
      <c r="N423" s="6">
        <f t="shared" si="26"/>
        <v>0</v>
      </c>
      <c r="O423" s="8" t="str">
        <f t="shared" si="27"/>
        <v/>
      </c>
    </row>
    <row r="424" spans="11:15" ht="17" customHeight="1">
      <c r="K424" s="1">
        <f t="shared" si="24"/>
        <v>0</v>
      </c>
      <c r="L424" s="6"/>
      <c r="M424" s="6">
        <f t="shared" si="25"/>
        <v>0</v>
      </c>
      <c r="N424" s="6">
        <f t="shared" si="26"/>
        <v>0</v>
      </c>
      <c r="O424" s="8" t="str">
        <f t="shared" si="27"/>
        <v/>
      </c>
    </row>
    <row r="425" spans="11:15" ht="17" customHeight="1">
      <c r="K425" s="1">
        <f t="shared" si="24"/>
        <v>0</v>
      </c>
      <c r="L425" s="6"/>
      <c r="M425" s="6">
        <f t="shared" si="25"/>
        <v>0</v>
      </c>
      <c r="N425" s="6">
        <f t="shared" si="26"/>
        <v>0</v>
      </c>
      <c r="O425" s="8" t="str">
        <f t="shared" si="27"/>
        <v/>
      </c>
    </row>
    <row r="426" spans="11:15" ht="17" customHeight="1">
      <c r="K426" s="1">
        <f t="shared" si="24"/>
        <v>0</v>
      </c>
      <c r="L426" s="6"/>
      <c r="M426" s="6">
        <f t="shared" si="25"/>
        <v>0</v>
      </c>
      <c r="N426" s="6">
        <f t="shared" si="26"/>
        <v>0</v>
      </c>
      <c r="O426" s="8" t="str">
        <f t="shared" si="27"/>
        <v/>
      </c>
    </row>
    <row r="427" spans="11:15" ht="17" customHeight="1">
      <c r="K427" s="1">
        <f t="shared" si="24"/>
        <v>0</v>
      </c>
      <c r="L427" s="6"/>
      <c r="M427" s="6">
        <f t="shared" si="25"/>
        <v>0</v>
      </c>
      <c r="N427" s="6">
        <f t="shared" si="26"/>
        <v>0</v>
      </c>
      <c r="O427" s="8" t="str">
        <f t="shared" si="27"/>
        <v/>
      </c>
    </row>
    <row r="428" spans="11:15" ht="17" customHeight="1">
      <c r="K428" s="1">
        <f t="shared" si="24"/>
        <v>0</v>
      </c>
      <c r="L428" s="6"/>
      <c r="M428" s="6">
        <f t="shared" si="25"/>
        <v>0</v>
      </c>
      <c r="N428" s="6">
        <f t="shared" si="26"/>
        <v>0</v>
      </c>
      <c r="O428" s="8" t="str">
        <f t="shared" si="27"/>
        <v/>
      </c>
    </row>
    <row r="429" spans="11:15" ht="17" customHeight="1">
      <c r="K429" s="1">
        <f t="shared" si="24"/>
        <v>0</v>
      </c>
      <c r="L429" s="6"/>
      <c r="M429" s="6">
        <f t="shared" si="25"/>
        <v>0</v>
      </c>
      <c r="N429" s="6">
        <f t="shared" si="26"/>
        <v>0</v>
      </c>
      <c r="O429" s="8" t="str">
        <f t="shared" si="27"/>
        <v/>
      </c>
    </row>
    <row r="430" spans="11:15" ht="17" customHeight="1">
      <c r="K430" s="1">
        <f t="shared" si="24"/>
        <v>0</v>
      </c>
      <c r="L430" s="6"/>
      <c r="M430" s="6">
        <f t="shared" si="25"/>
        <v>0</v>
      </c>
      <c r="N430" s="6">
        <f t="shared" si="26"/>
        <v>0</v>
      </c>
      <c r="O430" s="8" t="str">
        <f t="shared" si="27"/>
        <v/>
      </c>
    </row>
    <row r="431" spans="11:15" ht="17" customHeight="1">
      <c r="K431" s="1">
        <f t="shared" si="24"/>
        <v>0</v>
      </c>
      <c r="L431" s="6"/>
      <c r="M431" s="6">
        <f t="shared" si="25"/>
        <v>0</v>
      </c>
      <c r="N431" s="6">
        <f t="shared" si="26"/>
        <v>0</v>
      </c>
      <c r="O431" s="8" t="str">
        <f t="shared" si="27"/>
        <v/>
      </c>
    </row>
    <row r="432" spans="11:15" ht="17" customHeight="1">
      <c r="K432" s="1">
        <f t="shared" si="24"/>
        <v>0</v>
      </c>
      <c r="L432" s="6"/>
      <c r="M432" s="6">
        <f t="shared" si="25"/>
        <v>0</v>
      </c>
      <c r="N432" s="6">
        <f t="shared" si="26"/>
        <v>0</v>
      </c>
      <c r="O432" s="8" t="str">
        <f t="shared" si="27"/>
        <v/>
      </c>
    </row>
    <row r="433" spans="11:15" ht="17" customHeight="1">
      <c r="K433" s="1">
        <f t="shared" si="24"/>
        <v>0</v>
      </c>
      <c r="L433" s="6"/>
      <c r="M433" s="6">
        <f t="shared" si="25"/>
        <v>0</v>
      </c>
      <c r="N433" s="6">
        <f t="shared" si="26"/>
        <v>0</v>
      </c>
      <c r="O433" s="8" t="str">
        <f t="shared" si="27"/>
        <v/>
      </c>
    </row>
    <row r="434" spans="11:15" ht="17" customHeight="1">
      <c r="K434" s="1">
        <f t="shared" si="24"/>
        <v>0</v>
      </c>
      <c r="L434" s="6"/>
      <c r="M434" s="6">
        <f t="shared" si="25"/>
        <v>0</v>
      </c>
      <c r="N434" s="6">
        <f t="shared" si="26"/>
        <v>0</v>
      </c>
      <c r="O434" s="8" t="str">
        <f t="shared" si="27"/>
        <v/>
      </c>
    </row>
    <row r="435" spans="11:15" ht="17" customHeight="1">
      <c r="K435" s="1">
        <f t="shared" si="24"/>
        <v>0</v>
      </c>
      <c r="L435" s="6"/>
      <c r="M435" s="6">
        <f t="shared" si="25"/>
        <v>0</v>
      </c>
      <c r="N435" s="6">
        <f t="shared" si="26"/>
        <v>0</v>
      </c>
      <c r="O435" s="8" t="str">
        <f t="shared" si="27"/>
        <v/>
      </c>
    </row>
    <row r="436" spans="11:15" ht="17" customHeight="1">
      <c r="K436" s="1">
        <f t="shared" si="24"/>
        <v>0</v>
      </c>
      <c r="L436" s="6"/>
      <c r="M436" s="6">
        <f t="shared" si="25"/>
        <v>0</v>
      </c>
      <c r="N436" s="6">
        <f t="shared" si="26"/>
        <v>0</v>
      </c>
      <c r="O436" s="8" t="str">
        <f t="shared" si="27"/>
        <v/>
      </c>
    </row>
    <row r="437" spans="11:15" ht="17" customHeight="1">
      <c r="K437" s="1">
        <f t="shared" si="24"/>
        <v>0</v>
      </c>
      <c r="L437" s="6"/>
      <c r="M437" s="6">
        <f t="shared" si="25"/>
        <v>0</v>
      </c>
      <c r="N437" s="6">
        <f t="shared" si="26"/>
        <v>0</v>
      </c>
      <c r="O437" s="8" t="str">
        <f t="shared" si="27"/>
        <v/>
      </c>
    </row>
    <row r="438" spans="11:15" ht="17" customHeight="1">
      <c r="K438" s="1">
        <f t="shared" si="24"/>
        <v>0</v>
      </c>
      <c r="L438" s="6"/>
      <c r="M438" s="6">
        <f t="shared" si="25"/>
        <v>0</v>
      </c>
      <c r="N438" s="6">
        <f t="shared" si="26"/>
        <v>0</v>
      </c>
      <c r="O438" s="8" t="str">
        <f t="shared" si="27"/>
        <v/>
      </c>
    </row>
    <row r="439" spans="11:15" ht="17" customHeight="1">
      <c r="K439" s="1">
        <f t="shared" si="24"/>
        <v>0</v>
      </c>
      <c r="L439" s="6"/>
      <c r="M439" s="6">
        <f t="shared" si="25"/>
        <v>0</v>
      </c>
      <c r="N439" s="6">
        <f t="shared" si="26"/>
        <v>0</v>
      </c>
      <c r="O439" s="8" t="str">
        <f t="shared" si="27"/>
        <v/>
      </c>
    </row>
    <row r="440" spans="11:15" ht="17" customHeight="1">
      <c r="K440" s="1">
        <f t="shared" si="24"/>
        <v>0</v>
      </c>
      <c r="L440" s="6"/>
      <c r="M440" s="6">
        <f t="shared" si="25"/>
        <v>0</v>
      </c>
      <c r="N440" s="6">
        <f t="shared" si="26"/>
        <v>0</v>
      </c>
      <c r="O440" s="8" t="str">
        <f t="shared" si="27"/>
        <v/>
      </c>
    </row>
    <row r="441" spans="11:15" ht="17" customHeight="1">
      <c r="K441" s="1">
        <f t="shared" si="24"/>
        <v>0</v>
      </c>
      <c r="L441" s="6"/>
      <c r="M441" s="6">
        <f t="shared" si="25"/>
        <v>0</v>
      </c>
      <c r="N441" s="6">
        <f t="shared" si="26"/>
        <v>0</v>
      </c>
      <c r="O441" s="8" t="str">
        <f t="shared" si="27"/>
        <v/>
      </c>
    </row>
    <row r="442" spans="11:15" ht="17" customHeight="1">
      <c r="K442" s="1">
        <f t="shared" si="24"/>
        <v>0</v>
      </c>
      <c r="L442" s="6"/>
      <c r="M442" s="6">
        <f t="shared" si="25"/>
        <v>0</v>
      </c>
      <c r="N442" s="6">
        <f t="shared" si="26"/>
        <v>0</v>
      </c>
      <c r="O442" s="8" t="str">
        <f t="shared" si="27"/>
        <v/>
      </c>
    </row>
    <row r="443" spans="11:15" ht="17" customHeight="1">
      <c r="K443" s="1">
        <f t="shared" si="24"/>
        <v>0</v>
      </c>
      <c r="L443" s="6"/>
      <c r="M443" s="6">
        <f t="shared" si="25"/>
        <v>0</v>
      </c>
      <c r="N443" s="6">
        <f t="shared" si="26"/>
        <v>0</v>
      </c>
      <c r="O443" s="8" t="str">
        <f t="shared" si="27"/>
        <v/>
      </c>
    </row>
    <row r="444" spans="11:15" ht="17" customHeight="1">
      <c r="K444" s="1">
        <f t="shared" si="24"/>
        <v>0</v>
      </c>
      <c r="L444" s="6"/>
      <c r="M444" s="6">
        <f t="shared" si="25"/>
        <v>0</v>
      </c>
      <c r="N444" s="6">
        <f t="shared" si="26"/>
        <v>0</v>
      </c>
      <c r="O444" s="8" t="str">
        <f t="shared" si="27"/>
        <v/>
      </c>
    </row>
    <row r="445" spans="11:15" ht="17" customHeight="1">
      <c r="K445" s="1">
        <f t="shared" si="24"/>
        <v>0</v>
      </c>
      <c r="L445" s="6"/>
      <c r="M445" s="6">
        <f t="shared" si="25"/>
        <v>0</v>
      </c>
      <c r="N445" s="6">
        <f t="shared" si="26"/>
        <v>0</v>
      </c>
      <c r="O445" s="8" t="str">
        <f t="shared" si="27"/>
        <v/>
      </c>
    </row>
    <row r="446" spans="11:15" ht="17" customHeight="1">
      <c r="K446" s="1">
        <f t="shared" si="24"/>
        <v>0</v>
      </c>
      <c r="L446" s="6"/>
      <c r="M446" s="6">
        <f t="shared" si="25"/>
        <v>0</v>
      </c>
      <c r="N446" s="6">
        <f t="shared" si="26"/>
        <v>0</v>
      </c>
      <c r="O446" s="8" t="str">
        <f t="shared" si="27"/>
        <v/>
      </c>
    </row>
    <row r="447" spans="11:15" ht="17" customHeight="1">
      <c r="K447" s="1">
        <f t="shared" si="24"/>
        <v>0</v>
      </c>
      <c r="L447" s="6"/>
      <c r="M447" s="6">
        <f t="shared" si="25"/>
        <v>0</v>
      </c>
      <c r="N447" s="6">
        <f t="shared" si="26"/>
        <v>0</v>
      </c>
      <c r="O447" s="8" t="str">
        <f t="shared" si="27"/>
        <v/>
      </c>
    </row>
    <row r="448" spans="11:15" ht="17" customHeight="1">
      <c r="K448" s="1">
        <f t="shared" si="24"/>
        <v>0</v>
      </c>
      <c r="L448" s="6"/>
      <c r="M448" s="6">
        <f t="shared" si="25"/>
        <v>0</v>
      </c>
      <c r="N448" s="6">
        <f t="shared" si="26"/>
        <v>0</v>
      </c>
      <c r="O448" s="8" t="str">
        <f t="shared" si="27"/>
        <v/>
      </c>
    </row>
    <row r="449" spans="11:15" ht="17" customHeight="1">
      <c r="K449" s="1">
        <f t="shared" si="24"/>
        <v>0</v>
      </c>
      <c r="L449" s="6"/>
      <c r="M449" s="6">
        <f t="shared" si="25"/>
        <v>0</v>
      </c>
      <c r="N449" s="6">
        <f t="shared" si="26"/>
        <v>0</v>
      </c>
      <c r="O449" s="8" t="str">
        <f t="shared" si="27"/>
        <v/>
      </c>
    </row>
    <row r="450" spans="11:15" ht="17" customHeight="1">
      <c r="K450" s="1">
        <f t="shared" si="24"/>
        <v>0</v>
      </c>
      <c r="L450" s="6"/>
      <c r="M450" s="6">
        <f t="shared" si="25"/>
        <v>0</v>
      </c>
      <c r="N450" s="6">
        <f t="shared" si="26"/>
        <v>0</v>
      </c>
      <c r="O450" s="8" t="str">
        <f t="shared" si="27"/>
        <v/>
      </c>
    </row>
    <row r="451" spans="11:15" ht="17" customHeight="1">
      <c r="K451" s="1">
        <f t="shared" si="24"/>
        <v>0</v>
      </c>
      <c r="L451" s="6"/>
      <c r="M451" s="6">
        <f t="shared" si="25"/>
        <v>0</v>
      </c>
      <c r="N451" s="6">
        <f t="shared" si="26"/>
        <v>0</v>
      </c>
      <c r="O451" s="8" t="str">
        <f t="shared" si="27"/>
        <v/>
      </c>
    </row>
    <row r="452" spans="11:15" ht="17" customHeight="1">
      <c r="K452" s="1">
        <f t="shared" si="24"/>
        <v>0</v>
      </c>
      <c r="L452" s="6"/>
      <c r="M452" s="6">
        <f t="shared" si="25"/>
        <v>0</v>
      </c>
      <c r="N452" s="6">
        <f t="shared" si="26"/>
        <v>0</v>
      </c>
      <c r="O452" s="8" t="str">
        <f t="shared" si="27"/>
        <v/>
      </c>
    </row>
    <row r="453" spans="11:15" ht="17" customHeight="1">
      <c r="K453" s="1">
        <f t="shared" si="24"/>
        <v>0</v>
      </c>
      <c r="L453" s="6"/>
      <c r="M453" s="6">
        <f t="shared" si="25"/>
        <v>0</v>
      </c>
      <c r="N453" s="6">
        <f t="shared" si="26"/>
        <v>0</v>
      </c>
      <c r="O453" s="8" t="str">
        <f t="shared" si="27"/>
        <v/>
      </c>
    </row>
    <row r="454" spans="11:15" ht="17" customHeight="1">
      <c r="K454" s="1">
        <f t="shared" si="24"/>
        <v>0</v>
      </c>
      <c r="L454" s="6"/>
      <c r="M454" s="6">
        <f t="shared" si="25"/>
        <v>0</v>
      </c>
      <c r="N454" s="6">
        <f t="shared" si="26"/>
        <v>0</v>
      </c>
      <c r="O454" s="8" t="str">
        <f t="shared" si="27"/>
        <v/>
      </c>
    </row>
    <row r="455" spans="11:15" ht="17" customHeight="1">
      <c r="K455" s="1">
        <f t="shared" si="24"/>
        <v>0</v>
      </c>
      <c r="L455" s="6"/>
      <c r="M455" s="6">
        <f t="shared" si="25"/>
        <v>0</v>
      </c>
      <c r="N455" s="6">
        <f t="shared" si="26"/>
        <v>0</v>
      </c>
      <c r="O455" s="8" t="str">
        <f t="shared" si="27"/>
        <v/>
      </c>
    </row>
    <row r="456" spans="11:15" ht="17" customHeight="1">
      <c r="K456" s="1">
        <f t="shared" si="24"/>
        <v>0</v>
      </c>
      <c r="L456" s="6"/>
      <c r="M456" s="6">
        <f t="shared" si="25"/>
        <v>0</v>
      </c>
      <c r="N456" s="6">
        <f t="shared" si="26"/>
        <v>0</v>
      </c>
      <c r="O456" s="8" t="str">
        <f t="shared" si="27"/>
        <v/>
      </c>
    </row>
    <row r="457" spans="11:15" ht="17" customHeight="1">
      <c r="K457" s="1">
        <f t="shared" si="24"/>
        <v>0</v>
      </c>
      <c r="L457" s="6"/>
      <c r="M457" s="6">
        <f t="shared" si="25"/>
        <v>0</v>
      </c>
      <c r="N457" s="6">
        <f t="shared" si="26"/>
        <v>0</v>
      </c>
      <c r="O457" s="8" t="str">
        <f t="shared" si="27"/>
        <v/>
      </c>
    </row>
    <row r="458" spans="11:15" ht="17" customHeight="1">
      <c r="K458" s="1">
        <f t="shared" si="24"/>
        <v>0</v>
      </c>
      <c r="L458" s="6"/>
      <c r="M458" s="6">
        <f t="shared" si="25"/>
        <v>0</v>
      </c>
      <c r="N458" s="6">
        <f t="shared" si="26"/>
        <v>0</v>
      </c>
      <c r="O458" s="8" t="str">
        <f t="shared" si="27"/>
        <v/>
      </c>
    </row>
    <row r="459" spans="11:15" ht="17" customHeight="1">
      <c r="K459" s="1">
        <f t="shared" si="24"/>
        <v>0</v>
      </c>
      <c r="L459" s="6"/>
      <c r="M459" s="6">
        <f t="shared" si="25"/>
        <v>0</v>
      </c>
      <c r="N459" s="6">
        <f t="shared" si="26"/>
        <v>0</v>
      </c>
      <c r="O459" s="8" t="str">
        <f t="shared" si="27"/>
        <v/>
      </c>
    </row>
    <row r="460" spans="11:15" ht="17" customHeight="1">
      <c r="K460" s="1">
        <f t="shared" si="24"/>
        <v>0</v>
      </c>
      <c r="L460" s="6"/>
      <c r="M460" s="6">
        <f t="shared" si="25"/>
        <v>0</v>
      </c>
      <c r="N460" s="6">
        <f t="shared" si="26"/>
        <v>0</v>
      </c>
      <c r="O460" s="8" t="str">
        <f t="shared" si="27"/>
        <v/>
      </c>
    </row>
    <row r="461" spans="11:15" ht="17" customHeight="1">
      <c r="K461" s="1">
        <f t="shared" si="24"/>
        <v>0</v>
      </c>
      <c r="L461" s="6"/>
      <c r="M461" s="6">
        <f t="shared" si="25"/>
        <v>0</v>
      </c>
      <c r="N461" s="6">
        <f t="shared" si="26"/>
        <v>0</v>
      </c>
      <c r="O461" s="8" t="str">
        <f t="shared" si="27"/>
        <v/>
      </c>
    </row>
    <row r="462" spans="11:15" ht="17" customHeight="1">
      <c r="K462" s="1">
        <f t="shared" si="24"/>
        <v>0</v>
      </c>
      <c r="L462" s="6"/>
      <c r="M462" s="6">
        <f t="shared" si="25"/>
        <v>0</v>
      </c>
      <c r="N462" s="6">
        <f t="shared" si="26"/>
        <v>0</v>
      </c>
      <c r="O462" s="8" t="str">
        <f t="shared" si="27"/>
        <v/>
      </c>
    </row>
    <row r="463" spans="11:15" ht="17" customHeight="1">
      <c r="K463" s="1">
        <f t="shared" si="24"/>
        <v>0</v>
      </c>
      <c r="L463" s="6"/>
      <c r="M463" s="6">
        <f t="shared" si="25"/>
        <v>0</v>
      </c>
      <c r="N463" s="6">
        <f t="shared" si="26"/>
        <v>0</v>
      </c>
      <c r="O463" s="8" t="str">
        <f t="shared" si="27"/>
        <v/>
      </c>
    </row>
    <row r="464" spans="11:15" ht="17" customHeight="1">
      <c r="K464" s="1">
        <f t="shared" si="24"/>
        <v>0</v>
      </c>
      <c r="L464" s="6"/>
      <c r="M464" s="6">
        <f t="shared" si="25"/>
        <v>0</v>
      </c>
      <c r="N464" s="6">
        <f t="shared" si="26"/>
        <v>0</v>
      </c>
      <c r="O464" s="8" t="str">
        <f t="shared" si="27"/>
        <v/>
      </c>
    </row>
    <row r="465" spans="11:15" ht="17" customHeight="1">
      <c r="K465" s="1">
        <f t="shared" si="24"/>
        <v>0</v>
      </c>
      <c r="L465" s="6"/>
      <c r="M465" s="6">
        <f t="shared" si="25"/>
        <v>0</v>
      </c>
      <c r="N465" s="6">
        <f t="shared" si="26"/>
        <v>0</v>
      </c>
      <c r="O465" s="8" t="str">
        <f t="shared" si="27"/>
        <v/>
      </c>
    </row>
    <row r="466" spans="11:15" ht="17" customHeight="1">
      <c r="K466" s="1">
        <f t="shared" si="24"/>
        <v>0</v>
      </c>
      <c r="L466" s="6"/>
      <c r="M466" s="6">
        <f t="shared" si="25"/>
        <v>0</v>
      </c>
      <c r="N466" s="6">
        <f t="shared" si="26"/>
        <v>0</v>
      </c>
      <c r="O466" s="8" t="str">
        <f t="shared" si="27"/>
        <v/>
      </c>
    </row>
    <row r="467" spans="11:15" ht="17" customHeight="1">
      <c r="K467" s="1">
        <f t="shared" si="24"/>
        <v>0</v>
      </c>
      <c r="L467" s="6"/>
      <c r="M467" s="6">
        <f t="shared" si="25"/>
        <v>0</v>
      </c>
      <c r="N467" s="6">
        <f t="shared" si="26"/>
        <v>0</v>
      </c>
      <c r="O467" s="8" t="str">
        <f t="shared" si="27"/>
        <v/>
      </c>
    </row>
    <row r="468" spans="11:15" ht="17" customHeight="1">
      <c r="K468" s="1">
        <f t="shared" si="24"/>
        <v>0</v>
      </c>
      <c r="L468" s="6"/>
      <c r="M468" s="6">
        <f t="shared" si="25"/>
        <v>0</v>
      </c>
      <c r="N468" s="6">
        <f t="shared" si="26"/>
        <v>0</v>
      </c>
      <c r="O468" s="8" t="str">
        <f t="shared" si="27"/>
        <v/>
      </c>
    </row>
    <row r="469" spans="11:15" ht="17" customHeight="1">
      <c r="K469" s="1">
        <f t="shared" si="24"/>
        <v>0</v>
      </c>
      <c r="L469" s="6"/>
      <c r="M469" s="6">
        <f t="shared" si="25"/>
        <v>0</v>
      </c>
      <c r="N469" s="6">
        <f t="shared" si="26"/>
        <v>0</v>
      </c>
      <c r="O469" s="8" t="str">
        <f t="shared" si="27"/>
        <v/>
      </c>
    </row>
    <row r="470" spans="11:15" ht="17" customHeight="1">
      <c r="K470" s="1">
        <f t="shared" si="24"/>
        <v>0</v>
      </c>
      <c r="L470" s="6"/>
      <c r="M470" s="6">
        <f t="shared" si="25"/>
        <v>0</v>
      </c>
      <c r="N470" s="6">
        <f t="shared" si="26"/>
        <v>0</v>
      </c>
      <c r="O470" s="8" t="str">
        <f t="shared" si="27"/>
        <v/>
      </c>
    </row>
    <row r="471" spans="11:15" ht="17" customHeight="1">
      <c r="K471" s="1">
        <f t="shared" si="24"/>
        <v>0</v>
      </c>
      <c r="L471" s="6"/>
      <c r="M471" s="6">
        <f t="shared" si="25"/>
        <v>0</v>
      </c>
      <c r="N471" s="6">
        <f t="shared" si="26"/>
        <v>0</v>
      </c>
      <c r="O471" s="8" t="str">
        <f t="shared" si="27"/>
        <v/>
      </c>
    </row>
    <row r="472" spans="11:15" ht="17" customHeight="1">
      <c r="K472" s="1">
        <f t="shared" si="24"/>
        <v>0</v>
      </c>
      <c r="L472" s="6"/>
      <c r="M472" s="6">
        <f t="shared" si="25"/>
        <v>0</v>
      </c>
      <c r="N472" s="6">
        <f t="shared" si="26"/>
        <v>0</v>
      </c>
      <c r="O472" s="8" t="str">
        <f t="shared" si="27"/>
        <v/>
      </c>
    </row>
    <row r="473" spans="11:15" ht="17" customHeight="1">
      <c r="K473" s="1">
        <f t="shared" si="24"/>
        <v>0</v>
      </c>
      <c r="L473" s="6"/>
      <c r="M473" s="6">
        <f t="shared" si="25"/>
        <v>0</v>
      </c>
      <c r="N473" s="6">
        <f t="shared" si="26"/>
        <v>0</v>
      </c>
      <c r="O473" s="8" t="str">
        <f t="shared" si="27"/>
        <v/>
      </c>
    </row>
    <row r="474" spans="11:15" ht="17" customHeight="1">
      <c r="K474" s="1">
        <f t="shared" si="24"/>
        <v>0</v>
      </c>
      <c r="L474" s="6"/>
      <c r="M474" s="6">
        <f t="shared" si="25"/>
        <v>0</v>
      </c>
      <c r="N474" s="6">
        <f t="shared" si="26"/>
        <v>0</v>
      </c>
      <c r="O474" s="8" t="str">
        <f t="shared" si="27"/>
        <v/>
      </c>
    </row>
    <row r="475" spans="11:15" ht="17" customHeight="1">
      <c r="K475" s="1">
        <f t="shared" si="24"/>
        <v>0</v>
      </c>
      <c r="L475" s="6"/>
      <c r="M475" s="6">
        <f t="shared" si="25"/>
        <v>0</v>
      </c>
      <c r="N475" s="6">
        <f t="shared" si="26"/>
        <v>0</v>
      </c>
      <c r="O475" s="8" t="str">
        <f t="shared" si="27"/>
        <v/>
      </c>
    </row>
    <row r="476" spans="11:15" ht="17" customHeight="1">
      <c r="K476" s="1">
        <f t="shared" si="24"/>
        <v>0</v>
      </c>
      <c r="L476" s="6"/>
      <c r="M476" s="6">
        <f t="shared" si="25"/>
        <v>0</v>
      </c>
      <c r="N476" s="6">
        <f t="shared" si="26"/>
        <v>0</v>
      </c>
      <c r="O476" s="8" t="str">
        <f t="shared" si="27"/>
        <v/>
      </c>
    </row>
    <row r="477" spans="11:15" ht="17" customHeight="1">
      <c r="K477" s="1">
        <f t="shared" si="24"/>
        <v>0</v>
      </c>
      <c r="L477" s="6"/>
      <c r="M477" s="6">
        <f t="shared" si="25"/>
        <v>0</v>
      </c>
      <c r="N477" s="6">
        <f t="shared" si="26"/>
        <v>0</v>
      </c>
      <c r="O477" s="8" t="str">
        <f t="shared" si="27"/>
        <v/>
      </c>
    </row>
    <row r="478" spans="11:15" ht="17" customHeight="1">
      <c r="K478" s="1">
        <f t="shared" si="24"/>
        <v>0</v>
      </c>
      <c r="L478" s="6"/>
      <c r="M478" s="6">
        <f t="shared" si="25"/>
        <v>0</v>
      </c>
      <c r="N478" s="6">
        <f t="shared" si="26"/>
        <v>0</v>
      </c>
      <c r="O478" s="8" t="str">
        <f t="shared" si="27"/>
        <v/>
      </c>
    </row>
    <row r="479" spans="11:15" ht="17" customHeight="1">
      <c r="K479" s="1">
        <f t="shared" si="24"/>
        <v>0</v>
      </c>
      <c r="L479" s="6"/>
      <c r="M479" s="6">
        <f t="shared" si="25"/>
        <v>0</v>
      </c>
      <c r="N479" s="6">
        <f t="shared" si="26"/>
        <v>0</v>
      </c>
      <c r="O479" s="8" t="str">
        <f t="shared" si="27"/>
        <v/>
      </c>
    </row>
    <row r="480" spans="11:15" ht="17" customHeight="1">
      <c r="K480" s="1">
        <f t="shared" ref="K480:K543" si="28">SUM(I480*0.15)</f>
        <v>0</v>
      </c>
      <c r="L480" s="6"/>
      <c r="M480" s="6">
        <f t="shared" ref="M480:M543" si="29">SUM(H480*L480)</f>
        <v>0</v>
      </c>
      <c r="N480" s="6">
        <f t="shared" ref="N480:N543" si="30">SUM(I480-K480-M480)</f>
        <v>0</v>
      </c>
      <c r="O480" s="8" t="str">
        <f t="shared" ref="O480:O543" si="31">IF(I480=0,"",N480/I480)</f>
        <v/>
      </c>
    </row>
    <row r="481" spans="11:15" ht="17" customHeight="1">
      <c r="K481" s="1">
        <f t="shared" si="28"/>
        <v>0</v>
      </c>
      <c r="L481" s="6"/>
      <c r="M481" s="6">
        <f t="shared" si="29"/>
        <v>0</v>
      </c>
      <c r="N481" s="6">
        <f t="shared" si="30"/>
        <v>0</v>
      </c>
      <c r="O481" s="8" t="str">
        <f t="shared" si="31"/>
        <v/>
      </c>
    </row>
    <row r="482" spans="11:15" ht="17" customHeight="1">
      <c r="K482" s="1">
        <f t="shared" si="28"/>
        <v>0</v>
      </c>
      <c r="L482" s="6"/>
      <c r="M482" s="6">
        <f t="shared" si="29"/>
        <v>0</v>
      </c>
      <c r="N482" s="6">
        <f t="shared" si="30"/>
        <v>0</v>
      </c>
      <c r="O482" s="8" t="str">
        <f t="shared" si="31"/>
        <v/>
      </c>
    </row>
    <row r="483" spans="11:15" ht="17" customHeight="1">
      <c r="K483" s="1">
        <f t="shared" si="28"/>
        <v>0</v>
      </c>
      <c r="L483" s="6"/>
      <c r="M483" s="6">
        <f t="shared" si="29"/>
        <v>0</v>
      </c>
      <c r="N483" s="6">
        <f t="shared" si="30"/>
        <v>0</v>
      </c>
      <c r="O483" s="8" t="str">
        <f t="shared" si="31"/>
        <v/>
      </c>
    </row>
    <row r="484" spans="11:15" ht="17" customHeight="1">
      <c r="K484" s="1">
        <f t="shared" si="28"/>
        <v>0</v>
      </c>
      <c r="L484" s="6"/>
      <c r="M484" s="6">
        <f t="shared" si="29"/>
        <v>0</v>
      </c>
      <c r="N484" s="6">
        <f t="shared" si="30"/>
        <v>0</v>
      </c>
      <c r="O484" s="8" t="str">
        <f t="shared" si="31"/>
        <v/>
      </c>
    </row>
    <row r="485" spans="11:15" ht="17" customHeight="1">
      <c r="K485" s="1">
        <f t="shared" si="28"/>
        <v>0</v>
      </c>
      <c r="L485" s="6"/>
      <c r="M485" s="6">
        <f t="shared" si="29"/>
        <v>0</v>
      </c>
      <c r="N485" s="6">
        <f t="shared" si="30"/>
        <v>0</v>
      </c>
      <c r="O485" s="8" t="str">
        <f t="shared" si="31"/>
        <v/>
      </c>
    </row>
    <row r="486" spans="11:15" ht="17" customHeight="1">
      <c r="K486" s="1">
        <f t="shared" si="28"/>
        <v>0</v>
      </c>
      <c r="L486" s="6"/>
      <c r="M486" s="6">
        <f t="shared" si="29"/>
        <v>0</v>
      </c>
      <c r="N486" s="6">
        <f t="shared" si="30"/>
        <v>0</v>
      </c>
      <c r="O486" s="8" t="str">
        <f t="shared" si="31"/>
        <v/>
      </c>
    </row>
    <row r="487" spans="11:15" ht="17" customHeight="1">
      <c r="K487" s="1">
        <f t="shared" si="28"/>
        <v>0</v>
      </c>
      <c r="L487" s="6"/>
      <c r="M487" s="6">
        <f t="shared" si="29"/>
        <v>0</v>
      </c>
      <c r="N487" s="6">
        <f t="shared" si="30"/>
        <v>0</v>
      </c>
      <c r="O487" s="8" t="str">
        <f t="shared" si="31"/>
        <v/>
      </c>
    </row>
    <row r="488" spans="11:15" ht="17" customHeight="1">
      <c r="K488" s="1">
        <f t="shared" si="28"/>
        <v>0</v>
      </c>
      <c r="L488" s="6"/>
      <c r="M488" s="6">
        <f t="shared" si="29"/>
        <v>0</v>
      </c>
      <c r="N488" s="6">
        <f t="shared" si="30"/>
        <v>0</v>
      </c>
      <c r="O488" s="8" t="str">
        <f t="shared" si="31"/>
        <v/>
      </c>
    </row>
    <row r="489" spans="11:15" ht="17" customHeight="1">
      <c r="K489" s="1">
        <f t="shared" si="28"/>
        <v>0</v>
      </c>
      <c r="L489" s="6"/>
      <c r="M489" s="6">
        <f t="shared" si="29"/>
        <v>0</v>
      </c>
      <c r="N489" s="6">
        <f t="shared" si="30"/>
        <v>0</v>
      </c>
      <c r="O489" s="8" t="str">
        <f t="shared" si="31"/>
        <v/>
      </c>
    </row>
    <row r="490" spans="11:15" ht="17" customHeight="1">
      <c r="K490" s="1">
        <f t="shared" si="28"/>
        <v>0</v>
      </c>
      <c r="L490" s="6"/>
      <c r="M490" s="6">
        <f t="shared" si="29"/>
        <v>0</v>
      </c>
      <c r="N490" s="6">
        <f t="shared" si="30"/>
        <v>0</v>
      </c>
      <c r="O490" s="8" t="str">
        <f t="shared" si="31"/>
        <v/>
      </c>
    </row>
    <row r="491" spans="11:15" ht="17" customHeight="1">
      <c r="K491" s="1">
        <f t="shared" si="28"/>
        <v>0</v>
      </c>
      <c r="L491" s="6"/>
      <c r="M491" s="6">
        <f t="shared" si="29"/>
        <v>0</v>
      </c>
      <c r="N491" s="6">
        <f t="shared" si="30"/>
        <v>0</v>
      </c>
      <c r="O491" s="8" t="str">
        <f t="shared" si="31"/>
        <v/>
      </c>
    </row>
    <row r="492" spans="11:15" ht="17" customHeight="1">
      <c r="K492" s="1">
        <f t="shared" si="28"/>
        <v>0</v>
      </c>
      <c r="L492" s="6"/>
      <c r="M492" s="6">
        <f t="shared" si="29"/>
        <v>0</v>
      </c>
      <c r="N492" s="6">
        <f t="shared" si="30"/>
        <v>0</v>
      </c>
      <c r="O492" s="8" t="str">
        <f t="shared" si="31"/>
        <v/>
      </c>
    </row>
    <row r="493" spans="11:15" ht="17" customHeight="1">
      <c r="K493" s="1">
        <f t="shared" si="28"/>
        <v>0</v>
      </c>
      <c r="L493" s="6"/>
      <c r="M493" s="6">
        <f t="shared" si="29"/>
        <v>0</v>
      </c>
      <c r="N493" s="6">
        <f t="shared" si="30"/>
        <v>0</v>
      </c>
      <c r="O493" s="8" t="str">
        <f t="shared" si="31"/>
        <v/>
      </c>
    </row>
    <row r="494" spans="11:15" ht="17" customHeight="1">
      <c r="K494" s="1">
        <f t="shared" si="28"/>
        <v>0</v>
      </c>
      <c r="L494" s="6"/>
      <c r="M494" s="6">
        <f t="shared" si="29"/>
        <v>0</v>
      </c>
      <c r="N494" s="6">
        <f t="shared" si="30"/>
        <v>0</v>
      </c>
      <c r="O494" s="8" t="str">
        <f t="shared" si="31"/>
        <v/>
      </c>
    </row>
    <row r="495" spans="11:15" ht="17" customHeight="1">
      <c r="K495" s="1">
        <f t="shared" si="28"/>
        <v>0</v>
      </c>
      <c r="L495" s="6"/>
      <c r="M495" s="6">
        <f t="shared" si="29"/>
        <v>0</v>
      </c>
      <c r="N495" s="6">
        <f t="shared" si="30"/>
        <v>0</v>
      </c>
      <c r="O495" s="8" t="str">
        <f t="shared" si="31"/>
        <v/>
      </c>
    </row>
    <row r="496" spans="11:15" ht="17" customHeight="1">
      <c r="K496" s="1">
        <f t="shared" si="28"/>
        <v>0</v>
      </c>
      <c r="L496" s="6"/>
      <c r="M496" s="6">
        <f t="shared" si="29"/>
        <v>0</v>
      </c>
      <c r="N496" s="6">
        <f t="shared" si="30"/>
        <v>0</v>
      </c>
      <c r="O496" s="8" t="str">
        <f t="shared" si="31"/>
        <v/>
      </c>
    </row>
    <row r="497" spans="11:15" ht="17" customHeight="1">
      <c r="K497" s="1">
        <f t="shared" si="28"/>
        <v>0</v>
      </c>
      <c r="L497" s="6"/>
      <c r="M497" s="6">
        <f t="shared" si="29"/>
        <v>0</v>
      </c>
      <c r="N497" s="6">
        <f t="shared" si="30"/>
        <v>0</v>
      </c>
      <c r="O497" s="8" t="str">
        <f t="shared" si="31"/>
        <v/>
      </c>
    </row>
    <row r="498" spans="11:15" ht="17" customHeight="1">
      <c r="K498" s="1">
        <f t="shared" si="28"/>
        <v>0</v>
      </c>
      <c r="L498" s="6"/>
      <c r="M498" s="6">
        <f t="shared" si="29"/>
        <v>0</v>
      </c>
      <c r="N498" s="6">
        <f t="shared" si="30"/>
        <v>0</v>
      </c>
      <c r="O498" s="8" t="str">
        <f t="shared" si="31"/>
        <v/>
      </c>
    </row>
    <row r="499" spans="11:15" ht="17" customHeight="1">
      <c r="K499" s="1">
        <f t="shared" si="28"/>
        <v>0</v>
      </c>
      <c r="L499" s="6"/>
      <c r="M499" s="6">
        <f t="shared" si="29"/>
        <v>0</v>
      </c>
      <c r="N499" s="6">
        <f t="shared" si="30"/>
        <v>0</v>
      </c>
      <c r="O499" s="8" t="str">
        <f t="shared" si="31"/>
        <v/>
      </c>
    </row>
    <row r="500" spans="11:15" ht="17" customHeight="1">
      <c r="K500" s="1">
        <f t="shared" si="28"/>
        <v>0</v>
      </c>
      <c r="L500" s="6"/>
      <c r="M500" s="6">
        <f t="shared" si="29"/>
        <v>0</v>
      </c>
      <c r="N500" s="6">
        <f t="shared" si="30"/>
        <v>0</v>
      </c>
      <c r="O500" s="8" t="str">
        <f t="shared" si="31"/>
        <v/>
      </c>
    </row>
    <row r="501" spans="11:15" ht="17" customHeight="1">
      <c r="K501" s="1">
        <f t="shared" si="28"/>
        <v>0</v>
      </c>
      <c r="L501" s="6"/>
      <c r="M501" s="6">
        <f t="shared" si="29"/>
        <v>0</v>
      </c>
      <c r="N501" s="6">
        <f t="shared" si="30"/>
        <v>0</v>
      </c>
      <c r="O501" s="8" t="str">
        <f t="shared" si="31"/>
        <v/>
      </c>
    </row>
    <row r="502" spans="11:15" ht="17" customHeight="1">
      <c r="K502" s="1">
        <f t="shared" si="28"/>
        <v>0</v>
      </c>
      <c r="L502" s="6"/>
      <c r="M502" s="6">
        <f t="shared" si="29"/>
        <v>0</v>
      </c>
      <c r="N502" s="6">
        <f t="shared" si="30"/>
        <v>0</v>
      </c>
      <c r="O502" s="8" t="str">
        <f t="shared" si="31"/>
        <v/>
      </c>
    </row>
    <row r="503" spans="11:15" ht="17" customHeight="1">
      <c r="K503" s="1">
        <f t="shared" si="28"/>
        <v>0</v>
      </c>
      <c r="L503" s="6"/>
      <c r="M503" s="6">
        <f t="shared" si="29"/>
        <v>0</v>
      </c>
      <c r="N503" s="6">
        <f t="shared" si="30"/>
        <v>0</v>
      </c>
      <c r="O503" s="8" t="str">
        <f t="shared" si="31"/>
        <v/>
      </c>
    </row>
    <row r="504" spans="11:15" ht="17" customHeight="1">
      <c r="K504" s="1">
        <f t="shared" si="28"/>
        <v>0</v>
      </c>
      <c r="L504" s="6"/>
      <c r="M504" s="6">
        <f t="shared" si="29"/>
        <v>0</v>
      </c>
      <c r="N504" s="6">
        <f t="shared" si="30"/>
        <v>0</v>
      </c>
      <c r="O504" s="8" t="str">
        <f t="shared" si="31"/>
        <v/>
      </c>
    </row>
    <row r="505" spans="11:15" ht="17" customHeight="1">
      <c r="K505" s="1">
        <f t="shared" si="28"/>
        <v>0</v>
      </c>
      <c r="L505" s="6"/>
      <c r="M505" s="6">
        <f t="shared" si="29"/>
        <v>0</v>
      </c>
      <c r="N505" s="6">
        <f t="shared" si="30"/>
        <v>0</v>
      </c>
      <c r="O505" s="8" t="str">
        <f t="shared" si="31"/>
        <v/>
      </c>
    </row>
    <row r="506" spans="11:15" ht="17" customHeight="1">
      <c r="K506" s="1">
        <f t="shared" si="28"/>
        <v>0</v>
      </c>
      <c r="L506" s="6"/>
      <c r="M506" s="6">
        <f t="shared" si="29"/>
        <v>0</v>
      </c>
      <c r="N506" s="6">
        <f t="shared" si="30"/>
        <v>0</v>
      </c>
      <c r="O506" s="8" t="str">
        <f t="shared" si="31"/>
        <v/>
      </c>
    </row>
    <row r="507" spans="11:15" ht="17" customHeight="1">
      <c r="K507" s="1">
        <f t="shared" si="28"/>
        <v>0</v>
      </c>
      <c r="L507" s="6"/>
      <c r="M507" s="6">
        <f t="shared" si="29"/>
        <v>0</v>
      </c>
      <c r="N507" s="6">
        <f t="shared" si="30"/>
        <v>0</v>
      </c>
      <c r="O507" s="8" t="str">
        <f t="shared" si="31"/>
        <v/>
      </c>
    </row>
    <row r="508" spans="11:15" ht="17" customHeight="1">
      <c r="K508" s="1">
        <f t="shared" si="28"/>
        <v>0</v>
      </c>
      <c r="L508" s="6"/>
      <c r="M508" s="6">
        <f t="shared" si="29"/>
        <v>0</v>
      </c>
      <c r="N508" s="6">
        <f t="shared" si="30"/>
        <v>0</v>
      </c>
      <c r="O508" s="8" t="str">
        <f t="shared" si="31"/>
        <v/>
      </c>
    </row>
    <row r="509" spans="11:15" ht="17" customHeight="1">
      <c r="K509" s="1">
        <f t="shared" si="28"/>
        <v>0</v>
      </c>
      <c r="L509" s="6"/>
      <c r="M509" s="6">
        <f t="shared" si="29"/>
        <v>0</v>
      </c>
      <c r="N509" s="6">
        <f t="shared" si="30"/>
        <v>0</v>
      </c>
      <c r="O509" s="8" t="str">
        <f t="shared" si="31"/>
        <v/>
      </c>
    </row>
    <row r="510" spans="11:15" ht="17" customHeight="1">
      <c r="K510" s="1">
        <f t="shared" si="28"/>
        <v>0</v>
      </c>
      <c r="L510" s="6"/>
      <c r="M510" s="6">
        <f t="shared" si="29"/>
        <v>0</v>
      </c>
      <c r="N510" s="6">
        <f t="shared" si="30"/>
        <v>0</v>
      </c>
      <c r="O510" s="8" t="str">
        <f t="shared" si="31"/>
        <v/>
      </c>
    </row>
    <row r="511" spans="11:15" ht="17" customHeight="1">
      <c r="K511" s="1">
        <f t="shared" si="28"/>
        <v>0</v>
      </c>
      <c r="L511" s="6"/>
      <c r="M511" s="6">
        <f t="shared" si="29"/>
        <v>0</v>
      </c>
      <c r="N511" s="6">
        <f t="shared" si="30"/>
        <v>0</v>
      </c>
      <c r="O511" s="8" t="str">
        <f t="shared" si="31"/>
        <v/>
      </c>
    </row>
    <row r="512" spans="11:15" ht="17" customHeight="1">
      <c r="K512" s="1">
        <f t="shared" si="28"/>
        <v>0</v>
      </c>
      <c r="L512" s="6"/>
      <c r="M512" s="6">
        <f t="shared" si="29"/>
        <v>0</v>
      </c>
      <c r="N512" s="6">
        <f t="shared" si="30"/>
        <v>0</v>
      </c>
      <c r="O512" s="8" t="str">
        <f t="shared" si="31"/>
        <v/>
      </c>
    </row>
    <row r="513" spans="11:15" ht="17" customHeight="1">
      <c r="K513" s="1">
        <f t="shared" si="28"/>
        <v>0</v>
      </c>
      <c r="L513" s="6"/>
      <c r="M513" s="6">
        <f t="shared" si="29"/>
        <v>0</v>
      </c>
      <c r="N513" s="6">
        <f t="shared" si="30"/>
        <v>0</v>
      </c>
      <c r="O513" s="8" t="str">
        <f t="shared" si="31"/>
        <v/>
      </c>
    </row>
    <row r="514" spans="11:15" ht="17" customHeight="1">
      <c r="K514" s="1">
        <f t="shared" si="28"/>
        <v>0</v>
      </c>
      <c r="L514" s="6"/>
      <c r="M514" s="6">
        <f t="shared" si="29"/>
        <v>0</v>
      </c>
      <c r="N514" s="6">
        <f t="shared" si="30"/>
        <v>0</v>
      </c>
      <c r="O514" s="8" t="str">
        <f t="shared" si="31"/>
        <v/>
      </c>
    </row>
    <row r="515" spans="11:15" ht="17" customHeight="1">
      <c r="K515" s="1">
        <f t="shared" si="28"/>
        <v>0</v>
      </c>
      <c r="L515" s="6"/>
      <c r="M515" s="6">
        <f t="shared" si="29"/>
        <v>0</v>
      </c>
      <c r="N515" s="6">
        <f t="shared" si="30"/>
        <v>0</v>
      </c>
      <c r="O515" s="8" t="str">
        <f t="shared" si="31"/>
        <v/>
      </c>
    </row>
    <row r="516" spans="11:15" ht="17" customHeight="1">
      <c r="K516" s="1">
        <f t="shared" si="28"/>
        <v>0</v>
      </c>
      <c r="L516" s="6"/>
      <c r="M516" s="6">
        <f t="shared" si="29"/>
        <v>0</v>
      </c>
      <c r="N516" s="6">
        <f t="shared" si="30"/>
        <v>0</v>
      </c>
      <c r="O516" s="8" t="str">
        <f t="shared" si="31"/>
        <v/>
      </c>
    </row>
    <row r="517" spans="11:15" ht="17" customHeight="1">
      <c r="K517" s="1">
        <f t="shared" si="28"/>
        <v>0</v>
      </c>
      <c r="L517" s="6"/>
      <c r="M517" s="6">
        <f t="shared" si="29"/>
        <v>0</v>
      </c>
      <c r="N517" s="6">
        <f t="shared" si="30"/>
        <v>0</v>
      </c>
      <c r="O517" s="8" t="str">
        <f t="shared" si="31"/>
        <v/>
      </c>
    </row>
    <row r="518" spans="11:15" ht="17" customHeight="1">
      <c r="K518" s="1">
        <f t="shared" si="28"/>
        <v>0</v>
      </c>
      <c r="L518" s="6"/>
      <c r="M518" s="6">
        <f t="shared" si="29"/>
        <v>0</v>
      </c>
      <c r="N518" s="6">
        <f t="shared" si="30"/>
        <v>0</v>
      </c>
      <c r="O518" s="8" t="str">
        <f t="shared" si="31"/>
        <v/>
      </c>
    </row>
    <row r="519" spans="11:15" ht="17" customHeight="1">
      <c r="K519" s="1">
        <f t="shared" si="28"/>
        <v>0</v>
      </c>
      <c r="L519" s="6"/>
      <c r="M519" s="6">
        <f t="shared" si="29"/>
        <v>0</v>
      </c>
      <c r="N519" s="6">
        <f t="shared" si="30"/>
        <v>0</v>
      </c>
      <c r="O519" s="8" t="str">
        <f t="shared" si="31"/>
        <v/>
      </c>
    </row>
    <row r="520" spans="11:15" ht="17" customHeight="1">
      <c r="K520" s="1">
        <f t="shared" si="28"/>
        <v>0</v>
      </c>
      <c r="L520" s="6"/>
      <c r="M520" s="6">
        <f t="shared" si="29"/>
        <v>0</v>
      </c>
      <c r="N520" s="6">
        <f t="shared" si="30"/>
        <v>0</v>
      </c>
      <c r="O520" s="8" t="str">
        <f t="shared" si="31"/>
        <v/>
      </c>
    </row>
    <row r="521" spans="11:15" ht="17" customHeight="1">
      <c r="K521" s="1">
        <f t="shared" si="28"/>
        <v>0</v>
      </c>
      <c r="L521" s="6"/>
      <c r="M521" s="6">
        <f t="shared" si="29"/>
        <v>0</v>
      </c>
      <c r="N521" s="6">
        <f t="shared" si="30"/>
        <v>0</v>
      </c>
      <c r="O521" s="8" t="str">
        <f t="shared" si="31"/>
        <v/>
      </c>
    </row>
    <row r="522" spans="11:15" ht="17" customHeight="1">
      <c r="K522" s="1">
        <f t="shared" si="28"/>
        <v>0</v>
      </c>
      <c r="L522" s="6"/>
      <c r="M522" s="6">
        <f t="shared" si="29"/>
        <v>0</v>
      </c>
      <c r="N522" s="6">
        <f t="shared" si="30"/>
        <v>0</v>
      </c>
      <c r="O522" s="8" t="str">
        <f t="shared" si="31"/>
        <v/>
      </c>
    </row>
    <row r="523" spans="11:15" ht="17" customHeight="1">
      <c r="K523" s="1">
        <f t="shared" si="28"/>
        <v>0</v>
      </c>
      <c r="L523" s="6"/>
      <c r="M523" s="6">
        <f t="shared" si="29"/>
        <v>0</v>
      </c>
      <c r="N523" s="6">
        <f t="shared" si="30"/>
        <v>0</v>
      </c>
      <c r="O523" s="8" t="str">
        <f t="shared" si="31"/>
        <v/>
      </c>
    </row>
    <row r="524" spans="11:15" ht="17" customHeight="1">
      <c r="K524" s="1">
        <f t="shared" si="28"/>
        <v>0</v>
      </c>
      <c r="L524" s="6"/>
      <c r="M524" s="6">
        <f t="shared" si="29"/>
        <v>0</v>
      </c>
      <c r="N524" s="6">
        <f t="shared" si="30"/>
        <v>0</v>
      </c>
      <c r="O524" s="8" t="str">
        <f t="shared" si="31"/>
        <v/>
      </c>
    </row>
    <row r="525" spans="11:15" ht="17" customHeight="1">
      <c r="K525" s="1">
        <f t="shared" si="28"/>
        <v>0</v>
      </c>
      <c r="L525" s="6"/>
      <c r="M525" s="6">
        <f t="shared" si="29"/>
        <v>0</v>
      </c>
      <c r="N525" s="6">
        <f t="shared" si="30"/>
        <v>0</v>
      </c>
      <c r="O525" s="8" t="str">
        <f t="shared" si="31"/>
        <v/>
      </c>
    </row>
    <row r="526" spans="11:15" ht="17" customHeight="1">
      <c r="K526" s="1">
        <f t="shared" si="28"/>
        <v>0</v>
      </c>
      <c r="L526" s="6"/>
      <c r="M526" s="6">
        <f t="shared" si="29"/>
        <v>0</v>
      </c>
      <c r="N526" s="6">
        <f t="shared" si="30"/>
        <v>0</v>
      </c>
      <c r="O526" s="8" t="str">
        <f t="shared" si="31"/>
        <v/>
      </c>
    </row>
    <row r="527" spans="11:15" ht="17" customHeight="1">
      <c r="K527" s="1">
        <f t="shared" si="28"/>
        <v>0</v>
      </c>
      <c r="L527" s="6"/>
      <c r="M527" s="6">
        <f t="shared" si="29"/>
        <v>0</v>
      </c>
      <c r="N527" s="6">
        <f t="shared" si="30"/>
        <v>0</v>
      </c>
      <c r="O527" s="8" t="str">
        <f t="shared" si="31"/>
        <v/>
      </c>
    </row>
    <row r="528" spans="11:15" ht="17" customHeight="1">
      <c r="K528" s="1">
        <f t="shared" si="28"/>
        <v>0</v>
      </c>
      <c r="L528" s="6"/>
      <c r="M528" s="6">
        <f t="shared" si="29"/>
        <v>0</v>
      </c>
      <c r="N528" s="6">
        <f t="shared" si="30"/>
        <v>0</v>
      </c>
      <c r="O528" s="8" t="str">
        <f t="shared" si="31"/>
        <v/>
      </c>
    </row>
    <row r="529" spans="11:15" ht="17" customHeight="1">
      <c r="K529" s="1">
        <f t="shared" si="28"/>
        <v>0</v>
      </c>
      <c r="L529" s="6"/>
      <c r="M529" s="6">
        <f t="shared" si="29"/>
        <v>0</v>
      </c>
      <c r="N529" s="6">
        <f t="shared" si="30"/>
        <v>0</v>
      </c>
      <c r="O529" s="8" t="str">
        <f t="shared" si="31"/>
        <v/>
      </c>
    </row>
    <row r="530" spans="11:15" ht="17" customHeight="1">
      <c r="K530" s="1">
        <f t="shared" si="28"/>
        <v>0</v>
      </c>
      <c r="L530" s="6"/>
      <c r="M530" s="6">
        <f t="shared" si="29"/>
        <v>0</v>
      </c>
      <c r="N530" s="6">
        <f t="shared" si="30"/>
        <v>0</v>
      </c>
      <c r="O530" s="8" t="str">
        <f t="shared" si="31"/>
        <v/>
      </c>
    </row>
    <row r="531" spans="11:15" ht="17" customHeight="1">
      <c r="K531" s="1">
        <f t="shared" si="28"/>
        <v>0</v>
      </c>
      <c r="L531" s="6"/>
      <c r="M531" s="6">
        <f t="shared" si="29"/>
        <v>0</v>
      </c>
      <c r="N531" s="6">
        <f t="shared" si="30"/>
        <v>0</v>
      </c>
      <c r="O531" s="8" t="str">
        <f t="shared" si="31"/>
        <v/>
      </c>
    </row>
    <row r="532" spans="11:15" ht="17" customHeight="1">
      <c r="K532" s="1">
        <f t="shared" si="28"/>
        <v>0</v>
      </c>
      <c r="L532" s="6"/>
      <c r="M532" s="6">
        <f t="shared" si="29"/>
        <v>0</v>
      </c>
      <c r="N532" s="6">
        <f t="shared" si="30"/>
        <v>0</v>
      </c>
      <c r="O532" s="8" t="str">
        <f t="shared" si="31"/>
        <v/>
      </c>
    </row>
    <row r="533" spans="11:15" ht="17" customHeight="1">
      <c r="K533" s="1">
        <f t="shared" si="28"/>
        <v>0</v>
      </c>
      <c r="L533" s="6"/>
      <c r="M533" s="6">
        <f t="shared" si="29"/>
        <v>0</v>
      </c>
      <c r="N533" s="6">
        <f t="shared" si="30"/>
        <v>0</v>
      </c>
      <c r="O533" s="8" t="str">
        <f t="shared" si="31"/>
        <v/>
      </c>
    </row>
    <row r="534" spans="11:15" ht="17" customHeight="1">
      <c r="K534" s="1">
        <f t="shared" si="28"/>
        <v>0</v>
      </c>
      <c r="L534" s="6"/>
      <c r="M534" s="6">
        <f t="shared" si="29"/>
        <v>0</v>
      </c>
      <c r="N534" s="6">
        <f t="shared" si="30"/>
        <v>0</v>
      </c>
      <c r="O534" s="8" t="str">
        <f t="shared" si="31"/>
        <v/>
      </c>
    </row>
    <row r="535" spans="11:15" ht="17" customHeight="1">
      <c r="K535" s="1">
        <f t="shared" si="28"/>
        <v>0</v>
      </c>
      <c r="L535" s="6"/>
      <c r="M535" s="6">
        <f t="shared" si="29"/>
        <v>0</v>
      </c>
      <c r="N535" s="6">
        <f t="shared" si="30"/>
        <v>0</v>
      </c>
      <c r="O535" s="8" t="str">
        <f t="shared" si="31"/>
        <v/>
      </c>
    </row>
    <row r="536" spans="11:15" ht="17" customHeight="1">
      <c r="K536" s="1">
        <f t="shared" si="28"/>
        <v>0</v>
      </c>
      <c r="L536" s="6"/>
      <c r="M536" s="6">
        <f t="shared" si="29"/>
        <v>0</v>
      </c>
      <c r="N536" s="6">
        <f t="shared" si="30"/>
        <v>0</v>
      </c>
      <c r="O536" s="8" t="str">
        <f t="shared" si="31"/>
        <v/>
      </c>
    </row>
    <row r="537" spans="11:15" ht="17" customHeight="1">
      <c r="K537" s="1">
        <f t="shared" si="28"/>
        <v>0</v>
      </c>
      <c r="L537" s="6"/>
      <c r="M537" s="6">
        <f t="shared" si="29"/>
        <v>0</v>
      </c>
      <c r="N537" s="6">
        <f t="shared" si="30"/>
        <v>0</v>
      </c>
      <c r="O537" s="8" t="str">
        <f t="shared" si="31"/>
        <v/>
      </c>
    </row>
    <row r="538" spans="11:15" ht="17" customHeight="1">
      <c r="K538" s="1">
        <f t="shared" si="28"/>
        <v>0</v>
      </c>
      <c r="L538" s="6"/>
      <c r="M538" s="6">
        <f t="shared" si="29"/>
        <v>0</v>
      </c>
      <c r="N538" s="6">
        <f t="shared" si="30"/>
        <v>0</v>
      </c>
      <c r="O538" s="8" t="str">
        <f t="shared" si="31"/>
        <v/>
      </c>
    </row>
    <row r="539" spans="11:15" ht="17" customHeight="1">
      <c r="K539" s="1">
        <f t="shared" si="28"/>
        <v>0</v>
      </c>
      <c r="L539" s="6"/>
      <c r="M539" s="6">
        <f t="shared" si="29"/>
        <v>0</v>
      </c>
      <c r="N539" s="6">
        <f t="shared" si="30"/>
        <v>0</v>
      </c>
      <c r="O539" s="8" t="str">
        <f t="shared" si="31"/>
        <v/>
      </c>
    </row>
    <row r="540" spans="11:15" ht="17" customHeight="1">
      <c r="K540" s="1">
        <f t="shared" si="28"/>
        <v>0</v>
      </c>
      <c r="L540" s="6"/>
      <c r="M540" s="6">
        <f t="shared" si="29"/>
        <v>0</v>
      </c>
      <c r="N540" s="6">
        <f t="shared" si="30"/>
        <v>0</v>
      </c>
      <c r="O540" s="8" t="str">
        <f t="shared" si="31"/>
        <v/>
      </c>
    </row>
    <row r="541" spans="11:15" ht="17" customHeight="1">
      <c r="K541" s="1">
        <f t="shared" si="28"/>
        <v>0</v>
      </c>
      <c r="L541" s="6"/>
      <c r="M541" s="6">
        <f t="shared" si="29"/>
        <v>0</v>
      </c>
      <c r="N541" s="6">
        <f t="shared" si="30"/>
        <v>0</v>
      </c>
      <c r="O541" s="8" t="str">
        <f t="shared" si="31"/>
        <v/>
      </c>
    </row>
    <row r="542" spans="11:15" ht="17" customHeight="1">
      <c r="K542" s="1">
        <f t="shared" si="28"/>
        <v>0</v>
      </c>
      <c r="L542" s="6"/>
      <c r="M542" s="6">
        <f t="shared" si="29"/>
        <v>0</v>
      </c>
      <c r="N542" s="6">
        <f t="shared" si="30"/>
        <v>0</v>
      </c>
      <c r="O542" s="8" t="str">
        <f t="shared" si="31"/>
        <v/>
      </c>
    </row>
    <row r="543" spans="11:15" ht="17" customHeight="1">
      <c r="K543" s="1">
        <f t="shared" si="28"/>
        <v>0</v>
      </c>
      <c r="L543" s="6"/>
      <c r="M543" s="6">
        <f t="shared" si="29"/>
        <v>0</v>
      </c>
      <c r="N543" s="6">
        <f t="shared" si="30"/>
        <v>0</v>
      </c>
      <c r="O543" s="8" t="str">
        <f t="shared" si="31"/>
        <v/>
      </c>
    </row>
    <row r="544" spans="11:15" ht="17" customHeight="1">
      <c r="K544" s="1">
        <f t="shared" ref="K544:K607" si="32">SUM(I544*0.15)</f>
        <v>0</v>
      </c>
      <c r="L544" s="6"/>
      <c r="M544" s="6">
        <f t="shared" ref="M544:M607" si="33">SUM(H544*L544)</f>
        <v>0</v>
      </c>
      <c r="N544" s="6">
        <f t="shared" ref="N544:N607" si="34">SUM(I544-K544-M544)</f>
        <v>0</v>
      </c>
      <c r="O544" s="8" t="str">
        <f t="shared" ref="O544:O607" si="35">IF(I544=0,"",N544/I544)</f>
        <v/>
      </c>
    </row>
    <row r="545" spans="11:15" ht="17" customHeight="1">
      <c r="K545" s="1">
        <f t="shared" si="32"/>
        <v>0</v>
      </c>
      <c r="L545" s="6"/>
      <c r="M545" s="6">
        <f t="shared" si="33"/>
        <v>0</v>
      </c>
      <c r="N545" s="6">
        <f t="shared" si="34"/>
        <v>0</v>
      </c>
      <c r="O545" s="8" t="str">
        <f t="shared" si="35"/>
        <v/>
      </c>
    </row>
    <row r="546" spans="11:15" ht="17" customHeight="1">
      <c r="K546" s="1">
        <f t="shared" si="32"/>
        <v>0</v>
      </c>
      <c r="L546" s="6"/>
      <c r="M546" s="6">
        <f t="shared" si="33"/>
        <v>0</v>
      </c>
      <c r="N546" s="6">
        <f t="shared" si="34"/>
        <v>0</v>
      </c>
      <c r="O546" s="8" t="str">
        <f t="shared" si="35"/>
        <v/>
      </c>
    </row>
    <row r="547" spans="11:15" ht="17" customHeight="1">
      <c r="K547" s="1">
        <f t="shared" si="32"/>
        <v>0</v>
      </c>
      <c r="L547" s="6"/>
      <c r="M547" s="6">
        <f t="shared" si="33"/>
        <v>0</v>
      </c>
      <c r="N547" s="6">
        <f t="shared" si="34"/>
        <v>0</v>
      </c>
      <c r="O547" s="8" t="str">
        <f t="shared" si="35"/>
        <v/>
      </c>
    </row>
    <row r="548" spans="11:15" ht="17" customHeight="1">
      <c r="K548" s="1">
        <f t="shared" si="32"/>
        <v>0</v>
      </c>
      <c r="L548" s="6"/>
      <c r="M548" s="6">
        <f t="shared" si="33"/>
        <v>0</v>
      </c>
      <c r="N548" s="6">
        <f t="shared" si="34"/>
        <v>0</v>
      </c>
      <c r="O548" s="8" t="str">
        <f t="shared" si="35"/>
        <v/>
      </c>
    </row>
    <row r="549" spans="11:15" ht="17" customHeight="1">
      <c r="K549" s="1">
        <f t="shared" si="32"/>
        <v>0</v>
      </c>
      <c r="L549" s="6"/>
      <c r="M549" s="6">
        <f t="shared" si="33"/>
        <v>0</v>
      </c>
      <c r="N549" s="6">
        <f t="shared" si="34"/>
        <v>0</v>
      </c>
      <c r="O549" s="8" t="str">
        <f t="shared" si="35"/>
        <v/>
      </c>
    </row>
    <row r="550" spans="11:15" ht="17" customHeight="1">
      <c r="K550" s="1">
        <f t="shared" si="32"/>
        <v>0</v>
      </c>
      <c r="L550" s="6"/>
      <c r="M550" s="6">
        <f t="shared" si="33"/>
        <v>0</v>
      </c>
      <c r="N550" s="6">
        <f t="shared" si="34"/>
        <v>0</v>
      </c>
      <c r="O550" s="8" t="str">
        <f t="shared" si="35"/>
        <v/>
      </c>
    </row>
    <row r="551" spans="11:15" ht="17" customHeight="1">
      <c r="K551" s="1">
        <f t="shared" si="32"/>
        <v>0</v>
      </c>
      <c r="L551" s="6"/>
      <c r="M551" s="6">
        <f t="shared" si="33"/>
        <v>0</v>
      </c>
      <c r="N551" s="6">
        <f t="shared" si="34"/>
        <v>0</v>
      </c>
      <c r="O551" s="8" t="str">
        <f t="shared" si="35"/>
        <v/>
      </c>
    </row>
    <row r="552" spans="11:15" ht="17" customHeight="1">
      <c r="K552" s="1">
        <f t="shared" si="32"/>
        <v>0</v>
      </c>
      <c r="L552" s="6"/>
      <c r="M552" s="6">
        <f t="shared" si="33"/>
        <v>0</v>
      </c>
      <c r="N552" s="6">
        <f t="shared" si="34"/>
        <v>0</v>
      </c>
      <c r="O552" s="8" t="str">
        <f t="shared" si="35"/>
        <v/>
      </c>
    </row>
    <row r="553" spans="11:15" ht="17" customHeight="1">
      <c r="K553" s="1">
        <f t="shared" si="32"/>
        <v>0</v>
      </c>
      <c r="L553" s="6"/>
      <c r="M553" s="6">
        <f t="shared" si="33"/>
        <v>0</v>
      </c>
      <c r="N553" s="6">
        <f t="shared" si="34"/>
        <v>0</v>
      </c>
      <c r="O553" s="8" t="str">
        <f t="shared" si="35"/>
        <v/>
      </c>
    </row>
    <row r="554" spans="11:15" ht="17" customHeight="1">
      <c r="K554" s="1">
        <f t="shared" si="32"/>
        <v>0</v>
      </c>
      <c r="L554" s="6"/>
      <c r="M554" s="6">
        <f t="shared" si="33"/>
        <v>0</v>
      </c>
      <c r="N554" s="6">
        <f t="shared" si="34"/>
        <v>0</v>
      </c>
      <c r="O554" s="8" t="str">
        <f t="shared" si="35"/>
        <v/>
      </c>
    </row>
    <row r="555" spans="11:15" ht="17" customHeight="1">
      <c r="K555" s="1">
        <f t="shared" si="32"/>
        <v>0</v>
      </c>
      <c r="L555" s="6"/>
      <c r="M555" s="6">
        <f t="shared" si="33"/>
        <v>0</v>
      </c>
      <c r="N555" s="6">
        <f t="shared" si="34"/>
        <v>0</v>
      </c>
      <c r="O555" s="8" t="str">
        <f t="shared" si="35"/>
        <v/>
      </c>
    </row>
    <row r="556" spans="11:15" ht="17" customHeight="1">
      <c r="K556" s="1">
        <f t="shared" si="32"/>
        <v>0</v>
      </c>
      <c r="L556" s="6"/>
      <c r="M556" s="6">
        <f t="shared" si="33"/>
        <v>0</v>
      </c>
      <c r="N556" s="6">
        <f t="shared" si="34"/>
        <v>0</v>
      </c>
      <c r="O556" s="8" t="str">
        <f t="shared" si="35"/>
        <v/>
      </c>
    </row>
    <row r="557" spans="11:15" ht="17" customHeight="1">
      <c r="K557" s="1">
        <f t="shared" si="32"/>
        <v>0</v>
      </c>
      <c r="L557" s="6"/>
      <c r="M557" s="6">
        <f t="shared" si="33"/>
        <v>0</v>
      </c>
      <c r="N557" s="6">
        <f t="shared" si="34"/>
        <v>0</v>
      </c>
      <c r="O557" s="8" t="str">
        <f t="shared" si="35"/>
        <v/>
      </c>
    </row>
    <row r="558" spans="11:15" ht="17" customHeight="1">
      <c r="K558" s="1">
        <f t="shared" si="32"/>
        <v>0</v>
      </c>
      <c r="L558" s="6"/>
      <c r="M558" s="6">
        <f t="shared" si="33"/>
        <v>0</v>
      </c>
      <c r="N558" s="6">
        <f t="shared" si="34"/>
        <v>0</v>
      </c>
      <c r="O558" s="8" t="str">
        <f t="shared" si="35"/>
        <v/>
      </c>
    </row>
    <row r="559" spans="11:15" ht="17" customHeight="1">
      <c r="K559" s="1">
        <f t="shared" si="32"/>
        <v>0</v>
      </c>
      <c r="L559" s="6"/>
      <c r="M559" s="6">
        <f t="shared" si="33"/>
        <v>0</v>
      </c>
      <c r="N559" s="6">
        <f t="shared" si="34"/>
        <v>0</v>
      </c>
      <c r="O559" s="8" t="str">
        <f t="shared" si="35"/>
        <v/>
      </c>
    </row>
    <row r="560" spans="11:15" ht="17" customHeight="1">
      <c r="K560" s="1">
        <f t="shared" si="32"/>
        <v>0</v>
      </c>
      <c r="L560" s="6"/>
      <c r="M560" s="6">
        <f t="shared" si="33"/>
        <v>0</v>
      </c>
      <c r="N560" s="6">
        <f t="shared" si="34"/>
        <v>0</v>
      </c>
      <c r="O560" s="8" t="str">
        <f t="shared" si="35"/>
        <v/>
      </c>
    </row>
    <row r="561" spans="11:15" ht="17" customHeight="1">
      <c r="K561" s="1">
        <f t="shared" si="32"/>
        <v>0</v>
      </c>
      <c r="L561" s="6"/>
      <c r="M561" s="6">
        <f t="shared" si="33"/>
        <v>0</v>
      </c>
      <c r="N561" s="6">
        <f t="shared" si="34"/>
        <v>0</v>
      </c>
      <c r="O561" s="8" t="str">
        <f t="shared" si="35"/>
        <v/>
      </c>
    </row>
    <row r="562" spans="11:15" ht="17" customHeight="1">
      <c r="K562" s="1">
        <f t="shared" si="32"/>
        <v>0</v>
      </c>
      <c r="L562" s="6"/>
      <c r="M562" s="6">
        <f t="shared" si="33"/>
        <v>0</v>
      </c>
      <c r="N562" s="6">
        <f t="shared" si="34"/>
        <v>0</v>
      </c>
      <c r="O562" s="8" t="str">
        <f t="shared" si="35"/>
        <v/>
      </c>
    </row>
    <row r="563" spans="11:15" ht="17" customHeight="1">
      <c r="K563" s="1">
        <f t="shared" si="32"/>
        <v>0</v>
      </c>
      <c r="L563" s="6"/>
      <c r="M563" s="6">
        <f t="shared" si="33"/>
        <v>0</v>
      </c>
      <c r="N563" s="6">
        <f t="shared" si="34"/>
        <v>0</v>
      </c>
      <c r="O563" s="8" t="str">
        <f t="shared" si="35"/>
        <v/>
      </c>
    </row>
    <row r="564" spans="11:15" ht="17" customHeight="1">
      <c r="K564" s="1">
        <f t="shared" si="32"/>
        <v>0</v>
      </c>
      <c r="L564" s="6"/>
      <c r="M564" s="6">
        <f t="shared" si="33"/>
        <v>0</v>
      </c>
      <c r="N564" s="6">
        <f t="shared" si="34"/>
        <v>0</v>
      </c>
      <c r="O564" s="8" t="str">
        <f t="shared" si="35"/>
        <v/>
      </c>
    </row>
    <row r="565" spans="11:15" ht="17" customHeight="1">
      <c r="K565" s="1">
        <f t="shared" si="32"/>
        <v>0</v>
      </c>
      <c r="L565" s="6"/>
      <c r="M565" s="6">
        <f t="shared" si="33"/>
        <v>0</v>
      </c>
      <c r="N565" s="6">
        <f t="shared" si="34"/>
        <v>0</v>
      </c>
      <c r="O565" s="8" t="str">
        <f t="shared" si="35"/>
        <v/>
      </c>
    </row>
    <row r="566" spans="11:15" ht="17" customHeight="1">
      <c r="K566" s="1">
        <f t="shared" si="32"/>
        <v>0</v>
      </c>
      <c r="L566" s="6"/>
      <c r="M566" s="6">
        <f t="shared" si="33"/>
        <v>0</v>
      </c>
      <c r="N566" s="6">
        <f t="shared" si="34"/>
        <v>0</v>
      </c>
      <c r="O566" s="8" t="str">
        <f t="shared" si="35"/>
        <v/>
      </c>
    </row>
    <row r="567" spans="11:15" ht="17" customHeight="1">
      <c r="K567" s="1">
        <f t="shared" si="32"/>
        <v>0</v>
      </c>
      <c r="L567" s="6"/>
      <c r="M567" s="6">
        <f t="shared" si="33"/>
        <v>0</v>
      </c>
      <c r="N567" s="6">
        <f t="shared" si="34"/>
        <v>0</v>
      </c>
      <c r="O567" s="8" t="str">
        <f t="shared" si="35"/>
        <v/>
      </c>
    </row>
    <row r="568" spans="11:15" ht="17" customHeight="1">
      <c r="K568" s="1">
        <f t="shared" si="32"/>
        <v>0</v>
      </c>
      <c r="L568" s="6"/>
      <c r="M568" s="6">
        <f t="shared" si="33"/>
        <v>0</v>
      </c>
      <c r="N568" s="6">
        <f t="shared" si="34"/>
        <v>0</v>
      </c>
      <c r="O568" s="8" t="str">
        <f t="shared" si="35"/>
        <v/>
      </c>
    </row>
    <row r="569" spans="11:15" ht="17" customHeight="1">
      <c r="K569" s="1">
        <f t="shared" si="32"/>
        <v>0</v>
      </c>
      <c r="L569" s="6"/>
      <c r="M569" s="6">
        <f t="shared" si="33"/>
        <v>0</v>
      </c>
      <c r="N569" s="6">
        <f t="shared" si="34"/>
        <v>0</v>
      </c>
      <c r="O569" s="8" t="str">
        <f t="shared" si="35"/>
        <v/>
      </c>
    </row>
    <row r="570" spans="11:15" ht="17" customHeight="1">
      <c r="K570" s="1">
        <f t="shared" si="32"/>
        <v>0</v>
      </c>
      <c r="L570" s="6"/>
      <c r="M570" s="6">
        <f t="shared" si="33"/>
        <v>0</v>
      </c>
      <c r="N570" s="6">
        <f t="shared" si="34"/>
        <v>0</v>
      </c>
      <c r="O570" s="8" t="str">
        <f t="shared" si="35"/>
        <v/>
      </c>
    </row>
    <row r="571" spans="11:15" ht="17" customHeight="1">
      <c r="K571" s="1">
        <f t="shared" si="32"/>
        <v>0</v>
      </c>
      <c r="L571" s="6"/>
      <c r="M571" s="6">
        <f t="shared" si="33"/>
        <v>0</v>
      </c>
      <c r="N571" s="6">
        <f t="shared" si="34"/>
        <v>0</v>
      </c>
      <c r="O571" s="8" t="str">
        <f t="shared" si="35"/>
        <v/>
      </c>
    </row>
    <row r="572" spans="11:15" ht="17" customHeight="1">
      <c r="K572" s="1">
        <f t="shared" si="32"/>
        <v>0</v>
      </c>
      <c r="L572" s="6"/>
      <c r="M572" s="6">
        <f t="shared" si="33"/>
        <v>0</v>
      </c>
      <c r="N572" s="6">
        <f t="shared" si="34"/>
        <v>0</v>
      </c>
      <c r="O572" s="8" t="str">
        <f t="shared" si="35"/>
        <v/>
      </c>
    </row>
    <row r="573" spans="11:15" ht="17" customHeight="1">
      <c r="K573" s="1">
        <f t="shared" si="32"/>
        <v>0</v>
      </c>
      <c r="L573" s="6"/>
      <c r="M573" s="6">
        <f t="shared" si="33"/>
        <v>0</v>
      </c>
      <c r="N573" s="6">
        <f t="shared" si="34"/>
        <v>0</v>
      </c>
      <c r="O573" s="8" t="str">
        <f t="shared" si="35"/>
        <v/>
      </c>
    </row>
    <row r="574" spans="11:15" ht="17" customHeight="1">
      <c r="K574" s="1">
        <f t="shared" si="32"/>
        <v>0</v>
      </c>
      <c r="L574" s="6"/>
      <c r="M574" s="6">
        <f t="shared" si="33"/>
        <v>0</v>
      </c>
      <c r="N574" s="6">
        <f t="shared" si="34"/>
        <v>0</v>
      </c>
      <c r="O574" s="8" t="str">
        <f t="shared" si="35"/>
        <v/>
      </c>
    </row>
    <row r="575" spans="11:15" ht="17" customHeight="1">
      <c r="K575" s="1">
        <f t="shared" si="32"/>
        <v>0</v>
      </c>
      <c r="L575" s="6"/>
      <c r="M575" s="6">
        <f t="shared" si="33"/>
        <v>0</v>
      </c>
      <c r="N575" s="6">
        <f t="shared" si="34"/>
        <v>0</v>
      </c>
      <c r="O575" s="8" t="str">
        <f t="shared" si="35"/>
        <v/>
      </c>
    </row>
    <row r="576" spans="11:15" ht="17" customHeight="1">
      <c r="K576" s="1">
        <f t="shared" si="32"/>
        <v>0</v>
      </c>
      <c r="L576" s="6"/>
      <c r="M576" s="6">
        <f t="shared" si="33"/>
        <v>0</v>
      </c>
      <c r="N576" s="6">
        <f t="shared" si="34"/>
        <v>0</v>
      </c>
      <c r="O576" s="8" t="str">
        <f t="shared" si="35"/>
        <v/>
      </c>
    </row>
    <row r="577" spans="11:15" ht="17" customHeight="1">
      <c r="K577" s="1">
        <f t="shared" si="32"/>
        <v>0</v>
      </c>
      <c r="L577" s="6"/>
      <c r="M577" s="6">
        <f t="shared" si="33"/>
        <v>0</v>
      </c>
      <c r="N577" s="6">
        <f t="shared" si="34"/>
        <v>0</v>
      </c>
      <c r="O577" s="8" t="str">
        <f t="shared" si="35"/>
        <v/>
      </c>
    </row>
    <row r="578" spans="11:15" ht="17" customHeight="1">
      <c r="K578" s="1">
        <f t="shared" si="32"/>
        <v>0</v>
      </c>
      <c r="L578" s="6"/>
      <c r="M578" s="6">
        <f t="shared" si="33"/>
        <v>0</v>
      </c>
      <c r="N578" s="6">
        <f t="shared" si="34"/>
        <v>0</v>
      </c>
      <c r="O578" s="8" t="str">
        <f t="shared" si="35"/>
        <v/>
      </c>
    </row>
    <row r="579" spans="11:15" ht="17" customHeight="1">
      <c r="K579" s="1">
        <f t="shared" si="32"/>
        <v>0</v>
      </c>
      <c r="L579" s="6"/>
      <c r="M579" s="6">
        <f t="shared" si="33"/>
        <v>0</v>
      </c>
      <c r="N579" s="6">
        <f t="shared" si="34"/>
        <v>0</v>
      </c>
      <c r="O579" s="8" t="str">
        <f t="shared" si="35"/>
        <v/>
      </c>
    </row>
    <row r="580" spans="11:15" ht="17" customHeight="1">
      <c r="K580" s="1">
        <f t="shared" si="32"/>
        <v>0</v>
      </c>
      <c r="L580" s="6"/>
      <c r="M580" s="6">
        <f t="shared" si="33"/>
        <v>0</v>
      </c>
      <c r="N580" s="6">
        <f t="shared" si="34"/>
        <v>0</v>
      </c>
      <c r="O580" s="8" t="str">
        <f t="shared" si="35"/>
        <v/>
      </c>
    </row>
    <row r="581" spans="11:15" ht="17" customHeight="1">
      <c r="K581" s="1">
        <f t="shared" si="32"/>
        <v>0</v>
      </c>
      <c r="L581" s="6"/>
      <c r="M581" s="6">
        <f t="shared" si="33"/>
        <v>0</v>
      </c>
      <c r="N581" s="6">
        <f t="shared" si="34"/>
        <v>0</v>
      </c>
      <c r="O581" s="8" t="str">
        <f t="shared" si="35"/>
        <v/>
      </c>
    </row>
    <row r="582" spans="11:15" ht="17" customHeight="1">
      <c r="K582" s="1">
        <f t="shared" si="32"/>
        <v>0</v>
      </c>
      <c r="L582" s="6"/>
      <c r="M582" s="6">
        <f t="shared" si="33"/>
        <v>0</v>
      </c>
      <c r="N582" s="6">
        <f t="shared" si="34"/>
        <v>0</v>
      </c>
      <c r="O582" s="8" t="str">
        <f t="shared" si="35"/>
        <v/>
      </c>
    </row>
    <row r="583" spans="11:15" ht="17" customHeight="1">
      <c r="K583" s="1">
        <f t="shared" si="32"/>
        <v>0</v>
      </c>
      <c r="L583" s="6"/>
      <c r="M583" s="6">
        <f t="shared" si="33"/>
        <v>0</v>
      </c>
      <c r="N583" s="6">
        <f t="shared" si="34"/>
        <v>0</v>
      </c>
      <c r="O583" s="8" t="str">
        <f t="shared" si="35"/>
        <v/>
      </c>
    </row>
    <row r="584" spans="11:15" ht="17" customHeight="1">
      <c r="K584" s="1">
        <f t="shared" si="32"/>
        <v>0</v>
      </c>
      <c r="L584" s="6"/>
      <c r="M584" s="6">
        <f t="shared" si="33"/>
        <v>0</v>
      </c>
      <c r="N584" s="6">
        <f t="shared" si="34"/>
        <v>0</v>
      </c>
      <c r="O584" s="8" t="str">
        <f t="shared" si="35"/>
        <v/>
      </c>
    </row>
    <row r="585" spans="11:15" ht="17" customHeight="1">
      <c r="K585" s="1">
        <f t="shared" si="32"/>
        <v>0</v>
      </c>
      <c r="L585" s="6"/>
      <c r="M585" s="6">
        <f t="shared" si="33"/>
        <v>0</v>
      </c>
      <c r="N585" s="6">
        <f t="shared" si="34"/>
        <v>0</v>
      </c>
      <c r="O585" s="8" t="str">
        <f t="shared" si="35"/>
        <v/>
      </c>
    </row>
    <row r="586" spans="11:15" ht="17" customHeight="1">
      <c r="K586" s="1">
        <f t="shared" si="32"/>
        <v>0</v>
      </c>
      <c r="L586" s="6"/>
      <c r="M586" s="6">
        <f t="shared" si="33"/>
        <v>0</v>
      </c>
      <c r="N586" s="6">
        <f t="shared" si="34"/>
        <v>0</v>
      </c>
      <c r="O586" s="8" t="str">
        <f t="shared" si="35"/>
        <v/>
      </c>
    </row>
    <row r="587" spans="11:15" ht="17" customHeight="1">
      <c r="K587" s="1">
        <f t="shared" si="32"/>
        <v>0</v>
      </c>
      <c r="L587" s="6"/>
      <c r="M587" s="6">
        <f t="shared" si="33"/>
        <v>0</v>
      </c>
      <c r="N587" s="6">
        <f t="shared" si="34"/>
        <v>0</v>
      </c>
      <c r="O587" s="8" t="str">
        <f t="shared" si="35"/>
        <v/>
      </c>
    </row>
    <row r="588" spans="11:15" ht="17" customHeight="1">
      <c r="K588" s="1">
        <f t="shared" si="32"/>
        <v>0</v>
      </c>
      <c r="L588" s="6"/>
      <c r="M588" s="6">
        <f t="shared" si="33"/>
        <v>0</v>
      </c>
      <c r="N588" s="6">
        <f t="shared" si="34"/>
        <v>0</v>
      </c>
      <c r="O588" s="8" t="str">
        <f t="shared" si="35"/>
        <v/>
      </c>
    </row>
    <row r="589" spans="11:15" ht="17" customHeight="1">
      <c r="K589" s="1">
        <f t="shared" si="32"/>
        <v>0</v>
      </c>
      <c r="L589" s="6"/>
      <c r="M589" s="6">
        <f t="shared" si="33"/>
        <v>0</v>
      </c>
      <c r="N589" s="6">
        <f t="shared" si="34"/>
        <v>0</v>
      </c>
      <c r="O589" s="8" t="str">
        <f t="shared" si="35"/>
        <v/>
      </c>
    </row>
    <row r="590" spans="11:15" ht="17" customHeight="1">
      <c r="K590" s="1">
        <f t="shared" si="32"/>
        <v>0</v>
      </c>
      <c r="L590" s="6"/>
      <c r="M590" s="6">
        <f t="shared" si="33"/>
        <v>0</v>
      </c>
      <c r="N590" s="6">
        <f t="shared" si="34"/>
        <v>0</v>
      </c>
      <c r="O590" s="8" t="str">
        <f t="shared" si="35"/>
        <v/>
      </c>
    </row>
    <row r="591" spans="11:15" ht="17" customHeight="1">
      <c r="K591" s="1">
        <f t="shared" si="32"/>
        <v>0</v>
      </c>
      <c r="L591" s="6"/>
      <c r="M591" s="6">
        <f t="shared" si="33"/>
        <v>0</v>
      </c>
      <c r="N591" s="6">
        <f t="shared" si="34"/>
        <v>0</v>
      </c>
      <c r="O591" s="8" t="str">
        <f t="shared" si="35"/>
        <v/>
      </c>
    </row>
    <row r="592" spans="11:15" ht="17" customHeight="1">
      <c r="K592" s="1">
        <f t="shared" si="32"/>
        <v>0</v>
      </c>
      <c r="L592" s="6"/>
      <c r="M592" s="6">
        <f t="shared" si="33"/>
        <v>0</v>
      </c>
      <c r="N592" s="6">
        <f t="shared" si="34"/>
        <v>0</v>
      </c>
      <c r="O592" s="8" t="str">
        <f t="shared" si="35"/>
        <v/>
      </c>
    </row>
    <row r="593" spans="11:15" ht="17" customHeight="1">
      <c r="K593" s="1">
        <f t="shared" si="32"/>
        <v>0</v>
      </c>
      <c r="L593" s="6"/>
      <c r="M593" s="6">
        <f t="shared" si="33"/>
        <v>0</v>
      </c>
      <c r="N593" s="6">
        <f t="shared" si="34"/>
        <v>0</v>
      </c>
      <c r="O593" s="8" t="str">
        <f t="shared" si="35"/>
        <v/>
      </c>
    </row>
    <row r="594" spans="11:15" ht="17" customHeight="1">
      <c r="K594" s="1">
        <f t="shared" si="32"/>
        <v>0</v>
      </c>
      <c r="L594" s="6"/>
      <c r="M594" s="6">
        <f t="shared" si="33"/>
        <v>0</v>
      </c>
      <c r="N594" s="6">
        <f t="shared" si="34"/>
        <v>0</v>
      </c>
      <c r="O594" s="8" t="str">
        <f t="shared" si="35"/>
        <v/>
      </c>
    </row>
    <row r="595" spans="11:15" ht="17" customHeight="1">
      <c r="K595" s="1">
        <f t="shared" si="32"/>
        <v>0</v>
      </c>
      <c r="L595" s="6"/>
      <c r="M595" s="6">
        <f t="shared" si="33"/>
        <v>0</v>
      </c>
      <c r="N595" s="6">
        <f t="shared" si="34"/>
        <v>0</v>
      </c>
      <c r="O595" s="8" t="str">
        <f t="shared" si="35"/>
        <v/>
      </c>
    </row>
    <row r="596" spans="11:15" ht="17" customHeight="1">
      <c r="K596" s="1">
        <f t="shared" si="32"/>
        <v>0</v>
      </c>
      <c r="L596" s="6"/>
      <c r="M596" s="6">
        <f t="shared" si="33"/>
        <v>0</v>
      </c>
      <c r="N596" s="6">
        <f t="shared" si="34"/>
        <v>0</v>
      </c>
      <c r="O596" s="8" t="str">
        <f t="shared" si="35"/>
        <v/>
      </c>
    </row>
    <row r="597" spans="11:15" ht="17" customHeight="1">
      <c r="K597" s="1">
        <f t="shared" si="32"/>
        <v>0</v>
      </c>
      <c r="L597" s="6"/>
      <c r="M597" s="6">
        <f t="shared" si="33"/>
        <v>0</v>
      </c>
      <c r="N597" s="6">
        <f t="shared" si="34"/>
        <v>0</v>
      </c>
      <c r="O597" s="8" t="str">
        <f t="shared" si="35"/>
        <v/>
      </c>
    </row>
    <row r="598" spans="11:15" ht="17" customHeight="1">
      <c r="K598" s="1">
        <f t="shared" si="32"/>
        <v>0</v>
      </c>
      <c r="L598" s="6"/>
      <c r="M598" s="6">
        <f t="shared" si="33"/>
        <v>0</v>
      </c>
      <c r="N598" s="6">
        <f t="shared" si="34"/>
        <v>0</v>
      </c>
      <c r="O598" s="8" t="str">
        <f t="shared" si="35"/>
        <v/>
      </c>
    </row>
    <row r="599" spans="11:15" ht="17" customHeight="1">
      <c r="K599" s="1">
        <f t="shared" si="32"/>
        <v>0</v>
      </c>
      <c r="L599" s="6"/>
      <c r="M599" s="6">
        <f t="shared" si="33"/>
        <v>0</v>
      </c>
      <c r="N599" s="6">
        <f t="shared" si="34"/>
        <v>0</v>
      </c>
      <c r="O599" s="8" t="str">
        <f t="shared" si="35"/>
        <v/>
      </c>
    </row>
    <row r="600" spans="11:15" ht="17" customHeight="1">
      <c r="K600" s="1">
        <f t="shared" si="32"/>
        <v>0</v>
      </c>
      <c r="L600" s="6"/>
      <c r="M600" s="6">
        <f t="shared" si="33"/>
        <v>0</v>
      </c>
      <c r="N600" s="6">
        <f t="shared" si="34"/>
        <v>0</v>
      </c>
      <c r="O600" s="8" t="str">
        <f t="shared" si="35"/>
        <v/>
      </c>
    </row>
    <row r="601" spans="11:15" ht="17" customHeight="1">
      <c r="K601" s="1">
        <f t="shared" si="32"/>
        <v>0</v>
      </c>
      <c r="L601" s="6"/>
      <c r="M601" s="6">
        <f t="shared" si="33"/>
        <v>0</v>
      </c>
      <c r="N601" s="6">
        <f t="shared" si="34"/>
        <v>0</v>
      </c>
      <c r="O601" s="8" t="str">
        <f t="shared" si="35"/>
        <v/>
      </c>
    </row>
    <row r="602" spans="11:15" ht="17" customHeight="1">
      <c r="K602" s="1">
        <f t="shared" si="32"/>
        <v>0</v>
      </c>
      <c r="L602" s="6"/>
      <c r="M602" s="6">
        <f t="shared" si="33"/>
        <v>0</v>
      </c>
      <c r="N602" s="6">
        <f t="shared" si="34"/>
        <v>0</v>
      </c>
      <c r="O602" s="8" t="str">
        <f t="shared" si="35"/>
        <v/>
      </c>
    </row>
    <row r="603" spans="11:15" ht="17" customHeight="1">
      <c r="K603" s="1">
        <f t="shared" si="32"/>
        <v>0</v>
      </c>
      <c r="L603" s="6"/>
      <c r="M603" s="6">
        <f t="shared" si="33"/>
        <v>0</v>
      </c>
      <c r="N603" s="6">
        <f t="shared" si="34"/>
        <v>0</v>
      </c>
      <c r="O603" s="8" t="str">
        <f t="shared" si="35"/>
        <v/>
      </c>
    </row>
    <row r="604" spans="11:15" ht="17" customHeight="1">
      <c r="K604" s="1">
        <f t="shared" si="32"/>
        <v>0</v>
      </c>
      <c r="L604" s="6"/>
      <c r="M604" s="6">
        <f t="shared" si="33"/>
        <v>0</v>
      </c>
      <c r="N604" s="6">
        <f t="shared" si="34"/>
        <v>0</v>
      </c>
      <c r="O604" s="8" t="str">
        <f t="shared" si="35"/>
        <v/>
      </c>
    </row>
    <row r="605" spans="11:15" ht="17" customHeight="1">
      <c r="K605" s="1">
        <f t="shared" si="32"/>
        <v>0</v>
      </c>
      <c r="L605" s="6"/>
      <c r="M605" s="6">
        <f t="shared" si="33"/>
        <v>0</v>
      </c>
      <c r="N605" s="6">
        <f t="shared" si="34"/>
        <v>0</v>
      </c>
      <c r="O605" s="8" t="str">
        <f t="shared" si="35"/>
        <v/>
      </c>
    </row>
    <row r="606" spans="11:15" ht="17" customHeight="1">
      <c r="K606" s="1">
        <f t="shared" si="32"/>
        <v>0</v>
      </c>
      <c r="L606" s="6"/>
      <c r="M606" s="6">
        <f t="shared" si="33"/>
        <v>0</v>
      </c>
      <c r="N606" s="6">
        <f t="shared" si="34"/>
        <v>0</v>
      </c>
      <c r="O606" s="8" t="str">
        <f t="shared" si="35"/>
        <v/>
      </c>
    </row>
    <row r="607" spans="11:15" ht="17" customHeight="1">
      <c r="K607" s="1">
        <f t="shared" si="32"/>
        <v>0</v>
      </c>
      <c r="L607" s="6"/>
      <c r="M607" s="6">
        <f t="shared" si="33"/>
        <v>0</v>
      </c>
      <c r="N607" s="6">
        <f t="shared" si="34"/>
        <v>0</v>
      </c>
      <c r="O607" s="8" t="str">
        <f t="shared" si="35"/>
        <v/>
      </c>
    </row>
    <row r="608" spans="11:15" ht="17" customHeight="1">
      <c r="K608" s="1">
        <f t="shared" ref="K608:K671" si="36">SUM(I608*0.15)</f>
        <v>0</v>
      </c>
      <c r="L608" s="6"/>
      <c r="M608" s="6">
        <f t="shared" ref="M608:M671" si="37">SUM(H608*L608)</f>
        <v>0</v>
      </c>
      <c r="N608" s="6">
        <f t="shared" ref="N608:N671" si="38">SUM(I608-K608-M608)</f>
        <v>0</v>
      </c>
      <c r="O608" s="8" t="str">
        <f t="shared" ref="O608:O671" si="39">IF(I608=0,"",N608/I608)</f>
        <v/>
      </c>
    </row>
    <row r="609" spans="11:15" ht="17" customHeight="1">
      <c r="K609" s="1">
        <f t="shared" si="36"/>
        <v>0</v>
      </c>
      <c r="L609" s="6"/>
      <c r="M609" s="6">
        <f t="shared" si="37"/>
        <v>0</v>
      </c>
      <c r="N609" s="6">
        <f t="shared" si="38"/>
        <v>0</v>
      </c>
      <c r="O609" s="8" t="str">
        <f t="shared" si="39"/>
        <v/>
      </c>
    </row>
    <row r="610" spans="11:15" ht="17" customHeight="1">
      <c r="K610" s="1">
        <f t="shared" si="36"/>
        <v>0</v>
      </c>
      <c r="L610" s="6"/>
      <c r="M610" s="6">
        <f t="shared" si="37"/>
        <v>0</v>
      </c>
      <c r="N610" s="6">
        <f t="shared" si="38"/>
        <v>0</v>
      </c>
      <c r="O610" s="8" t="str">
        <f t="shared" si="39"/>
        <v/>
      </c>
    </row>
    <row r="611" spans="11:15" ht="17" customHeight="1">
      <c r="K611" s="1">
        <f t="shared" si="36"/>
        <v>0</v>
      </c>
      <c r="L611" s="6"/>
      <c r="M611" s="6">
        <f t="shared" si="37"/>
        <v>0</v>
      </c>
      <c r="N611" s="6">
        <f t="shared" si="38"/>
        <v>0</v>
      </c>
      <c r="O611" s="8" t="str">
        <f t="shared" si="39"/>
        <v/>
      </c>
    </row>
    <row r="612" spans="11:15" ht="17" customHeight="1">
      <c r="K612" s="1">
        <f t="shared" si="36"/>
        <v>0</v>
      </c>
      <c r="L612" s="6"/>
      <c r="M612" s="6">
        <f t="shared" si="37"/>
        <v>0</v>
      </c>
      <c r="N612" s="6">
        <f t="shared" si="38"/>
        <v>0</v>
      </c>
      <c r="O612" s="8" t="str">
        <f t="shared" si="39"/>
        <v/>
      </c>
    </row>
    <row r="613" spans="11:15" ht="17" customHeight="1">
      <c r="K613" s="1">
        <f t="shared" si="36"/>
        <v>0</v>
      </c>
      <c r="L613" s="6"/>
      <c r="M613" s="6">
        <f t="shared" si="37"/>
        <v>0</v>
      </c>
      <c r="N613" s="6">
        <f t="shared" si="38"/>
        <v>0</v>
      </c>
      <c r="O613" s="8" t="str">
        <f t="shared" si="39"/>
        <v/>
      </c>
    </row>
    <row r="614" spans="11:15" ht="17" customHeight="1">
      <c r="K614" s="1">
        <f t="shared" si="36"/>
        <v>0</v>
      </c>
      <c r="L614" s="6"/>
      <c r="M614" s="6">
        <f t="shared" si="37"/>
        <v>0</v>
      </c>
      <c r="N614" s="6">
        <f t="shared" si="38"/>
        <v>0</v>
      </c>
      <c r="O614" s="8" t="str">
        <f t="shared" si="39"/>
        <v/>
      </c>
    </row>
    <row r="615" spans="11:15" ht="17" customHeight="1">
      <c r="K615" s="1">
        <f t="shared" si="36"/>
        <v>0</v>
      </c>
      <c r="L615" s="6"/>
      <c r="M615" s="6">
        <f t="shared" si="37"/>
        <v>0</v>
      </c>
      <c r="N615" s="6">
        <f t="shared" si="38"/>
        <v>0</v>
      </c>
      <c r="O615" s="8" t="str">
        <f t="shared" si="39"/>
        <v/>
      </c>
    </row>
    <row r="616" spans="11:15" ht="17" customHeight="1">
      <c r="K616" s="1">
        <f t="shared" si="36"/>
        <v>0</v>
      </c>
      <c r="L616" s="6"/>
      <c r="M616" s="6">
        <f t="shared" si="37"/>
        <v>0</v>
      </c>
      <c r="N616" s="6">
        <f t="shared" si="38"/>
        <v>0</v>
      </c>
      <c r="O616" s="8" t="str">
        <f t="shared" si="39"/>
        <v/>
      </c>
    </row>
    <row r="617" spans="11:15" ht="17" customHeight="1">
      <c r="K617" s="1">
        <f t="shared" si="36"/>
        <v>0</v>
      </c>
      <c r="L617" s="6"/>
      <c r="M617" s="6">
        <f t="shared" si="37"/>
        <v>0</v>
      </c>
      <c r="N617" s="6">
        <f t="shared" si="38"/>
        <v>0</v>
      </c>
      <c r="O617" s="8" t="str">
        <f t="shared" si="39"/>
        <v/>
      </c>
    </row>
    <row r="618" spans="11:15" ht="17" customHeight="1">
      <c r="K618" s="1">
        <f t="shared" si="36"/>
        <v>0</v>
      </c>
      <c r="L618" s="6"/>
      <c r="M618" s="6">
        <f t="shared" si="37"/>
        <v>0</v>
      </c>
      <c r="N618" s="6">
        <f t="shared" si="38"/>
        <v>0</v>
      </c>
      <c r="O618" s="8" t="str">
        <f t="shared" si="39"/>
        <v/>
      </c>
    </row>
    <row r="619" spans="11:15" ht="17" customHeight="1">
      <c r="K619" s="1">
        <f t="shared" si="36"/>
        <v>0</v>
      </c>
      <c r="L619" s="6"/>
      <c r="M619" s="6">
        <f t="shared" si="37"/>
        <v>0</v>
      </c>
      <c r="N619" s="6">
        <f t="shared" si="38"/>
        <v>0</v>
      </c>
      <c r="O619" s="8" t="str">
        <f t="shared" si="39"/>
        <v/>
      </c>
    </row>
    <row r="620" spans="11:15" ht="17" customHeight="1">
      <c r="K620" s="1">
        <f t="shared" si="36"/>
        <v>0</v>
      </c>
      <c r="L620" s="6"/>
      <c r="M620" s="6">
        <f t="shared" si="37"/>
        <v>0</v>
      </c>
      <c r="N620" s="6">
        <f t="shared" si="38"/>
        <v>0</v>
      </c>
      <c r="O620" s="8" t="str">
        <f t="shared" si="39"/>
        <v/>
      </c>
    </row>
    <row r="621" spans="11:15" ht="17" customHeight="1">
      <c r="K621" s="1">
        <f t="shared" si="36"/>
        <v>0</v>
      </c>
      <c r="L621" s="6"/>
      <c r="M621" s="6">
        <f t="shared" si="37"/>
        <v>0</v>
      </c>
      <c r="N621" s="6">
        <f t="shared" si="38"/>
        <v>0</v>
      </c>
      <c r="O621" s="8" t="str">
        <f t="shared" si="39"/>
        <v/>
      </c>
    </row>
    <row r="622" spans="11:15" ht="17" customHeight="1">
      <c r="K622" s="1">
        <f t="shared" si="36"/>
        <v>0</v>
      </c>
      <c r="L622" s="6"/>
      <c r="M622" s="6">
        <f t="shared" si="37"/>
        <v>0</v>
      </c>
      <c r="N622" s="6">
        <f t="shared" si="38"/>
        <v>0</v>
      </c>
      <c r="O622" s="8" t="str">
        <f t="shared" si="39"/>
        <v/>
      </c>
    </row>
    <row r="623" spans="11:15" ht="17" customHeight="1">
      <c r="K623" s="1">
        <f t="shared" si="36"/>
        <v>0</v>
      </c>
      <c r="L623" s="6"/>
      <c r="M623" s="6">
        <f t="shared" si="37"/>
        <v>0</v>
      </c>
      <c r="N623" s="6">
        <f t="shared" si="38"/>
        <v>0</v>
      </c>
      <c r="O623" s="8" t="str">
        <f t="shared" si="39"/>
        <v/>
      </c>
    </row>
    <row r="624" spans="11:15" ht="17" customHeight="1">
      <c r="K624" s="1">
        <f t="shared" si="36"/>
        <v>0</v>
      </c>
      <c r="L624" s="6"/>
      <c r="M624" s="6">
        <f t="shared" si="37"/>
        <v>0</v>
      </c>
      <c r="N624" s="6">
        <f t="shared" si="38"/>
        <v>0</v>
      </c>
      <c r="O624" s="8" t="str">
        <f t="shared" si="39"/>
        <v/>
      </c>
    </row>
    <row r="625" spans="11:15" ht="17" customHeight="1">
      <c r="K625" s="1">
        <f t="shared" si="36"/>
        <v>0</v>
      </c>
      <c r="L625" s="6"/>
      <c r="M625" s="6">
        <f t="shared" si="37"/>
        <v>0</v>
      </c>
      <c r="N625" s="6">
        <f t="shared" si="38"/>
        <v>0</v>
      </c>
      <c r="O625" s="8" t="str">
        <f t="shared" si="39"/>
        <v/>
      </c>
    </row>
    <row r="626" spans="11:15" ht="17" customHeight="1">
      <c r="K626" s="1">
        <f t="shared" si="36"/>
        <v>0</v>
      </c>
      <c r="L626" s="6"/>
      <c r="M626" s="6">
        <f t="shared" si="37"/>
        <v>0</v>
      </c>
      <c r="N626" s="6">
        <f t="shared" si="38"/>
        <v>0</v>
      </c>
      <c r="O626" s="8" t="str">
        <f t="shared" si="39"/>
        <v/>
      </c>
    </row>
    <row r="627" spans="11:15" ht="17" customHeight="1">
      <c r="K627" s="1">
        <f t="shared" si="36"/>
        <v>0</v>
      </c>
      <c r="L627" s="6"/>
      <c r="M627" s="6">
        <f t="shared" si="37"/>
        <v>0</v>
      </c>
      <c r="N627" s="6">
        <f t="shared" si="38"/>
        <v>0</v>
      </c>
      <c r="O627" s="8" t="str">
        <f t="shared" si="39"/>
        <v/>
      </c>
    </row>
    <row r="628" spans="11:15" ht="17" customHeight="1">
      <c r="K628" s="1">
        <f t="shared" si="36"/>
        <v>0</v>
      </c>
      <c r="L628" s="6"/>
      <c r="M628" s="6">
        <f t="shared" si="37"/>
        <v>0</v>
      </c>
      <c r="N628" s="6">
        <f t="shared" si="38"/>
        <v>0</v>
      </c>
      <c r="O628" s="8" t="str">
        <f t="shared" si="39"/>
        <v/>
      </c>
    </row>
    <row r="629" spans="11:15" ht="17" customHeight="1">
      <c r="K629" s="1">
        <f t="shared" si="36"/>
        <v>0</v>
      </c>
      <c r="L629" s="6"/>
      <c r="M629" s="6">
        <f t="shared" si="37"/>
        <v>0</v>
      </c>
      <c r="N629" s="6">
        <f t="shared" si="38"/>
        <v>0</v>
      </c>
      <c r="O629" s="8" t="str">
        <f t="shared" si="39"/>
        <v/>
      </c>
    </row>
    <row r="630" spans="11:15" ht="17" customHeight="1">
      <c r="K630" s="1">
        <f t="shared" si="36"/>
        <v>0</v>
      </c>
      <c r="L630" s="6"/>
      <c r="M630" s="6">
        <f t="shared" si="37"/>
        <v>0</v>
      </c>
      <c r="N630" s="6">
        <f t="shared" si="38"/>
        <v>0</v>
      </c>
      <c r="O630" s="8" t="str">
        <f t="shared" si="39"/>
        <v/>
      </c>
    </row>
    <row r="631" spans="11:15" ht="17" customHeight="1">
      <c r="K631" s="1">
        <f t="shared" si="36"/>
        <v>0</v>
      </c>
      <c r="L631" s="6"/>
      <c r="M631" s="6">
        <f t="shared" si="37"/>
        <v>0</v>
      </c>
      <c r="N631" s="6">
        <f t="shared" si="38"/>
        <v>0</v>
      </c>
      <c r="O631" s="8" t="str">
        <f t="shared" si="39"/>
        <v/>
      </c>
    </row>
    <row r="632" spans="11:15" ht="17" customHeight="1">
      <c r="K632" s="1">
        <f t="shared" si="36"/>
        <v>0</v>
      </c>
      <c r="L632" s="6"/>
      <c r="M632" s="6">
        <f t="shared" si="37"/>
        <v>0</v>
      </c>
      <c r="N632" s="6">
        <f t="shared" si="38"/>
        <v>0</v>
      </c>
      <c r="O632" s="8" t="str">
        <f t="shared" si="39"/>
        <v/>
      </c>
    </row>
    <row r="633" spans="11:15" ht="17" customHeight="1">
      <c r="K633" s="1">
        <f t="shared" si="36"/>
        <v>0</v>
      </c>
      <c r="L633" s="6"/>
      <c r="M633" s="6">
        <f t="shared" si="37"/>
        <v>0</v>
      </c>
      <c r="N633" s="6">
        <f t="shared" si="38"/>
        <v>0</v>
      </c>
      <c r="O633" s="8" t="str">
        <f t="shared" si="39"/>
        <v/>
      </c>
    </row>
    <row r="634" spans="11:15" ht="17" customHeight="1">
      <c r="K634" s="1">
        <f t="shared" si="36"/>
        <v>0</v>
      </c>
      <c r="L634" s="6"/>
      <c r="M634" s="6">
        <f t="shared" si="37"/>
        <v>0</v>
      </c>
      <c r="N634" s="6">
        <f t="shared" si="38"/>
        <v>0</v>
      </c>
      <c r="O634" s="8" t="str">
        <f t="shared" si="39"/>
        <v/>
      </c>
    </row>
    <row r="635" spans="11:15" ht="17" customHeight="1">
      <c r="K635" s="1">
        <f t="shared" si="36"/>
        <v>0</v>
      </c>
      <c r="L635" s="6"/>
      <c r="M635" s="6">
        <f t="shared" si="37"/>
        <v>0</v>
      </c>
      <c r="N635" s="6">
        <f t="shared" si="38"/>
        <v>0</v>
      </c>
      <c r="O635" s="8" t="str">
        <f t="shared" si="39"/>
        <v/>
      </c>
    </row>
    <row r="636" spans="11:15" ht="17" customHeight="1">
      <c r="K636" s="1">
        <f t="shared" si="36"/>
        <v>0</v>
      </c>
      <c r="L636" s="6"/>
      <c r="M636" s="6">
        <f t="shared" si="37"/>
        <v>0</v>
      </c>
      <c r="N636" s="6">
        <f t="shared" si="38"/>
        <v>0</v>
      </c>
      <c r="O636" s="8" t="str">
        <f t="shared" si="39"/>
        <v/>
      </c>
    </row>
    <row r="637" spans="11:15" ht="17" customHeight="1">
      <c r="K637" s="1">
        <f t="shared" si="36"/>
        <v>0</v>
      </c>
      <c r="L637" s="6"/>
      <c r="M637" s="6">
        <f t="shared" si="37"/>
        <v>0</v>
      </c>
      <c r="N637" s="6">
        <f t="shared" si="38"/>
        <v>0</v>
      </c>
      <c r="O637" s="8" t="str">
        <f t="shared" si="39"/>
        <v/>
      </c>
    </row>
    <row r="638" spans="11:15" ht="17" customHeight="1">
      <c r="K638" s="1">
        <f t="shared" si="36"/>
        <v>0</v>
      </c>
      <c r="L638" s="6"/>
      <c r="M638" s="6">
        <f t="shared" si="37"/>
        <v>0</v>
      </c>
      <c r="N638" s="6">
        <f t="shared" si="38"/>
        <v>0</v>
      </c>
      <c r="O638" s="8" t="str">
        <f t="shared" si="39"/>
        <v/>
      </c>
    </row>
    <row r="639" spans="11:15" ht="17" customHeight="1">
      <c r="K639" s="1">
        <f t="shared" si="36"/>
        <v>0</v>
      </c>
      <c r="L639" s="6"/>
      <c r="M639" s="6">
        <f t="shared" si="37"/>
        <v>0</v>
      </c>
      <c r="N639" s="6">
        <f t="shared" si="38"/>
        <v>0</v>
      </c>
      <c r="O639" s="8" t="str">
        <f t="shared" si="39"/>
        <v/>
      </c>
    </row>
    <row r="640" spans="11:15" ht="17" customHeight="1">
      <c r="K640" s="1">
        <f t="shared" si="36"/>
        <v>0</v>
      </c>
      <c r="L640" s="6"/>
      <c r="M640" s="6">
        <f t="shared" si="37"/>
        <v>0</v>
      </c>
      <c r="N640" s="6">
        <f t="shared" si="38"/>
        <v>0</v>
      </c>
      <c r="O640" s="8" t="str">
        <f t="shared" si="39"/>
        <v/>
      </c>
    </row>
    <row r="641" spans="11:15" ht="17" customHeight="1">
      <c r="K641" s="1">
        <f t="shared" si="36"/>
        <v>0</v>
      </c>
      <c r="L641" s="6"/>
      <c r="M641" s="6">
        <f t="shared" si="37"/>
        <v>0</v>
      </c>
      <c r="N641" s="6">
        <f t="shared" si="38"/>
        <v>0</v>
      </c>
      <c r="O641" s="8" t="str">
        <f t="shared" si="39"/>
        <v/>
      </c>
    </row>
    <row r="642" spans="11:15" ht="17" customHeight="1">
      <c r="K642" s="1">
        <f t="shared" si="36"/>
        <v>0</v>
      </c>
      <c r="L642" s="6"/>
      <c r="M642" s="6">
        <f t="shared" si="37"/>
        <v>0</v>
      </c>
      <c r="N642" s="6">
        <f t="shared" si="38"/>
        <v>0</v>
      </c>
      <c r="O642" s="8" t="str">
        <f t="shared" si="39"/>
        <v/>
      </c>
    </row>
    <row r="643" spans="11:15" ht="17" customHeight="1">
      <c r="K643" s="1">
        <f t="shared" si="36"/>
        <v>0</v>
      </c>
      <c r="L643" s="6"/>
      <c r="M643" s="6">
        <f t="shared" si="37"/>
        <v>0</v>
      </c>
      <c r="N643" s="6">
        <f t="shared" si="38"/>
        <v>0</v>
      </c>
      <c r="O643" s="8" t="str">
        <f t="shared" si="39"/>
        <v/>
      </c>
    </row>
    <row r="644" spans="11:15" ht="17" customHeight="1">
      <c r="K644" s="1">
        <f t="shared" si="36"/>
        <v>0</v>
      </c>
      <c r="L644" s="6"/>
      <c r="M644" s="6">
        <f t="shared" si="37"/>
        <v>0</v>
      </c>
      <c r="N644" s="6">
        <f t="shared" si="38"/>
        <v>0</v>
      </c>
      <c r="O644" s="8" t="str">
        <f t="shared" si="39"/>
        <v/>
      </c>
    </row>
    <row r="645" spans="11:15" ht="17" customHeight="1">
      <c r="K645" s="1">
        <f t="shared" si="36"/>
        <v>0</v>
      </c>
      <c r="L645" s="6"/>
      <c r="M645" s="6">
        <f t="shared" si="37"/>
        <v>0</v>
      </c>
      <c r="N645" s="6">
        <f t="shared" si="38"/>
        <v>0</v>
      </c>
      <c r="O645" s="8" t="str">
        <f t="shared" si="39"/>
        <v/>
      </c>
    </row>
    <row r="646" spans="11:15" ht="17" customHeight="1">
      <c r="K646" s="1">
        <f t="shared" si="36"/>
        <v>0</v>
      </c>
      <c r="L646" s="6"/>
      <c r="M646" s="6">
        <f t="shared" si="37"/>
        <v>0</v>
      </c>
      <c r="N646" s="6">
        <f t="shared" si="38"/>
        <v>0</v>
      </c>
      <c r="O646" s="8" t="str">
        <f t="shared" si="39"/>
        <v/>
      </c>
    </row>
    <row r="647" spans="11:15" ht="17" customHeight="1">
      <c r="K647" s="1">
        <f t="shared" si="36"/>
        <v>0</v>
      </c>
      <c r="L647" s="6"/>
      <c r="M647" s="6">
        <f t="shared" si="37"/>
        <v>0</v>
      </c>
      <c r="N647" s="6">
        <f t="shared" si="38"/>
        <v>0</v>
      </c>
      <c r="O647" s="8" t="str">
        <f t="shared" si="39"/>
        <v/>
      </c>
    </row>
    <row r="648" spans="11:15" ht="17" customHeight="1">
      <c r="K648" s="1">
        <f t="shared" si="36"/>
        <v>0</v>
      </c>
      <c r="L648" s="6"/>
      <c r="M648" s="6">
        <f t="shared" si="37"/>
        <v>0</v>
      </c>
      <c r="N648" s="6">
        <f t="shared" si="38"/>
        <v>0</v>
      </c>
      <c r="O648" s="8" t="str">
        <f t="shared" si="39"/>
        <v/>
      </c>
    </row>
    <row r="649" spans="11:15" ht="17" customHeight="1">
      <c r="K649" s="1">
        <f t="shared" si="36"/>
        <v>0</v>
      </c>
      <c r="L649" s="6"/>
      <c r="M649" s="6">
        <f t="shared" si="37"/>
        <v>0</v>
      </c>
      <c r="N649" s="6">
        <f t="shared" si="38"/>
        <v>0</v>
      </c>
      <c r="O649" s="8" t="str">
        <f t="shared" si="39"/>
        <v/>
      </c>
    </row>
    <row r="650" spans="11:15" ht="17" customHeight="1">
      <c r="K650" s="1">
        <f t="shared" si="36"/>
        <v>0</v>
      </c>
      <c r="L650" s="6"/>
      <c r="M650" s="6">
        <f t="shared" si="37"/>
        <v>0</v>
      </c>
      <c r="N650" s="6">
        <f t="shared" si="38"/>
        <v>0</v>
      </c>
      <c r="O650" s="8" t="str">
        <f t="shared" si="39"/>
        <v/>
      </c>
    </row>
    <row r="651" spans="11:15" ht="17" customHeight="1">
      <c r="K651" s="1">
        <f t="shared" si="36"/>
        <v>0</v>
      </c>
      <c r="L651" s="6"/>
      <c r="M651" s="6">
        <f t="shared" si="37"/>
        <v>0</v>
      </c>
      <c r="N651" s="6">
        <f t="shared" si="38"/>
        <v>0</v>
      </c>
      <c r="O651" s="8" t="str">
        <f t="shared" si="39"/>
        <v/>
      </c>
    </row>
    <row r="652" spans="11:15" ht="17" customHeight="1">
      <c r="K652" s="1">
        <f t="shared" si="36"/>
        <v>0</v>
      </c>
      <c r="L652" s="6"/>
      <c r="M652" s="6">
        <f t="shared" si="37"/>
        <v>0</v>
      </c>
      <c r="N652" s="6">
        <f t="shared" si="38"/>
        <v>0</v>
      </c>
      <c r="O652" s="8" t="str">
        <f t="shared" si="39"/>
        <v/>
      </c>
    </row>
    <row r="653" spans="11:15" ht="17" customHeight="1">
      <c r="K653" s="1">
        <f t="shared" si="36"/>
        <v>0</v>
      </c>
      <c r="L653" s="6"/>
      <c r="M653" s="6">
        <f t="shared" si="37"/>
        <v>0</v>
      </c>
      <c r="N653" s="6">
        <f t="shared" si="38"/>
        <v>0</v>
      </c>
      <c r="O653" s="8" t="str">
        <f t="shared" si="39"/>
        <v/>
      </c>
    </row>
    <row r="654" spans="11:15" ht="17" customHeight="1">
      <c r="K654" s="1">
        <f t="shared" si="36"/>
        <v>0</v>
      </c>
      <c r="L654" s="6"/>
      <c r="M654" s="6">
        <f t="shared" si="37"/>
        <v>0</v>
      </c>
      <c r="N654" s="6">
        <f t="shared" si="38"/>
        <v>0</v>
      </c>
      <c r="O654" s="8" t="str">
        <f t="shared" si="39"/>
        <v/>
      </c>
    </row>
    <row r="655" spans="11:15" ht="17" customHeight="1">
      <c r="K655" s="1">
        <f t="shared" si="36"/>
        <v>0</v>
      </c>
      <c r="L655" s="6"/>
      <c r="M655" s="6">
        <f t="shared" si="37"/>
        <v>0</v>
      </c>
      <c r="N655" s="6">
        <f t="shared" si="38"/>
        <v>0</v>
      </c>
      <c r="O655" s="8" t="str">
        <f t="shared" si="39"/>
        <v/>
      </c>
    </row>
    <row r="656" spans="11:15" ht="17" customHeight="1">
      <c r="K656" s="1">
        <f t="shared" si="36"/>
        <v>0</v>
      </c>
      <c r="L656" s="6"/>
      <c r="M656" s="6">
        <f t="shared" si="37"/>
        <v>0</v>
      </c>
      <c r="N656" s="6">
        <f t="shared" si="38"/>
        <v>0</v>
      </c>
      <c r="O656" s="8" t="str">
        <f t="shared" si="39"/>
        <v/>
      </c>
    </row>
    <row r="657" spans="11:15" ht="17" customHeight="1">
      <c r="K657" s="1">
        <f t="shared" si="36"/>
        <v>0</v>
      </c>
      <c r="L657" s="6"/>
      <c r="M657" s="6">
        <f t="shared" si="37"/>
        <v>0</v>
      </c>
      <c r="N657" s="6">
        <f t="shared" si="38"/>
        <v>0</v>
      </c>
      <c r="O657" s="8" t="str">
        <f t="shared" si="39"/>
        <v/>
      </c>
    </row>
    <row r="658" spans="11:15" ht="17" customHeight="1">
      <c r="K658" s="1">
        <f t="shared" si="36"/>
        <v>0</v>
      </c>
      <c r="L658" s="6"/>
      <c r="M658" s="6">
        <f t="shared" si="37"/>
        <v>0</v>
      </c>
      <c r="N658" s="6">
        <f t="shared" si="38"/>
        <v>0</v>
      </c>
      <c r="O658" s="8" t="str">
        <f t="shared" si="39"/>
        <v/>
      </c>
    </row>
    <row r="659" spans="11:15" ht="17" customHeight="1">
      <c r="K659" s="1">
        <f t="shared" si="36"/>
        <v>0</v>
      </c>
      <c r="L659" s="6"/>
      <c r="M659" s="6">
        <f t="shared" si="37"/>
        <v>0</v>
      </c>
      <c r="N659" s="6">
        <f t="shared" si="38"/>
        <v>0</v>
      </c>
      <c r="O659" s="8" t="str">
        <f t="shared" si="39"/>
        <v/>
      </c>
    </row>
    <row r="660" spans="11:15" ht="17" customHeight="1">
      <c r="K660" s="1">
        <f t="shared" si="36"/>
        <v>0</v>
      </c>
      <c r="L660" s="6"/>
      <c r="M660" s="6">
        <f t="shared" si="37"/>
        <v>0</v>
      </c>
      <c r="N660" s="6">
        <f t="shared" si="38"/>
        <v>0</v>
      </c>
      <c r="O660" s="8" t="str">
        <f t="shared" si="39"/>
        <v/>
      </c>
    </row>
    <row r="661" spans="11:15" ht="17" customHeight="1">
      <c r="K661" s="1">
        <f t="shared" si="36"/>
        <v>0</v>
      </c>
      <c r="L661" s="6"/>
      <c r="M661" s="6">
        <f t="shared" si="37"/>
        <v>0</v>
      </c>
      <c r="N661" s="6">
        <f t="shared" si="38"/>
        <v>0</v>
      </c>
      <c r="O661" s="8" t="str">
        <f t="shared" si="39"/>
        <v/>
      </c>
    </row>
    <row r="662" spans="11:15" ht="17" customHeight="1">
      <c r="K662" s="1">
        <f t="shared" si="36"/>
        <v>0</v>
      </c>
      <c r="L662" s="6"/>
      <c r="M662" s="6">
        <f t="shared" si="37"/>
        <v>0</v>
      </c>
      <c r="N662" s="6">
        <f t="shared" si="38"/>
        <v>0</v>
      </c>
      <c r="O662" s="8" t="str">
        <f t="shared" si="39"/>
        <v/>
      </c>
    </row>
    <row r="663" spans="11:15" ht="17" customHeight="1">
      <c r="K663" s="1">
        <f t="shared" si="36"/>
        <v>0</v>
      </c>
      <c r="L663" s="6"/>
      <c r="M663" s="6">
        <f t="shared" si="37"/>
        <v>0</v>
      </c>
      <c r="N663" s="6">
        <f t="shared" si="38"/>
        <v>0</v>
      </c>
      <c r="O663" s="8" t="str">
        <f t="shared" si="39"/>
        <v/>
      </c>
    </row>
    <row r="664" spans="11:15" ht="17" customHeight="1">
      <c r="K664" s="1">
        <f t="shared" si="36"/>
        <v>0</v>
      </c>
      <c r="L664" s="6"/>
      <c r="M664" s="6">
        <f t="shared" si="37"/>
        <v>0</v>
      </c>
      <c r="N664" s="6">
        <f t="shared" si="38"/>
        <v>0</v>
      </c>
      <c r="O664" s="8" t="str">
        <f t="shared" si="39"/>
        <v/>
      </c>
    </row>
    <row r="665" spans="11:15" ht="17" customHeight="1">
      <c r="K665" s="1">
        <f t="shared" si="36"/>
        <v>0</v>
      </c>
      <c r="L665" s="6"/>
      <c r="M665" s="6">
        <f t="shared" si="37"/>
        <v>0</v>
      </c>
      <c r="N665" s="6">
        <f t="shared" si="38"/>
        <v>0</v>
      </c>
      <c r="O665" s="8" t="str">
        <f t="shared" si="39"/>
        <v/>
      </c>
    </row>
    <row r="666" spans="11:15" ht="17" customHeight="1">
      <c r="K666" s="1">
        <f t="shared" si="36"/>
        <v>0</v>
      </c>
      <c r="L666" s="6"/>
      <c r="M666" s="6">
        <f t="shared" si="37"/>
        <v>0</v>
      </c>
      <c r="N666" s="6">
        <f t="shared" si="38"/>
        <v>0</v>
      </c>
      <c r="O666" s="8" t="str">
        <f t="shared" si="39"/>
        <v/>
      </c>
    </row>
    <row r="667" spans="11:15" ht="17" customHeight="1">
      <c r="K667" s="1">
        <f t="shared" si="36"/>
        <v>0</v>
      </c>
      <c r="L667" s="6"/>
      <c r="M667" s="6">
        <f t="shared" si="37"/>
        <v>0</v>
      </c>
      <c r="N667" s="6">
        <f t="shared" si="38"/>
        <v>0</v>
      </c>
      <c r="O667" s="8" t="str">
        <f t="shared" si="39"/>
        <v/>
      </c>
    </row>
    <row r="668" spans="11:15" ht="17" customHeight="1">
      <c r="K668" s="1">
        <f t="shared" si="36"/>
        <v>0</v>
      </c>
      <c r="L668" s="6"/>
      <c r="M668" s="6">
        <f t="shared" si="37"/>
        <v>0</v>
      </c>
      <c r="N668" s="6">
        <f t="shared" si="38"/>
        <v>0</v>
      </c>
      <c r="O668" s="8" t="str">
        <f t="shared" si="39"/>
        <v/>
      </c>
    </row>
    <row r="669" spans="11:15" ht="17" customHeight="1">
      <c r="K669" s="1">
        <f t="shared" si="36"/>
        <v>0</v>
      </c>
      <c r="L669" s="6"/>
      <c r="M669" s="6">
        <f t="shared" si="37"/>
        <v>0</v>
      </c>
      <c r="N669" s="6">
        <f t="shared" si="38"/>
        <v>0</v>
      </c>
      <c r="O669" s="8" t="str">
        <f t="shared" si="39"/>
        <v/>
      </c>
    </row>
    <row r="670" spans="11:15" ht="17" customHeight="1">
      <c r="K670" s="1">
        <f t="shared" si="36"/>
        <v>0</v>
      </c>
      <c r="L670" s="6"/>
      <c r="M670" s="6">
        <f t="shared" si="37"/>
        <v>0</v>
      </c>
      <c r="N670" s="6">
        <f t="shared" si="38"/>
        <v>0</v>
      </c>
      <c r="O670" s="8" t="str">
        <f t="shared" si="39"/>
        <v/>
      </c>
    </row>
    <row r="671" spans="11:15" ht="17" customHeight="1">
      <c r="K671" s="1">
        <f t="shared" si="36"/>
        <v>0</v>
      </c>
      <c r="L671" s="6"/>
      <c r="M671" s="6">
        <f t="shared" si="37"/>
        <v>0</v>
      </c>
      <c r="N671" s="6">
        <f t="shared" si="38"/>
        <v>0</v>
      </c>
      <c r="O671" s="8" t="str">
        <f t="shared" si="39"/>
        <v/>
      </c>
    </row>
    <row r="672" spans="11:15" ht="17" customHeight="1">
      <c r="K672" s="1">
        <f t="shared" ref="K672:K735" si="40">SUM(I672*0.15)</f>
        <v>0</v>
      </c>
      <c r="L672" s="6"/>
      <c r="M672" s="6">
        <f t="shared" ref="M672:M735" si="41">SUM(H672*L672)</f>
        <v>0</v>
      </c>
      <c r="N672" s="6">
        <f t="shared" ref="N672:N735" si="42">SUM(I672-K672-M672)</f>
        <v>0</v>
      </c>
      <c r="O672" s="8" t="str">
        <f t="shared" ref="O672:O735" si="43">IF(I672=0,"",N672/I672)</f>
        <v/>
      </c>
    </row>
    <row r="673" spans="11:15" ht="17" customHeight="1">
      <c r="K673" s="1">
        <f t="shared" si="40"/>
        <v>0</v>
      </c>
      <c r="L673" s="6"/>
      <c r="M673" s="6">
        <f t="shared" si="41"/>
        <v>0</v>
      </c>
      <c r="N673" s="6">
        <f t="shared" si="42"/>
        <v>0</v>
      </c>
      <c r="O673" s="8" t="str">
        <f t="shared" si="43"/>
        <v/>
      </c>
    </row>
    <row r="674" spans="11:15" ht="17" customHeight="1">
      <c r="K674" s="1">
        <f t="shared" si="40"/>
        <v>0</v>
      </c>
      <c r="L674" s="6"/>
      <c r="M674" s="6">
        <f t="shared" si="41"/>
        <v>0</v>
      </c>
      <c r="N674" s="6">
        <f t="shared" si="42"/>
        <v>0</v>
      </c>
      <c r="O674" s="8" t="str">
        <f t="shared" si="43"/>
        <v/>
      </c>
    </row>
    <row r="675" spans="11:15" ht="17" customHeight="1">
      <c r="K675" s="1">
        <f t="shared" si="40"/>
        <v>0</v>
      </c>
      <c r="L675" s="6"/>
      <c r="M675" s="6">
        <f t="shared" si="41"/>
        <v>0</v>
      </c>
      <c r="N675" s="6">
        <f t="shared" si="42"/>
        <v>0</v>
      </c>
      <c r="O675" s="8" t="str">
        <f t="shared" si="43"/>
        <v/>
      </c>
    </row>
    <row r="676" spans="11:15" ht="17" customHeight="1">
      <c r="K676" s="1">
        <f t="shared" si="40"/>
        <v>0</v>
      </c>
      <c r="L676" s="6"/>
      <c r="M676" s="6">
        <f t="shared" si="41"/>
        <v>0</v>
      </c>
      <c r="N676" s="6">
        <f t="shared" si="42"/>
        <v>0</v>
      </c>
      <c r="O676" s="8" t="str">
        <f t="shared" si="43"/>
        <v/>
      </c>
    </row>
    <row r="677" spans="11:15" ht="17" customHeight="1">
      <c r="K677" s="1">
        <f t="shared" si="40"/>
        <v>0</v>
      </c>
      <c r="L677" s="6"/>
      <c r="M677" s="6">
        <f t="shared" si="41"/>
        <v>0</v>
      </c>
      <c r="N677" s="6">
        <f t="shared" si="42"/>
        <v>0</v>
      </c>
      <c r="O677" s="8" t="str">
        <f t="shared" si="43"/>
        <v/>
      </c>
    </row>
    <row r="678" spans="11:15" ht="17" customHeight="1">
      <c r="K678" s="1">
        <f t="shared" si="40"/>
        <v>0</v>
      </c>
      <c r="L678" s="6"/>
      <c r="M678" s="6">
        <f t="shared" si="41"/>
        <v>0</v>
      </c>
      <c r="N678" s="6">
        <f t="shared" si="42"/>
        <v>0</v>
      </c>
      <c r="O678" s="8" t="str">
        <f t="shared" si="43"/>
        <v/>
      </c>
    </row>
    <row r="679" spans="11:15" ht="17" customHeight="1">
      <c r="K679" s="1">
        <f t="shared" si="40"/>
        <v>0</v>
      </c>
      <c r="L679" s="6"/>
      <c r="M679" s="6">
        <f t="shared" si="41"/>
        <v>0</v>
      </c>
      <c r="N679" s="6">
        <f t="shared" si="42"/>
        <v>0</v>
      </c>
      <c r="O679" s="8" t="str">
        <f t="shared" si="43"/>
        <v/>
      </c>
    </row>
    <row r="680" spans="11:15" ht="17" customHeight="1">
      <c r="K680" s="1">
        <f t="shared" si="40"/>
        <v>0</v>
      </c>
      <c r="L680" s="6"/>
      <c r="M680" s="6">
        <f t="shared" si="41"/>
        <v>0</v>
      </c>
      <c r="N680" s="6">
        <f t="shared" si="42"/>
        <v>0</v>
      </c>
      <c r="O680" s="8" t="str">
        <f t="shared" si="43"/>
        <v/>
      </c>
    </row>
    <row r="681" spans="11:15" ht="17" customHeight="1">
      <c r="K681" s="1">
        <f t="shared" si="40"/>
        <v>0</v>
      </c>
      <c r="L681" s="6"/>
      <c r="M681" s="6">
        <f t="shared" si="41"/>
        <v>0</v>
      </c>
      <c r="N681" s="6">
        <f t="shared" si="42"/>
        <v>0</v>
      </c>
      <c r="O681" s="8" t="str">
        <f t="shared" si="43"/>
        <v/>
      </c>
    </row>
    <row r="682" spans="11:15" ht="17" customHeight="1">
      <c r="K682" s="1">
        <f t="shared" si="40"/>
        <v>0</v>
      </c>
      <c r="L682" s="6"/>
      <c r="M682" s="6">
        <f t="shared" si="41"/>
        <v>0</v>
      </c>
      <c r="N682" s="6">
        <f t="shared" si="42"/>
        <v>0</v>
      </c>
      <c r="O682" s="8" t="str">
        <f t="shared" si="43"/>
        <v/>
      </c>
    </row>
    <row r="683" spans="11:15" ht="17" customHeight="1">
      <c r="K683" s="1">
        <f t="shared" si="40"/>
        <v>0</v>
      </c>
      <c r="L683" s="6"/>
      <c r="M683" s="6">
        <f t="shared" si="41"/>
        <v>0</v>
      </c>
      <c r="N683" s="6">
        <f t="shared" si="42"/>
        <v>0</v>
      </c>
      <c r="O683" s="8" t="str">
        <f t="shared" si="43"/>
        <v/>
      </c>
    </row>
    <row r="684" spans="11:15" ht="17" customHeight="1">
      <c r="K684" s="1">
        <f t="shared" si="40"/>
        <v>0</v>
      </c>
      <c r="L684" s="6"/>
      <c r="M684" s="6">
        <f t="shared" si="41"/>
        <v>0</v>
      </c>
      <c r="N684" s="6">
        <f t="shared" si="42"/>
        <v>0</v>
      </c>
      <c r="O684" s="8" t="str">
        <f t="shared" si="43"/>
        <v/>
      </c>
    </row>
    <row r="685" spans="11:15" ht="17" customHeight="1">
      <c r="K685" s="1">
        <f t="shared" si="40"/>
        <v>0</v>
      </c>
      <c r="L685" s="6"/>
      <c r="M685" s="6">
        <f t="shared" si="41"/>
        <v>0</v>
      </c>
      <c r="N685" s="6">
        <f t="shared" si="42"/>
        <v>0</v>
      </c>
      <c r="O685" s="8" t="str">
        <f t="shared" si="43"/>
        <v/>
      </c>
    </row>
    <row r="686" spans="11:15" ht="17" customHeight="1">
      <c r="K686" s="1">
        <f t="shared" si="40"/>
        <v>0</v>
      </c>
      <c r="L686" s="6"/>
      <c r="M686" s="6">
        <f t="shared" si="41"/>
        <v>0</v>
      </c>
      <c r="N686" s="6">
        <f t="shared" si="42"/>
        <v>0</v>
      </c>
      <c r="O686" s="8" t="str">
        <f t="shared" si="43"/>
        <v/>
      </c>
    </row>
    <row r="687" spans="11:15" ht="17" customHeight="1">
      <c r="K687" s="1">
        <f t="shared" si="40"/>
        <v>0</v>
      </c>
      <c r="L687" s="6"/>
      <c r="M687" s="6">
        <f t="shared" si="41"/>
        <v>0</v>
      </c>
      <c r="N687" s="6">
        <f t="shared" si="42"/>
        <v>0</v>
      </c>
      <c r="O687" s="8" t="str">
        <f t="shared" si="43"/>
        <v/>
      </c>
    </row>
    <row r="688" spans="11:15" ht="17" customHeight="1">
      <c r="K688" s="1">
        <f t="shared" si="40"/>
        <v>0</v>
      </c>
      <c r="L688" s="6"/>
      <c r="M688" s="6">
        <f t="shared" si="41"/>
        <v>0</v>
      </c>
      <c r="N688" s="6">
        <f t="shared" si="42"/>
        <v>0</v>
      </c>
      <c r="O688" s="8" t="str">
        <f t="shared" si="43"/>
        <v/>
      </c>
    </row>
    <row r="689" spans="11:15" ht="17" customHeight="1">
      <c r="K689" s="1">
        <f t="shared" si="40"/>
        <v>0</v>
      </c>
      <c r="L689" s="6"/>
      <c r="M689" s="6">
        <f t="shared" si="41"/>
        <v>0</v>
      </c>
      <c r="N689" s="6">
        <f t="shared" si="42"/>
        <v>0</v>
      </c>
      <c r="O689" s="8" t="str">
        <f t="shared" si="43"/>
        <v/>
      </c>
    </row>
    <row r="690" spans="11:15" ht="17" customHeight="1">
      <c r="K690" s="1">
        <f t="shared" si="40"/>
        <v>0</v>
      </c>
      <c r="L690" s="6"/>
      <c r="M690" s="6">
        <f t="shared" si="41"/>
        <v>0</v>
      </c>
      <c r="N690" s="6">
        <f t="shared" si="42"/>
        <v>0</v>
      </c>
      <c r="O690" s="8" t="str">
        <f t="shared" si="43"/>
        <v/>
      </c>
    </row>
    <row r="691" spans="11:15" ht="17" customHeight="1">
      <c r="K691" s="1">
        <f t="shared" si="40"/>
        <v>0</v>
      </c>
      <c r="L691" s="6"/>
      <c r="M691" s="6">
        <f t="shared" si="41"/>
        <v>0</v>
      </c>
      <c r="N691" s="6">
        <f t="shared" si="42"/>
        <v>0</v>
      </c>
      <c r="O691" s="8" t="str">
        <f t="shared" si="43"/>
        <v/>
      </c>
    </row>
    <row r="692" spans="11:15" ht="17" customHeight="1">
      <c r="K692" s="1">
        <f t="shared" si="40"/>
        <v>0</v>
      </c>
      <c r="L692" s="6"/>
      <c r="M692" s="6">
        <f t="shared" si="41"/>
        <v>0</v>
      </c>
      <c r="N692" s="6">
        <f t="shared" si="42"/>
        <v>0</v>
      </c>
      <c r="O692" s="8" t="str">
        <f t="shared" si="43"/>
        <v/>
      </c>
    </row>
    <row r="693" spans="11:15" ht="17" customHeight="1">
      <c r="K693" s="1">
        <f t="shared" si="40"/>
        <v>0</v>
      </c>
      <c r="L693" s="6"/>
      <c r="M693" s="6">
        <f t="shared" si="41"/>
        <v>0</v>
      </c>
      <c r="N693" s="6">
        <f t="shared" si="42"/>
        <v>0</v>
      </c>
      <c r="O693" s="8" t="str">
        <f t="shared" si="43"/>
        <v/>
      </c>
    </row>
    <row r="694" spans="11:15" ht="17" customHeight="1">
      <c r="K694" s="1">
        <f t="shared" si="40"/>
        <v>0</v>
      </c>
      <c r="L694" s="6"/>
      <c r="M694" s="6">
        <f t="shared" si="41"/>
        <v>0</v>
      </c>
      <c r="N694" s="6">
        <f t="shared" si="42"/>
        <v>0</v>
      </c>
      <c r="O694" s="8" t="str">
        <f t="shared" si="43"/>
        <v/>
      </c>
    </row>
    <row r="695" spans="11:15" ht="17" customHeight="1">
      <c r="K695" s="1">
        <f t="shared" si="40"/>
        <v>0</v>
      </c>
      <c r="L695" s="6"/>
      <c r="M695" s="6">
        <f t="shared" si="41"/>
        <v>0</v>
      </c>
      <c r="N695" s="6">
        <f t="shared" si="42"/>
        <v>0</v>
      </c>
      <c r="O695" s="8" t="str">
        <f t="shared" si="43"/>
        <v/>
      </c>
    </row>
    <row r="696" spans="11:15" ht="17" customHeight="1">
      <c r="K696" s="1">
        <f t="shared" si="40"/>
        <v>0</v>
      </c>
      <c r="L696" s="6"/>
      <c r="M696" s="6">
        <f t="shared" si="41"/>
        <v>0</v>
      </c>
      <c r="N696" s="6">
        <f t="shared" si="42"/>
        <v>0</v>
      </c>
      <c r="O696" s="8" t="str">
        <f t="shared" si="43"/>
        <v/>
      </c>
    </row>
    <row r="697" spans="11:15" ht="17" customHeight="1">
      <c r="K697" s="1">
        <f t="shared" si="40"/>
        <v>0</v>
      </c>
      <c r="L697" s="6"/>
      <c r="M697" s="6">
        <f t="shared" si="41"/>
        <v>0</v>
      </c>
      <c r="N697" s="6">
        <f t="shared" si="42"/>
        <v>0</v>
      </c>
      <c r="O697" s="8" t="str">
        <f t="shared" si="43"/>
        <v/>
      </c>
    </row>
    <row r="698" spans="11:15" ht="17" customHeight="1">
      <c r="K698" s="1">
        <f t="shared" si="40"/>
        <v>0</v>
      </c>
      <c r="L698" s="6"/>
      <c r="M698" s="6">
        <f t="shared" si="41"/>
        <v>0</v>
      </c>
      <c r="N698" s="6">
        <f t="shared" si="42"/>
        <v>0</v>
      </c>
      <c r="O698" s="8" t="str">
        <f t="shared" si="43"/>
        <v/>
      </c>
    </row>
    <row r="699" spans="11:15" ht="17" customHeight="1">
      <c r="K699" s="1">
        <f t="shared" si="40"/>
        <v>0</v>
      </c>
      <c r="L699" s="6"/>
      <c r="M699" s="6">
        <f t="shared" si="41"/>
        <v>0</v>
      </c>
      <c r="N699" s="6">
        <f t="shared" si="42"/>
        <v>0</v>
      </c>
      <c r="O699" s="8" t="str">
        <f t="shared" si="43"/>
        <v/>
      </c>
    </row>
    <row r="700" spans="11:15" ht="17" customHeight="1">
      <c r="K700" s="1">
        <f t="shared" si="40"/>
        <v>0</v>
      </c>
      <c r="L700" s="6"/>
      <c r="M700" s="6">
        <f t="shared" si="41"/>
        <v>0</v>
      </c>
      <c r="N700" s="6">
        <f t="shared" si="42"/>
        <v>0</v>
      </c>
      <c r="O700" s="8" t="str">
        <f t="shared" si="43"/>
        <v/>
      </c>
    </row>
    <row r="701" spans="11:15" ht="17" customHeight="1">
      <c r="K701" s="1">
        <f t="shared" si="40"/>
        <v>0</v>
      </c>
      <c r="L701" s="6"/>
      <c r="M701" s="6">
        <f t="shared" si="41"/>
        <v>0</v>
      </c>
      <c r="N701" s="6">
        <f t="shared" si="42"/>
        <v>0</v>
      </c>
      <c r="O701" s="8" t="str">
        <f t="shared" si="43"/>
        <v/>
      </c>
    </row>
    <row r="702" spans="11:15" ht="17" customHeight="1">
      <c r="K702" s="1">
        <f t="shared" si="40"/>
        <v>0</v>
      </c>
      <c r="L702" s="6"/>
      <c r="M702" s="6">
        <f t="shared" si="41"/>
        <v>0</v>
      </c>
      <c r="N702" s="6">
        <f t="shared" si="42"/>
        <v>0</v>
      </c>
      <c r="O702" s="8" t="str">
        <f t="shared" si="43"/>
        <v/>
      </c>
    </row>
    <row r="703" spans="11:15" ht="17" customHeight="1">
      <c r="K703" s="1">
        <f t="shared" si="40"/>
        <v>0</v>
      </c>
      <c r="L703" s="6"/>
      <c r="M703" s="6">
        <f t="shared" si="41"/>
        <v>0</v>
      </c>
      <c r="N703" s="6">
        <f t="shared" si="42"/>
        <v>0</v>
      </c>
      <c r="O703" s="8" t="str">
        <f t="shared" si="43"/>
        <v/>
      </c>
    </row>
    <row r="704" spans="11:15" ht="17" customHeight="1">
      <c r="K704" s="1">
        <f t="shared" si="40"/>
        <v>0</v>
      </c>
      <c r="L704" s="6"/>
      <c r="M704" s="6">
        <f t="shared" si="41"/>
        <v>0</v>
      </c>
      <c r="N704" s="6">
        <f t="shared" si="42"/>
        <v>0</v>
      </c>
      <c r="O704" s="8" t="str">
        <f t="shared" si="43"/>
        <v/>
      </c>
    </row>
    <row r="705" spans="11:15" ht="17" customHeight="1">
      <c r="K705" s="1">
        <f t="shared" si="40"/>
        <v>0</v>
      </c>
      <c r="L705" s="6"/>
      <c r="M705" s="6">
        <f t="shared" si="41"/>
        <v>0</v>
      </c>
      <c r="N705" s="6">
        <f t="shared" si="42"/>
        <v>0</v>
      </c>
      <c r="O705" s="8" t="str">
        <f t="shared" si="43"/>
        <v/>
      </c>
    </row>
    <row r="706" spans="11:15" ht="17" customHeight="1">
      <c r="K706" s="1">
        <f t="shared" si="40"/>
        <v>0</v>
      </c>
      <c r="L706" s="6"/>
      <c r="M706" s="6">
        <f t="shared" si="41"/>
        <v>0</v>
      </c>
      <c r="N706" s="6">
        <f t="shared" si="42"/>
        <v>0</v>
      </c>
      <c r="O706" s="8" t="str">
        <f t="shared" si="43"/>
        <v/>
      </c>
    </row>
    <row r="707" spans="11:15" ht="17" customHeight="1">
      <c r="K707" s="1">
        <f t="shared" si="40"/>
        <v>0</v>
      </c>
      <c r="L707" s="6"/>
      <c r="M707" s="6">
        <f t="shared" si="41"/>
        <v>0</v>
      </c>
      <c r="N707" s="6">
        <f t="shared" si="42"/>
        <v>0</v>
      </c>
      <c r="O707" s="8" t="str">
        <f t="shared" si="43"/>
        <v/>
      </c>
    </row>
    <row r="708" spans="11:15" ht="17" customHeight="1">
      <c r="K708" s="1">
        <f t="shared" si="40"/>
        <v>0</v>
      </c>
      <c r="L708" s="6"/>
      <c r="M708" s="6">
        <f t="shared" si="41"/>
        <v>0</v>
      </c>
      <c r="N708" s="6">
        <f t="shared" si="42"/>
        <v>0</v>
      </c>
      <c r="O708" s="8" t="str">
        <f t="shared" si="43"/>
        <v/>
      </c>
    </row>
    <row r="709" spans="11:15" ht="17" customHeight="1">
      <c r="K709" s="1">
        <f t="shared" si="40"/>
        <v>0</v>
      </c>
      <c r="L709" s="6"/>
      <c r="M709" s="6">
        <f t="shared" si="41"/>
        <v>0</v>
      </c>
      <c r="N709" s="6">
        <f t="shared" si="42"/>
        <v>0</v>
      </c>
      <c r="O709" s="8" t="str">
        <f t="shared" si="43"/>
        <v/>
      </c>
    </row>
    <row r="710" spans="11:15" ht="17" customHeight="1">
      <c r="K710" s="1">
        <f t="shared" si="40"/>
        <v>0</v>
      </c>
      <c r="L710" s="6"/>
      <c r="M710" s="6">
        <f t="shared" si="41"/>
        <v>0</v>
      </c>
      <c r="N710" s="6">
        <f t="shared" si="42"/>
        <v>0</v>
      </c>
      <c r="O710" s="8" t="str">
        <f t="shared" si="43"/>
        <v/>
      </c>
    </row>
    <row r="711" spans="11:15" ht="17" customHeight="1">
      <c r="K711" s="1">
        <f t="shared" si="40"/>
        <v>0</v>
      </c>
      <c r="L711" s="6"/>
      <c r="M711" s="6">
        <f t="shared" si="41"/>
        <v>0</v>
      </c>
      <c r="N711" s="6">
        <f t="shared" si="42"/>
        <v>0</v>
      </c>
      <c r="O711" s="8" t="str">
        <f t="shared" si="43"/>
        <v/>
      </c>
    </row>
    <row r="712" spans="11:15" ht="17" customHeight="1">
      <c r="K712" s="1">
        <f t="shared" si="40"/>
        <v>0</v>
      </c>
      <c r="L712" s="6"/>
      <c r="M712" s="6">
        <f t="shared" si="41"/>
        <v>0</v>
      </c>
      <c r="N712" s="6">
        <f t="shared" si="42"/>
        <v>0</v>
      </c>
      <c r="O712" s="8" t="str">
        <f t="shared" si="43"/>
        <v/>
      </c>
    </row>
    <row r="713" spans="11:15" ht="17" customHeight="1">
      <c r="K713" s="1">
        <f t="shared" si="40"/>
        <v>0</v>
      </c>
      <c r="L713" s="6"/>
      <c r="M713" s="6">
        <f t="shared" si="41"/>
        <v>0</v>
      </c>
      <c r="N713" s="6">
        <f t="shared" si="42"/>
        <v>0</v>
      </c>
      <c r="O713" s="8" t="str">
        <f t="shared" si="43"/>
        <v/>
      </c>
    </row>
    <row r="714" spans="11:15" ht="17" customHeight="1">
      <c r="K714" s="1">
        <f t="shared" si="40"/>
        <v>0</v>
      </c>
      <c r="L714" s="6"/>
      <c r="M714" s="6">
        <f t="shared" si="41"/>
        <v>0</v>
      </c>
      <c r="N714" s="6">
        <f t="shared" si="42"/>
        <v>0</v>
      </c>
      <c r="O714" s="8" t="str">
        <f t="shared" si="43"/>
        <v/>
      </c>
    </row>
    <row r="715" spans="11:15" ht="17" customHeight="1">
      <c r="K715" s="1">
        <f t="shared" si="40"/>
        <v>0</v>
      </c>
      <c r="L715" s="6"/>
      <c r="M715" s="6">
        <f t="shared" si="41"/>
        <v>0</v>
      </c>
      <c r="N715" s="6">
        <f t="shared" si="42"/>
        <v>0</v>
      </c>
      <c r="O715" s="8" t="str">
        <f t="shared" si="43"/>
        <v/>
      </c>
    </row>
    <row r="716" spans="11:15" ht="17" customHeight="1">
      <c r="K716" s="1">
        <f t="shared" si="40"/>
        <v>0</v>
      </c>
      <c r="L716" s="6"/>
      <c r="M716" s="6">
        <f t="shared" si="41"/>
        <v>0</v>
      </c>
      <c r="N716" s="6">
        <f t="shared" si="42"/>
        <v>0</v>
      </c>
      <c r="O716" s="8" t="str">
        <f t="shared" si="43"/>
        <v/>
      </c>
    </row>
    <row r="717" spans="11:15" ht="17" customHeight="1">
      <c r="K717" s="1">
        <f t="shared" si="40"/>
        <v>0</v>
      </c>
      <c r="L717" s="6"/>
      <c r="M717" s="6">
        <f t="shared" si="41"/>
        <v>0</v>
      </c>
      <c r="N717" s="6">
        <f t="shared" si="42"/>
        <v>0</v>
      </c>
      <c r="O717" s="8" t="str">
        <f t="shared" si="43"/>
        <v/>
      </c>
    </row>
    <row r="718" spans="11:15" ht="17" customHeight="1">
      <c r="K718" s="1">
        <f t="shared" si="40"/>
        <v>0</v>
      </c>
      <c r="L718" s="6"/>
      <c r="M718" s="6">
        <f t="shared" si="41"/>
        <v>0</v>
      </c>
      <c r="N718" s="6">
        <f t="shared" si="42"/>
        <v>0</v>
      </c>
      <c r="O718" s="8" t="str">
        <f t="shared" si="43"/>
        <v/>
      </c>
    </row>
    <row r="719" spans="11:15" ht="17" customHeight="1">
      <c r="K719" s="1">
        <f t="shared" si="40"/>
        <v>0</v>
      </c>
      <c r="L719" s="6"/>
      <c r="M719" s="6">
        <f t="shared" si="41"/>
        <v>0</v>
      </c>
      <c r="N719" s="6">
        <f t="shared" si="42"/>
        <v>0</v>
      </c>
      <c r="O719" s="8" t="str">
        <f t="shared" si="43"/>
        <v/>
      </c>
    </row>
    <row r="720" spans="11:15" ht="17" customHeight="1">
      <c r="K720" s="1">
        <f t="shared" si="40"/>
        <v>0</v>
      </c>
      <c r="L720" s="6"/>
      <c r="M720" s="6">
        <f t="shared" si="41"/>
        <v>0</v>
      </c>
      <c r="N720" s="6">
        <f t="shared" si="42"/>
        <v>0</v>
      </c>
      <c r="O720" s="8" t="str">
        <f t="shared" si="43"/>
        <v/>
      </c>
    </row>
    <row r="721" spans="11:15" ht="17" customHeight="1">
      <c r="K721" s="1">
        <f t="shared" si="40"/>
        <v>0</v>
      </c>
      <c r="L721" s="6"/>
      <c r="M721" s="6">
        <f t="shared" si="41"/>
        <v>0</v>
      </c>
      <c r="N721" s="6">
        <f t="shared" si="42"/>
        <v>0</v>
      </c>
      <c r="O721" s="8" t="str">
        <f t="shared" si="43"/>
        <v/>
      </c>
    </row>
    <row r="722" spans="11:15" ht="17" customHeight="1">
      <c r="K722" s="1">
        <f t="shared" si="40"/>
        <v>0</v>
      </c>
      <c r="L722" s="6"/>
      <c r="M722" s="6">
        <f t="shared" si="41"/>
        <v>0</v>
      </c>
      <c r="N722" s="6">
        <f t="shared" si="42"/>
        <v>0</v>
      </c>
      <c r="O722" s="8" t="str">
        <f t="shared" si="43"/>
        <v/>
      </c>
    </row>
    <row r="723" spans="11:15" ht="17" customHeight="1">
      <c r="K723" s="1">
        <f t="shared" si="40"/>
        <v>0</v>
      </c>
      <c r="L723" s="6"/>
      <c r="M723" s="6">
        <f t="shared" si="41"/>
        <v>0</v>
      </c>
      <c r="N723" s="6">
        <f t="shared" si="42"/>
        <v>0</v>
      </c>
      <c r="O723" s="8" t="str">
        <f t="shared" si="43"/>
        <v/>
      </c>
    </row>
    <row r="724" spans="11:15" ht="17" customHeight="1">
      <c r="K724" s="1">
        <f t="shared" si="40"/>
        <v>0</v>
      </c>
      <c r="L724" s="6"/>
      <c r="M724" s="6">
        <f t="shared" si="41"/>
        <v>0</v>
      </c>
      <c r="N724" s="6">
        <f t="shared" si="42"/>
        <v>0</v>
      </c>
      <c r="O724" s="8" t="str">
        <f t="shared" si="43"/>
        <v/>
      </c>
    </row>
    <row r="725" spans="11:15" ht="17" customHeight="1">
      <c r="K725" s="1">
        <f t="shared" si="40"/>
        <v>0</v>
      </c>
      <c r="L725" s="6"/>
      <c r="M725" s="6">
        <f t="shared" si="41"/>
        <v>0</v>
      </c>
      <c r="N725" s="6">
        <f t="shared" si="42"/>
        <v>0</v>
      </c>
      <c r="O725" s="8" t="str">
        <f t="shared" si="43"/>
        <v/>
      </c>
    </row>
    <row r="726" spans="11:15" ht="17" customHeight="1">
      <c r="K726" s="1">
        <f t="shared" si="40"/>
        <v>0</v>
      </c>
      <c r="L726" s="6"/>
      <c r="M726" s="6">
        <f t="shared" si="41"/>
        <v>0</v>
      </c>
      <c r="N726" s="6">
        <f t="shared" si="42"/>
        <v>0</v>
      </c>
      <c r="O726" s="8" t="str">
        <f t="shared" si="43"/>
        <v/>
      </c>
    </row>
    <row r="727" spans="11:15" ht="17" customHeight="1">
      <c r="K727" s="1">
        <f t="shared" si="40"/>
        <v>0</v>
      </c>
      <c r="L727" s="6"/>
      <c r="M727" s="6">
        <f t="shared" si="41"/>
        <v>0</v>
      </c>
      <c r="N727" s="6">
        <f t="shared" si="42"/>
        <v>0</v>
      </c>
      <c r="O727" s="8" t="str">
        <f t="shared" si="43"/>
        <v/>
      </c>
    </row>
    <row r="728" spans="11:15" ht="17" customHeight="1">
      <c r="K728" s="1">
        <f t="shared" si="40"/>
        <v>0</v>
      </c>
      <c r="L728" s="6"/>
      <c r="M728" s="6">
        <f t="shared" si="41"/>
        <v>0</v>
      </c>
      <c r="N728" s="6">
        <f t="shared" si="42"/>
        <v>0</v>
      </c>
      <c r="O728" s="8" t="str">
        <f t="shared" si="43"/>
        <v/>
      </c>
    </row>
    <row r="729" spans="11:15" ht="17" customHeight="1">
      <c r="K729" s="1">
        <f t="shared" si="40"/>
        <v>0</v>
      </c>
      <c r="L729" s="6"/>
      <c r="M729" s="6">
        <f t="shared" si="41"/>
        <v>0</v>
      </c>
      <c r="N729" s="6">
        <f t="shared" si="42"/>
        <v>0</v>
      </c>
      <c r="O729" s="8" t="str">
        <f t="shared" si="43"/>
        <v/>
      </c>
    </row>
    <row r="730" spans="11:15" ht="17" customHeight="1">
      <c r="K730" s="1">
        <f t="shared" si="40"/>
        <v>0</v>
      </c>
      <c r="L730" s="6"/>
      <c r="M730" s="6">
        <f t="shared" si="41"/>
        <v>0</v>
      </c>
      <c r="N730" s="6">
        <f t="shared" si="42"/>
        <v>0</v>
      </c>
      <c r="O730" s="8" t="str">
        <f t="shared" si="43"/>
        <v/>
      </c>
    </row>
    <row r="731" spans="11:15" ht="17" customHeight="1">
      <c r="K731" s="1">
        <f t="shared" si="40"/>
        <v>0</v>
      </c>
      <c r="L731" s="6"/>
      <c r="M731" s="6">
        <f t="shared" si="41"/>
        <v>0</v>
      </c>
      <c r="N731" s="6">
        <f t="shared" si="42"/>
        <v>0</v>
      </c>
      <c r="O731" s="8" t="str">
        <f t="shared" si="43"/>
        <v/>
      </c>
    </row>
    <row r="732" spans="11:15" ht="17" customHeight="1">
      <c r="K732" s="1">
        <f t="shared" si="40"/>
        <v>0</v>
      </c>
      <c r="L732" s="6"/>
      <c r="M732" s="6">
        <f t="shared" si="41"/>
        <v>0</v>
      </c>
      <c r="N732" s="6">
        <f t="shared" si="42"/>
        <v>0</v>
      </c>
      <c r="O732" s="8" t="str">
        <f t="shared" si="43"/>
        <v/>
      </c>
    </row>
    <row r="733" spans="11:15" ht="17" customHeight="1">
      <c r="K733" s="1">
        <f t="shared" si="40"/>
        <v>0</v>
      </c>
      <c r="L733" s="6"/>
      <c r="M733" s="6">
        <f t="shared" si="41"/>
        <v>0</v>
      </c>
      <c r="N733" s="6">
        <f t="shared" si="42"/>
        <v>0</v>
      </c>
      <c r="O733" s="8" t="str">
        <f t="shared" si="43"/>
        <v/>
      </c>
    </row>
    <row r="734" spans="11:15" ht="17" customHeight="1">
      <c r="K734" s="1">
        <f t="shared" si="40"/>
        <v>0</v>
      </c>
      <c r="L734" s="6"/>
      <c r="M734" s="6">
        <f t="shared" si="41"/>
        <v>0</v>
      </c>
      <c r="N734" s="6">
        <f t="shared" si="42"/>
        <v>0</v>
      </c>
      <c r="O734" s="8" t="str">
        <f t="shared" si="43"/>
        <v/>
      </c>
    </row>
    <row r="735" spans="11:15" ht="17" customHeight="1">
      <c r="K735" s="1">
        <f t="shared" si="40"/>
        <v>0</v>
      </c>
      <c r="L735" s="6"/>
      <c r="M735" s="6">
        <f t="shared" si="41"/>
        <v>0</v>
      </c>
      <c r="N735" s="6">
        <f t="shared" si="42"/>
        <v>0</v>
      </c>
      <c r="O735" s="8" t="str">
        <f t="shared" si="43"/>
        <v/>
      </c>
    </row>
    <row r="736" spans="11:15" ht="17" customHeight="1">
      <c r="K736" s="1">
        <f t="shared" ref="K736:K799" si="44">SUM(I736*0.15)</f>
        <v>0</v>
      </c>
      <c r="L736" s="6"/>
      <c r="M736" s="6">
        <f t="shared" ref="M736:M799" si="45">SUM(H736*L736)</f>
        <v>0</v>
      </c>
      <c r="N736" s="6">
        <f t="shared" ref="N736:N799" si="46">SUM(I736-K736-M736)</f>
        <v>0</v>
      </c>
      <c r="O736" s="8" t="str">
        <f t="shared" ref="O736:O799" si="47">IF(I736=0,"",N736/I736)</f>
        <v/>
      </c>
    </row>
    <row r="737" spans="11:15" ht="17" customHeight="1">
      <c r="K737" s="1">
        <f t="shared" si="44"/>
        <v>0</v>
      </c>
      <c r="L737" s="6"/>
      <c r="M737" s="6">
        <f t="shared" si="45"/>
        <v>0</v>
      </c>
      <c r="N737" s="6">
        <f t="shared" si="46"/>
        <v>0</v>
      </c>
      <c r="O737" s="8" t="str">
        <f t="shared" si="47"/>
        <v/>
      </c>
    </row>
    <row r="738" spans="11:15" ht="17" customHeight="1">
      <c r="K738" s="1">
        <f t="shared" si="44"/>
        <v>0</v>
      </c>
      <c r="L738" s="6"/>
      <c r="M738" s="6">
        <f t="shared" si="45"/>
        <v>0</v>
      </c>
      <c r="N738" s="6">
        <f t="shared" si="46"/>
        <v>0</v>
      </c>
      <c r="O738" s="8" t="str">
        <f t="shared" si="47"/>
        <v/>
      </c>
    </row>
    <row r="739" spans="11:15" ht="17" customHeight="1">
      <c r="K739" s="1">
        <f t="shared" si="44"/>
        <v>0</v>
      </c>
      <c r="L739" s="6"/>
      <c r="M739" s="6">
        <f t="shared" si="45"/>
        <v>0</v>
      </c>
      <c r="N739" s="6">
        <f t="shared" si="46"/>
        <v>0</v>
      </c>
      <c r="O739" s="8" t="str">
        <f t="shared" si="47"/>
        <v/>
      </c>
    </row>
    <row r="740" spans="11:15" ht="17" customHeight="1">
      <c r="K740" s="1">
        <f t="shared" si="44"/>
        <v>0</v>
      </c>
      <c r="L740" s="6"/>
      <c r="M740" s="6">
        <f t="shared" si="45"/>
        <v>0</v>
      </c>
      <c r="N740" s="6">
        <f t="shared" si="46"/>
        <v>0</v>
      </c>
      <c r="O740" s="8" t="str">
        <f t="shared" si="47"/>
        <v/>
      </c>
    </row>
    <row r="741" spans="11:15" ht="17" customHeight="1">
      <c r="K741" s="1">
        <f t="shared" si="44"/>
        <v>0</v>
      </c>
      <c r="L741" s="6"/>
      <c r="M741" s="6">
        <f t="shared" si="45"/>
        <v>0</v>
      </c>
      <c r="N741" s="6">
        <f t="shared" si="46"/>
        <v>0</v>
      </c>
      <c r="O741" s="8" t="str">
        <f t="shared" si="47"/>
        <v/>
      </c>
    </row>
    <row r="742" spans="11:15" ht="17" customHeight="1">
      <c r="K742" s="1">
        <f t="shared" si="44"/>
        <v>0</v>
      </c>
      <c r="L742" s="6"/>
      <c r="M742" s="6">
        <f t="shared" si="45"/>
        <v>0</v>
      </c>
      <c r="N742" s="6">
        <f t="shared" si="46"/>
        <v>0</v>
      </c>
      <c r="O742" s="8" t="str">
        <f t="shared" si="47"/>
        <v/>
      </c>
    </row>
    <row r="743" spans="11:15" ht="17" customHeight="1">
      <c r="K743" s="1">
        <f t="shared" si="44"/>
        <v>0</v>
      </c>
      <c r="L743" s="6"/>
      <c r="M743" s="6">
        <f t="shared" si="45"/>
        <v>0</v>
      </c>
      <c r="N743" s="6">
        <f t="shared" si="46"/>
        <v>0</v>
      </c>
      <c r="O743" s="8" t="str">
        <f t="shared" si="47"/>
        <v/>
      </c>
    </row>
    <row r="744" spans="11:15" ht="17" customHeight="1">
      <c r="K744" s="1">
        <f t="shared" si="44"/>
        <v>0</v>
      </c>
      <c r="L744" s="6"/>
      <c r="M744" s="6">
        <f t="shared" si="45"/>
        <v>0</v>
      </c>
      <c r="N744" s="6">
        <f t="shared" si="46"/>
        <v>0</v>
      </c>
      <c r="O744" s="8" t="str">
        <f t="shared" si="47"/>
        <v/>
      </c>
    </row>
    <row r="745" spans="11:15" ht="17" customHeight="1">
      <c r="K745" s="1">
        <f t="shared" si="44"/>
        <v>0</v>
      </c>
      <c r="L745" s="6"/>
      <c r="M745" s="6">
        <f t="shared" si="45"/>
        <v>0</v>
      </c>
      <c r="N745" s="6">
        <f t="shared" si="46"/>
        <v>0</v>
      </c>
      <c r="O745" s="8" t="str">
        <f t="shared" si="47"/>
        <v/>
      </c>
    </row>
    <row r="746" spans="11:15" ht="17" customHeight="1">
      <c r="K746" s="1">
        <f t="shared" si="44"/>
        <v>0</v>
      </c>
      <c r="L746" s="6"/>
      <c r="M746" s="6">
        <f t="shared" si="45"/>
        <v>0</v>
      </c>
      <c r="N746" s="6">
        <f t="shared" si="46"/>
        <v>0</v>
      </c>
      <c r="O746" s="8" t="str">
        <f t="shared" si="47"/>
        <v/>
      </c>
    </row>
    <row r="747" spans="11:15" ht="17" customHeight="1">
      <c r="K747" s="1">
        <f t="shared" si="44"/>
        <v>0</v>
      </c>
      <c r="L747" s="6"/>
      <c r="M747" s="6">
        <f t="shared" si="45"/>
        <v>0</v>
      </c>
      <c r="N747" s="6">
        <f t="shared" si="46"/>
        <v>0</v>
      </c>
      <c r="O747" s="8" t="str">
        <f t="shared" si="47"/>
        <v/>
      </c>
    </row>
    <row r="748" spans="11:15" ht="17" customHeight="1">
      <c r="K748" s="1">
        <f t="shared" si="44"/>
        <v>0</v>
      </c>
      <c r="L748" s="6"/>
      <c r="M748" s="6">
        <f t="shared" si="45"/>
        <v>0</v>
      </c>
      <c r="N748" s="6">
        <f t="shared" si="46"/>
        <v>0</v>
      </c>
      <c r="O748" s="8" t="str">
        <f t="shared" si="47"/>
        <v/>
      </c>
    </row>
    <row r="749" spans="11:15" ht="17" customHeight="1">
      <c r="K749" s="1">
        <f t="shared" si="44"/>
        <v>0</v>
      </c>
      <c r="L749" s="6"/>
      <c r="M749" s="6">
        <f t="shared" si="45"/>
        <v>0</v>
      </c>
      <c r="N749" s="6">
        <f t="shared" si="46"/>
        <v>0</v>
      </c>
      <c r="O749" s="8" t="str">
        <f t="shared" si="47"/>
        <v/>
      </c>
    </row>
    <row r="750" spans="11:15" ht="17" customHeight="1">
      <c r="K750" s="1">
        <f t="shared" si="44"/>
        <v>0</v>
      </c>
      <c r="L750" s="6"/>
      <c r="M750" s="6">
        <f t="shared" si="45"/>
        <v>0</v>
      </c>
      <c r="N750" s="6">
        <f t="shared" si="46"/>
        <v>0</v>
      </c>
      <c r="O750" s="8" t="str">
        <f t="shared" si="47"/>
        <v/>
      </c>
    </row>
    <row r="751" spans="11:15" ht="17" customHeight="1">
      <c r="K751" s="1">
        <f t="shared" si="44"/>
        <v>0</v>
      </c>
      <c r="L751" s="6"/>
      <c r="M751" s="6">
        <f t="shared" si="45"/>
        <v>0</v>
      </c>
      <c r="N751" s="6">
        <f t="shared" si="46"/>
        <v>0</v>
      </c>
      <c r="O751" s="8" t="str">
        <f t="shared" si="47"/>
        <v/>
      </c>
    </row>
    <row r="752" spans="11:15" ht="17" customHeight="1">
      <c r="K752" s="1">
        <f t="shared" si="44"/>
        <v>0</v>
      </c>
      <c r="L752" s="6"/>
      <c r="M752" s="6">
        <f t="shared" si="45"/>
        <v>0</v>
      </c>
      <c r="N752" s="6">
        <f t="shared" si="46"/>
        <v>0</v>
      </c>
      <c r="O752" s="8" t="str">
        <f t="shared" si="47"/>
        <v/>
      </c>
    </row>
    <row r="753" spans="11:15" ht="17" customHeight="1">
      <c r="K753" s="1">
        <f t="shared" si="44"/>
        <v>0</v>
      </c>
      <c r="L753" s="6"/>
      <c r="M753" s="6">
        <f t="shared" si="45"/>
        <v>0</v>
      </c>
      <c r="N753" s="6">
        <f t="shared" si="46"/>
        <v>0</v>
      </c>
      <c r="O753" s="8" t="str">
        <f t="shared" si="47"/>
        <v/>
      </c>
    </row>
    <row r="754" spans="11:15" ht="17" customHeight="1">
      <c r="K754" s="1">
        <f t="shared" si="44"/>
        <v>0</v>
      </c>
      <c r="L754" s="6"/>
      <c r="M754" s="6">
        <f t="shared" si="45"/>
        <v>0</v>
      </c>
      <c r="N754" s="6">
        <f t="shared" si="46"/>
        <v>0</v>
      </c>
      <c r="O754" s="8" t="str">
        <f t="shared" si="47"/>
        <v/>
      </c>
    </row>
    <row r="755" spans="11:15" ht="17" customHeight="1">
      <c r="K755" s="1">
        <f t="shared" si="44"/>
        <v>0</v>
      </c>
      <c r="L755" s="6"/>
      <c r="M755" s="6">
        <f t="shared" si="45"/>
        <v>0</v>
      </c>
      <c r="N755" s="6">
        <f t="shared" si="46"/>
        <v>0</v>
      </c>
      <c r="O755" s="8" t="str">
        <f t="shared" si="47"/>
        <v/>
      </c>
    </row>
    <row r="756" spans="11:15" ht="17" customHeight="1">
      <c r="K756" s="1">
        <f t="shared" si="44"/>
        <v>0</v>
      </c>
      <c r="L756" s="6"/>
      <c r="M756" s="6">
        <f t="shared" si="45"/>
        <v>0</v>
      </c>
      <c r="N756" s="6">
        <f t="shared" si="46"/>
        <v>0</v>
      </c>
      <c r="O756" s="8" t="str">
        <f t="shared" si="47"/>
        <v/>
      </c>
    </row>
    <row r="757" spans="11:15" ht="17" customHeight="1">
      <c r="K757" s="1">
        <f t="shared" si="44"/>
        <v>0</v>
      </c>
      <c r="L757" s="6"/>
      <c r="M757" s="6">
        <f t="shared" si="45"/>
        <v>0</v>
      </c>
      <c r="N757" s="6">
        <f t="shared" si="46"/>
        <v>0</v>
      </c>
      <c r="O757" s="8" t="str">
        <f t="shared" si="47"/>
        <v/>
      </c>
    </row>
    <row r="758" spans="11:15" ht="17" customHeight="1">
      <c r="K758" s="1">
        <f t="shared" si="44"/>
        <v>0</v>
      </c>
      <c r="L758" s="6"/>
      <c r="M758" s="6">
        <f t="shared" si="45"/>
        <v>0</v>
      </c>
      <c r="N758" s="6">
        <f t="shared" si="46"/>
        <v>0</v>
      </c>
      <c r="O758" s="8" t="str">
        <f t="shared" si="47"/>
        <v/>
      </c>
    </row>
    <row r="759" spans="11:15" ht="17" customHeight="1">
      <c r="K759" s="1">
        <f t="shared" si="44"/>
        <v>0</v>
      </c>
      <c r="L759" s="6"/>
      <c r="M759" s="6">
        <f t="shared" si="45"/>
        <v>0</v>
      </c>
      <c r="N759" s="6">
        <f t="shared" si="46"/>
        <v>0</v>
      </c>
      <c r="O759" s="8" t="str">
        <f t="shared" si="47"/>
        <v/>
      </c>
    </row>
    <row r="760" spans="11:15" ht="17" customHeight="1">
      <c r="K760" s="1">
        <f t="shared" si="44"/>
        <v>0</v>
      </c>
      <c r="L760" s="6"/>
      <c r="M760" s="6">
        <f t="shared" si="45"/>
        <v>0</v>
      </c>
      <c r="N760" s="6">
        <f t="shared" si="46"/>
        <v>0</v>
      </c>
      <c r="O760" s="8" t="str">
        <f t="shared" si="47"/>
        <v/>
      </c>
    </row>
    <row r="761" spans="11:15" ht="17" customHeight="1">
      <c r="K761" s="1">
        <f t="shared" si="44"/>
        <v>0</v>
      </c>
      <c r="L761" s="6"/>
      <c r="M761" s="6">
        <f t="shared" si="45"/>
        <v>0</v>
      </c>
      <c r="N761" s="6">
        <f t="shared" si="46"/>
        <v>0</v>
      </c>
      <c r="O761" s="8" t="str">
        <f t="shared" si="47"/>
        <v/>
      </c>
    </row>
    <row r="762" spans="11:15" ht="17" customHeight="1">
      <c r="K762" s="1">
        <f t="shared" si="44"/>
        <v>0</v>
      </c>
      <c r="L762" s="6"/>
      <c r="M762" s="6">
        <f t="shared" si="45"/>
        <v>0</v>
      </c>
      <c r="N762" s="6">
        <f t="shared" si="46"/>
        <v>0</v>
      </c>
      <c r="O762" s="8" t="str">
        <f t="shared" si="47"/>
        <v/>
      </c>
    </row>
    <row r="763" spans="11:15" ht="17" customHeight="1">
      <c r="K763" s="1">
        <f t="shared" si="44"/>
        <v>0</v>
      </c>
      <c r="L763" s="6"/>
      <c r="M763" s="6">
        <f t="shared" si="45"/>
        <v>0</v>
      </c>
      <c r="N763" s="6">
        <f t="shared" si="46"/>
        <v>0</v>
      </c>
      <c r="O763" s="8" t="str">
        <f t="shared" si="47"/>
        <v/>
      </c>
    </row>
    <row r="764" spans="11:15" ht="17" customHeight="1">
      <c r="K764" s="1">
        <f t="shared" si="44"/>
        <v>0</v>
      </c>
      <c r="L764" s="6"/>
      <c r="M764" s="6">
        <f t="shared" si="45"/>
        <v>0</v>
      </c>
      <c r="N764" s="6">
        <f t="shared" si="46"/>
        <v>0</v>
      </c>
      <c r="O764" s="8" t="str">
        <f t="shared" si="47"/>
        <v/>
      </c>
    </row>
    <row r="765" spans="11:15" ht="17" customHeight="1">
      <c r="K765" s="1">
        <f t="shared" si="44"/>
        <v>0</v>
      </c>
      <c r="L765" s="6"/>
      <c r="M765" s="6">
        <f t="shared" si="45"/>
        <v>0</v>
      </c>
      <c r="N765" s="6">
        <f t="shared" si="46"/>
        <v>0</v>
      </c>
      <c r="O765" s="8" t="str">
        <f t="shared" si="47"/>
        <v/>
      </c>
    </row>
    <row r="766" spans="11:15" ht="17" customHeight="1">
      <c r="K766" s="1">
        <f t="shared" si="44"/>
        <v>0</v>
      </c>
      <c r="L766" s="6"/>
      <c r="M766" s="6">
        <f t="shared" si="45"/>
        <v>0</v>
      </c>
      <c r="N766" s="6">
        <f t="shared" si="46"/>
        <v>0</v>
      </c>
      <c r="O766" s="8" t="str">
        <f t="shared" si="47"/>
        <v/>
      </c>
    </row>
    <row r="767" spans="11:15" ht="17" customHeight="1">
      <c r="K767" s="1">
        <f t="shared" si="44"/>
        <v>0</v>
      </c>
      <c r="L767" s="6"/>
      <c r="M767" s="6">
        <f t="shared" si="45"/>
        <v>0</v>
      </c>
      <c r="N767" s="6">
        <f t="shared" si="46"/>
        <v>0</v>
      </c>
      <c r="O767" s="8" t="str">
        <f t="shared" si="47"/>
        <v/>
      </c>
    </row>
    <row r="768" spans="11:15" ht="17" customHeight="1">
      <c r="K768" s="1">
        <f t="shared" si="44"/>
        <v>0</v>
      </c>
      <c r="L768" s="6"/>
      <c r="M768" s="6">
        <f t="shared" si="45"/>
        <v>0</v>
      </c>
      <c r="N768" s="6">
        <f t="shared" si="46"/>
        <v>0</v>
      </c>
      <c r="O768" s="8" t="str">
        <f t="shared" si="47"/>
        <v/>
      </c>
    </row>
    <row r="769" spans="11:15" ht="17" customHeight="1">
      <c r="K769" s="1">
        <f t="shared" si="44"/>
        <v>0</v>
      </c>
      <c r="L769" s="6"/>
      <c r="M769" s="6">
        <f t="shared" si="45"/>
        <v>0</v>
      </c>
      <c r="N769" s="6">
        <f t="shared" si="46"/>
        <v>0</v>
      </c>
      <c r="O769" s="8" t="str">
        <f t="shared" si="47"/>
        <v/>
      </c>
    </row>
    <row r="770" spans="11:15" ht="17" customHeight="1">
      <c r="K770" s="1">
        <f t="shared" si="44"/>
        <v>0</v>
      </c>
      <c r="L770" s="6"/>
      <c r="M770" s="6">
        <f t="shared" si="45"/>
        <v>0</v>
      </c>
      <c r="N770" s="6">
        <f t="shared" si="46"/>
        <v>0</v>
      </c>
      <c r="O770" s="8" t="str">
        <f t="shared" si="47"/>
        <v/>
      </c>
    </row>
    <row r="771" spans="11:15" ht="17" customHeight="1">
      <c r="K771" s="1">
        <f t="shared" si="44"/>
        <v>0</v>
      </c>
      <c r="L771" s="6"/>
      <c r="M771" s="6">
        <f t="shared" si="45"/>
        <v>0</v>
      </c>
      <c r="N771" s="6">
        <f t="shared" si="46"/>
        <v>0</v>
      </c>
      <c r="O771" s="8" t="str">
        <f t="shared" si="47"/>
        <v/>
      </c>
    </row>
    <row r="772" spans="11:15" ht="17" customHeight="1">
      <c r="K772" s="1">
        <f t="shared" si="44"/>
        <v>0</v>
      </c>
      <c r="L772" s="6"/>
      <c r="M772" s="6">
        <f t="shared" si="45"/>
        <v>0</v>
      </c>
      <c r="N772" s="6">
        <f t="shared" si="46"/>
        <v>0</v>
      </c>
      <c r="O772" s="8" t="str">
        <f t="shared" si="47"/>
        <v/>
      </c>
    </row>
    <row r="773" spans="11:15" ht="17" customHeight="1">
      <c r="K773" s="1">
        <f t="shared" si="44"/>
        <v>0</v>
      </c>
      <c r="L773" s="6"/>
      <c r="M773" s="6">
        <f t="shared" si="45"/>
        <v>0</v>
      </c>
      <c r="N773" s="6">
        <f t="shared" si="46"/>
        <v>0</v>
      </c>
      <c r="O773" s="8" t="str">
        <f t="shared" si="47"/>
        <v/>
      </c>
    </row>
    <row r="774" spans="11:15" ht="17" customHeight="1">
      <c r="K774" s="1">
        <f t="shared" si="44"/>
        <v>0</v>
      </c>
      <c r="L774" s="6"/>
      <c r="M774" s="6">
        <f t="shared" si="45"/>
        <v>0</v>
      </c>
      <c r="N774" s="6">
        <f t="shared" si="46"/>
        <v>0</v>
      </c>
      <c r="O774" s="8" t="str">
        <f t="shared" si="47"/>
        <v/>
      </c>
    </row>
    <row r="775" spans="11:15" ht="17" customHeight="1">
      <c r="K775" s="1">
        <f t="shared" si="44"/>
        <v>0</v>
      </c>
      <c r="L775" s="6"/>
      <c r="M775" s="6">
        <f t="shared" si="45"/>
        <v>0</v>
      </c>
      <c r="N775" s="6">
        <f t="shared" si="46"/>
        <v>0</v>
      </c>
      <c r="O775" s="8" t="str">
        <f t="shared" si="47"/>
        <v/>
      </c>
    </row>
    <row r="776" spans="11:15" ht="17" customHeight="1">
      <c r="K776" s="1">
        <f t="shared" si="44"/>
        <v>0</v>
      </c>
      <c r="L776" s="6"/>
      <c r="M776" s="6">
        <f t="shared" si="45"/>
        <v>0</v>
      </c>
      <c r="N776" s="6">
        <f t="shared" si="46"/>
        <v>0</v>
      </c>
      <c r="O776" s="8" t="str">
        <f t="shared" si="47"/>
        <v/>
      </c>
    </row>
    <row r="777" spans="11:15" ht="17" customHeight="1">
      <c r="K777" s="1">
        <f t="shared" si="44"/>
        <v>0</v>
      </c>
      <c r="L777" s="6"/>
      <c r="M777" s="6">
        <f t="shared" si="45"/>
        <v>0</v>
      </c>
      <c r="N777" s="6">
        <f t="shared" si="46"/>
        <v>0</v>
      </c>
      <c r="O777" s="8" t="str">
        <f t="shared" si="47"/>
        <v/>
      </c>
    </row>
    <row r="778" spans="11:15" ht="17" customHeight="1">
      <c r="K778" s="1">
        <f t="shared" si="44"/>
        <v>0</v>
      </c>
      <c r="L778" s="6"/>
      <c r="M778" s="6">
        <f t="shared" si="45"/>
        <v>0</v>
      </c>
      <c r="N778" s="6">
        <f t="shared" si="46"/>
        <v>0</v>
      </c>
      <c r="O778" s="8" t="str">
        <f t="shared" si="47"/>
        <v/>
      </c>
    </row>
    <row r="779" spans="11:15" ht="17" customHeight="1">
      <c r="K779" s="1">
        <f t="shared" si="44"/>
        <v>0</v>
      </c>
      <c r="L779" s="6"/>
      <c r="M779" s="6">
        <f t="shared" si="45"/>
        <v>0</v>
      </c>
      <c r="N779" s="6">
        <f t="shared" si="46"/>
        <v>0</v>
      </c>
      <c r="O779" s="8" t="str">
        <f t="shared" si="47"/>
        <v/>
      </c>
    </row>
    <row r="780" spans="11:15" ht="17" customHeight="1">
      <c r="K780" s="1">
        <f t="shared" si="44"/>
        <v>0</v>
      </c>
      <c r="L780" s="6"/>
      <c r="M780" s="6">
        <f t="shared" si="45"/>
        <v>0</v>
      </c>
      <c r="N780" s="6">
        <f t="shared" si="46"/>
        <v>0</v>
      </c>
      <c r="O780" s="8" t="str">
        <f t="shared" si="47"/>
        <v/>
      </c>
    </row>
    <row r="781" spans="11:15" ht="17" customHeight="1">
      <c r="K781" s="1">
        <f t="shared" si="44"/>
        <v>0</v>
      </c>
      <c r="L781" s="6"/>
      <c r="M781" s="6">
        <f t="shared" si="45"/>
        <v>0</v>
      </c>
      <c r="N781" s="6">
        <f t="shared" si="46"/>
        <v>0</v>
      </c>
      <c r="O781" s="8" t="str">
        <f t="shared" si="47"/>
        <v/>
      </c>
    </row>
    <row r="782" spans="11:15" ht="17" customHeight="1">
      <c r="K782" s="1">
        <f t="shared" si="44"/>
        <v>0</v>
      </c>
      <c r="L782" s="6"/>
      <c r="M782" s="6">
        <f t="shared" si="45"/>
        <v>0</v>
      </c>
      <c r="N782" s="6">
        <f t="shared" si="46"/>
        <v>0</v>
      </c>
      <c r="O782" s="8" t="str">
        <f t="shared" si="47"/>
        <v/>
      </c>
    </row>
    <row r="783" spans="11:15" ht="17" customHeight="1">
      <c r="K783" s="1">
        <f t="shared" si="44"/>
        <v>0</v>
      </c>
      <c r="L783" s="6"/>
      <c r="M783" s="6">
        <f t="shared" si="45"/>
        <v>0</v>
      </c>
      <c r="N783" s="6">
        <f t="shared" si="46"/>
        <v>0</v>
      </c>
      <c r="O783" s="8" t="str">
        <f t="shared" si="47"/>
        <v/>
      </c>
    </row>
    <row r="784" spans="11:15" ht="17" customHeight="1">
      <c r="K784" s="1">
        <f t="shared" si="44"/>
        <v>0</v>
      </c>
      <c r="L784" s="6"/>
      <c r="M784" s="6">
        <f t="shared" si="45"/>
        <v>0</v>
      </c>
      <c r="N784" s="6">
        <f t="shared" si="46"/>
        <v>0</v>
      </c>
      <c r="O784" s="8" t="str">
        <f t="shared" si="47"/>
        <v/>
      </c>
    </row>
    <row r="785" spans="11:15" ht="17" customHeight="1">
      <c r="K785" s="1">
        <f t="shared" si="44"/>
        <v>0</v>
      </c>
      <c r="L785" s="6"/>
      <c r="M785" s="6">
        <f t="shared" si="45"/>
        <v>0</v>
      </c>
      <c r="N785" s="6">
        <f t="shared" si="46"/>
        <v>0</v>
      </c>
      <c r="O785" s="8" t="str">
        <f t="shared" si="47"/>
        <v/>
      </c>
    </row>
    <row r="786" spans="11:15" ht="17" customHeight="1">
      <c r="K786" s="1">
        <f t="shared" si="44"/>
        <v>0</v>
      </c>
      <c r="L786" s="6"/>
      <c r="M786" s="6">
        <f t="shared" si="45"/>
        <v>0</v>
      </c>
      <c r="N786" s="6">
        <f t="shared" si="46"/>
        <v>0</v>
      </c>
      <c r="O786" s="8" t="str">
        <f t="shared" si="47"/>
        <v/>
      </c>
    </row>
    <row r="787" spans="11:15" ht="17" customHeight="1">
      <c r="K787" s="1">
        <f t="shared" si="44"/>
        <v>0</v>
      </c>
      <c r="L787" s="6"/>
      <c r="M787" s="6">
        <f t="shared" si="45"/>
        <v>0</v>
      </c>
      <c r="N787" s="6">
        <f t="shared" si="46"/>
        <v>0</v>
      </c>
      <c r="O787" s="8" t="str">
        <f t="shared" si="47"/>
        <v/>
      </c>
    </row>
    <row r="788" spans="11:15" ht="17" customHeight="1">
      <c r="K788" s="1">
        <f t="shared" si="44"/>
        <v>0</v>
      </c>
      <c r="L788" s="6"/>
      <c r="M788" s="6">
        <f t="shared" si="45"/>
        <v>0</v>
      </c>
      <c r="N788" s="6">
        <f t="shared" si="46"/>
        <v>0</v>
      </c>
      <c r="O788" s="8" t="str">
        <f t="shared" si="47"/>
        <v/>
      </c>
    </row>
    <row r="789" spans="11:15" ht="17" customHeight="1">
      <c r="K789" s="1">
        <f t="shared" si="44"/>
        <v>0</v>
      </c>
      <c r="L789" s="6"/>
      <c r="M789" s="6">
        <f t="shared" si="45"/>
        <v>0</v>
      </c>
      <c r="N789" s="6">
        <f t="shared" si="46"/>
        <v>0</v>
      </c>
      <c r="O789" s="8" t="str">
        <f t="shared" si="47"/>
        <v/>
      </c>
    </row>
    <row r="790" spans="11:15" ht="17" customHeight="1">
      <c r="K790" s="1">
        <f t="shared" si="44"/>
        <v>0</v>
      </c>
      <c r="L790" s="6"/>
      <c r="M790" s="6">
        <f t="shared" si="45"/>
        <v>0</v>
      </c>
      <c r="N790" s="6">
        <f t="shared" si="46"/>
        <v>0</v>
      </c>
      <c r="O790" s="8" t="str">
        <f t="shared" si="47"/>
        <v/>
      </c>
    </row>
    <row r="791" spans="11:15" ht="17" customHeight="1">
      <c r="K791" s="1">
        <f t="shared" si="44"/>
        <v>0</v>
      </c>
      <c r="L791" s="6"/>
      <c r="M791" s="6">
        <f t="shared" si="45"/>
        <v>0</v>
      </c>
      <c r="N791" s="6">
        <f t="shared" si="46"/>
        <v>0</v>
      </c>
      <c r="O791" s="8" t="str">
        <f t="shared" si="47"/>
        <v/>
      </c>
    </row>
    <row r="792" spans="11:15" ht="17" customHeight="1">
      <c r="K792" s="1">
        <f t="shared" si="44"/>
        <v>0</v>
      </c>
      <c r="L792" s="6"/>
      <c r="M792" s="6">
        <f t="shared" si="45"/>
        <v>0</v>
      </c>
      <c r="N792" s="6">
        <f t="shared" si="46"/>
        <v>0</v>
      </c>
      <c r="O792" s="8" t="str">
        <f t="shared" si="47"/>
        <v/>
      </c>
    </row>
    <row r="793" spans="11:15" ht="17" customHeight="1">
      <c r="K793" s="1">
        <f t="shared" si="44"/>
        <v>0</v>
      </c>
      <c r="L793" s="6"/>
      <c r="M793" s="6">
        <f t="shared" si="45"/>
        <v>0</v>
      </c>
      <c r="N793" s="6">
        <f t="shared" si="46"/>
        <v>0</v>
      </c>
      <c r="O793" s="8" t="str">
        <f t="shared" si="47"/>
        <v/>
      </c>
    </row>
    <row r="794" spans="11:15" ht="17" customHeight="1">
      <c r="K794" s="1">
        <f t="shared" si="44"/>
        <v>0</v>
      </c>
      <c r="L794" s="6"/>
      <c r="M794" s="6">
        <f t="shared" si="45"/>
        <v>0</v>
      </c>
      <c r="N794" s="6">
        <f t="shared" si="46"/>
        <v>0</v>
      </c>
      <c r="O794" s="8" t="str">
        <f t="shared" si="47"/>
        <v/>
      </c>
    </row>
    <row r="795" spans="11:15" ht="17" customHeight="1">
      <c r="K795" s="1">
        <f t="shared" si="44"/>
        <v>0</v>
      </c>
      <c r="L795" s="6"/>
      <c r="M795" s="6">
        <f t="shared" si="45"/>
        <v>0</v>
      </c>
      <c r="N795" s="6">
        <f t="shared" si="46"/>
        <v>0</v>
      </c>
      <c r="O795" s="8" t="str">
        <f t="shared" si="47"/>
        <v/>
      </c>
    </row>
    <row r="796" spans="11:15" ht="17" customHeight="1">
      <c r="K796" s="1">
        <f t="shared" si="44"/>
        <v>0</v>
      </c>
      <c r="L796" s="6"/>
      <c r="M796" s="6">
        <f t="shared" si="45"/>
        <v>0</v>
      </c>
      <c r="N796" s="6">
        <f t="shared" si="46"/>
        <v>0</v>
      </c>
      <c r="O796" s="8" t="str">
        <f t="shared" si="47"/>
        <v/>
      </c>
    </row>
    <row r="797" spans="11:15" ht="17" customHeight="1">
      <c r="K797" s="1">
        <f t="shared" si="44"/>
        <v>0</v>
      </c>
      <c r="L797" s="6"/>
      <c r="M797" s="6">
        <f t="shared" si="45"/>
        <v>0</v>
      </c>
      <c r="N797" s="6">
        <f t="shared" si="46"/>
        <v>0</v>
      </c>
      <c r="O797" s="8" t="str">
        <f t="shared" si="47"/>
        <v/>
      </c>
    </row>
    <row r="798" spans="11:15" ht="17" customHeight="1">
      <c r="K798" s="1">
        <f t="shared" si="44"/>
        <v>0</v>
      </c>
      <c r="L798" s="6"/>
      <c r="M798" s="6">
        <f t="shared" si="45"/>
        <v>0</v>
      </c>
      <c r="N798" s="6">
        <f t="shared" si="46"/>
        <v>0</v>
      </c>
      <c r="O798" s="8" t="str">
        <f t="shared" si="47"/>
        <v/>
      </c>
    </row>
    <row r="799" spans="11:15" ht="17" customHeight="1">
      <c r="K799" s="1">
        <f t="shared" si="44"/>
        <v>0</v>
      </c>
      <c r="L799" s="6"/>
      <c r="M799" s="6">
        <f t="shared" si="45"/>
        <v>0</v>
      </c>
      <c r="N799" s="6">
        <f t="shared" si="46"/>
        <v>0</v>
      </c>
      <c r="O799" s="8" t="str">
        <f t="shared" si="47"/>
        <v/>
      </c>
    </row>
    <row r="800" spans="11:15" ht="17" customHeight="1">
      <c r="K800" s="1">
        <f t="shared" ref="K800:K863" si="48">SUM(I800*0.15)</f>
        <v>0</v>
      </c>
      <c r="L800" s="6"/>
      <c r="M800" s="6">
        <f t="shared" ref="M800:M863" si="49">SUM(H800*L800)</f>
        <v>0</v>
      </c>
      <c r="N800" s="6">
        <f t="shared" ref="N800:N863" si="50">SUM(I800-K800-M800)</f>
        <v>0</v>
      </c>
      <c r="O800" s="8" t="str">
        <f t="shared" ref="O800:O863" si="51">IF(I800=0,"",N800/I800)</f>
        <v/>
      </c>
    </row>
    <row r="801" spans="11:15" ht="17" customHeight="1">
      <c r="K801" s="1">
        <f t="shared" si="48"/>
        <v>0</v>
      </c>
      <c r="L801" s="6"/>
      <c r="M801" s="6">
        <f t="shared" si="49"/>
        <v>0</v>
      </c>
      <c r="N801" s="6">
        <f t="shared" si="50"/>
        <v>0</v>
      </c>
      <c r="O801" s="8" t="str">
        <f t="shared" si="51"/>
        <v/>
      </c>
    </row>
    <row r="802" spans="11:15" ht="17" customHeight="1">
      <c r="K802" s="1">
        <f t="shared" si="48"/>
        <v>0</v>
      </c>
      <c r="L802" s="6"/>
      <c r="M802" s="6">
        <f t="shared" si="49"/>
        <v>0</v>
      </c>
      <c r="N802" s="6">
        <f t="shared" si="50"/>
        <v>0</v>
      </c>
      <c r="O802" s="8" t="str">
        <f t="shared" si="51"/>
        <v/>
      </c>
    </row>
    <row r="803" spans="11:15" ht="17" customHeight="1">
      <c r="K803" s="1">
        <f t="shared" si="48"/>
        <v>0</v>
      </c>
      <c r="L803" s="6"/>
      <c r="M803" s="6">
        <f t="shared" si="49"/>
        <v>0</v>
      </c>
      <c r="N803" s="6">
        <f t="shared" si="50"/>
        <v>0</v>
      </c>
      <c r="O803" s="8" t="str">
        <f t="shared" si="51"/>
        <v/>
      </c>
    </row>
    <row r="804" spans="11:15" ht="17" customHeight="1">
      <c r="K804" s="1">
        <f t="shared" si="48"/>
        <v>0</v>
      </c>
      <c r="L804" s="6"/>
      <c r="M804" s="6">
        <f t="shared" si="49"/>
        <v>0</v>
      </c>
      <c r="N804" s="6">
        <f t="shared" si="50"/>
        <v>0</v>
      </c>
      <c r="O804" s="8" t="str">
        <f t="shared" si="51"/>
        <v/>
      </c>
    </row>
    <row r="805" spans="11:15" ht="17" customHeight="1">
      <c r="K805" s="1">
        <f t="shared" si="48"/>
        <v>0</v>
      </c>
      <c r="L805" s="6"/>
      <c r="M805" s="6">
        <f t="shared" si="49"/>
        <v>0</v>
      </c>
      <c r="N805" s="6">
        <f t="shared" si="50"/>
        <v>0</v>
      </c>
      <c r="O805" s="8" t="str">
        <f t="shared" si="51"/>
        <v/>
      </c>
    </row>
    <row r="806" spans="11:15" ht="17" customHeight="1">
      <c r="K806" s="1">
        <f t="shared" si="48"/>
        <v>0</v>
      </c>
      <c r="L806" s="6"/>
      <c r="M806" s="6">
        <f t="shared" si="49"/>
        <v>0</v>
      </c>
      <c r="N806" s="6">
        <f t="shared" si="50"/>
        <v>0</v>
      </c>
      <c r="O806" s="8" t="str">
        <f t="shared" si="51"/>
        <v/>
      </c>
    </row>
    <row r="807" spans="11:15" ht="17" customHeight="1">
      <c r="K807" s="1">
        <f t="shared" si="48"/>
        <v>0</v>
      </c>
      <c r="L807" s="6"/>
      <c r="M807" s="6">
        <f t="shared" si="49"/>
        <v>0</v>
      </c>
      <c r="N807" s="6">
        <f t="shared" si="50"/>
        <v>0</v>
      </c>
      <c r="O807" s="8" t="str">
        <f t="shared" si="51"/>
        <v/>
      </c>
    </row>
    <row r="808" spans="11:15" ht="17" customHeight="1">
      <c r="K808" s="1">
        <f t="shared" si="48"/>
        <v>0</v>
      </c>
      <c r="L808" s="6"/>
      <c r="M808" s="6">
        <f t="shared" si="49"/>
        <v>0</v>
      </c>
      <c r="N808" s="6">
        <f t="shared" si="50"/>
        <v>0</v>
      </c>
      <c r="O808" s="8" t="str">
        <f t="shared" si="51"/>
        <v/>
      </c>
    </row>
    <row r="809" spans="11:15" ht="17" customHeight="1">
      <c r="K809" s="1">
        <f t="shared" si="48"/>
        <v>0</v>
      </c>
      <c r="L809" s="6"/>
      <c r="M809" s="6">
        <f t="shared" si="49"/>
        <v>0</v>
      </c>
      <c r="N809" s="6">
        <f t="shared" si="50"/>
        <v>0</v>
      </c>
      <c r="O809" s="8" t="str">
        <f t="shared" si="51"/>
        <v/>
      </c>
    </row>
    <row r="810" spans="11:15" ht="17" customHeight="1">
      <c r="K810" s="1">
        <f t="shared" si="48"/>
        <v>0</v>
      </c>
      <c r="L810" s="6"/>
      <c r="M810" s="6">
        <f t="shared" si="49"/>
        <v>0</v>
      </c>
      <c r="N810" s="6">
        <f t="shared" si="50"/>
        <v>0</v>
      </c>
      <c r="O810" s="8" t="str">
        <f t="shared" si="51"/>
        <v/>
      </c>
    </row>
    <row r="811" spans="11:15" ht="17" customHeight="1">
      <c r="K811" s="1">
        <f t="shared" si="48"/>
        <v>0</v>
      </c>
      <c r="L811" s="6"/>
      <c r="M811" s="6">
        <f t="shared" si="49"/>
        <v>0</v>
      </c>
      <c r="N811" s="6">
        <f t="shared" si="50"/>
        <v>0</v>
      </c>
      <c r="O811" s="8" t="str">
        <f t="shared" si="51"/>
        <v/>
      </c>
    </row>
    <row r="812" spans="11:15" ht="17" customHeight="1">
      <c r="K812" s="1">
        <f t="shared" si="48"/>
        <v>0</v>
      </c>
      <c r="L812" s="6"/>
      <c r="M812" s="6">
        <f t="shared" si="49"/>
        <v>0</v>
      </c>
      <c r="N812" s="6">
        <f t="shared" si="50"/>
        <v>0</v>
      </c>
      <c r="O812" s="8" t="str">
        <f t="shared" si="51"/>
        <v/>
      </c>
    </row>
    <row r="813" spans="11:15" ht="17" customHeight="1">
      <c r="K813" s="1">
        <f t="shared" si="48"/>
        <v>0</v>
      </c>
      <c r="L813" s="6"/>
      <c r="M813" s="6">
        <f t="shared" si="49"/>
        <v>0</v>
      </c>
      <c r="N813" s="6">
        <f t="shared" si="50"/>
        <v>0</v>
      </c>
      <c r="O813" s="8" t="str">
        <f t="shared" si="51"/>
        <v/>
      </c>
    </row>
    <row r="814" spans="11:15" ht="17" customHeight="1">
      <c r="K814" s="1">
        <f t="shared" si="48"/>
        <v>0</v>
      </c>
      <c r="L814" s="6"/>
      <c r="M814" s="6">
        <f t="shared" si="49"/>
        <v>0</v>
      </c>
      <c r="N814" s="6">
        <f t="shared" si="50"/>
        <v>0</v>
      </c>
      <c r="O814" s="8" t="str">
        <f t="shared" si="51"/>
        <v/>
      </c>
    </row>
    <row r="815" spans="11:15" ht="17" customHeight="1">
      <c r="K815" s="1">
        <f t="shared" si="48"/>
        <v>0</v>
      </c>
      <c r="L815" s="6"/>
      <c r="M815" s="6">
        <f t="shared" si="49"/>
        <v>0</v>
      </c>
      <c r="N815" s="6">
        <f t="shared" si="50"/>
        <v>0</v>
      </c>
      <c r="O815" s="8" t="str">
        <f t="shared" si="51"/>
        <v/>
      </c>
    </row>
    <row r="816" spans="11:15" ht="17" customHeight="1">
      <c r="K816" s="1">
        <f t="shared" si="48"/>
        <v>0</v>
      </c>
      <c r="L816" s="6"/>
      <c r="M816" s="6">
        <f t="shared" si="49"/>
        <v>0</v>
      </c>
      <c r="N816" s="6">
        <f t="shared" si="50"/>
        <v>0</v>
      </c>
      <c r="O816" s="8" t="str">
        <f t="shared" si="51"/>
        <v/>
      </c>
    </row>
    <row r="817" spans="11:15" ht="17" customHeight="1">
      <c r="K817" s="1">
        <f t="shared" si="48"/>
        <v>0</v>
      </c>
      <c r="L817" s="6"/>
      <c r="M817" s="6">
        <f t="shared" si="49"/>
        <v>0</v>
      </c>
      <c r="N817" s="6">
        <f t="shared" si="50"/>
        <v>0</v>
      </c>
      <c r="O817" s="8" t="str">
        <f t="shared" si="51"/>
        <v/>
      </c>
    </row>
    <row r="818" spans="11:15" ht="17" customHeight="1">
      <c r="K818" s="1">
        <f t="shared" si="48"/>
        <v>0</v>
      </c>
      <c r="L818" s="6"/>
      <c r="M818" s="6">
        <f t="shared" si="49"/>
        <v>0</v>
      </c>
      <c r="N818" s="6">
        <f t="shared" si="50"/>
        <v>0</v>
      </c>
      <c r="O818" s="8" t="str">
        <f t="shared" si="51"/>
        <v/>
      </c>
    </row>
    <row r="819" spans="11:15" ht="17" customHeight="1">
      <c r="K819" s="1">
        <f t="shared" si="48"/>
        <v>0</v>
      </c>
      <c r="L819" s="6"/>
      <c r="M819" s="6">
        <f t="shared" si="49"/>
        <v>0</v>
      </c>
      <c r="N819" s="6">
        <f t="shared" si="50"/>
        <v>0</v>
      </c>
      <c r="O819" s="8" t="str">
        <f t="shared" si="51"/>
        <v/>
      </c>
    </row>
    <row r="820" spans="11:15" ht="17" customHeight="1">
      <c r="K820" s="1">
        <f t="shared" si="48"/>
        <v>0</v>
      </c>
      <c r="L820" s="6"/>
      <c r="M820" s="6">
        <f t="shared" si="49"/>
        <v>0</v>
      </c>
      <c r="N820" s="6">
        <f t="shared" si="50"/>
        <v>0</v>
      </c>
      <c r="O820" s="8" t="str">
        <f t="shared" si="51"/>
        <v/>
      </c>
    </row>
    <row r="821" spans="11:15" ht="17" customHeight="1">
      <c r="K821" s="1">
        <f t="shared" si="48"/>
        <v>0</v>
      </c>
      <c r="L821" s="6"/>
      <c r="M821" s="6">
        <f t="shared" si="49"/>
        <v>0</v>
      </c>
      <c r="N821" s="6">
        <f t="shared" si="50"/>
        <v>0</v>
      </c>
      <c r="O821" s="8" t="str">
        <f t="shared" si="51"/>
        <v/>
      </c>
    </row>
    <row r="822" spans="11:15" ht="17" customHeight="1">
      <c r="K822" s="1">
        <f t="shared" si="48"/>
        <v>0</v>
      </c>
      <c r="L822" s="6"/>
      <c r="M822" s="6">
        <f t="shared" si="49"/>
        <v>0</v>
      </c>
      <c r="N822" s="6">
        <f t="shared" si="50"/>
        <v>0</v>
      </c>
      <c r="O822" s="8" t="str">
        <f t="shared" si="51"/>
        <v/>
      </c>
    </row>
    <row r="823" spans="11:15" ht="17" customHeight="1">
      <c r="K823" s="1">
        <f t="shared" si="48"/>
        <v>0</v>
      </c>
      <c r="L823" s="6"/>
      <c r="M823" s="6">
        <f t="shared" si="49"/>
        <v>0</v>
      </c>
      <c r="N823" s="6">
        <f t="shared" si="50"/>
        <v>0</v>
      </c>
      <c r="O823" s="8" t="str">
        <f t="shared" si="51"/>
        <v/>
      </c>
    </row>
    <row r="824" spans="11:15" ht="17" customHeight="1">
      <c r="K824" s="1">
        <f t="shared" si="48"/>
        <v>0</v>
      </c>
      <c r="L824" s="6"/>
      <c r="M824" s="6">
        <f t="shared" si="49"/>
        <v>0</v>
      </c>
      <c r="N824" s="6">
        <f t="shared" si="50"/>
        <v>0</v>
      </c>
      <c r="O824" s="8" t="str">
        <f t="shared" si="51"/>
        <v/>
      </c>
    </row>
    <row r="825" spans="11:15" ht="17" customHeight="1">
      <c r="K825" s="1">
        <f t="shared" si="48"/>
        <v>0</v>
      </c>
      <c r="L825" s="6"/>
      <c r="M825" s="6">
        <f t="shared" si="49"/>
        <v>0</v>
      </c>
      <c r="N825" s="6">
        <f t="shared" si="50"/>
        <v>0</v>
      </c>
      <c r="O825" s="8" t="str">
        <f t="shared" si="51"/>
        <v/>
      </c>
    </row>
    <row r="826" spans="11:15" ht="17" customHeight="1">
      <c r="K826" s="1">
        <f t="shared" si="48"/>
        <v>0</v>
      </c>
      <c r="L826" s="6"/>
      <c r="M826" s="6">
        <f t="shared" si="49"/>
        <v>0</v>
      </c>
      <c r="N826" s="6">
        <f t="shared" si="50"/>
        <v>0</v>
      </c>
      <c r="O826" s="8" t="str">
        <f t="shared" si="51"/>
        <v/>
      </c>
    </row>
    <row r="827" spans="11:15" ht="17" customHeight="1">
      <c r="K827" s="1">
        <f t="shared" si="48"/>
        <v>0</v>
      </c>
      <c r="L827" s="6"/>
      <c r="M827" s="6">
        <f t="shared" si="49"/>
        <v>0</v>
      </c>
      <c r="N827" s="6">
        <f t="shared" si="50"/>
        <v>0</v>
      </c>
      <c r="O827" s="8" t="str">
        <f t="shared" si="51"/>
        <v/>
      </c>
    </row>
    <row r="828" spans="11:15" ht="17" customHeight="1">
      <c r="K828" s="1">
        <f t="shared" si="48"/>
        <v>0</v>
      </c>
      <c r="L828" s="6"/>
      <c r="M828" s="6">
        <f t="shared" si="49"/>
        <v>0</v>
      </c>
      <c r="N828" s="6">
        <f t="shared" si="50"/>
        <v>0</v>
      </c>
      <c r="O828" s="8" t="str">
        <f t="shared" si="51"/>
        <v/>
      </c>
    </row>
    <row r="829" spans="11:15" ht="17" customHeight="1">
      <c r="K829" s="1">
        <f t="shared" si="48"/>
        <v>0</v>
      </c>
      <c r="L829" s="6"/>
      <c r="M829" s="6">
        <f t="shared" si="49"/>
        <v>0</v>
      </c>
      <c r="N829" s="6">
        <f t="shared" si="50"/>
        <v>0</v>
      </c>
      <c r="O829" s="8" t="str">
        <f t="shared" si="51"/>
        <v/>
      </c>
    </row>
    <row r="830" spans="11:15" ht="17" customHeight="1">
      <c r="K830" s="1">
        <f t="shared" si="48"/>
        <v>0</v>
      </c>
      <c r="L830" s="6"/>
      <c r="M830" s="6">
        <f t="shared" si="49"/>
        <v>0</v>
      </c>
      <c r="N830" s="6">
        <f t="shared" si="50"/>
        <v>0</v>
      </c>
      <c r="O830" s="8" t="str">
        <f t="shared" si="51"/>
        <v/>
      </c>
    </row>
    <row r="831" spans="11:15" ht="17" customHeight="1">
      <c r="K831" s="1">
        <f t="shared" si="48"/>
        <v>0</v>
      </c>
      <c r="L831" s="6"/>
      <c r="M831" s="6">
        <f t="shared" si="49"/>
        <v>0</v>
      </c>
      <c r="N831" s="6">
        <f t="shared" si="50"/>
        <v>0</v>
      </c>
      <c r="O831" s="8" t="str">
        <f t="shared" si="51"/>
        <v/>
      </c>
    </row>
    <row r="832" spans="11:15" ht="17" customHeight="1">
      <c r="K832" s="1">
        <f t="shared" si="48"/>
        <v>0</v>
      </c>
      <c r="L832" s="6"/>
      <c r="M832" s="6">
        <f t="shared" si="49"/>
        <v>0</v>
      </c>
      <c r="N832" s="6">
        <f t="shared" si="50"/>
        <v>0</v>
      </c>
      <c r="O832" s="8" t="str">
        <f t="shared" si="51"/>
        <v/>
      </c>
    </row>
    <row r="833" spans="11:15" ht="17" customHeight="1">
      <c r="K833" s="1">
        <f t="shared" si="48"/>
        <v>0</v>
      </c>
      <c r="L833" s="6"/>
      <c r="M833" s="6">
        <f t="shared" si="49"/>
        <v>0</v>
      </c>
      <c r="N833" s="6">
        <f t="shared" si="50"/>
        <v>0</v>
      </c>
      <c r="O833" s="8" t="str">
        <f t="shared" si="51"/>
        <v/>
      </c>
    </row>
    <row r="834" spans="11:15" ht="17" customHeight="1">
      <c r="K834" s="1">
        <f t="shared" si="48"/>
        <v>0</v>
      </c>
      <c r="L834" s="6"/>
      <c r="M834" s="6">
        <f t="shared" si="49"/>
        <v>0</v>
      </c>
      <c r="N834" s="6">
        <f t="shared" si="50"/>
        <v>0</v>
      </c>
      <c r="O834" s="8" t="str">
        <f t="shared" si="51"/>
        <v/>
      </c>
    </row>
    <row r="835" spans="11:15" ht="17" customHeight="1">
      <c r="K835" s="1">
        <f t="shared" si="48"/>
        <v>0</v>
      </c>
      <c r="L835" s="6"/>
      <c r="M835" s="6">
        <f t="shared" si="49"/>
        <v>0</v>
      </c>
      <c r="N835" s="6">
        <f t="shared" si="50"/>
        <v>0</v>
      </c>
      <c r="O835" s="8" t="str">
        <f t="shared" si="51"/>
        <v/>
      </c>
    </row>
    <row r="836" spans="11:15" ht="17" customHeight="1">
      <c r="K836" s="1">
        <f t="shared" si="48"/>
        <v>0</v>
      </c>
      <c r="L836" s="6"/>
      <c r="M836" s="6">
        <f t="shared" si="49"/>
        <v>0</v>
      </c>
      <c r="N836" s="6">
        <f t="shared" si="50"/>
        <v>0</v>
      </c>
      <c r="O836" s="8" t="str">
        <f t="shared" si="51"/>
        <v/>
      </c>
    </row>
    <row r="837" spans="11:15" ht="17" customHeight="1">
      <c r="K837" s="1">
        <f t="shared" si="48"/>
        <v>0</v>
      </c>
      <c r="L837" s="6"/>
      <c r="M837" s="6">
        <f t="shared" si="49"/>
        <v>0</v>
      </c>
      <c r="N837" s="6">
        <f t="shared" si="50"/>
        <v>0</v>
      </c>
      <c r="O837" s="8" t="str">
        <f t="shared" si="51"/>
        <v/>
      </c>
    </row>
    <row r="838" spans="11:15" ht="17" customHeight="1">
      <c r="K838" s="1">
        <f t="shared" si="48"/>
        <v>0</v>
      </c>
      <c r="L838" s="6"/>
      <c r="M838" s="6">
        <f t="shared" si="49"/>
        <v>0</v>
      </c>
      <c r="N838" s="6">
        <f t="shared" si="50"/>
        <v>0</v>
      </c>
      <c r="O838" s="8" t="str">
        <f t="shared" si="51"/>
        <v/>
      </c>
    </row>
    <row r="839" spans="11:15" ht="17" customHeight="1">
      <c r="K839" s="1">
        <f t="shared" si="48"/>
        <v>0</v>
      </c>
      <c r="L839" s="6"/>
      <c r="M839" s="6">
        <f t="shared" si="49"/>
        <v>0</v>
      </c>
      <c r="N839" s="6">
        <f t="shared" si="50"/>
        <v>0</v>
      </c>
      <c r="O839" s="8" t="str">
        <f t="shared" si="51"/>
        <v/>
      </c>
    </row>
    <row r="840" spans="11:15" ht="17" customHeight="1">
      <c r="K840" s="1">
        <f t="shared" si="48"/>
        <v>0</v>
      </c>
      <c r="L840" s="6"/>
      <c r="M840" s="6">
        <f t="shared" si="49"/>
        <v>0</v>
      </c>
      <c r="N840" s="6">
        <f t="shared" si="50"/>
        <v>0</v>
      </c>
      <c r="O840" s="8" t="str">
        <f t="shared" si="51"/>
        <v/>
      </c>
    </row>
    <row r="841" spans="11:15" ht="17" customHeight="1">
      <c r="K841" s="1">
        <f t="shared" si="48"/>
        <v>0</v>
      </c>
      <c r="L841" s="6"/>
      <c r="M841" s="6">
        <f t="shared" si="49"/>
        <v>0</v>
      </c>
      <c r="N841" s="6">
        <f t="shared" si="50"/>
        <v>0</v>
      </c>
      <c r="O841" s="8" t="str">
        <f t="shared" si="51"/>
        <v/>
      </c>
    </row>
    <row r="842" spans="11:15" ht="17" customHeight="1">
      <c r="K842" s="1">
        <f t="shared" si="48"/>
        <v>0</v>
      </c>
      <c r="L842" s="6"/>
      <c r="M842" s="6">
        <f t="shared" si="49"/>
        <v>0</v>
      </c>
      <c r="N842" s="6">
        <f t="shared" si="50"/>
        <v>0</v>
      </c>
      <c r="O842" s="8" t="str">
        <f t="shared" si="51"/>
        <v/>
      </c>
    </row>
    <row r="843" spans="11:15" ht="17" customHeight="1">
      <c r="K843" s="1">
        <f t="shared" si="48"/>
        <v>0</v>
      </c>
      <c r="L843" s="6"/>
      <c r="M843" s="6">
        <f t="shared" si="49"/>
        <v>0</v>
      </c>
      <c r="N843" s="6">
        <f t="shared" si="50"/>
        <v>0</v>
      </c>
      <c r="O843" s="8" t="str">
        <f t="shared" si="51"/>
        <v/>
      </c>
    </row>
    <row r="844" spans="11:15" ht="17" customHeight="1">
      <c r="K844" s="1">
        <f t="shared" si="48"/>
        <v>0</v>
      </c>
      <c r="L844" s="6"/>
      <c r="M844" s="6">
        <f t="shared" si="49"/>
        <v>0</v>
      </c>
      <c r="N844" s="6">
        <f t="shared" si="50"/>
        <v>0</v>
      </c>
      <c r="O844" s="8" t="str">
        <f t="shared" si="51"/>
        <v/>
      </c>
    </row>
    <row r="845" spans="11:15" ht="17" customHeight="1">
      <c r="K845" s="1">
        <f t="shared" si="48"/>
        <v>0</v>
      </c>
      <c r="L845" s="6"/>
      <c r="M845" s="6">
        <f t="shared" si="49"/>
        <v>0</v>
      </c>
      <c r="N845" s="6">
        <f t="shared" si="50"/>
        <v>0</v>
      </c>
      <c r="O845" s="8" t="str">
        <f t="shared" si="51"/>
        <v/>
      </c>
    </row>
    <row r="846" spans="11:15" ht="17" customHeight="1">
      <c r="K846" s="1">
        <f t="shared" si="48"/>
        <v>0</v>
      </c>
      <c r="L846" s="6"/>
      <c r="M846" s="6">
        <f t="shared" si="49"/>
        <v>0</v>
      </c>
      <c r="N846" s="6">
        <f t="shared" si="50"/>
        <v>0</v>
      </c>
      <c r="O846" s="8" t="str">
        <f t="shared" si="51"/>
        <v/>
      </c>
    </row>
    <row r="847" spans="11:15" ht="17" customHeight="1">
      <c r="K847" s="1">
        <f t="shared" si="48"/>
        <v>0</v>
      </c>
      <c r="L847" s="6"/>
      <c r="M847" s="6">
        <f t="shared" si="49"/>
        <v>0</v>
      </c>
      <c r="N847" s="6">
        <f t="shared" si="50"/>
        <v>0</v>
      </c>
      <c r="O847" s="8" t="str">
        <f t="shared" si="51"/>
        <v/>
      </c>
    </row>
    <row r="848" spans="11:15" ht="17" customHeight="1">
      <c r="K848" s="1">
        <f t="shared" si="48"/>
        <v>0</v>
      </c>
      <c r="L848" s="6"/>
      <c r="M848" s="6">
        <f t="shared" si="49"/>
        <v>0</v>
      </c>
      <c r="N848" s="6">
        <f t="shared" si="50"/>
        <v>0</v>
      </c>
      <c r="O848" s="8" t="str">
        <f t="shared" si="51"/>
        <v/>
      </c>
    </row>
    <row r="849" spans="11:15" ht="17" customHeight="1">
      <c r="K849" s="1">
        <f t="shared" si="48"/>
        <v>0</v>
      </c>
      <c r="L849" s="6"/>
      <c r="M849" s="6">
        <f t="shared" si="49"/>
        <v>0</v>
      </c>
      <c r="N849" s="6">
        <f t="shared" si="50"/>
        <v>0</v>
      </c>
      <c r="O849" s="8" t="str">
        <f t="shared" si="51"/>
        <v/>
      </c>
    </row>
    <row r="850" spans="11:15" ht="17" customHeight="1">
      <c r="K850" s="1">
        <f t="shared" si="48"/>
        <v>0</v>
      </c>
      <c r="L850" s="6"/>
      <c r="M850" s="6">
        <f t="shared" si="49"/>
        <v>0</v>
      </c>
      <c r="N850" s="6">
        <f t="shared" si="50"/>
        <v>0</v>
      </c>
      <c r="O850" s="8" t="str">
        <f t="shared" si="51"/>
        <v/>
      </c>
    </row>
    <row r="851" spans="11:15" ht="17" customHeight="1">
      <c r="K851" s="1">
        <f t="shared" si="48"/>
        <v>0</v>
      </c>
      <c r="L851" s="6"/>
      <c r="M851" s="6">
        <f t="shared" si="49"/>
        <v>0</v>
      </c>
      <c r="N851" s="6">
        <f t="shared" si="50"/>
        <v>0</v>
      </c>
      <c r="O851" s="8" t="str">
        <f t="shared" si="51"/>
        <v/>
      </c>
    </row>
    <row r="852" spans="11:15" ht="17" customHeight="1">
      <c r="K852" s="1">
        <f t="shared" si="48"/>
        <v>0</v>
      </c>
      <c r="L852" s="6"/>
      <c r="M852" s="6">
        <f t="shared" si="49"/>
        <v>0</v>
      </c>
      <c r="N852" s="6">
        <f t="shared" si="50"/>
        <v>0</v>
      </c>
      <c r="O852" s="8" t="str">
        <f t="shared" si="51"/>
        <v/>
      </c>
    </row>
    <row r="853" spans="11:15" ht="17" customHeight="1">
      <c r="K853" s="1">
        <f t="shared" si="48"/>
        <v>0</v>
      </c>
      <c r="L853" s="6"/>
      <c r="M853" s="6">
        <f t="shared" si="49"/>
        <v>0</v>
      </c>
      <c r="N853" s="6">
        <f t="shared" si="50"/>
        <v>0</v>
      </c>
      <c r="O853" s="8" t="str">
        <f t="shared" si="51"/>
        <v/>
      </c>
    </row>
    <row r="854" spans="11:15" ht="17" customHeight="1">
      <c r="K854" s="1">
        <f t="shared" si="48"/>
        <v>0</v>
      </c>
      <c r="L854" s="6"/>
      <c r="M854" s="6">
        <f t="shared" si="49"/>
        <v>0</v>
      </c>
      <c r="N854" s="6">
        <f t="shared" si="50"/>
        <v>0</v>
      </c>
      <c r="O854" s="8" t="str">
        <f t="shared" si="51"/>
        <v/>
      </c>
    </row>
    <row r="855" spans="11:15" ht="17" customHeight="1">
      <c r="K855" s="1">
        <f t="shared" si="48"/>
        <v>0</v>
      </c>
      <c r="L855" s="6"/>
      <c r="M855" s="6">
        <f t="shared" si="49"/>
        <v>0</v>
      </c>
      <c r="N855" s="6">
        <f t="shared" si="50"/>
        <v>0</v>
      </c>
      <c r="O855" s="8" t="str">
        <f t="shared" si="51"/>
        <v/>
      </c>
    </row>
    <row r="856" spans="11:15" ht="17" customHeight="1">
      <c r="K856" s="1">
        <f t="shared" si="48"/>
        <v>0</v>
      </c>
      <c r="L856" s="6"/>
      <c r="M856" s="6">
        <f t="shared" si="49"/>
        <v>0</v>
      </c>
      <c r="N856" s="6">
        <f t="shared" si="50"/>
        <v>0</v>
      </c>
      <c r="O856" s="8" t="str">
        <f t="shared" si="51"/>
        <v/>
      </c>
    </row>
    <row r="857" spans="11:15" ht="17" customHeight="1">
      <c r="K857" s="1">
        <f t="shared" si="48"/>
        <v>0</v>
      </c>
      <c r="L857" s="6"/>
      <c r="M857" s="6">
        <f t="shared" si="49"/>
        <v>0</v>
      </c>
      <c r="N857" s="6">
        <f t="shared" si="50"/>
        <v>0</v>
      </c>
      <c r="O857" s="8" t="str">
        <f t="shared" si="51"/>
        <v/>
      </c>
    </row>
    <row r="858" spans="11:15" ht="17" customHeight="1">
      <c r="K858" s="1">
        <f t="shared" si="48"/>
        <v>0</v>
      </c>
      <c r="L858" s="6"/>
      <c r="M858" s="6">
        <f t="shared" si="49"/>
        <v>0</v>
      </c>
      <c r="N858" s="6">
        <f t="shared" si="50"/>
        <v>0</v>
      </c>
      <c r="O858" s="8" t="str">
        <f t="shared" si="51"/>
        <v/>
      </c>
    </row>
    <row r="859" spans="11:15" ht="17" customHeight="1">
      <c r="K859" s="1">
        <f t="shared" si="48"/>
        <v>0</v>
      </c>
      <c r="L859" s="6"/>
      <c r="M859" s="6">
        <f t="shared" si="49"/>
        <v>0</v>
      </c>
      <c r="N859" s="6">
        <f t="shared" si="50"/>
        <v>0</v>
      </c>
      <c r="O859" s="8" t="str">
        <f t="shared" si="51"/>
        <v/>
      </c>
    </row>
    <row r="860" spans="11:15" ht="17" customHeight="1">
      <c r="K860" s="1">
        <f t="shared" si="48"/>
        <v>0</v>
      </c>
      <c r="L860" s="6"/>
      <c r="M860" s="6">
        <f t="shared" si="49"/>
        <v>0</v>
      </c>
      <c r="N860" s="6">
        <f t="shared" si="50"/>
        <v>0</v>
      </c>
      <c r="O860" s="8" t="str">
        <f t="shared" si="51"/>
        <v/>
      </c>
    </row>
    <row r="861" spans="11:15" ht="17" customHeight="1">
      <c r="K861" s="1">
        <f t="shared" si="48"/>
        <v>0</v>
      </c>
      <c r="L861" s="6"/>
      <c r="M861" s="6">
        <f t="shared" si="49"/>
        <v>0</v>
      </c>
      <c r="N861" s="6">
        <f t="shared" si="50"/>
        <v>0</v>
      </c>
      <c r="O861" s="8" t="str">
        <f t="shared" si="51"/>
        <v/>
      </c>
    </row>
    <row r="862" spans="11:15" ht="17" customHeight="1">
      <c r="K862" s="1">
        <f t="shared" si="48"/>
        <v>0</v>
      </c>
      <c r="L862" s="6"/>
      <c r="M862" s="6">
        <f t="shared" si="49"/>
        <v>0</v>
      </c>
      <c r="N862" s="6">
        <f t="shared" si="50"/>
        <v>0</v>
      </c>
      <c r="O862" s="8" t="str">
        <f t="shared" si="51"/>
        <v/>
      </c>
    </row>
    <row r="863" spans="11:15" ht="17" customHeight="1">
      <c r="K863" s="1">
        <f t="shared" si="48"/>
        <v>0</v>
      </c>
      <c r="L863" s="6"/>
      <c r="M863" s="6">
        <f t="shared" si="49"/>
        <v>0</v>
      </c>
      <c r="N863" s="6">
        <f t="shared" si="50"/>
        <v>0</v>
      </c>
      <c r="O863" s="8" t="str">
        <f t="shared" si="51"/>
        <v/>
      </c>
    </row>
    <row r="864" spans="11:15" ht="17" customHeight="1">
      <c r="K864" s="1">
        <f t="shared" ref="K864:K927" si="52">SUM(I864*0.15)</f>
        <v>0</v>
      </c>
      <c r="L864" s="6"/>
      <c r="M864" s="6">
        <f t="shared" ref="M864:M927" si="53">SUM(H864*L864)</f>
        <v>0</v>
      </c>
      <c r="N864" s="6">
        <f t="shared" ref="N864:N927" si="54">SUM(I864-K864-M864)</f>
        <v>0</v>
      </c>
      <c r="O864" s="8" t="str">
        <f t="shared" ref="O864:O927" si="55">IF(I864=0,"",N864/I864)</f>
        <v/>
      </c>
    </row>
    <row r="865" spans="11:15" ht="17" customHeight="1">
      <c r="K865" s="1">
        <f t="shared" si="52"/>
        <v>0</v>
      </c>
      <c r="L865" s="6"/>
      <c r="M865" s="6">
        <f t="shared" si="53"/>
        <v>0</v>
      </c>
      <c r="N865" s="6">
        <f t="shared" si="54"/>
        <v>0</v>
      </c>
      <c r="O865" s="8" t="str">
        <f t="shared" si="55"/>
        <v/>
      </c>
    </row>
    <row r="866" spans="11:15" ht="17" customHeight="1">
      <c r="K866" s="1">
        <f t="shared" si="52"/>
        <v>0</v>
      </c>
      <c r="L866" s="6"/>
      <c r="M866" s="6">
        <f t="shared" si="53"/>
        <v>0</v>
      </c>
      <c r="N866" s="6">
        <f t="shared" si="54"/>
        <v>0</v>
      </c>
      <c r="O866" s="8" t="str">
        <f t="shared" si="55"/>
        <v/>
      </c>
    </row>
    <row r="867" spans="11:15" ht="17" customHeight="1">
      <c r="K867" s="1">
        <f t="shared" si="52"/>
        <v>0</v>
      </c>
      <c r="L867" s="6"/>
      <c r="M867" s="6">
        <f t="shared" si="53"/>
        <v>0</v>
      </c>
      <c r="N867" s="6">
        <f t="shared" si="54"/>
        <v>0</v>
      </c>
      <c r="O867" s="8" t="str">
        <f t="shared" si="55"/>
        <v/>
      </c>
    </row>
    <row r="868" spans="11:15" ht="17" customHeight="1">
      <c r="K868" s="1">
        <f t="shared" si="52"/>
        <v>0</v>
      </c>
      <c r="L868" s="6"/>
      <c r="M868" s="6">
        <f t="shared" si="53"/>
        <v>0</v>
      </c>
      <c r="N868" s="6">
        <f t="shared" si="54"/>
        <v>0</v>
      </c>
      <c r="O868" s="8" t="str">
        <f t="shared" si="55"/>
        <v/>
      </c>
    </row>
    <row r="869" spans="11:15" ht="17" customHeight="1">
      <c r="K869" s="1">
        <f t="shared" si="52"/>
        <v>0</v>
      </c>
      <c r="L869" s="6"/>
      <c r="M869" s="6">
        <f t="shared" si="53"/>
        <v>0</v>
      </c>
      <c r="N869" s="6">
        <f t="shared" si="54"/>
        <v>0</v>
      </c>
      <c r="O869" s="8" t="str">
        <f t="shared" si="55"/>
        <v/>
      </c>
    </row>
    <row r="870" spans="11:15" ht="17" customHeight="1">
      <c r="K870" s="1">
        <f t="shared" si="52"/>
        <v>0</v>
      </c>
      <c r="L870" s="6"/>
      <c r="M870" s="6">
        <f t="shared" si="53"/>
        <v>0</v>
      </c>
      <c r="N870" s="6">
        <f t="shared" si="54"/>
        <v>0</v>
      </c>
      <c r="O870" s="8" t="str">
        <f t="shared" si="55"/>
        <v/>
      </c>
    </row>
    <row r="871" spans="11:15" ht="17" customHeight="1">
      <c r="K871" s="1">
        <f t="shared" si="52"/>
        <v>0</v>
      </c>
      <c r="L871" s="6"/>
      <c r="M871" s="6">
        <f t="shared" si="53"/>
        <v>0</v>
      </c>
      <c r="N871" s="6">
        <f t="shared" si="54"/>
        <v>0</v>
      </c>
      <c r="O871" s="8" t="str">
        <f t="shared" si="55"/>
        <v/>
      </c>
    </row>
    <row r="872" spans="11:15" ht="17" customHeight="1">
      <c r="K872" s="1">
        <f t="shared" si="52"/>
        <v>0</v>
      </c>
      <c r="L872" s="6"/>
      <c r="M872" s="6">
        <f t="shared" si="53"/>
        <v>0</v>
      </c>
      <c r="N872" s="6">
        <f t="shared" si="54"/>
        <v>0</v>
      </c>
      <c r="O872" s="8" t="str">
        <f t="shared" si="55"/>
        <v/>
      </c>
    </row>
    <row r="873" spans="11:15" ht="17" customHeight="1">
      <c r="K873" s="1">
        <f t="shared" si="52"/>
        <v>0</v>
      </c>
      <c r="L873" s="6"/>
      <c r="M873" s="6">
        <f t="shared" si="53"/>
        <v>0</v>
      </c>
      <c r="N873" s="6">
        <f t="shared" si="54"/>
        <v>0</v>
      </c>
      <c r="O873" s="8" t="str">
        <f t="shared" si="55"/>
        <v/>
      </c>
    </row>
    <row r="874" spans="11:15" ht="17" customHeight="1">
      <c r="K874" s="1">
        <f t="shared" si="52"/>
        <v>0</v>
      </c>
      <c r="L874" s="6"/>
      <c r="M874" s="6">
        <f t="shared" si="53"/>
        <v>0</v>
      </c>
      <c r="N874" s="6">
        <f t="shared" si="54"/>
        <v>0</v>
      </c>
      <c r="O874" s="8" t="str">
        <f t="shared" si="55"/>
        <v/>
      </c>
    </row>
    <row r="875" spans="11:15" ht="17" customHeight="1">
      <c r="K875" s="1">
        <f t="shared" si="52"/>
        <v>0</v>
      </c>
      <c r="L875" s="6"/>
      <c r="M875" s="6">
        <f t="shared" si="53"/>
        <v>0</v>
      </c>
      <c r="N875" s="6">
        <f t="shared" si="54"/>
        <v>0</v>
      </c>
      <c r="O875" s="8" t="str">
        <f t="shared" si="55"/>
        <v/>
      </c>
    </row>
    <row r="876" spans="11:15" ht="17" customHeight="1">
      <c r="K876" s="1">
        <f t="shared" si="52"/>
        <v>0</v>
      </c>
      <c r="L876" s="6"/>
      <c r="M876" s="6">
        <f t="shared" si="53"/>
        <v>0</v>
      </c>
      <c r="N876" s="6">
        <f t="shared" si="54"/>
        <v>0</v>
      </c>
      <c r="O876" s="8" t="str">
        <f t="shared" si="55"/>
        <v/>
      </c>
    </row>
    <row r="877" spans="11:15" ht="17" customHeight="1">
      <c r="K877" s="1">
        <f t="shared" si="52"/>
        <v>0</v>
      </c>
      <c r="L877" s="6"/>
      <c r="M877" s="6">
        <f t="shared" si="53"/>
        <v>0</v>
      </c>
      <c r="N877" s="6">
        <f t="shared" si="54"/>
        <v>0</v>
      </c>
      <c r="O877" s="8" t="str">
        <f t="shared" si="55"/>
        <v/>
      </c>
    </row>
    <row r="878" spans="11:15" ht="17" customHeight="1">
      <c r="K878" s="1">
        <f t="shared" si="52"/>
        <v>0</v>
      </c>
      <c r="L878" s="6"/>
      <c r="M878" s="6">
        <f t="shared" si="53"/>
        <v>0</v>
      </c>
      <c r="N878" s="6">
        <f t="shared" si="54"/>
        <v>0</v>
      </c>
      <c r="O878" s="8" t="str">
        <f t="shared" si="55"/>
        <v/>
      </c>
    </row>
    <row r="879" spans="11:15" ht="17" customHeight="1">
      <c r="K879" s="1">
        <f t="shared" si="52"/>
        <v>0</v>
      </c>
      <c r="L879" s="6"/>
      <c r="M879" s="6">
        <f t="shared" si="53"/>
        <v>0</v>
      </c>
      <c r="N879" s="6">
        <f t="shared" si="54"/>
        <v>0</v>
      </c>
      <c r="O879" s="8" t="str">
        <f t="shared" si="55"/>
        <v/>
      </c>
    </row>
    <row r="880" spans="11:15" ht="17" customHeight="1">
      <c r="K880" s="1">
        <f t="shared" si="52"/>
        <v>0</v>
      </c>
      <c r="L880" s="6"/>
      <c r="M880" s="6">
        <f t="shared" si="53"/>
        <v>0</v>
      </c>
      <c r="N880" s="6">
        <f t="shared" si="54"/>
        <v>0</v>
      </c>
      <c r="O880" s="8" t="str">
        <f t="shared" si="55"/>
        <v/>
      </c>
    </row>
    <row r="881" spans="11:15" ht="17" customHeight="1">
      <c r="K881" s="1">
        <f t="shared" si="52"/>
        <v>0</v>
      </c>
      <c r="L881" s="6"/>
      <c r="M881" s="6">
        <f t="shared" si="53"/>
        <v>0</v>
      </c>
      <c r="N881" s="6">
        <f t="shared" si="54"/>
        <v>0</v>
      </c>
      <c r="O881" s="8" t="str">
        <f t="shared" si="55"/>
        <v/>
      </c>
    </row>
    <row r="882" spans="11:15" ht="17" customHeight="1">
      <c r="K882" s="1">
        <f t="shared" si="52"/>
        <v>0</v>
      </c>
      <c r="L882" s="6"/>
      <c r="M882" s="6">
        <f t="shared" si="53"/>
        <v>0</v>
      </c>
      <c r="N882" s="6">
        <f t="shared" si="54"/>
        <v>0</v>
      </c>
      <c r="O882" s="8" t="str">
        <f t="shared" si="55"/>
        <v/>
      </c>
    </row>
    <row r="883" spans="11:15" ht="17" customHeight="1">
      <c r="K883" s="1">
        <f t="shared" si="52"/>
        <v>0</v>
      </c>
      <c r="L883" s="6"/>
      <c r="M883" s="6">
        <f t="shared" si="53"/>
        <v>0</v>
      </c>
      <c r="N883" s="6">
        <f t="shared" si="54"/>
        <v>0</v>
      </c>
      <c r="O883" s="8" t="str">
        <f t="shared" si="55"/>
        <v/>
      </c>
    </row>
    <row r="884" spans="11:15" ht="17" customHeight="1">
      <c r="K884" s="1">
        <f t="shared" si="52"/>
        <v>0</v>
      </c>
      <c r="L884" s="6"/>
      <c r="M884" s="6">
        <f t="shared" si="53"/>
        <v>0</v>
      </c>
      <c r="N884" s="6">
        <f t="shared" si="54"/>
        <v>0</v>
      </c>
      <c r="O884" s="8" t="str">
        <f t="shared" si="55"/>
        <v/>
      </c>
    </row>
    <row r="885" spans="11:15" ht="17" customHeight="1">
      <c r="K885" s="1">
        <f t="shared" si="52"/>
        <v>0</v>
      </c>
      <c r="L885" s="6"/>
      <c r="M885" s="6">
        <f t="shared" si="53"/>
        <v>0</v>
      </c>
      <c r="N885" s="6">
        <f t="shared" si="54"/>
        <v>0</v>
      </c>
      <c r="O885" s="8" t="str">
        <f t="shared" si="55"/>
        <v/>
      </c>
    </row>
    <row r="886" spans="11:15" ht="17" customHeight="1">
      <c r="K886" s="1">
        <f t="shared" si="52"/>
        <v>0</v>
      </c>
      <c r="L886" s="6"/>
      <c r="M886" s="6">
        <f t="shared" si="53"/>
        <v>0</v>
      </c>
      <c r="N886" s="6">
        <f t="shared" si="54"/>
        <v>0</v>
      </c>
      <c r="O886" s="8" t="str">
        <f t="shared" si="55"/>
        <v/>
      </c>
    </row>
    <row r="887" spans="11:15" ht="17" customHeight="1">
      <c r="K887" s="1">
        <f t="shared" si="52"/>
        <v>0</v>
      </c>
      <c r="L887" s="6"/>
      <c r="M887" s="6">
        <f t="shared" si="53"/>
        <v>0</v>
      </c>
      <c r="N887" s="6">
        <f t="shared" si="54"/>
        <v>0</v>
      </c>
      <c r="O887" s="8" t="str">
        <f t="shared" si="55"/>
        <v/>
      </c>
    </row>
    <row r="888" spans="11:15" ht="17" customHeight="1">
      <c r="K888" s="1">
        <f t="shared" si="52"/>
        <v>0</v>
      </c>
      <c r="L888" s="6"/>
      <c r="M888" s="6">
        <f t="shared" si="53"/>
        <v>0</v>
      </c>
      <c r="N888" s="6">
        <f t="shared" si="54"/>
        <v>0</v>
      </c>
      <c r="O888" s="8" t="str">
        <f t="shared" si="55"/>
        <v/>
      </c>
    </row>
    <row r="889" spans="11:15" ht="17" customHeight="1">
      <c r="K889" s="1">
        <f t="shared" si="52"/>
        <v>0</v>
      </c>
      <c r="L889" s="6"/>
      <c r="M889" s="6">
        <f t="shared" si="53"/>
        <v>0</v>
      </c>
      <c r="N889" s="6">
        <f t="shared" si="54"/>
        <v>0</v>
      </c>
      <c r="O889" s="8" t="str">
        <f t="shared" si="55"/>
        <v/>
      </c>
    </row>
    <row r="890" spans="11:15" ht="17" customHeight="1">
      <c r="K890" s="1">
        <f t="shared" si="52"/>
        <v>0</v>
      </c>
      <c r="L890" s="6"/>
      <c r="M890" s="6">
        <f t="shared" si="53"/>
        <v>0</v>
      </c>
      <c r="N890" s="6">
        <f t="shared" si="54"/>
        <v>0</v>
      </c>
      <c r="O890" s="8" t="str">
        <f t="shared" si="55"/>
        <v/>
      </c>
    </row>
    <row r="891" spans="11:15" ht="17" customHeight="1">
      <c r="K891" s="1">
        <f t="shared" si="52"/>
        <v>0</v>
      </c>
      <c r="L891" s="6"/>
      <c r="M891" s="6">
        <f t="shared" si="53"/>
        <v>0</v>
      </c>
      <c r="N891" s="6">
        <f t="shared" si="54"/>
        <v>0</v>
      </c>
      <c r="O891" s="8" t="str">
        <f t="shared" si="55"/>
        <v/>
      </c>
    </row>
    <row r="892" spans="11:15" ht="17" customHeight="1">
      <c r="K892" s="1">
        <f t="shared" si="52"/>
        <v>0</v>
      </c>
      <c r="L892" s="6"/>
      <c r="M892" s="6">
        <f t="shared" si="53"/>
        <v>0</v>
      </c>
      <c r="N892" s="6">
        <f t="shared" si="54"/>
        <v>0</v>
      </c>
      <c r="O892" s="8" t="str">
        <f t="shared" si="55"/>
        <v/>
      </c>
    </row>
    <row r="893" spans="11:15" ht="17" customHeight="1">
      <c r="K893" s="1">
        <f t="shared" si="52"/>
        <v>0</v>
      </c>
      <c r="L893" s="6"/>
      <c r="M893" s="6">
        <f t="shared" si="53"/>
        <v>0</v>
      </c>
      <c r="N893" s="6">
        <f t="shared" si="54"/>
        <v>0</v>
      </c>
      <c r="O893" s="8" t="str">
        <f t="shared" si="55"/>
        <v/>
      </c>
    </row>
    <row r="894" spans="11:15" ht="17" customHeight="1">
      <c r="K894" s="1">
        <f t="shared" si="52"/>
        <v>0</v>
      </c>
      <c r="L894" s="6"/>
      <c r="M894" s="6">
        <f t="shared" si="53"/>
        <v>0</v>
      </c>
      <c r="N894" s="6">
        <f t="shared" si="54"/>
        <v>0</v>
      </c>
      <c r="O894" s="8" t="str">
        <f t="shared" si="55"/>
        <v/>
      </c>
    </row>
    <row r="895" spans="11:15" ht="17" customHeight="1">
      <c r="K895" s="1">
        <f t="shared" si="52"/>
        <v>0</v>
      </c>
      <c r="L895" s="6"/>
      <c r="M895" s="6">
        <f t="shared" si="53"/>
        <v>0</v>
      </c>
      <c r="N895" s="6">
        <f t="shared" si="54"/>
        <v>0</v>
      </c>
      <c r="O895" s="8" t="str">
        <f t="shared" si="55"/>
        <v/>
      </c>
    </row>
    <row r="896" spans="11:15" ht="17" customHeight="1">
      <c r="K896" s="1">
        <f t="shared" si="52"/>
        <v>0</v>
      </c>
      <c r="L896" s="6"/>
      <c r="M896" s="6">
        <f t="shared" si="53"/>
        <v>0</v>
      </c>
      <c r="N896" s="6">
        <f t="shared" si="54"/>
        <v>0</v>
      </c>
      <c r="O896" s="8" t="str">
        <f t="shared" si="55"/>
        <v/>
      </c>
    </row>
    <row r="897" spans="11:15" ht="17" customHeight="1">
      <c r="K897" s="1">
        <f t="shared" si="52"/>
        <v>0</v>
      </c>
      <c r="L897" s="6"/>
      <c r="M897" s="6">
        <f t="shared" si="53"/>
        <v>0</v>
      </c>
      <c r="N897" s="6">
        <f t="shared" si="54"/>
        <v>0</v>
      </c>
      <c r="O897" s="8" t="str">
        <f t="shared" si="55"/>
        <v/>
      </c>
    </row>
    <row r="898" spans="11:15" ht="17" customHeight="1">
      <c r="K898" s="1">
        <f t="shared" si="52"/>
        <v>0</v>
      </c>
      <c r="L898" s="6"/>
      <c r="M898" s="6">
        <f t="shared" si="53"/>
        <v>0</v>
      </c>
      <c r="N898" s="6">
        <f t="shared" si="54"/>
        <v>0</v>
      </c>
      <c r="O898" s="8" t="str">
        <f t="shared" si="55"/>
        <v/>
      </c>
    </row>
    <row r="899" spans="11:15" ht="17" customHeight="1">
      <c r="K899" s="1">
        <f t="shared" si="52"/>
        <v>0</v>
      </c>
      <c r="L899" s="6"/>
      <c r="M899" s="6">
        <f t="shared" si="53"/>
        <v>0</v>
      </c>
      <c r="N899" s="6">
        <f t="shared" si="54"/>
        <v>0</v>
      </c>
      <c r="O899" s="8" t="str">
        <f t="shared" si="55"/>
        <v/>
      </c>
    </row>
    <row r="900" spans="11:15" ht="17" customHeight="1">
      <c r="K900" s="1">
        <f t="shared" si="52"/>
        <v>0</v>
      </c>
      <c r="L900" s="6"/>
      <c r="M900" s="6">
        <f t="shared" si="53"/>
        <v>0</v>
      </c>
      <c r="N900" s="6">
        <f t="shared" si="54"/>
        <v>0</v>
      </c>
      <c r="O900" s="8" t="str">
        <f t="shared" si="55"/>
        <v/>
      </c>
    </row>
    <row r="901" spans="11:15" ht="17" customHeight="1">
      <c r="K901" s="1">
        <f t="shared" si="52"/>
        <v>0</v>
      </c>
      <c r="L901" s="6"/>
      <c r="M901" s="6">
        <f t="shared" si="53"/>
        <v>0</v>
      </c>
      <c r="N901" s="6">
        <f t="shared" si="54"/>
        <v>0</v>
      </c>
      <c r="O901" s="8" t="str">
        <f t="shared" si="55"/>
        <v/>
      </c>
    </row>
    <row r="902" spans="11:15" ht="17" customHeight="1">
      <c r="K902" s="1">
        <f t="shared" si="52"/>
        <v>0</v>
      </c>
      <c r="L902" s="6"/>
      <c r="M902" s="6">
        <f t="shared" si="53"/>
        <v>0</v>
      </c>
      <c r="N902" s="6">
        <f t="shared" si="54"/>
        <v>0</v>
      </c>
      <c r="O902" s="8" t="str">
        <f t="shared" si="55"/>
        <v/>
      </c>
    </row>
    <row r="903" spans="11:15" ht="17" customHeight="1">
      <c r="K903" s="1">
        <f t="shared" si="52"/>
        <v>0</v>
      </c>
      <c r="L903" s="6"/>
      <c r="M903" s="6">
        <f t="shared" si="53"/>
        <v>0</v>
      </c>
      <c r="N903" s="6">
        <f t="shared" si="54"/>
        <v>0</v>
      </c>
      <c r="O903" s="8" t="str">
        <f t="shared" si="55"/>
        <v/>
      </c>
    </row>
    <row r="904" spans="11:15" ht="17" customHeight="1">
      <c r="K904" s="1">
        <f t="shared" si="52"/>
        <v>0</v>
      </c>
      <c r="L904" s="6"/>
      <c r="M904" s="6">
        <f t="shared" si="53"/>
        <v>0</v>
      </c>
      <c r="N904" s="6">
        <f t="shared" si="54"/>
        <v>0</v>
      </c>
      <c r="O904" s="8" t="str">
        <f t="shared" si="55"/>
        <v/>
      </c>
    </row>
    <row r="905" spans="11:15" ht="17" customHeight="1">
      <c r="K905" s="1">
        <f t="shared" si="52"/>
        <v>0</v>
      </c>
      <c r="L905" s="6"/>
      <c r="M905" s="6">
        <f t="shared" si="53"/>
        <v>0</v>
      </c>
      <c r="N905" s="6">
        <f t="shared" si="54"/>
        <v>0</v>
      </c>
      <c r="O905" s="8" t="str">
        <f t="shared" si="55"/>
        <v/>
      </c>
    </row>
    <row r="906" spans="11:15" ht="17" customHeight="1">
      <c r="K906" s="1">
        <f t="shared" si="52"/>
        <v>0</v>
      </c>
      <c r="L906" s="6"/>
      <c r="M906" s="6">
        <f t="shared" si="53"/>
        <v>0</v>
      </c>
      <c r="N906" s="6">
        <f t="shared" si="54"/>
        <v>0</v>
      </c>
      <c r="O906" s="8" t="str">
        <f t="shared" si="55"/>
        <v/>
      </c>
    </row>
    <row r="907" spans="11:15" ht="17" customHeight="1">
      <c r="K907" s="1">
        <f t="shared" si="52"/>
        <v>0</v>
      </c>
      <c r="L907" s="6"/>
      <c r="M907" s="6">
        <f t="shared" si="53"/>
        <v>0</v>
      </c>
      <c r="N907" s="6">
        <f t="shared" si="54"/>
        <v>0</v>
      </c>
      <c r="O907" s="8" t="str">
        <f t="shared" si="55"/>
        <v/>
      </c>
    </row>
    <row r="908" spans="11:15" ht="17" customHeight="1">
      <c r="K908" s="1">
        <f t="shared" si="52"/>
        <v>0</v>
      </c>
      <c r="L908" s="6"/>
      <c r="M908" s="6">
        <f t="shared" si="53"/>
        <v>0</v>
      </c>
      <c r="N908" s="6">
        <f t="shared" si="54"/>
        <v>0</v>
      </c>
      <c r="O908" s="8" t="str">
        <f t="shared" si="55"/>
        <v/>
      </c>
    </row>
    <row r="909" spans="11:15" ht="17" customHeight="1">
      <c r="K909" s="1">
        <f t="shared" si="52"/>
        <v>0</v>
      </c>
      <c r="L909" s="6"/>
      <c r="M909" s="6">
        <f t="shared" si="53"/>
        <v>0</v>
      </c>
      <c r="N909" s="6">
        <f t="shared" si="54"/>
        <v>0</v>
      </c>
      <c r="O909" s="8" t="str">
        <f t="shared" si="55"/>
        <v/>
      </c>
    </row>
    <row r="910" spans="11:15" ht="17" customHeight="1">
      <c r="K910" s="1">
        <f t="shared" si="52"/>
        <v>0</v>
      </c>
      <c r="L910" s="6"/>
      <c r="M910" s="6">
        <f t="shared" si="53"/>
        <v>0</v>
      </c>
      <c r="N910" s="6">
        <f t="shared" si="54"/>
        <v>0</v>
      </c>
      <c r="O910" s="8" t="str">
        <f t="shared" si="55"/>
        <v/>
      </c>
    </row>
    <row r="911" spans="11:15" ht="17" customHeight="1">
      <c r="K911" s="1">
        <f t="shared" si="52"/>
        <v>0</v>
      </c>
      <c r="L911" s="6"/>
      <c r="M911" s="6">
        <f t="shared" si="53"/>
        <v>0</v>
      </c>
      <c r="N911" s="6">
        <f t="shared" si="54"/>
        <v>0</v>
      </c>
      <c r="O911" s="8" t="str">
        <f t="shared" si="55"/>
        <v/>
      </c>
    </row>
    <row r="912" spans="11:15" ht="17" customHeight="1">
      <c r="K912" s="1">
        <f t="shared" si="52"/>
        <v>0</v>
      </c>
      <c r="L912" s="6"/>
      <c r="M912" s="6">
        <f t="shared" si="53"/>
        <v>0</v>
      </c>
      <c r="N912" s="6">
        <f t="shared" si="54"/>
        <v>0</v>
      </c>
      <c r="O912" s="8" t="str">
        <f t="shared" si="55"/>
        <v/>
      </c>
    </row>
    <row r="913" spans="11:15" ht="17" customHeight="1">
      <c r="K913" s="1">
        <f t="shared" si="52"/>
        <v>0</v>
      </c>
      <c r="L913" s="6"/>
      <c r="M913" s="6">
        <f t="shared" si="53"/>
        <v>0</v>
      </c>
      <c r="N913" s="6">
        <f t="shared" si="54"/>
        <v>0</v>
      </c>
      <c r="O913" s="8" t="str">
        <f t="shared" si="55"/>
        <v/>
      </c>
    </row>
    <row r="914" spans="11:15" ht="17" customHeight="1">
      <c r="K914" s="1">
        <f t="shared" si="52"/>
        <v>0</v>
      </c>
      <c r="L914" s="6"/>
      <c r="M914" s="6">
        <f t="shared" si="53"/>
        <v>0</v>
      </c>
      <c r="N914" s="6">
        <f t="shared" si="54"/>
        <v>0</v>
      </c>
      <c r="O914" s="8" t="str">
        <f t="shared" si="55"/>
        <v/>
      </c>
    </row>
    <row r="915" spans="11:15" ht="17" customHeight="1">
      <c r="K915" s="1">
        <f t="shared" si="52"/>
        <v>0</v>
      </c>
      <c r="L915" s="6"/>
      <c r="M915" s="6">
        <f t="shared" si="53"/>
        <v>0</v>
      </c>
      <c r="N915" s="6">
        <f t="shared" si="54"/>
        <v>0</v>
      </c>
      <c r="O915" s="8" t="str">
        <f t="shared" si="55"/>
        <v/>
      </c>
    </row>
    <row r="916" spans="11:15" ht="17" customHeight="1">
      <c r="K916" s="1">
        <f t="shared" si="52"/>
        <v>0</v>
      </c>
      <c r="L916" s="6"/>
      <c r="M916" s="6">
        <f t="shared" si="53"/>
        <v>0</v>
      </c>
      <c r="N916" s="6">
        <f t="shared" si="54"/>
        <v>0</v>
      </c>
      <c r="O916" s="8" t="str">
        <f t="shared" si="55"/>
        <v/>
      </c>
    </row>
    <row r="917" spans="11:15" ht="17" customHeight="1">
      <c r="K917" s="1">
        <f t="shared" si="52"/>
        <v>0</v>
      </c>
      <c r="L917" s="6"/>
      <c r="M917" s="6">
        <f t="shared" si="53"/>
        <v>0</v>
      </c>
      <c r="N917" s="6">
        <f t="shared" si="54"/>
        <v>0</v>
      </c>
      <c r="O917" s="8" t="str">
        <f t="shared" si="55"/>
        <v/>
      </c>
    </row>
    <row r="918" spans="11:15" ht="17" customHeight="1">
      <c r="K918" s="1">
        <f t="shared" si="52"/>
        <v>0</v>
      </c>
      <c r="L918" s="6"/>
      <c r="M918" s="6">
        <f t="shared" si="53"/>
        <v>0</v>
      </c>
      <c r="N918" s="6">
        <f t="shared" si="54"/>
        <v>0</v>
      </c>
      <c r="O918" s="8" t="str">
        <f t="shared" si="55"/>
        <v/>
      </c>
    </row>
    <row r="919" spans="11:15" ht="17" customHeight="1">
      <c r="K919" s="1">
        <f t="shared" si="52"/>
        <v>0</v>
      </c>
      <c r="L919" s="6"/>
      <c r="M919" s="6">
        <f t="shared" si="53"/>
        <v>0</v>
      </c>
      <c r="N919" s="6">
        <f t="shared" si="54"/>
        <v>0</v>
      </c>
      <c r="O919" s="8" t="str">
        <f t="shared" si="55"/>
        <v/>
      </c>
    </row>
    <row r="920" spans="11:15" ht="17" customHeight="1">
      <c r="K920" s="1">
        <f t="shared" si="52"/>
        <v>0</v>
      </c>
      <c r="L920" s="6"/>
      <c r="M920" s="6">
        <f t="shared" si="53"/>
        <v>0</v>
      </c>
      <c r="N920" s="6">
        <f t="shared" si="54"/>
        <v>0</v>
      </c>
      <c r="O920" s="8" t="str">
        <f t="shared" si="55"/>
        <v/>
      </c>
    </row>
    <row r="921" spans="11:15" ht="17" customHeight="1">
      <c r="K921" s="1">
        <f t="shared" si="52"/>
        <v>0</v>
      </c>
      <c r="L921" s="6"/>
      <c r="M921" s="6">
        <f t="shared" si="53"/>
        <v>0</v>
      </c>
      <c r="N921" s="6">
        <f t="shared" si="54"/>
        <v>0</v>
      </c>
      <c r="O921" s="8" t="str">
        <f t="shared" si="55"/>
        <v/>
      </c>
    </row>
    <row r="922" spans="11:15" ht="17" customHeight="1">
      <c r="K922" s="1">
        <f t="shared" si="52"/>
        <v>0</v>
      </c>
      <c r="L922" s="6"/>
      <c r="M922" s="6">
        <f t="shared" si="53"/>
        <v>0</v>
      </c>
      <c r="N922" s="6">
        <f t="shared" si="54"/>
        <v>0</v>
      </c>
      <c r="O922" s="8" t="str">
        <f t="shared" si="55"/>
        <v/>
      </c>
    </row>
    <row r="923" spans="11:15" ht="17" customHeight="1">
      <c r="K923" s="1">
        <f t="shared" si="52"/>
        <v>0</v>
      </c>
      <c r="L923" s="6"/>
      <c r="M923" s="6">
        <f t="shared" si="53"/>
        <v>0</v>
      </c>
      <c r="N923" s="6">
        <f t="shared" si="54"/>
        <v>0</v>
      </c>
      <c r="O923" s="8" t="str">
        <f t="shared" si="55"/>
        <v/>
      </c>
    </row>
    <row r="924" spans="11:15" ht="17" customHeight="1">
      <c r="K924" s="1">
        <f t="shared" si="52"/>
        <v>0</v>
      </c>
      <c r="L924" s="6"/>
      <c r="M924" s="6">
        <f t="shared" si="53"/>
        <v>0</v>
      </c>
      <c r="N924" s="6">
        <f t="shared" si="54"/>
        <v>0</v>
      </c>
      <c r="O924" s="8" t="str">
        <f t="shared" si="55"/>
        <v/>
      </c>
    </row>
    <row r="925" spans="11:15" ht="17" customHeight="1">
      <c r="K925" s="1">
        <f t="shared" si="52"/>
        <v>0</v>
      </c>
      <c r="L925" s="6"/>
      <c r="M925" s="6">
        <f t="shared" si="53"/>
        <v>0</v>
      </c>
      <c r="N925" s="6">
        <f t="shared" si="54"/>
        <v>0</v>
      </c>
      <c r="O925" s="8" t="str">
        <f t="shared" si="55"/>
        <v/>
      </c>
    </row>
    <row r="926" spans="11:15" ht="17" customHeight="1">
      <c r="K926" s="1">
        <f t="shared" si="52"/>
        <v>0</v>
      </c>
      <c r="L926" s="6"/>
      <c r="M926" s="6">
        <f t="shared" si="53"/>
        <v>0</v>
      </c>
      <c r="N926" s="6">
        <f t="shared" si="54"/>
        <v>0</v>
      </c>
      <c r="O926" s="8" t="str">
        <f t="shared" si="55"/>
        <v/>
      </c>
    </row>
    <row r="927" spans="11:15" ht="17" customHeight="1">
      <c r="K927" s="1">
        <f t="shared" si="52"/>
        <v>0</v>
      </c>
      <c r="L927" s="6"/>
      <c r="M927" s="6">
        <f t="shared" si="53"/>
        <v>0</v>
      </c>
      <c r="N927" s="6">
        <f t="shared" si="54"/>
        <v>0</v>
      </c>
      <c r="O927" s="8" t="str">
        <f t="shared" si="55"/>
        <v/>
      </c>
    </row>
    <row r="928" spans="11:15" ht="17" customHeight="1">
      <c r="K928" s="1">
        <f t="shared" ref="K928:K991" si="56">SUM(I928*0.15)</f>
        <v>0</v>
      </c>
      <c r="L928" s="6"/>
      <c r="M928" s="6">
        <f t="shared" ref="M928:M991" si="57">SUM(H928*L928)</f>
        <v>0</v>
      </c>
      <c r="N928" s="6">
        <f t="shared" ref="N928:N991" si="58">SUM(I928-K928-M928)</f>
        <v>0</v>
      </c>
      <c r="O928" s="8" t="str">
        <f t="shared" ref="O928:O991" si="59">IF(I928=0,"",N928/I928)</f>
        <v/>
      </c>
    </row>
    <row r="929" spans="11:15" ht="17" customHeight="1">
      <c r="K929" s="1">
        <f t="shared" si="56"/>
        <v>0</v>
      </c>
      <c r="L929" s="6"/>
      <c r="M929" s="6">
        <f t="shared" si="57"/>
        <v>0</v>
      </c>
      <c r="N929" s="6">
        <f t="shared" si="58"/>
        <v>0</v>
      </c>
      <c r="O929" s="8" t="str">
        <f t="shared" si="59"/>
        <v/>
      </c>
    </row>
    <row r="930" spans="11:15" ht="17" customHeight="1">
      <c r="K930" s="1">
        <f t="shared" si="56"/>
        <v>0</v>
      </c>
      <c r="L930" s="6"/>
      <c r="M930" s="6">
        <f t="shared" si="57"/>
        <v>0</v>
      </c>
      <c r="N930" s="6">
        <f t="shared" si="58"/>
        <v>0</v>
      </c>
      <c r="O930" s="8" t="str">
        <f t="shared" si="59"/>
        <v/>
      </c>
    </row>
    <row r="931" spans="11:15" ht="17" customHeight="1">
      <c r="K931" s="1">
        <f t="shared" si="56"/>
        <v>0</v>
      </c>
      <c r="L931" s="6"/>
      <c r="M931" s="6">
        <f t="shared" si="57"/>
        <v>0</v>
      </c>
      <c r="N931" s="6">
        <f t="shared" si="58"/>
        <v>0</v>
      </c>
      <c r="O931" s="8" t="str">
        <f t="shared" si="59"/>
        <v/>
      </c>
    </row>
    <row r="932" spans="11:15" ht="17" customHeight="1">
      <c r="K932" s="1">
        <f t="shared" si="56"/>
        <v>0</v>
      </c>
      <c r="L932" s="6"/>
      <c r="M932" s="6">
        <f t="shared" si="57"/>
        <v>0</v>
      </c>
      <c r="N932" s="6">
        <f t="shared" si="58"/>
        <v>0</v>
      </c>
      <c r="O932" s="8" t="str">
        <f t="shared" si="59"/>
        <v/>
      </c>
    </row>
    <row r="933" spans="11:15" ht="17" customHeight="1">
      <c r="K933" s="1">
        <f t="shared" si="56"/>
        <v>0</v>
      </c>
      <c r="L933" s="6"/>
      <c r="M933" s="6">
        <f t="shared" si="57"/>
        <v>0</v>
      </c>
      <c r="N933" s="6">
        <f t="shared" si="58"/>
        <v>0</v>
      </c>
      <c r="O933" s="8" t="str">
        <f t="shared" si="59"/>
        <v/>
      </c>
    </row>
    <row r="934" spans="11:15" ht="17" customHeight="1">
      <c r="K934" s="1">
        <f t="shared" si="56"/>
        <v>0</v>
      </c>
      <c r="L934" s="6"/>
      <c r="M934" s="6">
        <f t="shared" si="57"/>
        <v>0</v>
      </c>
      <c r="N934" s="6">
        <f t="shared" si="58"/>
        <v>0</v>
      </c>
      <c r="O934" s="8" t="str">
        <f t="shared" si="59"/>
        <v/>
      </c>
    </row>
    <row r="935" spans="11:15" ht="17" customHeight="1">
      <c r="K935" s="1">
        <f t="shared" si="56"/>
        <v>0</v>
      </c>
      <c r="L935" s="6"/>
      <c r="M935" s="6">
        <f t="shared" si="57"/>
        <v>0</v>
      </c>
      <c r="N935" s="6">
        <f t="shared" si="58"/>
        <v>0</v>
      </c>
      <c r="O935" s="8" t="str">
        <f t="shared" si="59"/>
        <v/>
      </c>
    </row>
    <row r="936" spans="11:15" ht="17" customHeight="1">
      <c r="K936" s="1">
        <f t="shared" si="56"/>
        <v>0</v>
      </c>
      <c r="L936" s="6"/>
      <c r="M936" s="6">
        <f t="shared" si="57"/>
        <v>0</v>
      </c>
      <c r="N936" s="6">
        <f t="shared" si="58"/>
        <v>0</v>
      </c>
      <c r="O936" s="8" t="str">
        <f t="shared" si="59"/>
        <v/>
      </c>
    </row>
    <row r="937" spans="11:15" ht="17" customHeight="1">
      <c r="K937" s="1">
        <f t="shared" si="56"/>
        <v>0</v>
      </c>
      <c r="L937" s="6"/>
      <c r="M937" s="6">
        <f t="shared" si="57"/>
        <v>0</v>
      </c>
      <c r="N937" s="6">
        <f t="shared" si="58"/>
        <v>0</v>
      </c>
      <c r="O937" s="8" t="str">
        <f t="shared" si="59"/>
        <v/>
      </c>
    </row>
    <row r="938" spans="11:15" ht="17" customHeight="1">
      <c r="K938" s="1">
        <f t="shared" si="56"/>
        <v>0</v>
      </c>
      <c r="L938" s="6"/>
      <c r="M938" s="6">
        <f t="shared" si="57"/>
        <v>0</v>
      </c>
      <c r="N938" s="6">
        <f t="shared" si="58"/>
        <v>0</v>
      </c>
      <c r="O938" s="8" t="str">
        <f t="shared" si="59"/>
        <v/>
      </c>
    </row>
    <row r="939" spans="11:15" ht="17" customHeight="1">
      <c r="K939" s="1">
        <f t="shared" si="56"/>
        <v>0</v>
      </c>
      <c r="L939" s="6"/>
      <c r="M939" s="6">
        <f t="shared" si="57"/>
        <v>0</v>
      </c>
      <c r="N939" s="6">
        <f t="shared" si="58"/>
        <v>0</v>
      </c>
      <c r="O939" s="8" t="str">
        <f t="shared" si="59"/>
        <v/>
      </c>
    </row>
    <row r="940" spans="11:15" ht="17" customHeight="1">
      <c r="K940" s="1">
        <f t="shared" si="56"/>
        <v>0</v>
      </c>
      <c r="L940" s="6"/>
      <c r="M940" s="6">
        <f t="shared" si="57"/>
        <v>0</v>
      </c>
      <c r="N940" s="6">
        <f t="shared" si="58"/>
        <v>0</v>
      </c>
      <c r="O940" s="8" t="str">
        <f t="shared" si="59"/>
        <v/>
      </c>
    </row>
    <row r="941" spans="11:15" ht="17" customHeight="1">
      <c r="K941" s="1">
        <f t="shared" si="56"/>
        <v>0</v>
      </c>
      <c r="L941" s="6"/>
      <c r="M941" s="6">
        <f t="shared" si="57"/>
        <v>0</v>
      </c>
      <c r="N941" s="6">
        <f t="shared" si="58"/>
        <v>0</v>
      </c>
      <c r="O941" s="8" t="str">
        <f t="shared" si="59"/>
        <v/>
      </c>
    </row>
    <row r="942" spans="11:15" ht="17" customHeight="1">
      <c r="K942" s="1">
        <f t="shared" si="56"/>
        <v>0</v>
      </c>
      <c r="L942" s="6"/>
      <c r="M942" s="6">
        <f t="shared" si="57"/>
        <v>0</v>
      </c>
      <c r="N942" s="6">
        <f t="shared" si="58"/>
        <v>0</v>
      </c>
      <c r="O942" s="8" t="str">
        <f t="shared" si="59"/>
        <v/>
      </c>
    </row>
    <row r="943" spans="11:15" ht="17" customHeight="1">
      <c r="K943" s="1">
        <f t="shared" si="56"/>
        <v>0</v>
      </c>
      <c r="L943" s="6"/>
      <c r="M943" s="6">
        <f t="shared" si="57"/>
        <v>0</v>
      </c>
      <c r="N943" s="6">
        <f t="shared" si="58"/>
        <v>0</v>
      </c>
      <c r="O943" s="8" t="str">
        <f t="shared" si="59"/>
        <v/>
      </c>
    </row>
    <row r="944" spans="11:15" ht="17" customHeight="1">
      <c r="K944" s="1">
        <f t="shared" si="56"/>
        <v>0</v>
      </c>
      <c r="L944" s="6"/>
      <c r="M944" s="6">
        <f t="shared" si="57"/>
        <v>0</v>
      </c>
      <c r="N944" s="6">
        <f t="shared" si="58"/>
        <v>0</v>
      </c>
      <c r="O944" s="8" t="str">
        <f t="shared" si="59"/>
        <v/>
      </c>
    </row>
    <row r="945" spans="11:15" ht="17" customHeight="1">
      <c r="K945" s="1">
        <f t="shared" si="56"/>
        <v>0</v>
      </c>
      <c r="L945" s="6"/>
      <c r="M945" s="6">
        <f t="shared" si="57"/>
        <v>0</v>
      </c>
      <c r="N945" s="6">
        <f t="shared" si="58"/>
        <v>0</v>
      </c>
      <c r="O945" s="8" t="str">
        <f t="shared" si="59"/>
        <v/>
      </c>
    </row>
    <row r="946" spans="11:15" ht="17" customHeight="1">
      <c r="K946" s="1">
        <f t="shared" si="56"/>
        <v>0</v>
      </c>
      <c r="L946" s="6"/>
      <c r="M946" s="6">
        <f t="shared" si="57"/>
        <v>0</v>
      </c>
      <c r="N946" s="6">
        <f t="shared" si="58"/>
        <v>0</v>
      </c>
      <c r="O946" s="8" t="str">
        <f t="shared" si="59"/>
        <v/>
      </c>
    </row>
    <row r="947" spans="11:15" ht="17" customHeight="1">
      <c r="K947" s="1">
        <f t="shared" si="56"/>
        <v>0</v>
      </c>
      <c r="L947" s="6"/>
      <c r="M947" s="6">
        <f t="shared" si="57"/>
        <v>0</v>
      </c>
      <c r="N947" s="6">
        <f t="shared" si="58"/>
        <v>0</v>
      </c>
      <c r="O947" s="8" t="str">
        <f t="shared" si="59"/>
        <v/>
      </c>
    </row>
    <row r="948" spans="11:15" ht="17" customHeight="1">
      <c r="K948" s="1">
        <f t="shared" si="56"/>
        <v>0</v>
      </c>
      <c r="L948" s="6"/>
      <c r="M948" s="6">
        <f t="shared" si="57"/>
        <v>0</v>
      </c>
      <c r="N948" s="6">
        <f t="shared" si="58"/>
        <v>0</v>
      </c>
      <c r="O948" s="8" t="str">
        <f t="shared" si="59"/>
        <v/>
      </c>
    </row>
    <row r="949" spans="11:15" ht="17" customHeight="1">
      <c r="K949" s="1">
        <f t="shared" si="56"/>
        <v>0</v>
      </c>
      <c r="L949" s="6"/>
      <c r="M949" s="6">
        <f t="shared" si="57"/>
        <v>0</v>
      </c>
      <c r="N949" s="6">
        <f t="shared" si="58"/>
        <v>0</v>
      </c>
      <c r="O949" s="8" t="str">
        <f t="shared" si="59"/>
        <v/>
      </c>
    </row>
    <row r="950" spans="11:15" ht="17" customHeight="1">
      <c r="K950" s="1">
        <f t="shared" si="56"/>
        <v>0</v>
      </c>
      <c r="L950" s="6"/>
      <c r="M950" s="6">
        <f t="shared" si="57"/>
        <v>0</v>
      </c>
      <c r="N950" s="6">
        <f t="shared" si="58"/>
        <v>0</v>
      </c>
      <c r="O950" s="8" t="str">
        <f t="shared" si="59"/>
        <v/>
      </c>
    </row>
    <row r="951" spans="11:15" ht="17" customHeight="1">
      <c r="K951" s="1">
        <f t="shared" si="56"/>
        <v>0</v>
      </c>
      <c r="L951" s="6"/>
      <c r="M951" s="6">
        <f t="shared" si="57"/>
        <v>0</v>
      </c>
      <c r="N951" s="6">
        <f t="shared" si="58"/>
        <v>0</v>
      </c>
      <c r="O951" s="8" t="str">
        <f t="shared" si="59"/>
        <v/>
      </c>
    </row>
    <row r="952" spans="11:15" ht="17" customHeight="1">
      <c r="K952" s="1">
        <f t="shared" si="56"/>
        <v>0</v>
      </c>
      <c r="L952" s="6"/>
      <c r="M952" s="6">
        <f t="shared" si="57"/>
        <v>0</v>
      </c>
      <c r="N952" s="6">
        <f t="shared" si="58"/>
        <v>0</v>
      </c>
      <c r="O952" s="8" t="str">
        <f t="shared" si="59"/>
        <v/>
      </c>
    </row>
    <row r="953" spans="11:15" ht="17" customHeight="1">
      <c r="K953" s="1">
        <f t="shared" si="56"/>
        <v>0</v>
      </c>
      <c r="L953" s="6"/>
      <c r="M953" s="6">
        <f t="shared" si="57"/>
        <v>0</v>
      </c>
      <c r="N953" s="6">
        <f t="shared" si="58"/>
        <v>0</v>
      </c>
      <c r="O953" s="8" t="str">
        <f t="shared" si="59"/>
        <v/>
      </c>
    </row>
    <row r="954" spans="11:15" ht="17" customHeight="1">
      <c r="K954" s="1">
        <f t="shared" si="56"/>
        <v>0</v>
      </c>
      <c r="L954" s="6"/>
      <c r="M954" s="6">
        <f t="shared" si="57"/>
        <v>0</v>
      </c>
      <c r="N954" s="6">
        <f t="shared" si="58"/>
        <v>0</v>
      </c>
      <c r="O954" s="8" t="str">
        <f t="shared" si="59"/>
        <v/>
      </c>
    </row>
    <row r="955" spans="11:15" ht="17" customHeight="1">
      <c r="K955" s="1">
        <f t="shared" si="56"/>
        <v>0</v>
      </c>
      <c r="L955" s="6"/>
      <c r="M955" s="6">
        <f t="shared" si="57"/>
        <v>0</v>
      </c>
      <c r="N955" s="6">
        <f t="shared" si="58"/>
        <v>0</v>
      </c>
      <c r="O955" s="8" t="str">
        <f t="shared" si="59"/>
        <v/>
      </c>
    </row>
    <row r="956" spans="11:15" ht="17" customHeight="1">
      <c r="K956" s="1">
        <f t="shared" si="56"/>
        <v>0</v>
      </c>
      <c r="L956" s="6"/>
      <c r="M956" s="6">
        <f t="shared" si="57"/>
        <v>0</v>
      </c>
      <c r="N956" s="6">
        <f t="shared" si="58"/>
        <v>0</v>
      </c>
      <c r="O956" s="8" t="str">
        <f t="shared" si="59"/>
        <v/>
      </c>
    </row>
    <row r="957" spans="11:15" ht="17" customHeight="1">
      <c r="K957" s="1">
        <f t="shared" si="56"/>
        <v>0</v>
      </c>
      <c r="L957" s="6"/>
      <c r="M957" s="6">
        <f t="shared" si="57"/>
        <v>0</v>
      </c>
      <c r="N957" s="6">
        <f t="shared" si="58"/>
        <v>0</v>
      </c>
      <c r="O957" s="8" t="str">
        <f t="shared" si="59"/>
        <v/>
      </c>
    </row>
    <row r="958" spans="11:15" ht="17" customHeight="1">
      <c r="K958" s="1">
        <f t="shared" si="56"/>
        <v>0</v>
      </c>
      <c r="L958" s="6"/>
      <c r="M958" s="6">
        <f t="shared" si="57"/>
        <v>0</v>
      </c>
      <c r="N958" s="6">
        <f t="shared" si="58"/>
        <v>0</v>
      </c>
      <c r="O958" s="8" t="str">
        <f t="shared" si="59"/>
        <v/>
      </c>
    </row>
    <row r="959" spans="11:15" ht="17" customHeight="1">
      <c r="K959" s="1">
        <f t="shared" si="56"/>
        <v>0</v>
      </c>
      <c r="L959" s="6"/>
      <c r="M959" s="6">
        <f t="shared" si="57"/>
        <v>0</v>
      </c>
      <c r="N959" s="6">
        <f t="shared" si="58"/>
        <v>0</v>
      </c>
      <c r="O959" s="8" t="str">
        <f t="shared" si="59"/>
        <v/>
      </c>
    </row>
    <row r="960" spans="11:15" ht="17" customHeight="1">
      <c r="K960" s="1">
        <f t="shared" si="56"/>
        <v>0</v>
      </c>
      <c r="L960" s="6"/>
      <c r="M960" s="6">
        <f t="shared" si="57"/>
        <v>0</v>
      </c>
      <c r="N960" s="6">
        <f t="shared" si="58"/>
        <v>0</v>
      </c>
      <c r="O960" s="8" t="str">
        <f t="shared" si="59"/>
        <v/>
      </c>
    </row>
    <row r="961" spans="11:15" ht="17" customHeight="1">
      <c r="K961" s="1">
        <f t="shared" si="56"/>
        <v>0</v>
      </c>
      <c r="L961" s="6"/>
      <c r="M961" s="6">
        <f t="shared" si="57"/>
        <v>0</v>
      </c>
      <c r="N961" s="6">
        <f t="shared" si="58"/>
        <v>0</v>
      </c>
      <c r="O961" s="8" t="str">
        <f t="shared" si="59"/>
        <v/>
      </c>
    </row>
    <row r="962" spans="11:15" ht="17" customHeight="1">
      <c r="K962" s="1">
        <f t="shared" si="56"/>
        <v>0</v>
      </c>
      <c r="L962" s="6"/>
      <c r="M962" s="6">
        <f t="shared" si="57"/>
        <v>0</v>
      </c>
      <c r="N962" s="6">
        <f t="shared" si="58"/>
        <v>0</v>
      </c>
      <c r="O962" s="8" t="str">
        <f t="shared" si="59"/>
        <v/>
      </c>
    </row>
    <row r="963" spans="11:15" ht="17" customHeight="1">
      <c r="K963" s="1">
        <f t="shared" si="56"/>
        <v>0</v>
      </c>
      <c r="L963" s="6"/>
      <c r="M963" s="6">
        <f t="shared" si="57"/>
        <v>0</v>
      </c>
      <c r="N963" s="6">
        <f t="shared" si="58"/>
        <v>0</v>
      </c>
      <c r="O963" s="8" t="str">
        <f t="shared" si="59"/>
        <v/>
      </c>
    </row>
    <row r="964" spans="11:15" ht="17" customHeight="1">
      <c r="K964" s="1">
        <f t="shared" si="56"/>
        <v>0</v>
      </c>
      <c r="L964" s="6"/>
      <c r="M964" s="6">
        <f t="shared" si="57"/>
        <v>0</v>
      </c>
      <c r="N964" s="6">
        <f t="shared" si="58"/>
        <v>0</v>
      </c>
      <c r="O964" s="8" t="str">
        <f t="shared" si="59"/>
        <v/>
      </c>
    </row>
    <row r="965" spans="11:15" ht="17" customHeight="1">
      <c r="K965" s="1">
        <f t="shared" si="56"/>
        <v>0</v>
      </c>
      <c r="L965" s="6"/>
      <c r="M965" s="6">
        <f t="shared" si="57"/>
        <v>0</v>
      </c>
      <c r="N965" s="6">
        <f t="shared" si="58"/>
        <v>0</v>
      </c>
      <c r="O965" s="8" t="str">
        <f t="shared" si="59"/>
        <v/>
      </c>
    </row>
    <row r="966" spans="11:15" ht="17" customHeight="1">
      <c r="K966" s="1">
        <f t="shared" si="56"/>
        <v>0</v>
      </c>
      <c r="L966" s="6"/>
      <c r="M966" s="6">
        <f t="shared" si="57"/>
        <v>0</v>
      </c>
      <c r="N966" s="6">
        <f t="shared" si="58"/>
        <v>0</v>
      </c>
      <c r="O966" s="8" t="str">
        <f t="shared" si="59"/>
        <v/>
      </c>
    </row>
    <row r="967" spans="11:15" ht="17" customHeight="1">
      <c r="K967" s="1">
        <f t="shared" si="56"/>
        <v>0</v>
      </c>
      <c r="L967" s="6"/>
      <c r="M967" s="6">
        <f t="shared" si="57"/>
        <v>0</v>
      </c>
      <c r="N967" s="6">
        <f t="shared" si="58"/>
        <v>0</v>
      </c>
      <c r="O967" s="8" t="str">
        <f t="shared" si="59"/>
        <v/>
      </c>
    </row>
    <row r="968" spans="11:15" ht="17" customHeight="1">
      <c r="K968" s="1">
        <f t="shared" si="56"/>
        <v>0</v>
      </c>
      <c r="L968" s="6"/>
      <c r="M968" s="6">
        <f t="shared" si="57"/>
        <v>0</v>
      </c>
      <c r="N968" s="6">
        <f t="shared" si="58"/>
        <v>0</v>
      </c>
      <c r="O968" s="8" t="str">
        <f t="shared" si="59"/>
        <v/>
      </c>
    </row>
    <row r="969" spans="11:15" ht="17" customHeight="1">
      <c r="K969" s="1">
        <f t="shared" si="56"/>
        <v>0</v>
      </c>
      <c r="L969" s="6"/>
      <c r="M969" s="6">
        <f t="shared" si="57"/>
        <v>0</v>
      </c>
      <c r="N969" s="6">
        <f t="shared" si="58"/>
        <v>0</v>
      </c>
      <c r="O969" s="8" t="str">
        <f t="shared" si="59"/>
        <v/>
      </c>
    </row>
    <row r="970" spans="11:15" ht="17" customHeight="1">
      <c r="K970" s="1">
        <f t="shared" si="56"/>
        <v>0</v>
      </c>
      <c r="L970" s="6"/>
      <c r="M970" s="6">
        <f t="shared" si="57"/>
        <v>0</v>
      </c>
      <c r="N970" s="6">
        <f t="shared" si="58"/>
        <v>0</v>
      </c>
      <c r="O970" s="8" t="str">
        <f t="shared" si="59"/>
        <v/>
      </c>
    </row>
    <row r="971" spans="11:15" ht="17" customHeight="1">
      <c r="K971" s="1">
        <f t="shared" si="56"/>
        <v>0</v>
      </c>
      <c r="L971" s="6"/>
      <c r="M971" s="6">
        <f t="shared" si="57"/>
        <v>0</v>
      </c>
      <c r="N971" s="6">
        <f t="shared" si="58"/>
        <v>0</v>
      </c>
      <c r="O971" s="8" t="str">
        <f t="shared" si="59"/>
        <v/>
      </c>
    </row>
    <row r="972" spans="11:15" ht="17" customHeight="1">
      <c r="K972" s="1">
        <f t="shared" si="56"/>
        <v>0</v>
      </c>
      <c r="L972" s="6"/>
      <c r="M972" s="6">
        <f t="shared" si="57"/>
        <v>0</v>
      </c>
      <c r="N972" s="6">
        <f t="shared" si="58"/>
        <v>0</v>
      </c>
      <c r="O972" s="8" t="str">
        <f t="shared" si="59"/>
        <v/>
      </c>
    </row>
    <row r="973" spans="11:15" ht="17" customHeight="1">
      <c r="K973" s="1">
        <f t="shared" si="56"/>
        <v>0</v>
      </c>
      <c r="L973" s="6"/>
      <c r="M973" s="6">
        <f t="shared" si="57"/>
        <v>0</v>
      </c>
      <c r="N973" s="6">
        <f t="shared" si="58"/>
        <v>0</v>
      </c>
      <c r="O973" s="8" t="str">
        <f t="shared" si="59"/>
        <v/>
      </c>
    </row>
    <row r="974" spans="11:15" ht="17" customHeight="1">
      <c r="K974" s="1">
        <f t="shared" si="56"/>
        <v>0</v>
      </c>
      <c r="L974" s="6"/>
      <c r="M974" s="6">
        <f t="shared" si="57"/>
        <v>0</v>
      </c>
      <c r="N974" s="6">
        <f t="shared" si="58"/>
        <v>0</v>
      </c>
      <c r="O974" s="8" t="str">
        <f t="shared" si="59"/>
        <v/>
      </c>
    </row>
    <row r="975" spans="11:15" ht="17" customHeight="1">
      <c r="K975" s="1">
        <f t="shared" si="56"/>
        <v>0</v>
      </c>
      <c r="L975" s="6"/>
      <c r="M975" s="6">
        <f t="shared" si="57"/>
        <v>0</v>
      </c>
      <c r="N975" s="6">
        <f t="shared" si="58"/>
        <v>0</v>
      </c>
      <c r="O975" s="8" t="str">
        <f t="shared" si="59"/>
        <v/>
      </c>
    </row>
    <row r="976" spans="11:15" ht="17" customHeight="1">
      <c r="K976" s="1">
        <f t="shared" si="56"/>
        <v>0</v>
      </c>
      <c r="L976" s="6"/>
      <c r="M976" s="6">
        <f t="shared" si="57"/>
        <v>0</v>
      </c>
      <c r="N976" s="6">
        <f t="shared" si="58"/>
        <v>0</v>
      </c>
      <c r="O976" s="8" t="str">
        <f t="shared" si="59"/>
        <v/>
      </c>
    </row>
    <row r="977" spans="11:15" ht="17" customHeight="1">
      <c r="K977" s="1">
        <f t="shared" si="56"/>
        <v>0</v>
      </c>
      <c r="L977" s="6"/>
      <c r="M977" s="6">
        <f t="shared" si="57"/>
        <v>0</v>
      </c>
      <c r="N977" s="6">
        <f t="shared" si="58"/>
        <v>0</v>
      </c>
      <c r="O977" s="8" t="str">
        <f t="shared" si="59"/>
        <v/>
      </c>
    </row>
    <row r="978" spans="11:15" ht="17" customHeight="1">
      <c r="K978" s="1">
        <f t="shared" si="56"/>
        <v>0</v>
      </c>
      <c r="L978" s="6"/>
      <c r="M978" s="6">
        <f t="shared" si="57"/>
        <v>0</v>
      </c>
      <c r="N978" s="6">
        <f t="shared" si="58"/>
        <v>0</v>
      </c>
      <c r="O978" s="8" t="str">
        <f t="shared" si="59"/>
        <v/>
      </c>
    </row>
    <row r="979" spans="11:15" ht="17" customHeight="1">
      <c r="K979" s="1">
        <f t="shared" si="56"/>
        <v>0</v>
      </c>
      <c r="L979" s="6"/>
      <c r="M979" s="6">
        <f t="shared" si="57"/>
        <v>0</v>
      </c>
      <c r="N979" s="6">
        <f t="shared" si="58"/>
        <v>0</v>
      </c>
      <c r="O979" s="8" t="str">
        <f t="shared" si="59"/>
        <v/>
      </c>
    </row>
    <row r="980" spans="11:15" ht="17" customHeight="1">
      <c r="K980" s="1">
        <f t="shared" si="56"/>
        <v>0</v>
      </c>
      <c r="L980" s="6"/>
      <c r="M980" s="6">
        <f t="shared" si="57"/>
        <v>0</v>
      </c>
      <c r="N980" s="6">
        <f t="shared" si="58"/>
        <v>0</v>
      </c>
      <c r="O980" s="8" t="str">
        <f t="shared" si="59"/>
        <v/>
      </c>
    </row>
    <row r="981" spans="11:15" ht="17" customHeight="1">
      <c r="K981" s="1">
        <f t="shared" si="56"/>
        <v>0</v>
      </c>
      <c r="L981" s="6"/>
      <c r="M981" s="6">
        <f t="shared" si="57"/>
        <v>0</v>
      </c>
      <c r="N981" s="6">
        <f t="shared" si="58"/>
        <v>0</v>
      </c>
      <c r="O981" s="8" t="str">
        <f t="shared" si="59"/>
        <v/>
      </c>
    </row>
    <row r="982" spans="11:15" ht="17" customHeight="1">
      <c r="K982" s="1">
        <f t="shared" si="56"/>
        <v>0</v>
      </c>
      <c r="L982" s="6"/>
      <c r="M982" s="6">
        <f t="shared" si="57"/>
        <v>0</v>
      </c>
      <c r="N982" s="6">
        <f t="shared" si="58"/>
        <v>0</v>
      </c>
      <c r="O982" s="8" t="str">
        <f t="shared" si="59"/>
        <v/>
      </c>
    </row>
    <row r="983" spans="11:15" ht="17" customHeight="1">
      <c r="K983" s="1">
        <f t="shared" si="56"/>
        <v>0</v>
      </c>
      <c r="L983" s="6"/>
      <c r="M983" s="6">
        <f t="shared" si="57"/>
        <v>0</v>
      </c>
      <c r="N983" s="6">
        <f t="shared" si="58"/>
        <v>0</v>
      </c>
      <c r="O983" s="8" t="str">
        <f t="shared" si="59"/>
        <v/>
      </c>
    </row>
    <row r="984" spans="11:15" ht="17" customHeight="1">
      <c r="K984" s="1">
        <f t="shared" si="56"/>
        <v>0</v>
      </c>
      <c r="L984" s="6"/>
      <c r="M984" s="6">
        <f t="shared" si="57"/>
        <v>0</v>
      </c>
      <c r="N984" s="6">
        <f t="shared" si="58"/>
        <v>0</v>
      </c>
      <c r="O984" s="8" t="str">
        <f t="shared" si="59"/>
        <v/>
      </c>
    </row>
    <row r="985" spans="11:15" ht="17" customHeight="1">
      <c r="K985" s="1">
        <f t="shared" si="56"/>
        <v>0</v>
      </c>
      <c r="L985" s="6"/>
      <c r="M985" s="6">
        <f t="shared" si="57"/>
        <v>0</v>
      </c>
      <c r="N985" s="6">
        <f t="shared" si="58"/>
        <v>0</v>
      </c>
      <c r="O985" s="8" t="str">
        <f t="shared" si="59"/>
        <v/>
      </c>
    </row>
    <row r="986" spans="11:15" ht="17" customHeight="1">
      <c r="K986" s="1">
        <f t="shared" si="56"/>
        <v>0</v>
      </c>
      <c r="L986" s="6"/>
      <c r="M986" s="6">
        <f t="shared" si="57"/>
        <v>0</v>
      </c>
      <c r="N986" s="6">
        <f t="shared" si="58"/>
        <v>0</v>
      </c>
      <c r="O986" s="8" t="str">
        <f t="shared" si="59"/>
        <v/>
      </c>
    </row>
    <row r="987" spans="11:15" ht="17" customHeight="1">
      <c r="K987" s="1">
        <f t="shared" si="56"/>
        <v>0</v>
      </c>
      <c r="L987" s="6"/>
      <c r="M987" s="6">
        <f t="shared" si="57"/>
        <v>0</v>
      </c>
      <c r="N987" s="6">
        <f t="shared" si="58"/>
        <v>0</v>
      </c>
      <c r="O987" s="8" t="str">
        <f t="shared" si="59"/>
        <v/>
      </c>
    </row>
    <row r="988" spans="11:15" ht="17" customHeight="1">
      <c r="K988" s="1">
        <f t="shared" si="56"/>
        <v>0</v>
      </c>
      <c r="L988" s="6"/>
      <c r="M988" s="6">
        <f t="shared" si="57"/>
        <v>0</v>
      </c>
      <c r="N988" s="6">
        <f t="shared" si="58"/>
        <v>0</v>
      </c>
      <c r="O988" s="8" t="str">
        <f t="shared" si="59"/>
        <v/>
      </c>
    </row>
    <row r="989" spans="11:15" ht="17" customHeight="1">
      <c r="K989" s="1">
        <f t="shared" si="56"/>
        <v>0</v>
      </c>
      <c r="L989" s="6"/>
      <c r="M989" s="6">
        <f t="shared" si="57"/>
        <v>0</v>
      </c>
      <c r="N989" s="6">
        <f t="shared" si="58"/>
        <v>0</v>
      </c>
      <c r="O989" s="8" t="str">
        <f t="shared" si="59"/>
        <v/>
      </c>
    </row>
    <row r="990" spans="11:15" ht="17" customHeight="1">
      <c r="K990" s="1">
        <f t="shared" si="56"/>
        <v>0</v>
      </c>
      <c r="L990" s="6"/>
      <c r="M990" s="6">
        <f t="shared" si="57"/>
        <v>0</v>
      </c>
      <c r="N990" s="6">
        <f t="shared" si="58"/>
        <v>0</v>
      </c>
      <c r="O990" s="8" t="str">
        <f t="shared" si="59"/>
        <v/>
      </c>
    </row>
    <row r="991" spans="11:15" ht="17" customHeight="1">
      <c r="K991" s="1">
        <f t="shared" si="56"/>
        <v>0</v>
      </c>
      <c r="L991" s="6"/>
      <c r="M991" s="6">
        <f t="shared" si="57"/>
        <v>0</v>
      </c>
      <c r="N991" s="6">
        <f t="shared" si="58"/>
        <v>0</v>
      </c>
      <c r="O991" s="8" t="str">
        <f t="shared" si="59"/>
        <v/>
      </c>
    </row>
    <row r="992" spans="11:15" ht="17" customHeight="1">
      <c r="K992" s="1">
        <f t="shared" ref="K992:K1000" si="60">SUM(I992*0.15)</f>
        <v>0</v>
      </c>
      <c r="L992" s="6"/>
      <c r="M992" s="6">
        <f t="shared" ref="M992:M1055" si="61">SUM(H992*L992)</f>
        <v>0</v>
      </c>
      <c r="N992" s="6">
        <f t="shared" ref="N992:N1055" si="62">SUM(I992-K992-M992)</f>
        <v>0</v>
      </c>
      <c r="O992" s="8" t="str">
        <f t="shared" ref="O992:O1055" si="63">IF(I992=0,"",N992/I992)</f>
        <v/>
      </c>
    </row>
    <row r="993" spans="11:15" ht="17" customHeight="1">
      <c r="K993" s="1">
        <f t="shared" si="60"/>
        <v>0</v>
      </c>
      <c r="L993" s="6"/>
      <c r="M993" s="6">
        <f t="shared" si="61"/>
        <v>0</v>
      </c>
      <c r="N993" s="6">
        <f t="shared" si="62"/>
        <v>0</v>
      </c>
      <c r="O993" s="8" t="str">
        <f t="shared" si="63"/>
        <v/>
      </c>
    </row>
    <row r="994" spans="11:15" ht="17" customHeight="1">
      <c r="K994" s="1">
        <f t="shared" si="60"/>
        <v>0</v>
      </c>
      <c r="L994" s="6"/>
      <c r="M994" s="6">
        <f t="shared" si="61"/>
        <v>0</v>
      </c>
      <c r="N994" s="6">
        <f t="shared" si="62"/>
        <v>0</v>
      </c>
      <c r="O994" s="8" t="str">
        <f t="shared" si="63"/>
        <v/>
      </c>
    </row>
    <row r="995" spans="11:15" ht="17" customHeight="1">
      <c r="K995" s="1">
        <f t="shared" si="60"/>
        <v>0</v>
      </c>
      <c r="L995" s="6"/>
      <c r="M995" s="6">
        <f t="shared" si="61"/>
        <v>0</v>
      </c>
      <c r="N995" s="6">
        <f t="shared" si="62"/>
        <v>0</v>
      </c>
      <c r="O995" s="8" t="str">
        <f t="shared" si="63"/>
        <v/>
      </c>
    </row>
    <row r="996" spans="11:15" ht="17" customHeight="1">
      <c r="K996" s="1">
        <f t="shared" si="60"/>
        <v>0</v>
      </c>
      <c r="L996" s="6"/>
      <c r="M996" s="6">
        <f t="shared" si="61"/>
        <v>0</v>
      </c>
      <c r="N996" s="6">
        <f t="shared" si="62"/>
        <v>0</v>
      </c>
      <c r="O996" s="8" t="str">
        <f t="shared" si="63"/>
        <v/>
      </c>
    </row>
    <row r="997" spans="11:15" ht="17" customHeight="1">
      <c r="K997" s="1">
        <f t="shared" si="60"/>
        <v>0</v>
      </c>
      <c r="L997" s="6"/>
      <c r="M997" s="6">
        <f t="shared" si="61"/>
        <v>0</v>
      </c>
      <c r="N997" s="6">
        <f t="shared" si="62"/>
        <v>0</v>
      </c>
      <c r="O997" s="8" t="str">
        <f t="shared" si="63"/>
        <v/>
      </c>
    </row>
    <row r="998" spans="11:15" ht="17" customHeight="1">
      <c r="K998" s="1">
        <f t="shared" si="60"/>
        <v>0</v>
      </c>
      <c r="L998" s="6"/>
      <c r="M998" s="6">
        <f t="shared" si="61"/>
        <v>0</v>
      </c>
      <c r="N998" s="6">
        <f t="shared" si="62"/>
        <v>0</v>
      </c>
      <c r="O998" s="8" t="str">
        <f t="shared" si="63"/>
        <v/>
      </c>
    </row>
    <row r="999" spans="11:15" ht="17" customHeight="1">
      <c r="K999" s="1">
        <f t="shared" si="60"/>
        <v>0</v>
      </c>
      <c r="L999" s="6"/>
      <c r="M999" s="6">
        <f t="shared" si="61"/>
        <v>0</v>
      </c>
      <c r="N999" s="6">
        <f t="shared" si="62"/>
        <v>0</v>
      </c>
      <c r="O999" s="8" t="str">
        <f t="shared" si="63"/>
        <v/>
      </c>
    </row>
    <row r="1000" spans="11:15" ht="17" customHeight="1">
      <c r="K1000" s="1">
        <f t="shared" si="60"/>
        <v>0</v>
      </c>
      <c r="L1000" s="6"/>
      <c r="M1000" s="6">
        <f t="shared" si="61"/>
        <v>0</v>
      </c>
      <c r="N1000" s="6">
        <f t="shared" si="62"/>
        <v>0</v>
      </c>
      <c r="O1000" s="8" t="str">
        <f t="shared" si="63"/>
        <v/>
      </c>
    </row>
  </sheetData>
  <phoneticPr fontId="15"/>
  <conditionalFormatting sqref="H1:H320">
    <cfRule type="cellIs" dxfId="6" priority="3" operator="greaterThanOrEqual">
      <formula>10</formula>
    </cfRule>
  </conditionalFormatting>
  <conditionalFormatting sqref="H1:H1000">
    <cfRule type="cellIs" dxfId="5" priority="5" operator="between">
      <formula>5</formula>
      <formula>9</formula>
    </cfRule>
  </conditionalFormatting>
  <conditionalFormatting sqref="J1:J320">
    <cfRule type="cellIs" dxfId="4" priority="4" operator="greaterThanOrEqual">
      <formula>10</formula>
    </cfRule>
  </conditionalFormatting>
  <conditionalFormatting sqref="O1:O320">
    <cfRule type="cellIs" dxfId="3" priority="1" operator="lessThan">
      <formula>"20%"</formula>
    </cfRule>
    <cfRule type="cellIs" dxfId="2" priority="2" operator="greaterThan">
      <formula>"30%"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322"/>
  <sheetViews>
    <sheetView workbookViewId="0">
      <pane ySplit="7" topLeftCell="A293" activePane="bottomLeft" state="frozen"/>
      <selection pane="bottomLeft" activeCell="B9" sqref="B9"/>
    </sheetView>
  </sheetViews>
  <sheetFormatPr baseColWidth="10" defaultColWidth="12.6640625" defaultRowHeight="15.75" customHeight="1"/>
  <cols>
    <col min="1" max="1" width="29" customWidth="1"/>
    <col min="4" max="4" width="26.6640625" customWidth="1"/>
  </cols>
  <sheetData>
    <row r="1" spans="1:15" ht="15.75" customHeight="1">
      <c r="A1" s="1" t="s">
        <v>0</v>
      </c>
    </row>
    <row r="2" spans="1:15" ht="15.75" customHeight="1">
      <c r="A2" s="1" t="s">
        <v>1</v>
      </c>
    </row>
    <row r="3" spans="1:15" ht="15.75" customHeight="1">
      <c r="A3" s="1" t="s">
        <v>2</v>
      </c>
      <c r="B3" s="1" t="s">
        <v>1930</v>
      </c>
    </row>
    <row r="4" spans="1:15" ht="15.75" customHeight="1">
      <c r="A4" s="1" t="s">
        <v>4</v>
      </c>
      <c r="B4" s="1" t="s">
        <v>5</v>
      </c>
    </row>
    <row r="5" spans="1:15" ht="15.75" customHeight="1">
      <c r="A5" s="1" t="s">
        <v>6</v>
      </c>
      <c r="B5" s="1" t="s">
        <v>7</v>
      </c>
    </row>
    <row r="6" spans="1:15" ht="15.75" customHeight="1">
      <c r="A6" s="1" t="s">
        <v>8</v>
      </c>
    </row>
    <row r="7" spans="1:15" ht="15.75" customHeight="1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4" t="s">
        <v>19</v>
      </c>
      <c r="L7" s="7" t="s">
        <v>20</v>
      </c>
      <c r="M7" s="7" t="s">
        <v>21</v>
      </c>
      <c r="N7" s="7" t="s">
        <v>22</v>
      </c>
      <c r="O7" s="4" t="s">
        <v>23</v>
      </c>
    </row>
    <row r="8" spans="1:15" ht="15.75" customHeight="1">
      <c r="A8" s="1" t="s">
        <v>931</v>
      </c>
      <c r="C8" s="1" t="s">
        <v>932</v>
      </c>
      <c r="D8" s="1" t="s">
        <v>1931</v>
      </c>
      <c r="G8" s="1">
        <v>25980</v>
      </c>
      <c r="H8" s="1">
        <v>5</v>
      </c>
      <c r="I8" s="1">
        <v>129900</v>
      </c>
      <c r="J8" s="1">
        <v>5</v>
      </c>
      <c r="K8" s="1">
        <f t="shared" ref="K8:K71" si="0">SUM(I8*0.15)</f>
        <v>19485</v>
      </c>
      <c r="L8" s="6">
        <v>19800</v>
      </c>
      <c r="M8" s="6">
        <f t="shared" ref="M8:M71" si="1">SUM(H8*L8)</f>
        <v>99000</v>
      </c>
      <c r="N8" s="6">
        <f t="shared" ref="N8:N71" si="2">SUM(I8-K8-M8)</f>
        <v>11415</v>
      </c>
      <c r="O8" s="8">
        <f t="shared" ref="O8:O71" si="3">IF(I8=0,"",N8/I8)</f>
        <v>8.7875288683602767E-2</v>
      </c>
    </row>
    <row r="9" spans="1:15" ht="15.75" customHeight="1">
      <c r="A9" s="1" t="s">
        <v>1932</v>
      </c>
      <c r="C9" s="1" t="s">
        <v>1933</v>
      </c>
      <c r="D9" s="1" t="s">
        <v>1934</v>
      </c>
      <c r="G9" s="1">
        <v>25800</v>
      </c>
      <c r="H9" s="1">
        <v>5</v>
      </c>
      <c r="I9" s="1">
        <v>129000</v>
      </c>
      <c r="J9" s="1">
        <v>5</v>
      </c>
      <c r="K9" s="1">
        <f t="shared" si="0"/>
        <v>19350</v>
      </c>
      <c r="L9" s="6">
        <v>17800</v>
      </c>
      <c r="M9" s="6">
        <f t="shared" si="1"/>
        <v>89000</v>
      </c>
      <c r="N9" s="6">
        <f t="shared" si="2"/>
        <v>20650</v>
      </c>
      <c r="O9" s="8">
        <f t="shared" si="3"/>
        <v>0.16007751937984496</v>
      </c>
    </row>
    <row r="10" spans="1:15" ht="15.75" customHeight="1">
      <c r="A10" s="1" t="s">
        <v>1935</v>
      </c>
      <c r="C10" s="1" t="s">
        <v>1936</v>
      </c>
      <c r="D10" s="1" t="s">
        <v>1937</v>
      </c>
      <c r="G10" s="1">
        <v>23180</v>
      </c>
      <c r="H10" s="1">
        <v>5</v>
      </c>
      <c r="I10" s="1">
        <v>115900</v>
      </c>
      <c r="J10" s="1">
        <v>5</v>
      </c>
      <c r="K10" s="1">
        <f t="shared" si="0"/>
        <v>17385</v>
      </c>
      <c r="L10" s="6">
        <v>16700</v>
      </c>
      <c r="M10" s="6">
        <f t="shared" si="1"/>
        <v>83500</v>
      </c>
      <c r="N10" s="6">
        <f t="shared" si="2"/>
        <v>15015</v>
      </c>
      <c r="O10" s="8">
        <f t="shared" si="3"/>
        <v>0.12955133735979293</v>
      </c>
    </row>
    <row r="11" spans="1:15" ht="15.75" customHeight="1">
      <c r="A11" s="1" t="s">
        <v>96</v>
      </c>
      <c r="C11" s="1" t="s">
        <v>97</v>
      </c>
      <c r="D11" s="1" t="s">
        <v>1938</v>
      </c>
      <c r="G11" s="1">
        <v>19027</v>
      </c>
      <c r="H11" s="1">
        <v>6</v>
      </c>
      <c r="I11" s="1">
        <v>114160</v>
      </c>
      <c r="J11" s="1">
        <v>6</v>
      </c>
      <c r="K11" s="1">
        <f t="shared" si="0"/>
        <v>17124</v>
      </c>
      <c r="L11" s="6">
        <v>10524</v>
      </c>
      <c r="M11" s="6">
        <f t="shared" si="1"/>
        <v>63144</v>
      </c>
      <c r="N11" s="6">
        <f t="shared" si="2"/>
        <v>33892</v>
      </c>
      <c r="O11" s="8">
        <f t="shared" si="3"/>
        <v>0.29688156972669938</v>
      </c>
    </row>
    <row r="12" spans="1:15" ht="15.75" customHeight="1">
      <c r="A12" s="1" t="s">
        <v>24</v>
      </c>
      <c r="C12" s="1" t="s">
        <v>25</v>
      </c>
      <c r="D12" s="1" t="s">
        <v>1007</v>
      </c>
      <c r="G12" s="1">
        <v>2980</v>
      </c>
      <c r="H12" s="1">
        <v>21</v>
      </c>
      <c r="I12" s="1">
        <v>62580</v>
      </c>
      <c r="J12" s="1">
        <v>9</v>
      </c>
      <c r="K12" s="1">
        <f t="shared" si="0"/>
        <v>9387</v>
      </c>
      <c r="L12" s="6">
        <v>1300</v>
      </c>
      <c r="M12" s="6">
        <f t="shared" si="1"/>
        <v>27300</v>
      </c>
      <c r="N12" s="6">
        <f t="shared" si="2"/>
        <v>25893</v>
      </c>
      <c r="O12" s="8">
        <f t="shared" si="3"/>
        <v>0.41375838926174496</v>
      </c>
    </row>
    <row r="13" spans="1:15" ht="15.75" customHeight="1">
      <c r="A13" s="1" t="s">
        <v>1939</v>
      </c>
      <c r="C13" s="1" t="s">
        <v>937</v>
      </c>
      <c r="D13" s="1" t="s">
        <v>938</v>
      </c>
      <c r="G13" s="1">
        <v>13980</v>
      </c>
      <c r="H13" s="1">
        <v>4</v>
      </c>
      <c r="I13" s="1">
        <v>55920</v>
      </c>
      <c r="J13" s="1">
        <v>4</v>
      </c>
      <c r="K13" s="1">
        <f t="shared" si="0"/>
        <v>8388</v>
      </c>
      <c r="L13" s="6">
        <v>9952</v>
      </c>
      <c r="M13" s="6">
        <f t="shared" si="1"/>
        <v>39808</v>
      </c>
      <c r="N13" s="6">
        <f t="shared" si="2"/>
        <v>7724</v>
      </c>
      <c r="O13" s="8">
        <f t="shared" si="3"/>
        <v>0.13812589413447782</v>
      </c>
    </row>
    <row r="14" spans="1:15" ht="15.75" customHeight="1">
      <c r="A14" s="1" t="s">
        <v>1552</v>
      </c>
      <c r="C14" s="1">
        <v>4971710623796</v>
      </c>
      <c r="D14" s="1" t="s">
        <v>1553</v>
      </c>
      <c r="G14" s="1">
        <v>17980</v>
      </c>
      <c r="H14" s="1">
        <v>3</v>
      </c>
      <c r="I14" s="1">
        <v>53940</v>
      </c>
      <c r="J14" s="1">
        <v>3</v>
      </c>
      <c r="K14" s="1">
        <f t="shared" si="0"/>
        <v>8091</v>
      </c>
      <c r="L14" s="6">
        <v>11550</v>
      </c>
      <c r="M14" s="6">
        <f t="shared" si="1"/>
        <v>34650</v>
      </c>
      <c r="N14" s="6">
        <f t="shared" si="2"/>
        <v>11199</v>
      </c>
      <c r="O14" s="8">
        <f t="shared" si="3"/>
        <v>0.20761957730812014</v>
      </c>
    </row>
    <row r="15" spans="1:15" ht="15.75" customHeight="1">
      <c r="A15" s="1" t="s">
        <v>1514</v>
      </c>
      <c r="B15" s="1" t="s">
        <v>1940</v>
      </c>
      <c r="C15" s="1" t="s">
        <v>1516</v>
      </c>
      <c r="D15" s="1" t="s">
        <v>1517</v>
      </c>
      <c r="E15" s="1" t="s">
        <v>1941</v>
      </c>
      <c r="G15" s="1">
        <v>49800</v>
      </c>
      <c r="H15" s="1">
        <v>1</v>
      </c>
      <c r="I15" s="1">
        <v>49800</v>
      </c>
      <c r="J15" s="1">
        <v>1</v>
      </c>
      <c r="K15" s="1">
        <f t="shared" si="0"/>
        <v>7470</v>
      </c>
      <c r="L15" s="6">
        <v>37800</v>
      </c>
      <c r="M15" s="6">
        <f t="shared" si="1"/>
        <v>37800</v>
      </c>
      <c r="N15" s="6">
        <f t="shared" si="2"/>
        <v>4530</v>
      </c>
      <c r="O15" s="8">
        <f t="shared" si="3"/>
        <v>9.0963855421686751E-2</v>
      </c>
    </row>
    <row r="16" spans="1:15" ht="15.75" customHeight="1">
      <c r="A16" s="1" t="s">
        <v>892</v>
      </c>
      <c r="C16" s="1" t="s">
        <v>893</v>
      </c>
      <c r="D16" s="1" t="s">
        <v>894</v>
      </c>
      <c r="G16" s="1">
        <v>23980</v>
      </c>
      <c r="H16" s="1">
        <v>2</v>
      </c>
      <c r="I16" s="1">
        <v>47960</v>
      </c>
      <c r="J16" s="1">
        <v>2</v>
      </c>
      <c r="K16" s="1">
        <f t="shared" si="0"/>
        <v>7194</v>
      </c>
      <c r="L16" s="6">
        <v>19800</v>
      </c>
      <c r="M16" s="6">
        <f t="shared" si="1"/>
        <v>39600</v>
      </c>
      <c r="N16" s="6">
        <f t="shared" si="2"/>
        <v>1166</v>
      </c>
      <c r="O16" s="8">
        <f t="shared" si="3"/>
        <v>2.4311926605504589E-2</v>
      </c>
    </row>
    <row r="17" spans="1:15" ht="15.75" customHeight="1">
      <c r="A17" s="1" t="s">
        <v>1942</v>
      </c>
      <c r="C17" s="1" t="s">
        <v>36</v>
      </c>
      <c r="D17" s="1" t="s">
        <v>1943</v>
      </c>
      <c r="G17" s="1">
        <v>11680</v>
      </c>
      <c r="H17" s="1">
        <v>4</v>
      </c>
      <c r="I17" s="1">
        <v>46720</v>
      </c>
      <c r="J17" s="1">
        <v>2</v>
      </c>
      <c r="K17" s="1">
        <f t="shared" si="0"/>
        <v>7008</v>
      </c>
      <c r="L17" s="6">
        <v>5200</v>
      </c>
      <c r="M17" s="6">
        <f t="shared" si="1"/>
        <v>20800</v>
      </c>
      <c r="N17" s="6">
        <f t="shared" si="2"/>
        <v>18912</v>
      </c>
      <c r="O17" s="8">
        <f t="shared" si="3"/>
        <v>0.40479452054794518</v>
      </c>
    </row>
    <row r="18" spans="1:15" ht="15.75" customHeight="1">
      <c r="A18" s="1" t="s">
        <v>1522</v>
      </c>
      <c r="C18" s="1" t="s">
        <v>65</v>
      </c>
      <c r="D18" s="1" t="s">
        <v>1944</v>
      </c>
      <c r="G18" s="1">
        <v>8980</v>
      </c>
      <c r="H18" s="1">
        <v>5</v>
      </c>
      <c r="I18" s="1">
        <v>44900</v>
      </c>
      <c r="J18" s="1">
        <v>4</v>
      </c>
      <c r="K18" s="1">
        <f t="shared" si="0"/>
        <v>6735</v>
      </c>
      <c r="L18" s="6">
        <v>5890</v>
      </c>
      <c r="M18" s="6">
        <f t="shared" si="1"/>
        <v>29450</v>
      </c>
      <c r="N18" s="6">
        <f t="shared" si="2"/>
        <v>8715</v>
      </c>
      <c r="O18" s="8">
        <f t="shared" si="3"/>
        <v>0.19409799554565701</v>
      </c>
    </row>
    <row r="19" spans="1:15" ht="15.75" customHeight="1">
      <c r="A19" s="1" t="s">
        <v>177</v>
      </c>
      <c r="C19" s="1" t="s">
        <v>178</v>
      </c>
      <c r="D19" s="1" t="s">
        <v>179</v>
      </c>
      <c r="G19" s="1">
        <v>4280</v>
      </c>
      <c r="H19" s="1">
        <v>10</v>
      </c>
      <c r="I19" s="1">
        <v>42800</v>
      </c>
      <c r="J19" s="1">
        <v>10</v>
      </c>
      <c r="K19" s="1">
        <f t="shared" si="0"/>
        <v>6420</v>
      </c>
      <c r="L19" s="6">
        <v>2081</v>
      </c>
      <c r="M19" s="6">
        <f t="shared" si="1"/>
        <v>20810</v>
      </c>
      <c r="N19" s="6">
        <f t="shared" si="2"/>
        <v>15570</v>
      </c>
      <c r="O19" s="8">
        <f t="shared" si="3"/>
        <v>0.36378504672897194</v>
      </c>
    </row>
    <row r="20" spans="1:15" ht="15.75" customHeight="1">
      <c r="A20" s="1" t="s">
        <v>263</v>
      </c>
      <c r="C20" s="1" t="s">
        <v>264</v>
      </c>
      <c r="D20" s="1" t="s">
        <v>898</v>
      </c>
      <c r="G20" s="1">
        <v>4580</v>
      </c>
      <c r="H20" s="1">
        <v>9</v>
      </c>
      <c r="I20" s="1">
        <v>41220</v>
      </c>
      <c r="J20" s="1">
        <v>8</v>
      </c>
      <c r="K20" s="1">
        <f t="shared" si="0"/>
        <v>6183</v>
      </c>
      <c r="L20" s="6">
        <v>2126</v>
      </c>
      <c r="M20" s="6">
        <f t="shared" si="1"/>
        <v>19134</v>
      </c>
      <c r="N20" s="6">
        <f t="shared" si="2"/>
        <v>15903</v>
      </c>
      <c r="O20" s="8">
        <f t="shared" si="3"/>
        <v>0.38580786026200875</v>
      </c>
    </row>
    <row r="21" spans="1:15" ht="15.75" customHeight="1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132</v>
      </c>
      <c r="G21" s="1">
        <v>19800</v>
      </c>
      <c r="H21" s="1">
        <v>2</v>
      </c>
      <c r="I21" s="1">
        <v>39600</v>
      </c>
      <c r="J21" s="1">
        <v>2</v>
      </c>
      <c r="K21" s="1">
        <f t="shared" si="0"/>
        <v>5940</v>
      </c>
      <c r="L21" s="6">
        <v>13990</v>
      </c>
      <c r="M21" s="6">
        <f t="shared" si="1"/>
        <v>27980</v>
      </c>
      <c r="N21" s="6">
        <f t="shared" si="2"/>
        <v>5680</v>
      </c>
      <c r="O21" s="8">
        <f t="shared" si="3"/>
        <v>0.14343434343434344</v>
      </c>
    </row>
    <row r="22" spans="1:15" ht="15.75" customHeight="1">
      <c r="A22" s="1" t="s">
        <v>31</v>
      </c>
      <c r="C22" s="1" t="s">
        <v>32</v>
      </c>
      <c r="D22" s="1">
        <v>15980</v>
      </c>
      <c r="G22" s="1">
        <v>19480</v>
      </c>
      <c r="H22" s="1">
        <v>2</v>
      </c>
      <c r="I22" s="1">
        <v>38960</v>
      </c>
      <c r="J22" s="1">
        <v>2</v>
      </c>
      <c r="K22" s="1">
        <f t="shared" si="0"/>
        <v>5844</v>
      </c>
      <c r="L22" s="6">
        <v>15980</v>
      </c>
      <c r="M22" s="6">
        <f t="shared" si="1"/>
        <v>31960</v>
      </c>
      <c r="N22" s="6">
        <f t="shared" si="2"/>
        <v>1156</v>
      </c>
      <c r="O22" s="8">
        <f t="shared" si="3"/>
        <v>2.9671457905544148E-2</v>
      </c>
    </row>
    <row r="23" spans="1:15" ht="15.75" customHeight="1">
      <c r="A23" s="1" t="s">
        <v>907</v>
      </c>
      <c r="C23" s="1" t="s">
        <v>908</v>
      </c>
      <c r="D23" s="1" t="s">
        <v>909</v>
      </c>
      <c r="G23" s="1">
        <v>3405</v>
      </c>
      <c r="H23" s="1">
        <v>11</v>
      </c>
      <c r="I23" s="1">
        <v>37460</v>
      </c>
      <c r="J23" s="1">
        <v>10</v>
      </c>
      <c r="K23" s="1">
        <f t="shared" si="0"/>
        <v>5619</v>
      </c>
      <c r="L23" s="6">
        <v>1359</v>
      </c>
      <c r="M23" s="6">
        <f t="shared" si="1"/>
        <v>14949</v>
      </c>
      <c r="N23" s="6">
        <f t="shared" si="2"/>
        <v>16892</v>
      </c>
      <c r="O23" s="8">
        <f t="shared" si="3"/>
        <v>0.45093432995194876</v>
      </c>
    </row>
    <row r="24" spans="1:15" ht="15.75" customHeight="1">
      <c r="A24" s="1" t="s">
        <v>123</v>
      </c>
      <c r="C24" s="1">
        <v>4550391012121</v>
      </c>
      <c r="D24" s="1" t="s">
        <v>1500</v>
      </c>
      <c r="G24" s="1">
        <v>8180</v>
      </c>
      <c r="H24" s="1">
        <v>4</v>
      </c>
      <c r="I24" s="1">
        <v>32720</v>
      </c>
      <c r="J24" s="1">
        <v>4</v>
      </c>
      <c r="K24" s="1">
        <f t="shared" si="0"/>
        <v>4908</v>
      </c>
      <c r="L24" s="6">
        <v>1020</v>
      </c>
      <c r="M24" s="6">
        <f t="shared" si="1"/>
        <v>4080</v>
      </c>
      <c r="N24" s="6">
        <f t="shared" si="2"/>
        <v>23732</v>
      </c>
      <c r="O24" s="8">
        <f t="shared" si="3"/>
        <v>0.72530562347188265</v>
      </c>
    </row>
    <row r="25" spans="1:15" ht="15.75" customHeight="1">
      <c r="A25" s="1" t="s">
        <v>1561</v>
      </c>
      <c r="C25" s="1" t="s">
        <v>1562</v>
      </c>
      <c r="D25" s="1" t="s">
        <v>1563</v>
      </c>
      <c r="G25" s="1">
        <v>15980</v>
      </c>
      <c r="H25" s="1">
        <v>2</v>
      </c>
      <c r="I25" s="1">
        <v>31960</v>
      </c>
      <c r="J25" s="1">
        <v>2</v>
      </c>
      <c r="K25" s="1">
        <f t="shared" si="0"/>
        <v>4794</v>
      </c>
      <c r="L25" s="6">
        <v>11071</v>
      </c>
      <c r="M25" s="6">
        <f t="shared" si="1"/>
        <v>22142</v>
      </c>
      <c r="N25" s="6">
        <f t="shared" si="2"/>
        <v>5024</v>
      </c>
      <c r="O25" s="8">
        <f t="shared" si="3"/>
        <v>0.1571964956195244</v>
      </c>
    </row>
    <row r="26" spans="1:15" ht="15.75" customHeight="1">
      <c r="A26" s="1" t="s">
        <v>1945</v>
      </c>
      <c r="C26" s="1" t="s">
        <v>1946</v>
      </c>
      <c r="D26" s="1" t="s">
        <v>1947</v>
      </c>
      <c r="G26" s="1">
        <v>3980</v>
      </c>
      <c r="H26" s="1">
        <v>8</v>
      </c>
      <c r="I26" s="1">
        <v>31840</v>
      </c>
      <c r="J26" s="1">
        <v>7</v>
      </c>
      <c r="K26" s="1">
        <f t="shared" si="0"/>
        <v>4776</v>
      </c>
      <c r="L26" s="6">
        <v>2190</v>
      </c>
      <c r="M26" s="6">
        <f t="shared" si="1"/>
        <v>17520</v>
      </c>
      <c r="N26" s="6">
        <f t="shared" si="2"/>
        <v>9544</v>
      </c>
      <c r="O26" s="8">
        <f t="shared" si="3"/>
        <v>0.29974874371859295</v>
      </c>
    </row>
    <row r="27" spans="1:15" ht="15.75" customHeight="1">
      <c r="A27" s="1" t="s">
        <v>920</v>
      </c>
      <c r="C27" s="1" t="s">
        <v>921</v>
      </c>
      <c r="D27" s="1" t="s">
        <v>922</v>
      </c>
      <c r="G27" s="1">
        <v>30980</v>
      </c>
      <c r="H27" s="1">
        <v>1</v>
      </c>
      <c r="I27" s="1">
        <v>30980</v>
      </c>
      <c r="J27" s="1">
        <v>1</v>
      </c>
      <c r="K27" s="1">
        <f t="shared" si="0"/>
        <v>4647</v>
      </c>
      <c r="L27" s="6">
        <v>22800</v>
      </c>
      <c r="M27" s="6">
        <f t="shared" si="1"/>
        <v>22800</v>
      </c>
      <c r="N27" s="6">
        <f t="shared" si="2"/>
        <v>3533</v>
      </c>
      <c r="O27" s="8">
        <f t="shared" si="3"/>
        <v>0.11404131697869593</v>
      </c>
    </row>
    <row r="28" spans="1:15" ht="15.75" customHeight="1">
      <c r="A28" s="1" t="s">
        <v>1948</v>
      </c>
      <c r="C28" s="1" t="s">
        <v>1949</v>
      </c>
      <c r="D28" s="1" t="s">
        <v>1950</v>
      </c>
      <c r="G28" s="1">
        <v>30780</v>
      </c>
      <c r="H28" s="1">
        <v>1</v>
      </c>
      <c r="I28" s="1">
        <v>30780</v>
      </c>
      <c r="J28" s="1">
        <v>1</v>
      </c>
      <c r="K28" s="1">
        <f t="shared" si="0"/>
        <v>4617</v>
      </c>
      <c r="L28" s="6">
        <v>22800</v>
      </c>
      <c r="M28" s="6">
        <f t="shared" si="1"/>
        <v>22800</v>
      </c>
      <c r="N28" s="6">
        <f t="shared" si="2"/>
        <v>3363</v>
      </c>
      <c r="O28" s="8">
        <f t="shared" si="3"/>
        <v>0.10925925925925926</v>
      </c>
    </row>
    <row r="29" spans="1:15" ht="15.75" customHeight="1">
      <c r="A29" s="1" t="s">
        <v>1951</v>
      </c>
      <c r="C29" s="1" t="s">
        <v>1952</v>
      </c>
      <c r="D29" s="1">
        <v>21800</v>
      </c>
      <c r="G29" s="1">
        <v>29980</v>
      </c>
      <c r="H29" s="1">
        <v>1</v>
      </c>
      <c r="I29" s="1">
        <v>29980</v>
      </c>
      <c r="J29" s="1">
        <v>1</v>
      </c>
      <c r="K29" s="1">
        <f t="shared" si="0"/>
        <v>4497</v>
      </c>
      <c r="L29" s="6">
        <v>21800</v>
      </c>
      <c r="M29" s="6">
        <f t="shared" si="1"/>
        <v>21800</v>
      </c>
      <c r="N29" s="6">
        <f t="shared" si="2"/>
        <v>3683</v>
      </c>
      <c r="O29" s="8">
        <f t="shared" si="3"/>
        <v>0.12284856571047365</v>
      </c>
    </row>
    <row r="30" spans="1:15" ht="15.75" customHeight="1">
      <c r="A30" s="1" t="s">
        <v>239</v>
      </c>
      <c r="C30" s="1" t="s">
        <v>240</v>
      </c>
      <c r="D30" s="1" t="s">
        <v>241</v>
      </c>
      <c r="G30" s="1">
        <v>9980</v>
      </c>
      <c r="H30" s="1">
        <v>3</v>
      </c>
      <c r="I30" s="1">
        <v>29940</v>
      </c>
      <c r="J30" s="1">
        <v>3</v>
      </c>
      <c r="K30" s="1">
        <f t="shared" si="0"/>
        <v>4491</v>
      </c>
      <c r="L30" s="6">
        <v>6752</v>
      </c>
      <c r="M30" s="6">
        <f t="shared" si="1"/>
        <v>20256</v>
      </c>
      <c r="N30" s="6">
        <f t="shared" si="2"/>
        <v>5193</v>
      </c>
      <c r="O30" s="8">
        <f t="shared" si="3"/>
        <v>0.17344689378757516</v>
      </c>
    </row>
    <row r="31" spans="1:15" ht="15.75" customHeight="1">
      <c r="A31" s="1" t="s">
        <v>1622</v>
      </c>
      <c r="C31" s="1" t="s">
        <v>1623</v>
      </c>
      <c r="D31" s="1" t="s">
        <v>1624</v>
      </c>
      <c r="G31" s="1">
        <v>9500</v>
      </c>
      <c r="H31" s="1">
        <v>3</v>
      </c>
      <c r="I31" s="1">
        <v>28500</v>
      </c>
      <c r="J31" s="1">
        <v>3</v>
      </c>
      <c r="K31" s="1">
        <f t="shared" si="0"/>
        <v>4275</v>
      </c>
      <c r="L31" s="6">
        <v>10947</v>
      </c>
      <c r="M31" s="6">
        <f t="shared" si="1"/>
        <v>32841</v>
      </c>
      <c r="N31" s="6">
        <f t="shared" si="2"/>
        <v>-8616</v>
      </c>
      <c r="O31" s="8">
        <f t="shared" si="3"/>
        <v>-0.3023157894736842</v>
      </c>
    </row>
    <row r="32" spans="1:15" ht="15.75" customHeight="1">
      <c r="A32" s="1" t="s">
        <v>1508</v>
      </c>
      <c r="C32" s="1" t="s">
        <v>1509</v>
      </c>
      <c r="D32" s="1" t="s">
        <v>1510</v>
      </c>
      <c r="G32" s="1">
        <v>3480</v>
      </c>
      <c r="H32" s="1">
        <v>8</v>
      </c>
      <c r="I32" s="1">
        <v>27840</v>
      </c>
      <c r="J32" s="1">
        <v>2</v>
      </c>
      <c r="K32" s="1">
        <f t="shared" si="0"/>
        <v>4176</v>
      </c>
      <c r="L32" s="6">
        <v>1314</v>
      </c>
      <c r="M32" s="6">
        <f t="shared" si="1"/>
        <v>10512</v>
      </c>
      <c r="N32" s="6">
        <f t="shared" si="2"/>
        <v>13152</v>
      </c>
      <c r="O32" s="8">
        <f t="shared" si="3"/>
        <v>0.47241379310344828</v>
      </c>
    </row>
    <row r="33" spans="1:15" ht="15.75" customHeight="1">
      <c r="A33" s="1" t="s">
        <v>1953</v>
      </c>
      <c r="C33" s="1" t="s">
        <v>1020</v>
      </c>
      <c r="D33" s="1" t="s">
        <v>1021</v>
      </c>
      <c r="G33" s="1">
        <v>3580</v>
      </c>
      <c r="H33" s="1">
        <v>7</v>
      </c>
      <c r="I33" s="1">
        <v>25060</v>
      </c>
      <c r="J33" s="1">
        <v>7</v>
      </c>
      <c r="K33" s="1">
        <f t="shared" si="0"/>
        <v>3759</v>
      </c>
      <c r="L33" s="6">
        <v>1182</v>
      </c>
      <c r="M33" s="6">
        <f t="shared" si="1"/>
        <v>8274</v>
      </c>
      <c r="N33" s="6">
        <f t="shared" si="2"/>
        <v>13027</v>
      </c>
      <c r="O33" s="8">
        <f t="shared" si="3"/>
        <v>0.51983240223463689</v>
      </c>
    </row>
    <row r="34" spans="1:15" ht="15.75" customHeight="1">
      <c r="A34" s="1" t="s">
        <v>943</v>
      </c>
      <c r="C34" s="1" t="s">
        <v>944</v>
      </c>
      <c r="D34" s="1" t="s">
        <v>1954</v>
      </c>
      <c r="G34" s="1">
        <v>24980</v>
      </c>
      <c r="H34" s="1">
        <v>1</v>
      </c>
      <c r="I34" s="1">
        <v>24980</v>
      </c>
      <c r="J34" s="1">
        <v>1</v>
      </c>
      <c r="K34" s="1">
        <f t="shared" si="0"/>
        <v>3747</v>
      </c>
      <c r="L34" s="6">
        <v>18800</v>
      </c>
      <c r="M34" s="6">
        <f t="shared" si="1"/>
        <v>18800</v>
      </c>
      <c r="N34" s="6">
        <f t="shared" si="2"/>
        <v>2433</v>
      </c>
      <c r="O34" s="8">
        <f t="shared" si="3"/>
        <v>9.7397918334667738E-2</v>
      </c>
    </row>
    <row r="35" spans="1:15" ht="15.75" customHeight="1">
      <c r="A35" s="1" t="s">
        <v>354</v>
      </c>
      <c r="C35" s="1" t="s">
        <v>355</v>
      </c>
      <c r="D35" s="1" t="s">
        <v>1397</v>
      </c>
      <c r="G35" s="1">
        <v>2225</v>
      </c>
      <c r="H35" s="1">
        <v>11</v>
      </c>
      <c r="I35" s="1">
        <v>24480</v>
      </c>
      <c r="J35" s="1">
        <v>10</v>
      </c>
      <c r="K35" s="1">
        <f t="shared" si="0"/>
        <v>3672</v>
      </c>
      <c r="L35" s="6">
        <v>358</v>
      </c>
      <c r="M35" s="6">
        <f t="shared" si="1"/>
        <v>3938</v>
      </c>
      <c r="N35" s="6">
        <f t="shared" si="2"/>
        <v>16870</v>
      </c>
      <c r="O35" s="8">
        <f t="shared" si="3"/>
        <v>0.68913398692810457</v>
      </c>
    </row>
    <row r="36" spans="1:15" ht="15.75" customHeight="1">
      <c r="A36" s="1" t="s">
        <v>113</v>
      </c>
      <c r="C36" s="1" t="s">
        <v>114</v>
      </c>
      <c r="D36" s="1" t="s">
        <v>1564</v>
      </c>
      <c r="G36" s="1">
        <v>3480</v>
      </c>
      <c r="H36" s="1">
        <v>7</v>
      </c>
      <c r="I36" s="1">
        <v>24360</v>
      </c>
      <c r="J36" s="1">
        <v>4</v>
      </c>
      <c r="K36" s="1">
        <f t="shared" si="0"/>
        <v>3654</v>
      </c>
      <c r="L36" s="6">
        <v>1980</v>
      </c>
      <c r="M36" s="6">
        <f t="shared" si="1"/>
        <v>13860</v>
      </c>
      <c r="N36" s="6">
        <f t="shared" si="2"/>
        <v>6846</v>
      </c>
      <c r="O36" s="8">
        <f t="shared" si="3"/>
        <v>0.2810344827586207</v>
      </c>
    </row>
    <row r="37" spans="1:15" ht="15.75" customHeight="1">
      <c r="A37" s="1" t="s">
        <v>1955</v>
      </c>
      <c r="C37" s="1" t="s">
        <v>1956</v>
      </c>
      <c r="D37" s="1" t="s">
        <v>1957</v>
      </c>
      <c r="G37" s="1">
        <v>23800</v>
      </c>
      <c r="H37" s="1">
        <v>1</v>
      </c>
      <c r="I37" s="1">
        <v>23800</v>
      </c>
      <c r="J37" s="1">
        <v>1</v>
      </c>
      <c r="K37" s="1">
        <f t="shared" si="0"/>
        <v>3570</v>
      </c>
      <c r="L37" s="6">
        <v>13980</v>
      </c>
      <c r="M37" s="6">
        <f t="shared" si="1"/>
        <v>13980</v>
      </c>
      <c r="N37" s="6">
        <f t="shared" si="2"/>
        <v>6250</v>
      </c>
      <c r="O37" s="8">
        <f t="shared" si="3"/>
        <v>0.26260504201680673</v>
      </c>
    </row>
    <row r="38" spans="1:15" ht="15.75" customHeight="1">
      <c r="A38" s="1" t="s">
        <v>422</v>
      </c>
      <c r="B38" s="1" t="s">
        <v>233</v>
      </c>
      <c r="C38" s="1" t="s">
        <v>423</v>
      </c>
      <c r="D38" s="1" t="s">
        <v>424</v>
      </c>
      <c r="E38" s="1" t="s">
        <v>425</v>
      </c>
      <c r="G38" s="1">
        <v>5280</v>
      </c>
      <c r="H38" s="1">
        <v>4</v>
      </c>
      <c r="I38" s="1">
        <v>21120</v>
      </c>
      <c r="J38" s="1">
        <v>4</v>
      </c>
      <c r="K38" s="1">
        <f t="shared" si="0"/>
        <v>3168</v>
      </c>
      <c r="L38" s="6">
        <v>2980</v>
      </c>
      <c r="M38" s="6">
        <f t="shared" si="1"/>
        <v>11920</v>
      </c>
      <c r="N38" s="6">
        <f t="shared" si="2"/>
        <v>6032</v>
      </c>
      <c r="O38" s="8">
        <f t="shared" si="3"/>
        <v>0.28560606060606059</v>
      </c>
    </row>
    <row r="39" spans="1:15" ht="15.75" customHeight="1">
      <c r="A39" s="1" t="s">
        <v>918</v>
      </c>
      <c r="C39" s="1">
        <v>4550391011919</v>
      </c>
      <c r="D39" s="1" t="s">
        <v>919</v>
      </c>
      <c r="G39" s="1">
        <v>2980</v>
      </c>
      <c r="H39" s="1">
        <v>7</v>
      </c>
      <c r="I39" s="1">
        <v>20860</v>
      </c>
      <c r="J39" s="1">
        <v>4</v>
      </c>
      <c r="K39" s="1">
        <f t="shared" si="0"/>
        <v>3129</v>
      </c>
      <c r="L39" s="6">
        <v>1224</v>
      </c>
      <c r="M39" s="6">
        <f t="shared" si="1"/>
        <v>8568</v>
      </c>
      <c r="N39" s="6">
        <f t="shared" si="2"/>
        <v>9163</v>
      </c>
      <c r="O39" s="8">
        <f t="shared" si="3"/>
        <v>0.43926174496644294</v>
      </c>
    </row>
    <row r="40" spans="1:15" ht="15.75" customHeight="1">
      <c r="A40" s="1" t="s">
        <v>116</v>
      </c>
      <c r="C40" s="1" t="s">
        <v>117</v>
      </c>
      <c r="D40" s="1">
        <v>358</v>
      </c>
      <c r="G40" s="1">
        <v>2937</v>
      </c>
      <c r="H40" s="1">
        <v>7</v>
      </c>
      <c r="I40" s="1">
        <v>20560</v>
      </c>
      <c r="J40" s="1">
        <v>5</v>
      </c>
      <c r="K40" s="1">
        <f t="shared" si="0"/>
        <v>3084</v>
      </c>
      <c r="L40" s="6">
        <v>358</v>
      </c>
      <c r="M40" s="6">
        <f t="shared" si="1"/>
        <v>2506</v>
      </c>
      <c r="N40" s="6">
        <f t="shared" si="2"/>
        <v>14970</v>
      </c>
      <c r="O40" s="8">
        <f t="shared" si="3"/>
        <v>0.72811284046692604</v>
      </c>
    </row>
    <row r="41" spans="1:15" ht="15.75" customHeight="1">
      <c r="A41" s="1" t="s">
        <v>1958</v>
      </c>
      <c r="C41" s="1" t="s">
        <v>1196</v>
      </c>
      <c r="D41" s="1" t="s">
        <v>1197</v>
      </c>
      <c r="G41" s="1">
        <v>3980</v>
      </c>
      <c r="H41" s="1">
        <v>5</v>
      </c>
      <c r="I41" s="1">
        <v>19900</v>
      </c>
      <c r="J41" s="1">
        <v>4</v>
      </c>
      <c r="K41" s="1">
        <f t="shared" si="0"/>
        <v>2985</v>
      </c>
      <c r="L41" s="6">
        <v>1998</v>
      </c>
      <c r="M41" s="6">
        <f t="shared" si="1"/>
        <v>9990</v>
      </c>
      <c r="N41" s="6">
        <f t="shared" si="2"/>
        <v>6925</v>
      </c>
      <c r="O41" s="8">
        <f t="shared" si="3"/>
        <v>0.3479899497487437</v>
      </c>
    </row>
    <row r="42" spans="1:15" ht="15.75" customHeight="1">
      <c r="A42" s="1" t="s">
        <v>1959</v>
      </c>
      <c r="C42" s="1" t="s">
        <v>1960</v>
      </c>
      <c r="D42" s="1" t="s">
        <v>1961</v>
      </c>
      <c r="G42" s="1">
        <v>3980</v>
      </c>
      <c r="H42" s="1">
        <v>5</v>
      </c>
      <c r="I42" s="1">
        <v>19900</v>
      </c>
      <c r="J42" s="1">
        <v>4</v>
      </c>
      <c r="K42" s="1">
        <f t="shared" si="0"/>
        <v>2985</v>
      </c>
      <c r="L42" s="6">
        <v>2344</v>
      </c>
      <c r="M42" s="6">
        <f t="shared" si="1"/>
        <v>11720</v>
      </c>
      <c r="N42" s="6">
        <f t="shared" si="2"/>
        <v>5195</v>
      </c>
      <c r="O42" s="8">
        <f t="shared" si="3"/>
        <v>0.26105527638190956</v>
      </c>
    </row>
    <row r="43" spans="1:15" ht="15.75" customHeight="1">
      <c r="A43" s="1" t="s">
        <v>128</v>
      </c>
      <c r="B43" s="1" t="s">
        <v>1962</v>
      </c>
      <c r="C43" s="1" t="s">
        <v>130</v>
      </c>
      <c r="D43" s="1" t="s">
        <v>131</v>
      </c>
      <c r="E43" s="1" t="s">
        <v>1963</v>
      </c>
      <c r="G43" s="1">
        <v>19800</v>
      </c>
      <c r="H43" s="1">
        <v>1</v>
      </c>
      <c r="I43" s="1">
        <v>19800</v>
      </c>
      <c r="J43" s="1">
        <v>1</v>
      </c>
      <c r="K43" s="1">
        <f t="shared" si="0"/>
        <v>2970</v>
      </c>
      <c r="L43" s="6">
        <v>13990</v>
      </c>
      <c r="M43" s="6">
        <f t="shared" si="1"/>
        <v>13990</v>
      </c>
      <c r="N43" s="6">
        <f t="shared" si="2"/>
        <v>2840</v>
      </c>
      <c r="O43" s="8">
        <f t="shared" si="3"/>
        <v>0.14343434343434344</v>
      </c>
    </row>
    <row r="44" spans="1:15" ht="15.75" customHeight="1">
      <c r="A44" s="1" t="s">
        <v>128</v>
      </c>
      <c r="B44" s="1" t="s">
        <v>951</v>
      </c>
      <c r="C44" s="1" t="s">
        <v>130</v>
      </c>
      <c r="D44" s="1" t="s">
        <v>131</v>
      </c>
      <c r="E44" s="1" t="s">
        <v>952</v>
      </c>
      <c r="G44" s="1">
        <v>19800</v>
      </c>
      <c r="H44" s="1">
        <v>1</v>
      </c>
      <c r="I44" s="1">
        <v>19800</v>
      </c>
      <c r="J44" s="1">
        <v>1</v>
      </c>
      <c r="K44" s="1">
        <f t="shared" si="0"/>
        <v>2970</v>
      </c>
      <c r="L44" s="6">
        <v>13990</v>
      </c>
      <c r="M44" s="6">
        <f t="shared" si="1"/>
        <v>13990</v>
      </c>
      <c r="N44" s="6">
        <f t="shared" si="2"/>
        <v>2840</v>
      </c>
      <c r="O44" s="8">
        <f t="shared" si="3"/>
        <v>0.14343434343434344</v>
      </c>
    </row>
    <row r="45" spans="1:15" ht="15.75" customHeight="1">
      <c r="A45" s="1" t="s">
        <v>128</v>
      </c>
      <c r="B45" s="1" t="s">
        <v>1303</v>
      </c>
      <c r="C45" s="1" t="s">
        <v>130</v>
      </c>
      <c r="D45" s="1" t="s">
        <v>131</v>
      </c>
      <c r="E45" s="1" t="s">
        <v>1548</v>
      </c>
      <c r="G45" s="1">
        <v>19800</v>
      </c>
      <c r="H45" s="1">
        <v>1</v>
      </c>
      <c r="I45" s="1">
        <v>19800</v>
      </c>
      <c r="J45" s="1">
        <v>1</v>
      </c>
      <c r="K45" s="1">
        <f t="shared" si="0"/>
        <v>2970</v>
      </c>
      <c r="L45" s="6">
        <v>13990</v>
      </c>
      <c r="M45" s="6">
        <f t="shared" si="1"/>
        <v>13990</v>
      </c>
      <c r="N45" s="6">
        <f t="shared" si="2"/>
        <v>2840</v>
      </c>
      <c r="O45" s="8">
        <f t="shared" si="3"/>
        <v>0.14343434343434344</v>
      </c>
    </row>
    <row r="46" spans="1:15" ht="15.75" customHeight="1">
      <c r="A46" s="1" t="s">
        <v>1964</v>
      </c>
      <c r="B46" s="1" t="s">
        <v>133</v>
      </c>
      <c r="C46" s="1" t="s">
        <v>930</v>
      </c>
      <c r="D46" s="1" t="s">
        <v>1965</v>
      </c>
      <c r="E46" s="1" t="s">
        <v>1966</v>
      </c>
      <c r="G46" s="1">
        <v>9730</v>
      </c>
      <c r="H46" s="1">
        <v>2</v>
      </c>
      <c r="I46" s="1">
        <v>19460</v>
      </c>
      <c r="J46" s="1">
        <v>2</v>
      </c>
      <c r="K46" s="1">
        <f t="shared" si="0"/>
        <v>2919</v>
      </c>
      <c r="L46" s="6">
        <v>6490</v>
      </c>
      <c r="M46" s="6">
        <f t="shared" si="1"/>
        <v>12980</v>
      </c>
      <c r="N46" s="6">
        <f t="shared" si="2"/>
        <v>3561</v>
      </c>
      <c r="O46" s="8">
        <f t="shared" si="3"/>
        <v>0.18299075025693731</v>
      </c>
    </row>
    <row r="47" spans="1:15" ht="15.75" customHeight="1">
      <c r="A47" s="1" t="s">
        <v>174</v>
      </c>
      <c r="C47" s="1" t="s">
        <v>175</v>
      </c>
      <c r="D47" s="1">
        <v>3882</v>
      </c>
      <c r="G47" s="1">
        <v>6480</v>
      </c>
      <c r="H47" s="1">
        <v>3</v>
      </c>
      <c r="I47" s="1">
        <v>19440</v>
      </c>
      <c r="J47" s="1">
        <v>3</v>
      </c>
      <c r="K47" s="1">
        <f t="shared" si="0"/>
        <v>2916</v>
      </c>
      <c r="L47" s="6">
        <v>3882</v>
      </c>
      <c r="M47" s="6">
        <f t="shared" si="1"/>
        <v>11646</v>
      </c>
      <c r="N47" s="6">
        <f t="shared" si="2"/>
        <v>4878</v>
      </c>
      <c r="O47" s="8">
        <f t="shared" si="3"/>
        <v>0.25092592592592594</v>
      </c>
    </row>
    <row r="48" spans="1:15" ht="15.75" customHeight="1">
      <c r="A48" s="1" t="s">
        <v>147</v>
      </c>
      <c r="C48" s="1" t="s">
        <v>148</v>
      </c>
      <c r="D48" s="1" t="s">
        <v>1967</v>
      </c>
      <c r="G48" s="1">
        <v>2113</v>
      </c>
      <c r="H48" s="1">
        <v>9</v>
      </c>
      <c r="I48" s="1">
        <v>19020</v>
      </c>
      <c r="J48" s="1">
        <v>4</v>
      </c>
      <c r="K48" s="1">
        <f t="shared" si="0"/>
        <v>2853</v>
      </c>
      <c r="L48" s="6">
        <v>852</v>
      </c>
      <c r="M48" s="6">
        <f t="shared" si="1"/>
        <v>7668</v>
      </c>
      <c r="N48" s="6">
        <f t="shared" si="2"/>
        <v>8499</v>
      </c>
      <c r="O48" s="8">
        <f t="shared" si="3"/>
        <v>0.44684542586750786</v>
      </c>
    </row>
    <row r="49" spans="1:15" ht="15.75" customHeight="1">
      <c r="A49" s="1" t="s">
        <v>52</v>
      </c>
      <c r="B49" s="1" t="s">
        <v>212</v>
      </c>
      <c r="C49" s="1" t="s">
        <v>54</v>
      </c>
      <c r="D49" s="1" t="s">
        <v>55</v>
      </c>
      <c r="E49" s="1" t="s">
        <v>266</v>
      </c>
      <c r="G49" s="1">
        <v>9480</v>
      </c>
      <c r="H49" s="1">
        <v>2</v>
      </c>
      <c r="I49" s="1">
        <v>18960</v>
      </c>
      <c r="J49" s="1">
        <v>2</v>
      </c>
      <c r="K49" s="1">
        <f t="shared" si="0"/>
        <v>2844</v>
      </c>
      <c r="L49" s="6">
        <v>6390</v>
      </c>
      <c r="M49" s="6">
        <f t="shared" si="1"/>
        <v>12780</v>
      </c>
      <c r="N49" s="6">
        <f t="shared" si="2"/>
        <v>3336</v>
      </c>
      <c r="O49" s="8">
        <f t="shared" si="3"/>
        <v>0.17594936708860759</v>
      </c>
    </row>
    <row r="50" spans="1:15" ht="15.75" customHeight="1">
      <c r="A50" s="1" t="s">
        <v>52</v>
      </c>
      <c r="B50" s="1" t="s">
        <v>133</v>
      </c>
      <c r="C50" s="1" t="s">
        <v>54</v>
      </c>
      <c r="D50" s="1" t="s">
        <v>55</v>
      </c>
      <c r="E50" s="1" t="s">
        <v>134</v>
      </c>
      <c r="G50" s="1">
        <v>9480</v>
      </c>
      <c r="H50" s="1">
        <v>2</v>
      </c>
      <c r="I50" s="1">
        <v>18960</v>
      </c>
      <c r="J50" s="1">
        <v>2</v>
      </c>
      <c r="K50" s="1">
        <f t="shared" si="0"/>
        <v>2844</v>
      </c>
      <c r="L50" s="6">
        <v>6390</v>
      </c>
      <c r="M50" s="6">
        <f t="shared" si="1"/>
        <v>12780</v>
      </c>
      <c r="N50" s="6">
        <f t="shared" si="2"/>
        <v>3336</v>
      </c>
      <c r="O50" s="8">
        <f t="shared" si="3"/>
        <v>0.17594936708860759</v>
      </c>
    </row>
    <row r="51" spans="1:15" ht="15.75" customHeight="1">
      <c r="A51" s="1" t="s">
        <v>1968</v>
      </c>
      <c r="C51" s="1" t="s">
        <v>1649</v>
      </c>
      <c r="D51" s="1" t="s">
        <v>1969</v>
      </c>
      <c r="G51" s="1">
        <v>2709</v>
      </c>
      <c r="H51" s="1">
        <v>7</v>
      </c>
      <c r="I51" s="1">
        <v>18960</v>
      </c>
      <c r="J51" s="1">
        <v>7</v>
      </c>
      <c r="K51" s="1">
        <f t="shared" si="0"/>
        <v>2844</v>
      </c>
      <c r="L51" s="6">
        <v>1538</v>
      </c>
      <c r="M51" s="6">
        <f t="shared" si="1"/>
        <v>10766</v>
      </c>
      <c r="N51" s="6">
        <f t="shared" si="2"/>
        <v>5350</v>
      </c>
      <c r="O51" s="8">
        <f t="shared" si="3"/>
        <v>0.28217299578059074</v>
      </c>
    </row>
    <row r="52" spans="1:15" ht="15.75" customHeight="1">
      <c r="A52" s="1" t="s">
        <v>473</v>
      </c>
      <c r="C52" s="1" t="s">
        <v>474</v>
      </c>
      <c r="D52" s="1" t="s">
        <v>1193</v>
      </c>
      <c r="G52" s="1">
        <v>1180</v>
      </c>
      <c r="H52" s="1">
        <v>16</v>
      </c>
      <c r="I52" s="1">
        <v>18880</v>
      </c>
      <c r="J52" s="1">
        <v>9</v>
      </c>
      <c r="K52" s="1">
        <f t="shared" si="0"/>
        <v>2832</v>
      </c>
      <c r="L52" s="6">
        <v>396</v>
      </c>
      <c r="M52" s="6">
        <f t="shared" si="1"/>
        <v>6336</v>
      </c>
      <c r="N52" s="6">
        <f t="shared" si="2"/>
        <v>9712</v>
      </c>
      <c r="O52" s="8">
        <f t="shared" si="3"/>
        <v>0.514406779661017</v>
      </c>
    </row>
    <row r="53" spans="1:15" ht="15.75" customHeight="1">
      <c r="A53" s="1" t="s">
        <v>1970</v>
      </c>
      <c r="C53" s="1">
        <v>4550391046515</v>
      </c>
      <c r="D53" s="1" t="s">
        <v>1521</v>
      </c>
      <c r="G53" s="1">
        <v>2080</v>
      </c>
      <c r="H53" s="1">
        <v>9</v>
      </c>
      <c r="I53" s="1">
        <v>18720</v>
      </c>
      <c r="J53" s="1">
        <v>8</v>
      </c>
      <c r="K53" s="1">
        <f t="shared" si="0"/>
        <v>2808</v>
      </c>
      <c r="L53" s="6">
        <v>638</v>
      </c>
      <c r="M53" s="6">
        <f t="shared" si="1"/>
        <v>5742</v>
      </c>
      <c r="N53" s="6">
        <f t="shared" si="2"/>
        <v>10170</v>
      </c>
      <c r="O53" s="8">
        <f t="shared" si="3"/>
        <v>0.54326923076923073</v>
      </c>
    </row>
    <row r="54" spans="1:15" ht="15.75" customHeight="1">
      <c r="A54" s="1" t="s">
        <v>1971</v>
      </c>
      <c r="C54" s="1" t="s">
        <v>1037</v>
      </c>
      <c r="D54" s="1">
        <v>5538</v>
      </c>
      <c r="G54" s="1">
        <v>9180</v>
      </c>
      <c r="H54" s="1">
        <v>2</v>
      </c>
      <c r="I54" s="1">
        <v>18360</v>
      </c>
      <c r="J54" s="1">
        <v>1</v>
      </c>
      <c r="K54" s="1">
        <f t="shared" si="0"/>
        <v>2754</v>
      </c>
      <c r="L54" s="6">
        <v>0</v>
      </c>
      <c r="M54" s="6">
        <f t="shared" si="1"/>
        <v>0</v>
      </c>
      <c r="N54" s="6">
        <f t="shared" si="2"/>
        <v>15606</v>
      </c>
      <c r="O54" s="8">
        <f t="shared" si="3"/>
        <v>0.85</v>
      </c>
    </row>
    <row r="55" spans="1:15" ht="15.75" customHeight="1">
      <c r="A55" s="1" t="s">
        <v>71</v>
      </c>
      <c r="C55" s="1">
        <v>4550391042821</v>
      </c>
      <c r="D55" s="1" t="s">
        <v>72</v>
      </c>
      <c r="G55" s="1">
        <v>5980</v>
      </c>
      <c r="H55" s="1">
        <v>3</v>
      </c>
      <c r="I55" s="1">
        <v>17940</v>
      </c>
      <c r="J55" s="1">
        <v>3</v>
      </c>
      <c r="K55" s="1">
        <f t="shared" si="0"/>
        <v>2691</v>
      </c>
      <c r="L55" s="6">
        <v>1160</v>
      </c>
      <c r="M55" s="6">
        <f t="shared" si="1"/>
        <v>3480</v>
      </c>
      <c r="N55" s="6">
        <f t="shared" si="2"/>
        <v>11769</v>
      </c>
      <c r="O55" s="8">
        <f t="shared" si="3"/>
        <v>0.6560200668896321</v>
      </c>
    </row>
    <row r="56" spans="1:15" ht="15.75" customHeight="1">
      <c r="A56" s="1" t="s">
        <v>1972</v>
      </c>
      <c r="C56" s="1" t="s">
        <v>1052</v>
      </c>
      <c r="D56" s="1">
        <v>9524</v>
      </c>
      <c r="G56" s="1">
        <v>2980</v>
      </c>
      <c r="H56" s="1">
        <v>6</v>
      </c>
      <c r="I56" s="1">
        <v>17880</v>
      </c>
      <c r="J56" s="1">
        <v>6</v>
      </c>
      <c r="K56" s="1">
        <f t="shared" si="0"/>
        <v>2682</v>
      </c>
      <c r="L56" s="6">
        <v>0</v>
      </c>
      <c r="M56" s="6">
        <f t="shared" si="1"/>
        <v>0</v>
      </c>
      <c r="N56" s="6">
        <f t="shared" si="2"/>
        <v>15198</v>
      </c>
      <c r="O56" s="8">
        <f t="shared" si="3"/>
        <v>0.85</v>
      </c>
    </row>
    <row r="57" spans="1:15" ht="15.75" customHeight="1">
      <c r="A57" s="1" t="s">
        <v>1973</v>
      </c>
      <c r="C57" s="1" t="s">
        <v>1974</v>
      </c>
      <c r="D57" s="1" t="s">
        <v>1975</v>
      </c>
      <c r="G57" s="1">
        <v>15980</v>
      </c>
      <c r="H57" s="1">
        <v>1</v>
      </c>
      <c r="I57" s="1">
        <v>15980</v>
      </c>
      <c r="J57" s="1">
        <v>1</v>
      </c>
      <c r="K57" s="1">
        <f t="shared" si="0"/>
        <v>2397</v>
      </c>
      <c r="L57" s="6">
        <v>9490</v>
      </c>
      <c r="M57" s="6">
        <f t="shared" si="1"/>
        <v>9490</v>
      </c>
      <c r="N57" s="6">
        <f t="shared" si="2"/>
        <v>4093</v>
      </c>
      <c r="O57" s="8">
        <f t="shared" si="3"/>
        <v>0.25613266583229038</v>
      </c>
    </row>
    <row r="58" spans="1:15" ht="15.75" customHeight="1">
      <c r="A58" s="1" t="s">
        <v>1976</v>
      </c>
      <c r="C58" s="1" t="s">
        <v>1977</v>
      </c>
      <c r="D58" s="1" t="s">
        <v>1978</v>
      </c>
      <c r="G58" s="1">
        <v>15480</v>
      </c>
      <c r="H58" s="1">
        <v>1</v>
      </c>
      <c r="I58" s="1">
        <v>15480</v>
      </c>
      <c r="J58" s="1">
        <v>1</v>
      </c>
      <c r="K58" s="1">
        <f t="shared" si="0"/>
        <v>2322</v>
      </c>
      <c r="L58" s="6">
        <v>10990</v>
      </c>
      <c r="M58" s="6">
        <f t="shared" si="1"/>
        <v>10990</v>
      </c>
      <c r="N58" s="6">
        <f t="shared" si="2"/>
        <v>2168</v>
      </c>
      <c r="O58" s="8">
        <f t="shared" si="3"/>
        <v>0.14005167958656331</v>
      </c>
    </row>
    <row r="59" spans="1:15" ht="15.75" customHeight="1">
      <c r="A59" s="1" t="s">
        <v>436</v>
      </c>
      <c r="C59" s="1" t="s">
        <v>437</v>
      </c>
      <c r="D59" s="1" t="s">
        <v>1588</v>
      </c>
      <c r="G59" s="1">
        <v>1713</v>
      </c>
      <c r="H59" s="1">
        <v>9</v>
      </c>
      <c r="I59" s="1">
        <v>15420</v>
      </c>
      <c r="J59" s="1">
        <v>9</v>
      </c>
      <c r="K59" s="1">
        <f t="shared" si="0"/>
        <v>2313</v>
      </c>
      <c r="L59" s="6">
        <v>730</v>
      </c>
      <c r="M59" s="6">
        <f t="shared" si="1"/>
        <v>6570</v>
      </c>
      <c r="N59" s="6">
        <f t="shared" si="2"/>
        <v>6537</v>
      </c>
      <c r="O59" s="8">
        <f t="shared" si="3"/>
        <v>0.42392996108949416</v>
      </c>
    </row>
    <row r="60" spans="1:15" ht="15.75" customHeight="1">
      <c r="A60" s="1" t="s">
        <v>890</v>
      </c>
      <c r="C60" s="1" t="s">
        <v>891</v>
      </c>
      <c r="D60" s="1">
        <v>616</v>
      </c>
      <c r="G60" s="1">
        <v>2980</v>
      </c>
      <c r="H60" s="1">
        <v>5</v>
      </c>
      <c r="I60" s="1">
        <v>14900</v>
      </c>
      <c r="J60" s="1">
        <v>3</v>
      </c>
      <c r="K60" s="1">
        <f t="shared" si="0"/>
        <v>2235</v>
      </c>
      <c r="L60" s="6">
        <v>616</v>
      </c>
      <c r="M60" s="6">
        <f t="shared" si="1"/>
        <v>3080</v>
      </c>
      <c r="N60" s="6">
        <f t="shared" si="2"/>
        <v>9585</v>
      </c>
      <c r="O60" s="8">
        <f t="shared" si="3"/>
        <v>0.64328859060402688</v>
      </c>
    </row>
    <row r="61" spans="1:15" ht="15.75" customHeight="1">
      <c r="A61" s="1" t="s">
        <v>1084</v>
      </c>
      <c r="B61" s="1" t="s">
        <v>1979</v>
      </c>
      <c r="C61" s="1">
        <v>3264680009761</v>
      </c>
      <c r="D61" s="9">
        <v>976143829785</v>
      </c>
      <c r="E61" s="1" t="s">
        <v>1980</v>
      </c>
      <c r="G61" s="1">
        <v>3580</v>
      </c>
      <c r="H61" s="1">
        <v>4</v>
      </c>
      <c r="I61" s="1">
        <v>14320</v>
      </c>
      <c r="J61" s="1">
        <v>4</v>
      </c>
      <c r="K61" s="1">
        <f t="shared" si="0"/>
        <v>2148</v>
      </c>
      <c r="L61" s="6">
        <v>0</v>
      </c>
      <c r="M61" s="6">
        <f t="shared" si="1"/>
        <v>0</v>
      </c>
      <c r="N61" s="6">
        <f t="shared" si="2"/>
        <v>12172</v>
      </c>
      <c r="O61" s="8">
        <f t="shared" si="3"/>
        <v>0.85</v>
      </c>
    </row>
    <row r="62" spans="1:15" ht="15.75" customHeight="1">
      <c r="A62" s="1" t="s">
        <v>86</v>
      </c>
      <c r="C62" s="1" t="s">
        <v>87</v>
      </c>
      <c r="D62" s="1" t="s">
        <v>1981</v>
      </c>
      <c r="G62" s="1">
        <v>2780</v>
      </c>
      <c r="H62" s="1">
        <v>5</v>
      </c>
      <c r="I62" s="1">
        <v>13900</v>
      </c>
      <c r="J62" s="1">
        <v>3</v>
      </c>
      <c r="K62" s="1">
        <f t="shared" si="0"/>
        <v>2085</v>
      </c>
      <c r="L62" s="6">
        <v>1630</v>
      </c>
      <c r="M62" s="6">
        <f t="shared" si="1"/>
        <v>8150</v>
      </c>
      <c r="N62" s="6">
        <f t="shared" si="2"/>
        <v>3665</v>
      </c>
      <c r="O62" s="8">
        <f t="shared" si="3"/>
        <v>0.26366906474820145</v>
      </c>
    </row>
    <row r="63" spans="1:15" ht="15.75" customHeight="1">
      <c r="A63" s="1" t="s">
        <v>169</v>
      </c>
      <c r="C63" s="1" t="s">
        <v>170</v>
      </c>
      <c r="D63" s="1" t="s">
        <v>1778</v>
      </c>
      <c r="G63" s="1">
        <v>1730</v>
      </c>
      <c r="H63" s="1">
        <v>8</v>
      </c>
      <c r="I63" s="1">
        <v>13840</v>
      </c>
      <c r="J63" s="1">
        <v>7</v>
      </c>
      <c r="K63" s="1">
        <f t="shared" si="0"/>
        <v>2076</v>
      </c>
      <c r="L63" s="6">
        <v>874</v>
      </c>
      <c r="M63" s="6">
        <f t="shared" si="1"/>
        <v>6992</v>
      </c>
      <c r="N63" s="6">
        <f t="shared" si="2"/>
        <v>4772</v>
      </c>
      <c r="O63" s="8">
        <f t="shared" si="3"/>
        <v>0.34479768786127168</v>
      </c>
    </row>
    <row r="64" spans="1:15" ht="15.75" customHeight="1">
      <c r="A64" s="1" t="s">
        <v>41</v>
      </c>
      <c r="B64" s="1" t="s">
        <v>978</v>
      </c>
      <c r="C64" s="1" t="s">
        <v>43</v>
      </c>
      <c r="D64" s="1" t="s">
        <v>44</v>
      </c>
      <c r="E64" s="1" t="s">
        <v>979</v>
      </c>
      <c r="G64" s="1">
        <v>13480</v>
      </c>
      <c r="H64" s="1">
        <v>1</v>
      </c>
      <c r="I64" s="1">
        <v>13480</v>
      </c>
      <c r="J64" s="1">
        <v>1</v>
      </c>
      <c r="K64" s="1">
        <f t="shared" si="0"/>
        <v>2022</v>
      </c>
      <c r="L64" s="6">
        <v>9100</v>
      </c>
      <c r="M64" s="6">
        <f t="shared" si="1"/>
        <v>9100</v>
      </c>
      <c r="N64" s="6">
        <f t="shared" si="2"/>
        <v>2358</v>
      </c>
      <c r="O64" s="8">
        <f t="shared" si="3"/>
        <v>0.17492581602373888</v>
      </c>
    </row>
    <row r="65" spans="1:15" ht="15.75" customHeight="1">
      <c r="A65" s="1" t="s">
        <v>1982</v>
      </c>
      <c r="C65" s="1" t="s">
        <v>1179</v>
      </c>
      <c r="D65" s="1" t="s">
        <v>1558</v>
      </c>
      <c r="G65" s="1">
        <v>4380</v>
      </c>
      <c r="H65" s="1">
        <v>3</v>
      </c>
      <c r="I65" s="1">
        <v>13140</v>
      </c>
      <c r="J65" s="1">
        <v>3</v>
      </c>
      <c r="K65" s="1">
        <f t="shared" si="0"/>
        <v>1971</v>
      </c>
      <c r="L65" s="6">
        <v>2271</v>
      </c>
      <c r="M65" s="6">
        <f t="shared" si="1"/>
        <v>6813</v>
      </c>
      <c r="N65" s="6">
        <f t="shared" si="2"/>
        <v>4356</v>
      </c>
      <c r="O65" s="8">
        <f t="shared" si="3"/>
        <v>0.33150684931506852</v>
      </c>
    </row>
    <row r="66" spans="1:15" ht="15.75" customHeight="1">
      <c r="A66" s="1" t="s">
        <v>373</v>
      </c>
      <c r="C66" s="1" t="s">
        <v>374</v>
      </c>
      <c r="D66" s="1" t="s">
        <v>1357</v>
      </c>
      <c r="G66" s="1">
        <v>2180</v>
      </c>
      <c r="H66" s="1">
        <v>6</v>
      </c>
      <c r="I66" s="1">
        <v>13080</v>
      </c>
      <c r="J66" s="1">
        <v>3</v>
      </c>
      <c r="K66" s="1">
        <f t="shared" si="0"/>
        <v>1962</v>
      </c>
      <c r="L66" s="6">
        <v>1152</v>
      </c>
      <c r="M66" s="6">
        <f t="shared" si="1"/>
        <v>6912</v>
      </c>
      <c r="N66" s="6">
        <f t="shared" si="2"/>
        <v>4206</v>
      </c>
      <c r="O66" s="8">
        <f t="shared" si="3"/>
        <v>0.32155963302752294</v>
      </c>
    </row>
    <row r="67" spans="1:15" ht="15.75" customHeight="1">
      <c r="A67" s="1" t="s">
        <v>663</v>
      </c>
      <c r="B67" s="1" t="s">
        <v>1182</v>
      </c>
      <c r="C67" s="1" t="s">
        <v>664</v>
      </c>
      <c r="D67" s="1" t="s">
        <v>1334</v>
      </c>
      <c r="E67" s="1" t="s">
        <v>1335</v>
      </c>
      <c r="G67" s="1">
        <v>2580</v>
      </c>
      <c r="H67" s="1">
        <v>5</v>
      </c>
      <c r="I67" s="1">
        <v>12900</v>
      </c>
      <c r="J67" s="1">
        <v>5</v>
      </c>
      <c r="K67" s="1">
        <f t="shared" si="0"/>
        <v>1935</v>
      </c>
      <c r="L67" s="6">
        <v>1287</v>
      </c>
      <c r="M67" s="6">
        <f t="shared" si="1"/>
        <v>6435</v>
      </c>
      <c r="N67" s="6">
        <f t="shared" si="2"/>
        <v>4530</v>
      </c>
      <c r="O67" s="8">
        <f t="shared" si="3"/>
        <v>0.35116279069767442</v>
      </c>
    </row>
    <row r="68" spans="1:15" ht="15.75" customHeight="1">
      <c r="A68" s="1" t="s">
        <v>501</v>
      </c>
      <c r="C68" s="1" t="s">
        <v>502</v>
      </c>
      <c r="D68" s="1" t="s">
        <v>503</v>
      </c>
      <c r="G68" s="1">
        <v>4180</v>
      </c>
      <c r="H68" s="1">
        <v>3</v>
      </c>
      <c r="I68" s="1">
        <v>12540</v>
      </c>
      <c r="J68" s="1">
        <v>2</v>
      </c>
      <c r="K68" s="1">
        <f t="shared" si="0"/>
        <v>1881</v>
      </c>
      <c r="L68" s="6">
        <v>1980</v>
      </c>
      <c r="M68" s="6">
        <f t="shared" si="1"/>
        <v>5940</v>
      </c>
      <c r="N68" s="6">
        <f t="shared" si="2"/>
        <v>4719</v>
      </c>
      <c r="O68" s="8">
        <f t="shared" si="3"/>
        <v>0.37631578947368421</v>
      </c>
    </row>
    <row r="69" spans="1:15" ht="15.75" customHeight="1">
      <c r="A69" s="1" t="s">
        <v>651</v>
      </c>
      <c r="B69" s="1" t="s">
        <v>1132</v>
      </c>
      <c r="C69" s="1" t="s">
        <v>653</v>
      </c>
      <c r="D69" s="1" t="s">
        <v>1983</v>
      </c>
      <c r="E69" s="1" t="s">
        <v>1133</v>
      </c>
      <c r="G69" s="1">
        <v>1780</v>
      </c>
      <c r="H69" s="1">
        <v>7</v>
      </c>
      <c r="I69" s="1">
        <v>12460</v>
      </c>
      <c r="J69" s="1">
        <v>6</v>
      </c>
      <c r="K69" s="1">
        <f t="shared" si="0"/>
        <v>1869</v>
      </c>
      <c r="L69" s="6">
        <v>932</v>
      </c>
      <c r="M69" s="6">
        <f t="shared" si="1"/>
        <v>6524</v>
      </c>
      <c r="N69" s="6">
        <f t="shared" si="2"/>
        <v>4067</v>
      </c>
      <c r="O69" s="8">
        <f t="shared" si="3"/>
        <v>0.32640449438202246</v>
      </c>
    </row>
    <row r="70" spans="1:15" ht="17" customHeight="1">
      <c r="A70" s="1" t="s">
        <v>341</v>
      </c>
      <c r="C70" s="1" t="s">
        <v>342</v>
      </c>
      <c r="D70" s="1" t="s">
        <v>343</v>
      </c>
      <c r="G70" s="1">
        <v>2480</v>
      </c>
      <c r="H70" s="1">
        <v>5</v>
      </c>
      <c r="I70" s="1">
        <v>12400</v>
      </c>
      <c r="J70" s="1">
        <v>5</v>
      </c>
      <c r="K70" s="1">
        <f t="shared" si="0"/>
        <v>1860</v>
      </c>
      <c r="L70" s="6">
        <v>1116</v>
      </c>
      <c r="M70" s="6">
        <f t="shared" si="1"/>
        <v>5580</v>
      </c>
      <c r="N70" s="6">
        <f t="shared" si="2"/>
        <v>4960</v>
      </c>
      <c r="O70" s="8">
        <f t="shared" si="3"/>
        <v>0.4</v>
      </c>
    </row>
    <row r="71" spans="1:15" ht="17" customHeight="1">
      <c r="A71" s="1" t="s">
        <v>470</v>
      </c>
      <c r="C71" s="1" t="s">
        <v>471</v>
      </c>
      <c r="D71" s="1" t="s">
        <v>1984</v>
      </c>
      <c r="G71" s="1">
        <v>2047</v>
      </c>
      <c r="H71" s="1">
        <v>6</v>
      </c>
      <c r="I71" s="1">
        <v>12280</v>
      </c>
      <c r="J71" s="1">
        <v>6</v>
      </c>
      <c r="K71" s="1">
        <f t="shared" si="0"/>
        <v>1842</v>
      </c>
      <c r="L71" s="6">
        <v>1140</v>
      </c>
      <c r="M71" s="6">
        <f t="shared" si="1"/>
        <v>6840</v>
      </c>
      <c r="N71" s="6">
        <f t="shared" si="2"/>
        <v>3598</v>
      </c>
      <c r="O71" s="8">
        <f t="shared" si="3"/>
        <v>0.29299674267100978</v>
      </c>
    </row>
    <row r="72" spans="1:15" ht="17" customHeight="1">
      <c r="A72" s="1" t="s">
        <v>106</v>
      </c>
      <c r="C72" s="1" t="s">
        <v>107</v>
      </c>
      <c r="D72" s="1" t="s">
        <v>939</v>
      </c>
      <c r="G72" s="1">
        <v>11980</v>
      </c>
      <c r="H72" s="1">
        <v>1</v>
      </c>
      <c r="I72" s="1">
        <v>11980</v>
      </c>
      <c r="J72" s="1">
        <v>1</v>
      </c>
      <c r="K72" s="1">
        <f t="shared" ref="K72:K135" si="4">SUM(I72*0.15)</f>
        <v>1797</v>
      </c>
      <c r="L72" s="6">
        <v>8480</v>
      </c>
      <c r="M72" s="6">
        <f t="shared" ref="M72:M135" si="5">SUM(H72*L72)</f>
        <v>8480</v>
      </c>
      <c r="N72" s="6">
        <f t="shared" ref="N72:N135" si="6">SUM(I72-K72-M72)</f>
        <v>1703</v>
      </c>
      <c r="O72" s="8">
        <f t="shared" ref="O72:O135" si="7">IF(I72=0,"",N72/I72)</f>
        <v>0.14215358931552588</v>
      </c>
    </row>
    <row r="73" spans="1:15" ht="17" customHeight="1">
      <c r="A73" s="1" t="s">
        <v>1555</v>
      </c>
      <c r="C73" s="1" t="s">
        <v>1556</v>
      </c>
      <c r="D73" s="1">
        <v>2486</v>
      </c>
      <c r="G73" s="1">
        <v>5980</v>
      </c>
      <c r="H73" s="1">
        <v>2</v>
      </c>
      <c r="I73" s="1">
        <v>11960</v>
      </c>
      <c r="J73" s="1">
        <v>2</v>
      </c>
      <c r="K73" s="1">
        <f t="shared" si="4"/>
        <v>1794</v>
      </c>
      <c r="L73" s="6">
        <v>2486</v>
      </c>
      <c r="M73" s="6">
        <f t="shared" si="5"/>
        <v>4972</v>
      </c>
      <c r="N73" s="6">
        <f t="shared" si="6"/>
        <v>5194</v>
      </c>
      <c r="O73" s="8">
        <f t="shared" si="7"/>
        <v>0.4342809364548495</v>
      </c>
    </row>
    <row r="74" spans="1:15" ht="17" customHeight="1">
      <c r="A74" s="1" t="s">
        <v>1292</v>
      </c>
      <c r="C74" s="1" t="s">
        <v>1293</v>
      </c>
      <c r="D74" s="1" t="s">
        <v>1294</v>
      </c>
      <c r="G74" s="1">
        <v>3980</v>
      </c>
      <c r="H74" s="1">
        <v>3</v>
      </c>
      <c r="I74" s="1">
        <v>11940</v>
      </c>
      <c r="J74" s="1">
        <v>2</v>
      </c>
      <c r="K74" s="1">
        <f t="shared" si="4"/>
        <v>1791</v>
      </c>
      <c r="L74" s="6">
        <v>1848</v>
      </c>
      <c r="M74" s="6">
        <f t="shared" si="5"/>
        <v>5544</v>
      </c>
      <c r="N74" s="6">
        <f t="shared" si="6"/>
        <v>4605</v>
      </c>
      <c r="O74" s="8">
        <f t="shared" si="7"/>
        <v>0.38567839195979897</v>
      </c>
    </row>
    <row r="75" spans="1:15" ht="17" customHeight="1">
      <c r="A75" s="1" t="s">
        <v>1053</v>
      </c>
      <c r="C75" s="1" t="s">
        <v>1054</v>
      </c>
      <c r="D75" s="1" t="s">
        <v>1055</v>
      </c>
      <c r="G75" s="1">
        <v>2980</v>
      </c>
      <c r="H75" s="1">
        <v>4</v>
      </c>
      <c r="I75" s="1">
        <v>11920</v>
      </c>
      <c r="J75" s="1">
        <v>4</v>
      </c>
      <c r="K75" s="1">
        <f t="shared" si="4"/>
        <v>1788</v>
      </c>
      <c r="L75" s="6">
        <v>950</v>
      </c>
      <c r="M75" s="6">
        <f t="shared" si="5"/>
        <v>3800</v>
      </c>
      <c r="N75" s="6">
        <f t="shared" si="6"/>
        <v>6332</v>
      </c>
      <c r="O75" s="8">
        <f t="shared" si="7"/>
        <v>0.53120805369127522</v>
      </c>
    </row>
    <row r="76" spans="1:15" ht="17" customHeight="1">
      <c r="A76" s="1" t="s">
        <v>516</v>
      </c>
      <c r="C76" s="1" t="s">
        <v>517</v>
      </c>
      <c r="D76" s="1">
        <v>9785</v>
      </c>
      <c r="G76" s="1">
        <v>2980</v>
      </c>
      <c r="H76" s="1">
        <v>4</v>
      </c>
      <c r="I76" s="1">
        <v>11920</v>
      </c>
      <c r="J76" s="1">
        <v>4</v>
      </c>
      <c r="K76" s="1">
        <f t="shared" si="4"/>
        <v>1788</v>
      </c>
      <c r="L76" s="6">
        <v>0</v>
      </c>
      <c r="M76" s="6">
        <f t="shared" si="5"/>
        <v>0</v>
      </c>
      <c r="N76" s="6">
        <f t="shared" si="6"/>
        <v>10132</v>
      </c>
      <c r="O76" s="8">
        <f t="shared" si="7"/>
        <v>0.85</v>
      </c>
    </row>
    <row r="77" spans="1:15" ht="17" customHeight="1">
      <c r="A77" s="1" t="s">
        <v>293</v>
      </c>
      <c r="C77" s="1" t="s">
        <v>294</v>
      </c>
      <c r="D77" s="1" t="s">
        <v>1671</v>
      </c>
      <c r="G77" s="1">
        <v>2980</v>
      </c>
      <c r="H77" s="1">
        <v>4</v>
      </c>
      <c r="I77" s="1">
        <v>11920</v>
      </c>
      <c r="J77" s="1">
        <v>4</v>
      </c>
      <c r="K77" s="1">
        <f t="shared" si="4"/>
        <v>1788</v>
      </c>
      <c r="L77" s="6">
        <v>1316</v>
      </c>
      <c r="M77" s="6">
        <f t="shared" si="5"/>
        <v>5264</v>
      </c>
      <c r="N77" s="6">
        <f t="shared" si="6"/>
        <v>4868</v>
      </c>
      <c r="O77" s="8">
        <f t="shared" si="7"/>
        <v>0.40838926174496643</v>
      </c>
    </row>
    <row r="78" spans="1:15" ht="17" customHeight="1">
      <c r="A78" s="1" t="s">
        <v>445</v>
      </c>
      <c r="C78" s="1" t="s">
        <v>446</v>
      </c>
      <c r="D78" s="1" t="s">
        <v>1985</v>
      </c>
      <c r="G78" s="1">
        <v>2380</v>
      </c>
      <c r="H78" s="1">
        <v>5</v>
      </c>
      <c r="I78" s="1">
        <v>11900</v>
      </c>
      <c r="J78" s="1">
        <v>4</v>
      </c>
      <c r="K78" s="1">
        <f t="shared" si="4"/>
        <v>1785</v>
      </c>
      <c r="L78" s="6">
        <v>1272</v>
      </c>
      <c r="M78" s="6">
        <f t="shared" si="5"/>
        <v>6360</v>
      </c>
      <c r="N78" s="6">
        <f t="shared" si="6"/>
        <v>3755</v>
      </c>
      <c r="O78" s="8">
        <f t="shared" si="7"/>
        <v>0.31554621848739495</v>
      </c>
    </row>
    <row r="79" spans="1:15" ht="17" customHeight="1">
      <c r="A79" s="1" t="s">
        <v>406</v>
      </c>
      <c r="C79" s="1" t="s">
        <v>407</v>
      </c>
      <c r="D79" s="1" t="s">
        <v>1986</v>
      </c>
      <c r="G79" s="1">
        <v>1980</v>
      </c>
      <c r="H79" s="1">
        <v>6</v>
      </c>
      <c r="I79" s="1">
        <v>11880</v>
      </c>
      <c r="J79" s="1">
        <v>6</v>
      </c>
      <c r="K79" s="1">
        <f t="shared" si="4"/>
        <v>1782</v>
      </c>
      <c r="L79" s="6">
        <v>844</v>
      </c>
      <c r="M79" s="6">
        <f t="shared" si="5"/>
        <v>5064</v>
      </c>
      <c r="N79" s="6">
        <f t="shared" si="6"/>
        <v>5034</v>
      </c>
      <c r="O79" s="8">
        <f t="shared" si="7"/>
        <v>0.42373737373737375</v>
      </c>
    </row>
    <row r="80" spans="1:15" ht="17" customHeight="1">
      <c r="A80" s="1" t="s">
        <v>1317</v>
      </c>
      <c r="C80" s="1" t="s">
        <v>1318</v>
      </c>
      <c r="D80" s="1">
        <v>358</v>
      </c>
      <c r="G80" s="1">
        <v>2880</v>
      </c>
      <c r="H80" s="1">
        <v>4</v>
      </c>
      <c r="I80" s="1">
        <v>11520</v>
      </c>
      <c r="J80" s="1">
        <v>4</v>
      </c>
      <c r="K80" s="1">
        <f t="shared" si="4"/>
        <v>1728</v>
      </c>
      <c r="L80" s="6">
        <v>358</v>
      </c>
      <c r="M80" s="6">
        <f t="shared" si="5"/>
        <v>1432</v>
      </c>
      <c r="N80" s="6">
        <f t="shared" si="6"/>
        <v>8360</v>
      </c>
      <c r="O80" s="8">
        <f t="shared" si="7"/>
        <v>0.72569444444444442</v>
      </c>
    </row>
    <row r="81" spans="1:15" ht="17" customHeight="1">
      <c r="A81" s="1" t="s">
        <v>1987</v>
      </c>
      <c r="C81" s="1" t="s">
        <v>829</v>
      </c>
      <c r="D81" s="1" t="s">
        <v>830</v>
      </c>
      <c r="G81" s="1">
        <v>2280</v>
      </c>
      <c r="H81" s="1">
        <v>5</v>
      </c>
      <c r="I81" s="1">
        <v>11400</v>
      </c>
      <c r="J81" s="1">
        <v>2</v>
      </c>
      <c r="K81" s="1">
        <f t="shared" si="4"/>
        <v>1710</v>
      </c>
      <c r="L81" s="6">
        <v>358</v>
      </c>
      <c r="M81" s="6">
        <f t="shared" si="5"/>
        <v>1790</v>
      </c>
      <c r="N81" s="6">
        <f t="shared" si="6"/>
        <v>7900</v>
      </c>
      <c r="O81" s="8">
        <f t="shared" si="7"/>
        <v>0.69298245614035092</v>
      </c>
    </row>
    <row r="82" spans="1:15" ht="17" customHeight="1">
      <c r="A82" s="1" t="s">
        <v>1067</v>
      </c>
      <c r="C82" s="1" t="s">
        <v>1068</v>
      </c>
      <c r="D82" s="1" t="s">
        <v>1069</v>
      </c>
      <c r="G82" s="1">
        <v>2830</v>
      </c>
      <c r="H82" s="1">
        <v>4</v>
      </c>
      <c r="I82" s="1">
        <v>11320</v>
      </c>
      <c r="J82" s="1">
        <v>3</v>
      </c>
      <c r="K82" s="1">
        <f t="shared" si="4"/>
        <v>1698</v>
      </c>
      <c r="L82" s="6">
        <v>950</v>
      </c>
      <c r="M82" s="6">
        <f t="shared" si="5"/>
        <v>3800</v>
      </c>
      <c r="N82" s="6">
        <f t="shared" si="6"/>
        <v>5822</v>
      </c>
      <c r="O82" s="8">
        <f t="shared" si="7"/>
        <v>0.51431095406360428</v>
      </c>
    </row>
    <row r="83" spans="1:15" ht="17" customHeight="1">
      <c r="A83" s="1" t="s">
        <v>416</v>
      </c>
      <c r="C83" s="1" t="s">
        <v>417</v>
      </c>
      <c r="D83" s="1" t="s">
        <v>1988</v>
      </c>
      <c r="G83" s="1">
        <v>2780</v>
      </c>
      <c r="H83" s="1">
        <v>4</v>
      </c>
      <c r="I83" s="1">
        <v>11120</v>
      </c>
      <c r="J83" s="1">
        <v>3</v>
      </c>
      <c r="K83" s="1">
        <f t="shared" si="4"/>
        <v>1668</v>
      </c>
      <c r="L83" s="6">
        <v>1494</v>
      </c>
      <c r="M83" s="6">
        <f t="shared" si="5"/>
        <v>5976</v>
      </c>
      <c r="N83" s="6">
        <f t="shared" si="6"/>
        <v>3476</v>
      </c>
      <c r="O83" s="8">
        <f t="shared" si="7"/>
        <v>0.31258992805755398</v>
      </c>
    </row>
    <row r="84" spans="1:15" ht="17" customHeight="1">
      <c r="A84" s="1" t="s">
        <v>302</v>
      </c>
      <c r="C84" s="1" t="s">
        <v>303</v>
      </c>
      <c r="D84" s="1" t="s">
        <v>1704</v>
      </c>
      <c r="G84" s="1">
        <v>2730</v>
      </c>
      <c r="H84" s="1">
        <v>4</v>
      </c>
      <c r="I84" s="1">
        <v>10920</v>
      </c>
      <c r="J84" s="1">
        <v>3</v>
      </c>
      <c r="K84" s="1">
        <f t="shared" si="4"/>
        <v>1638</v>
      </c>
      <c r="L84" s="6">
        <v>1619</v>
      </c>
      <c r="M84" s="6">
        <f t="shared" si="5"/>
        <v>6476</v>
      </c>
      <c r="N84" s="6">
        <f t="shared" si="6"/>
        <v>2806</v>
      </c>
      <c r="O84" s="8">
        <f t="shared" si="7"/>
        <v>0.25695970695970693</v>
      </c>
    </row>
    <row r="85" spans="1:15" ht="17" customHeight="1">
      <c r="A85" s="1" t="s">
        <v>221</v>
      </c>
      <c r="C85" s="1" t="s">
        <v>222</v>
      </c>
      <c r="D85" s="1" t="s">
        <v>1989</v>
      </c>
      <c r="G85" s="1">
        <v>5280</v>
      </c>
      <c r="H85" s="1">
        <v>2</v>
      </c>
      <c r="I85" s="1">
        <v>10560</v>
      </c>
      <c r="J85" s="1">
        <v>1</v>
      </c>
      <c r="K85" s="1">
        <f t="shared" si="4"/>
        <v>1584</v>
      </c>
      <c r="L85" s="6">
        <v>3590</v>
      </c>
      <c r="M85" s="6">
        <f t="shared" si="5"/>
        <v>7180</v>
      </c>
      <c r="N85" s="6">
        <f t="shared" si="6"/>
        <v>1796</v>
      </c>
      <c r="O85" s="8">
        <f t="shared" si="7"/>
        <v>0.17007575757575757</v>
      </c>
    </row>
    <row r="86" spans="1:15" ht="17" customHeight="1">
      <c r="A86" s="1" t="s">
        <v>1990</v>
      </c>
      <c r="C86" s="1" t="s">
        <v>1991</v>
      </c>
      <c r="D86" s="1" t="s">
        <v>1992</v>
      </c>
      <c r="G86" s="1">
        <v>2630</v>
      </c>
      <c r="H86" s="1">
        <v>4</v>
      </c>
      <c r="I86" s="1">
        <v>10520</v>
      </c>
      <c r="J86" s="1">
        <v>3</v>
      </c>
      <c r="K86" s="1">
        <f t="shared" si="4"/>
        <v>1578</v>
      </c>
      <c r="L86" s="6">
        <v>1275</v>
      </c>
      <c r="M86" s="6">
        <f t="shared" si="5"/>
        <v>5100</v>
      </c>
      <c r="N86" s="6">
        <f t="shared" si="6"/>
        <v>3842</v>
      </c>
      <c r="O86" s="8">
        <f t="shared" si="7"/>
        <v>0.36520912547528517</v>
      </c>
    </row>
    <row r="87" spans="1:15" ht="17" customHeight="1">
      <c r="A87" s="1" t="s">
        <v>150</v>
      </c>
      <c r="C87" s="1" t="s">
        <v>151</v>
      </c>
      <c r="D87" s="1" t="s">
        <v>1993</v>
      </c>
      <c r="G87" s="1">
        <v>3480</v>
      </c>
      <c r="H87" s="1">
        <v>3</v>
      </c>
      <c r="I87" s="1">
        <v>10440</v>
      </c>
      <c r="J87" s="1">
        <v>3</v>
      </c>
      <c r="K87" s="1">
        <f t="shared" si="4"/>
        <v>1566</v>
      </c>
      <c r="L87" s="6">
        <v>2230</v>
      </c>
      <c r="M87" s="6">
        <f t="shared" si="5"/>
        <v>6690</v>
      </c>
      <c r="N87" s="6">
        <f t="shared" si="6"/>
        <v>2184</v>
      </c>
      <c r="O87" s="8">
        <f t="shared" si="7"/>
        <v>0.20919540229885059</v>
      </c>
    </row>
    <row r="88" spans="1:15" ht="17" customHeight="1">
      <c r="A88" s="1" t="s">
        <v>1994</v>
      </c>
      <c r="C88" s="1" t="s">
        <v>1995</v>
      </c>
      <c r="D88" s="1" t="s">
        <v>1985</v>
      </c>
      <c r="G88" s="1">
        <v>2080</v>
      </c>
      <c r="H88" s="1">
        <v>5</v>
      </c>
      <c r="I88" s="1">
        <v>10400</v>
      </c>
      <c r="J88" s="1">
        <v>4</v>
      </c>
      <c r="K88" s="1">
        <f t="shared" si="4"/>
        <v>1560</v>
      </c>
      <c r="L88" s="6">
        <v>1272</v>
      </c>
      <c r="M88" s="6">
        <f t="shared" si="5"/>
        <v>6360</v>
      </c>
      <c r="N88" s="6">
        <f t="shared" si="6"/>
        <v>2480</v>
      </c>
      <c r="O88" s="8">
        <f t="shared" si="7"/>
        <v>0.23846153846153847</v>
      </c>
    </row>
    <row r="89" spans="1:15" ht="17" customHeight="1">
      <c r="A89" s="1" t="s">
        <v>1996</v>
      </c>
      <c r="C89" s="1" t="s">
        <v>1997</v>
      </c>
      <c r="D89" s="1" t="s">
        <v>1998</v>
      </c>
      <c r="G89" s="1">
        <v>1480</v>
      </c>
      <c r="H89" s="1">
        <v>7</v>
      </c>
      <c r="I89" s="1">
        <v>10360</v>
      </c>
      <c r="J89" s="1">
        <v>5</v>
      </c>
      <c r="K89" s="1">
        <f t="shared" si="4"/>
        <v>1554</v>
      </c>
      <c r="L89" s="6">
        <v>490</v>
      </c>
      <c r="M89" s="6">
        <f t="shared" si="5"/>
        <v>3430</v>
      </c>
      <c r="N89" s="6">
        <f t="shared" si="6"/>
        <v>5376</v>
      </c>
      <c r="O89" s="8">
        <f t="shared" si="7"/>
        <v>0.51891891891891895</v>
      </c>
    </row>
    <row r="90" spans="1:15" ht="17" customHeight="1">
      <c r="A90" s="1" t="s">
        <v>242</v>
      </c>
      <c r="B90" s="1" t="s">
        <v>212</v>
      </c>
      <c r="C90" s="1" t="s">
        <v>243</v>
      </c>
      <c r="D90" s="1" t="s">
        <v>244</v>
      </c>
      <c r="E90" s="1" t="s">
        <v>1999</v>
      </c>
      <c r="G90" s="1">
        <v>9980</v>
      </c>
      <c r="H90" s="1">
        <v>1</v>
      </c>
      <c r="I90" s="1">
        <v>9980</v>
      </c>
      <c r="J90" s="1">
        <v>1</v>
      </c>
      <c r="K90" s="1">
        <f t="shared" si="4"/>
        <v>1497</v>
      </c>
      <c r="L90" s="6">
        <v>5990</v>
      </c>
      <c r="M90" s="6">
        <f t="shared" si="5"/>
        <v>5990</v>
      </c>
      <c r="N90" s="6">
        <f t="shared" si="6"/>
        <v>2493</v>
      </c>
      <c r="O90" s="8">
        <f t="shared" si="7"/>
        <v>0.24979959919839678</v>
      </c>
    </row>
    <row r="91" spans="1:15" ht="17" customHeight="1">
      <c r="A91" s="1" t="s">
        <v>875</v>
      </c>
      <c r="C91" s="1">
        <v>4550391012176</v>
      </c>
      <c r="D91" s="1" t="s">
        <v>876</v>
      </c>
      <c r="G91" s="1">
        <v>4980</v>
      </c>
      <c r="H91" s="1">
        <v>2</v>
      </c>
      <c r="I91" s="1">
        <v>9960</v>
      </c>
      <c r="J91" s="1">
        <v>2</v>
      </c>
      <c r="K91" s="1">
        <f t="shared" si="4"/>
        <v>1494</v>
      </c>
      <c r="L91" s="6">
        <v>1000</v>
      </c>
      <c r="M91" s="6">
        <f t="shared" si="5"/>
        <v>2000</v>
      </c>
      <c r="N91" s="6">
        <f t="shared" si="6"/>
        <v>6466</v>
      </c>
      <c r="O91" s="8">
        <f t="shared" si="7"/>
        <v>0.64919678714859441</v>
      </c>
    </row>
    <row r="92" spans="1:15" ht="17" customHeight="1">
      <c r="A92" s="1" t="s">
        <v>2000</v>
      </c>
      <c r="C92" s="1" t="s">
        <v>1154</v>
      </c>
      <c r="D92" s="1">
        <v>2875</v>
      </c>
      <c r="G92" s="1">
        <v>4980</v>
      </c>
      <c r="H92" s="1">
        <v>2</v>
      </c>
      <c r="I92" s="1">
        <v>9960</v>
      </c>
      <c r="J92" s="1">
        <v>2</v>
      </c>
      <c r="K92" s="1">
        <f t="shared" si="4"/>
        <v>1494</v>
      </c>
      <c r="L92" s="6">
        <v>2875</v>
      </c>
      <c r="M92" s="6">
        <f t="shared" si="5"/>
        <v>5750</v>
      </c>
      <c r="N92" s="6">
        <f t="shared" si="6"/>
        <v>2716</v>
      </c>
      <c r="O92" s="8">
        <f t="shared" si="7"/>
        <v>0.27269076305220885</v>
      </c>
    </row>
    <row r="93" spans="1:15" ht="17" customHeight="1">
      <c r="A93" s="1" t="s">
        <v>261</v>
      </c>
      <c r="C93" s="1" t="s">
        <v>262</v>
      </c>
      <c r="D93" s="1">
        <v>1980</v>
      </c>
      <c r="G93" s="1">
        <v>3313</v>
      </c>
      <c r="H93" s="1">
        <v>3</v>
      </c>
      <c r="I93" s="1">
        <v>9940</v>
      </c>
      <c r="J93" s="1">
        <v>3</v>
      </c>
      <c r="K93" s="1">
        <f t="shared" si="4"/>
        <v>1491</v>
      </c>
      <c r="L93" s="6">
        <v>1980</v>
      </c>
      <c r="M93" s="6">
        <f t="shared" si="5"/>
        <v>5940</v>
      </c>
      <c r="N93" s="6">
        <f t="shared" si="6"/>
        <v>2509</v>
      </c>
      <c r="O93" s="8">
        <f t="shared" si="7"/>
        <v>0.25241448692152918</v>
      </c>
    </row>
    <row r="94" spans="1:15" ht="17" customHeight="1">
      <c r="A94" s="1" t="s">
        <v>692</v>
      </c>
      <c r="B94" s="1" t="s">
        <v>693</v>
      </c>
      <c r="C94" s="1" t="s">
        <v>694</v>
      </c>
      <c r="D94" s="1" t="s">
        <v>1692</v>
      </c>
      <c r="E94" s="1" t="s">
        <v>696</v>
      </c>
      <c r="G94" s="1">
        <v>2480</v>
      </c>
      <c r="H94" s="1">
        <v>4</v>
      </c>
      <c r="I94" s="1">
        <v>9920</v>
      </c>
      <c r="J94" s="1">
        <v>4</v>
      </c>
      <c r="K94" s="1">
        <f t="shared" si="4"/>
        <v>1488</v>
      </c>
      <c r="L94" s="6">
        <v>803</v>
      </c>
      <c r="M94" s="6">
        <f t="shared" si="5"/>
        <v>3212</v>
      </c>
      <c r="N94" s="6">
        <f t="shared" si="6"/>
        <v>5220</v>
      </c>
      <c r="O94" s="8">
        <f t="shared" si="7"/>
        <v>0.52620967741935487</v>
      </c>
    </row>
    <row r="95" spans="1:15" ht="17" customHeight="1">
      <c r="A95" s="1" t="s">
        <v>666</v>
      </c>
      <c r="C95" s="1" t="s">
        <v>667</v>
      </c>
      <c r="D95" s="1" t="s">
        <v>2001</v>
      </c>
      <c r="G95" s="1">
        <v>2480</v>
      </c>
      <c r="H95" s="1">
        <v>4</v>
      </c>
      <c r="I95" s="1">
        <v>9920</v>
      </c>
      <c r="J95" s="1">
        <v>3</v>
      </c>
      <c r="K95" s="1">
        <f t="shared" si="4"/>
        <v>1488</v>
      </c>
      <c r="L95" s="6">
        <v>1584</v>
      </c>
      <c r="M95" s="6">
        <f t="shared" si="5"/>
        <v>6336</v>
      </c>
      <c r="N95" s="6">
        <f t="shared" si="6"/>
        <v>2096</v>
      </c>
      <c r="O95" s="8">
        <f t="shared" si="7"/>
        <v>0.21129032258064517</v>
      </c>
    </row>
    <row r="96" spans="1:15" ht="17" customHeight="1">
      <c r="A96" s="1" t="s">
        <v>1849</v>
      </c>
      <c r="C96" s="1">
        <v>4901133980183</v>
      </c>
      <c r="D96" s="1" t="s">
        <v>1850</v>
      </c>
      <c r="G96" s="1">
        <v>2480</v>
      </c>
      <c r="H96" s="1">
        <v>4</v>
      </c>
      <c r="I96" s="1">
        <v>9920</v>
      </c>
      <c r="J96" s="1">
        <v>2</v>
      </c>
      <c r="K96" s="1">
        <f t="shared" si="4"/>
        <v>1488</v>
      </c>
      <c r="L96" s="6">
        <v>1980</v>
      </c>
      <c r="M96" s="6">
        <f t="shared" si="5"/>
        <v>7920</v>
      </c>
      <c r="N96" s="6">
        <f t="shared" si="6"/>
        <v>512</v>
      </c>
      <c r="O96" s="8">
        <f t="shared" si="7"/>
        <v>5.1612903225806452E-2</v>
      </c>
    </row>
    <row r="97" spans="1:15" ht="17" customHeight="1">
      <c r="A97" s="1" t="s">
        <v>561</v>
      </c>
      <c r="C97" s="1" t="s">
        <v>562</v>
      </c>
      <c r="D97" s="1" t="s">
        <v>2002</v>
      </c>
      <c r="G97" s="1">
        <v>1980</v>
      </c>
      <c r="H97" s="1">
        <v>5</v>
      </c>
      <c r="I97" s="1">
        <v>9900</v>
      </c>
      <c r="J97" s="1">
        <v>5</v>
      </c>
      <c r="K97" s="1">
        <f t="shared" si="4"/>
        <v>1485</v>
      </c>
      <c r="L97" s="6">
        <v>814</v>
      </c>
      <c r="M97" s="6">
        <f t="shared" si="5"/>
        <v>4070</v>
      </c>
      <c r="N97" s="6">
        <f t="shared" si="6"/>
        <v>4345</v>
      </c>
      <c r="O97" s="8">
        <f t="shared" si="7"/>
        <v>0.43888888888888888</v>
      </c>
    </row>
    <row r="98" spans="1:15" ht="17" customHeight="1">
      <c r="A98" s="1" t="s">
        <v>267</v>
      </c>
      <c r="C98" s="1" t="s">
        <v>268</v>
      </c>
      <c r="D98" s="1" t="s">
        <v>1035</v>
      </c>
      <c r="G98" s="1">
        <v>9480</v>
      </c>
      <c r="H98" s="1">
        <v>1</v>
      </c>
      <c r="I98" s="1">
        <v>9480</v>
      </c>
      <c r="J98" s="1">
        <v>1</v>
      </c>
      <c r="K98" s="1">
        <f t="shared" si="4"/>
        <v>1422</v>
      </c>
      <c r="L98" s="6">
        <v>6630</v>
      </c>
      <c r="M98" s="6">
        <f t="shared" si="5"/>
        <v>6630</v>
      </c>
      <c r="N98" s="6">
        <f t="shared" si="6"/>
        <v>1428</v>
      </c>
      <c r="O98" s="8">
        <f t="shared" si="7"/>
        <v>0.15063291139240506</v>
      </c>
    </row>
    <row r="99" spans="1:15" ht="17" customHeight="1">
      <c r="A99" s="1" t="s">
        <v>2003</v>
      </c>
      <c r="C99" s="1" t="s">
        <v>47</v>
      </c>
      <c r="D99" s="1" t="s">
        <v>2004</v>
      </c>
      <c r="G99" s="1">
        <v>3080</v>
      </c>
      <c r="H99" s="1">
        <v>3</v>
      </c>
      <c r="I99" s="1">
        <v>9240</v>
      </c>
      <c r="J99" s="1">
        <v>3</v>
      </c>
      <c r="K99" s="1">
        <f t="shared" si="4"/>
        <v>1386</v>
      </c>
      <c r="L99" s="6">
        <v>1659</v>
      </c>
      <c r="M99" s="6">
        <f t="shared" si="5"/>
        <v>4977</v>
      </c>
      <c r="N99" s="6">
        <f t="shared" si="6"/>
        <v>2877</v>
      </c>
      <c r="O99" s="8">
        <f t="shared" si="7"/>
        <v>0.31136363636363634</v>
      </c>
    </row>
    <row r="100" spans="1:15" ht="17" customHeight="1">
      <c r="A100" s="1" t="s">
        <v>2005</v>
      </c>
      <c r="C100" s="1" t="s">
        <v>1118</v>
      </c>
      <c r="D100" s="1" t="s">
        <v>1119</v>
      </c>
      <c r="G100" s="1">
        <v>3080</v>
      </c>
      <c r="H100" s="1">
        <v>3</v>
      </c>
      <c r="I100" s="1">
        <v>9240</v>
      </c>
      <c r="J100" s="1">
        <v>3</v>
      </c>
      <c r="K100" s="1">
        <f t="shared" si="4"/>
        <v>1386</v>
      </c>
      <c r="L100" s="6">
        <v>1508</v>
      </c>
      <c r="M100" s="6">
        <f t="shared" si="5"/>
        <v>4524</v>
      </c>
      <c r="N100" s="6">
        <f t="shared" si="6"/>
        <v>3330</v>
      </c>
      <c r="O100" s="8">
        <f t="shared" si="7"/>
        <v>0.36038961038961037</v>
      </c>
    </row>
    <row r="101" spans="1:15" ht="17" customHeight="1">
      <c r="A101" s="1" t="s">
        <v>2006</v>
      </c>
      <c r="C101" s="1" t="s">
        <v>1093</v>
      </c>
      <c r="D101" s="1" t="s">
        <v>1094</v>
      </c>
      <c r="G101" s="1">
        <v>3080</v>
      </c>
      <c r="H101" s="1">
        <v>3</v>
      </c>
      <c r="I101" s="1">
        <v>9240</v>
      </c>
      <c r="J101" s="1">
        <v>3</v>
      </c>
      <c r="K101" s="1">
        <f t="shared" si="4"/>
        <v>1386</v>
      </c>
      <c r="L101" s="6">
        <v>1356</v>
      </c>
      <c r="M101" s="6">
        <f t="shared" si="5"/>
        <v>4068</v>
      </c>
      <c r="N101" s="6">
        <f t="shared" si="6"/>
        <v>3786</v>
      </c>
      <c r="O101" s="8">
        <f t="shared" si="7"/>
        <v>0.40974025974025974</v>
      </c>
    </row>
    <row r="102" spans="1:15" ht="17" customHeight="1">
      <c r="A102" s="1" t="s">
        <v>2007</v>
      </c>
      <c r="C102" s="1" t="s">
        <v>2008</v>
      </c>
      <c r="D102" s="1" t="s">
        <v>2009</v>
      </c>
      <c r="G102" s="1">
        <v>4580</v>
      </c>
      <c r="H102" s="1">
        <v>2</v>
      </c>
      <c r="I102" s="1">
        <v>9160</v>
      </c>
      <c r="J102" s="1">
        <v>2</v>
      </c>
      <c r="K102" s="1">
        <f t="shared" si="4"/>
        <v>1374</v>
      </c>
      <c r="L102" s="6">
        <v>0</v>
      </c>
      <c r="M102" s="6">
        <f t="shared" si="5"/>
        <v>0</v>
      </c>
      <c r="N102" s="6">
        <f t="shared" si="6"/>
        <v>7786</v>
      </c>
      <c r="O102" s="8">
        <f t="shared" si="7"/>
        <v>0.85</v>
      </c>
    </row>
    <row r="103" spans="1:15" ht="17" customHeight="1">
      <c r="A103" s="1" t="s">
        <v>2010</v>
      </c>
      <c r="C103" s="1" t="s">
        <v>1542</v>
      </c>
      <c r="D103" s="1" t="s">
        <v>1543</v>
      </c>
      <c r="G103" s="1">
        <v>3047</v>
      </c>
      <c r="H103" s="1">
        <v>3</v>
      </c>
      <c r="I103" s="1">
        <v>9140</v>
      </c>
      <c r="J103" s="1">
        <v>2</v>
      </c>
      <c r="K103" s="1">
        <f t="shared" si="4"/>
        <v>1371</v>
      </c>
      <c r="L103" s="6">
        <v>1522</v>
      </c>
      <c r="M103" s="6">
        <f t="shared" si="5"/>
        <v>4566</v>
      </c>
      <c r="N103" s="6">
        <f t="shared" si="6"/>
        <v>3203</v>
      </c>
      <c r="O103" s="8">
        <f t="shared" si="7"/>
        <v>0.35043763676148798</v>
      </c>
    </row>
    <row r="104" spans="1:15" ht="17" customHeight="1">
      <c r="A104" s="1" t="s">
        <v>1038</v>
      </c>
      <c r="B104" s="1" t="s">
        <v>133</v>
      </c>
      <c r="C104" s="1" t="s">
        <v>1039</v>
      </c>
      <c r="D104" s="1" t="s">
        <v>2011</v>
      </c>
      <c r="E104" s="1" t="s">
        <v>1041</v>
      </c>
      <c r="G104" s="1">
        <v>8980</v>
      </c>
      <c r="H104" s="1">
        <v>1</v>
      </c>
      <c r="I104" s="1">
        <v>8980</v>
      </c>
      <c r="J104" s="1">
        <v>1</v>
      </c>
      <c r="K104" s="1">
        <f t="shared" si="4"/>
        <v>1347</v>
      </c>
      <c r="L104" s="6">
        <v>5990</v>
      </c>
      <c r="M104" s="6">
        <f t="shared" si="5"/>
        <v>5990</v>
      </c>
      <c r="N104" s="6">
        <f t="shared" si="6"/>
        <v>1643</v>
      </c>
      <c r="O104" s="8">
        <f t="shared" si="7"/>
        <v>0.18296213808463252</v>
      </c>
    </row>
    <row r="105" spans="1:15" ht="17" customHeight="1">
      <c r="A105" s="1" t="s">
        <v>2012</v>
      </c>
      <c r="C105" s="1" t="s">
        <v>2013</v>
      </c>
      <c r="D105" s="1" t="s">
        <v>2014</v>
      </c>
      <c r="G105" s="1">
        <v>8980</v>
      </c>
      <c r="H105" s="1">
        <v>1</v>
      </c>
      <c r="I105" s="1">
        <v>8980</v>
      </c>
      <c r="J105" s="1">
        <v>1</v>
      </c>
      <c r="K105" s="1">
        <f t="shared" si="4"/>
        <v>1347</v>
      </c>
      <c r="L105" s="6">
        <v>6000</v>
      </c>
      <c r="M105" s="6">
        <f t="shared" si="5"/>
        <v>6000</v>
      </c>
      <c r="N105" s="6">
        <f t="shared" si="6"/>
        <v>1633</v>
      </c>
      <c r="O105" s="8">
        <f t="shared" si="7"/>
        <v>0.18184855233853006</v>
      </c>
    </row>
    <row r="106" spans="1:15" ht="17" customHeight="1">
      <c r="A106" s="1" t="s">
        <v>1530</v>
      </c>
      <c r="C106" s="1" t="s">
        <v>1531</v>
      </c>
      <c r="D106" s="1" t="s">
        <v>1532</v>
      </c>
      <c r="G106" s="1">
        <v>8980</v>
      </c>
      <c r="H106" s="1">
        <v>1</v>
      </c>
      <c r="I106" s="1">
        <v>8980</v>
      </c>
      <c r="J106" s="1">
        <v>1</v>
      </c>
      <c r="K106" s="1">
        <f t="shared" si="4"/>
        <v>1347</v>
      </c>
      <c r="L106" s="6">
        <v>7540</v>
      </c>
      <c r="M106" s="6">
        <f t="shared" si="5"/>
        <v>7540</v>
      </c>
      <c r="N106" s="6">
        <f t="shared" si="6"/>
        <v>93</v>
      </c>
      <c r="O106" s="8">
        <f t="shared" si="7"/>
        <v>1.0356347438752784E-2</v>
      </c>
    </row>
    <row r="107" spans="1:15" ht="17" customHeight="1">
      <c r="A107" s="1" t="s">
        <v>286</v>
      </c>
      <c r="B107" s="1" t="s">
        <v>212</v>
      </c>
      <c r="C107" s="1" t="s">
        <v>287</v>
      </c>
      <c r="D107" s="1" t="s">
        <v>288</v>
      </c>
      <c r="E107" s="1" t="s">
        <v>289</v>
      </c>
      <c r="G107" s="1">
        <v>8980</v>
      </c>
      <c r="H107" s="1">
        <v>1</v>
      </c>
      <c r="I107" s="1">
        <v>8980</v>
      </c>
      <c r="J107" s="1">
        <v>1</v>
      </c>
      <c r="K107" s="1">
        <f t="shared" si="4"/>
        <v>1347</v>
      </c>
      <c r="L107" s="6">
        <v>5490</v>
      </c>
      <c r="M107" s="6">
        <f t="shared" si="5"/>
        <v>5490</v>
      </c>
      <c r="N107" s="6">
        <f t="shared" si="6"/>
        <v>2143</v>
      </c>
      <c r="O107" s="8">
        <f t="shared" si="7"/>
        <v>0.23864142538975502</v>
      </c>
    </row>
    <row r="108" spans="1:15" ht="17" customHeight="1">
      <c r="A108" s="1" t="s">
        <v>1581</v>
      </c>
      <c r="C108" s="1" t="s">
        <v>1582</v>
      </c>
      <c r="D108" s="1" t="s">
        <v>1583</v>
      </c>
      <c r="G108" s="1">
        <v>4480</v>
      </c>
      <c r="H108" s="1">
        <v>2</v>
      </c>
      <c r="I108" s="1">
        <v>8960</v>
      </c>
      <c r="J108" s="1">
        <v>2</v>
      </c>
      <c r="K108" s="1">
        <f t="shared" si="4"/>
        <v>1344</v>
      </c>
      <c r="L108" s="6">
        <v>3578</v>
      </c>
      <c r="M108" s="6">
        <f t="shared" si="5"/>
        <v>7156</v>
      </c>
      <c r="N108" s="6">
        <f t="shared" si="6"/>
        <v>460</v>
      </c>
      <c r="O108" s="8">
        <f t="shared" si="7"/>
        <v>5.1339285714285712E-2</v>
      </c>
    </row>
    <row r="109" spans="1:15" ht="17" customHeight="1">
      <c r="A109" s="1" t="s">
        <v>391</v>
      </c>
      <c r="C109" s="1" t="s">
        <v>392</v>
      </c>
      <c r="D109" s="1" t="s">
        <v>393</v>
      </c>
      <c r="G109" s="1">
        <v>2980</v>
      </c>
      <c r="H109" s="1">
        <v>3</v>
      </c>
      <c r="I109" s="1">
        <v>8940</v>
      </c>
      <c r="J109" s="1">
        <v>3</v>
      </c>
      <c r="K109" s="1">
        <f t="shared" si="4"/>
        <v>1341</v>
      </c>
      <c r="L109" s="6">
        <v>1641</v>
      </c>
      <c r="M109" s="6">
        <f t="shared" si="5"/>
        <v>4923</v>
      </c>
      <c r="N109" s="6">
        <f t="shared" si="6"/>
        <v>2676</v>
      </c>
      <c r="O109" s="8">
        <f t="shared" si="7"/>
        <v>0.29932885906040269</v>
      </c>
    </row>
    <row r="110" spans="1:15" ht="17" customHeight="1">
      <c r="A110" s="1" t="s">
        <v>2015</v>
      </c>
      <c r="C110" s="1" t="s">
        <v>1001</v>
      </c>
      <c r="D110" s="1" t="s">
        <v>1576</v>
      </c>
      <c r="G110" s="1">
        <v>2980</v>
      </c>
      <c r="H110" s="1">
        <v>3</v>
      </c>
      <c r="I110" s="1">
        <v>8940</v>
      </c>
      <c r="J110" s="1">
        <v>3</v>
      </c>
      <c r="K110" s="1">
        <f t="shared" si="4"/>
        <v>1341</v>
      </c>
      <c r="L110" s="6">
        <v>1514</v>
      </c>
      <c r="M110" s="6">
        <f t="shared" si="5"/>
        <v>4542</v>
      </c>
      <c r="N110" s="6">
        <f t="shared" si="6"/>
        <v>3057</v>
      </c>
      <c r="O110" s="8">
        <f t="shared" si="7"/>
        <v>0.34194630872483223</v>
      </c>
    </row>
    <row r="111" spans="1:15" ht="17" customHeight="1">
      <c r="A111" s="1" t="s">
        <v>399</v>
      </c>
      <c r="C111" s="1" t="s">
        <v>400</v>
      </c>
      <c r="D111" s="1" t="s">
        <v>1628</v>
      </c>
      <c r="G111" s="1">
        <v>2980</v>
      </c>
      <c r="H111" s="1">
        <v>3</v>
      </c>
      <c r="I111" s="1">
        <v>8940</v>
      </c>
      <c r="J111" s="1">
        <v>1</v>
      </c>
      <c r="K111" s="1">
        <f t="shared" si="4"/>
        <v>1341</v>
      </c>
      <c r="L111" s="6">
        <v>850</v>
      </c>
      <c r="M111" s="6">
        <f t="shared" si="5"/>
        <v>2550</v>
      </c>
      <c r="N111" s="6">
        <f t="shared" si="6"/>
        <v>5049</v>
      </c>
      <c r="O111" s="8">
        <f t="shared" si="7"/>
        <v>0.56476510067114094</v>
      </c>
    </row>
    <row r="112" spans="1:15" ht="17" customHeight="1">
      <c r="A112" s="1" t="s">
        <v>201</v>
      </c>
      <c r="C112" s="1" t="s">
        <v>202</v>
      </c>
      <c r="D112" s="1" t="s">
        <v>2016</v>
      </c>
      <c r="G112" s="1">
        <v>2980</v>
      </c>
      <c r="H112" s="1">
        <v>3</v>
      </c>
      <c r="I112" s="1">
        <v>8940</v>
      </c>
      <c r="J112" s="1">
        <v>3</v>
      </c>
      <c r="K112" s="1">
        <f t="shared" si="4"/>
        <v>1341</v>
      </c>
      <c r="L112" s="6">
        <v>1239</v>
      </c>
      <c r="M112" s="6">
        <f t="shared" si="5"/>
        <v>3717</v>
      </c>
      <c r="N112" s="6">
        <f t="shared" si="6"/>
        <v>3882</v>
      </c>
      <c r="O112" s="8">
        <f t="shared" si="7"/>
        <v>0.4342281879194631</v>
      </c>
    </row>
    <row r="113" spans="1:15" ht="17" customHeight="1">
      <c r="A113" s="1" t="s">
        <v>643</v>
      </c>
      <c r="C113" s="1" t="s">
        <v>644</v>
      </c>
      <c r="D113" s="1" t="s">
        <v>1524</v>
      </c>
      <c r="G113" s="1">
        <v>2980</v>
      </c>
      <c r="H113" s="1">
        <v>3</v>
      </c>
      <c r="I113" s="1">
        <v>8940</v>
      </c>
      <c r="J113" s="1">
        <v>1</v>
      </c>
      <c r="K113" s="1">
        <f t="shared" si="4"/>
        <v>1341</v>
      </c>
      <c r="L113" s="6">
        <v>1167</v>
      </c>
      <c r="M113" s="6">
        <f t="shared" si="5"/>
        <v>3501</v>
      </c>
      <c r="N113" s="6">
        <f t="shared" si="6"/>
        <v>4098</v>
      </c>
      <c r="O113" s="8">
        <f t="shared" si="7"/>
        <v>0.45838926174496647</v>
      </c>
    </row>
    <row r="114" spans="1:15" ht="17" customHeight="1">
      <c r="A114" s="1" t="s">
        <v>188</v>
      </c>
      <c r="C114" s="1" t="s">
        <v>189</v>
      </c>
      <c r="D114" s="1" t="s">
        <v>1771</v>
      </c>
      <c r="G114" s="1">
        <v>1780</v>
      </c>
      <c r="H114" s="1">
        <v>5</v>
      </c>
      <c r="I114" s="1">
        <v>8900</v>
      </c>
      <c r="J114" s="1">
        <v>3</v>
      </c>
      <c r="K114" s="1">
        <f t="shared" si="4"/>
        <v>1335</v>
      </c>
      <c r="L114" s="6">
        <v>970</v>
      </c>
      <c r="M114" s="6">
        <f t="shared" si="5"/>
        <v>4850</v>
      </c>
      <c r="N114" s="6">
        <f t="shared" si="6"/>
        <v>2715</v>
      </c>
      <c r="O114" s="8">
        <f t="shared" si="7"/>
        <v>0.30505617977528088</v>
      </c>
    </row>
    <row r="115" spans="1:15" ht="17" customHeight="1">
      <c r="A115" s="1" t="s">
        <v>2017</v>
      </c>
      <c r="C115" s="1">
        <v>4571411204838</v>
      </c>
      <c r="D115" s="1" t="s">
        <v>2018</v>
      </c>
      <c r="G115" s="1">
        <v>8480</v>
      </c>
      <c r="H115" s="1">
        <v>1</v>
      </c>
      <c r="I115" s="1">
        <v>8480</v>
      </c>
      <c r="J115" s="1">
        <v>1</v>
      </c>
      <c r="K115" s="1">
        <f t="shared" si="4"/>
        <v>1272</v>
      </c>
      <c r="L115" s="6">
        <v>3848</v>
      </c>
      <c r="M115" s="6">
        <f t="shared" si="5"/>
        <v>3848</v>
      </c>
      <c r="N115" s="6">
        <f t="shared" si="6"/>
        <v>3360</v>
      </c>
      <c r="O115" s="8">
        <f t="shared" si="7"/>
        <v>0.39622641509433965</v>
      </c>
    </row>
    <row r="116" spans="1:15" ht="17" customHeight="1">
      <c r="A116" s="1" t="s">
        <v>305</v>
      </c>
      <c r="B116" s="1" t="s">
        <v>53</v>
      </c>
      <c r="C116" s="1" t="s">
        <v>306</v>
      </c>
      <c r="D116" s="1" t="s">
        <v>307</v>
      </c>
      <c r="E116" s="1" t="s">
        <v>2019</v>
      </c>
      <c r="G116" s="1">
        <v>7980</v>
      </c>
      <c r="H116" s="1">
        <v>1</v>
      </c>
      <c r="I116" s="1">
        <v>7980</v>
      </c>
      <c r="J116" s="1">
        <v>1</v>
      </c>
      <c r="K116" s="1">
        <f t="shared" si="4"/>
        <v>1197</v>
      </c>
      <c r="L116" s="6">
        <v>4990</v>
      </c>
      <c r="M116" s="6">
        <f t="shared" si="5"/>
        <v>4990</v>
      </c>
      <c r="N116" s="6">
        <f t="shared" si="6"/>
        <v>1793</v>
      </c>
      <c r="O116" s="8">
        <f t="shared" si="7"/>
        <v>0.22468671679197996</v>
      </c>
    </row>
    <row r="117" spans="1:15" ht="17" customHeight="1">
      <c r="A117" s="1" t="s">
        <v>153</v>
      </c>
      <c r="C117" s="1" t="s">
        <v>154</v>
      </c>
      <c r="D117" s="1" t="s">
        <v>1763</v>
      </c>
      <c r="G117" s="1">
        <v>3980</v>
      </c>
      <c r="H117" s="1">
        <v>2</v>
      </c>
      <c r="I117" s="1">
        <v>7960</v>
      </c>
      <c r="J117" s="1">
        <v>2</v>
      </c>
      <c r="K117" s="1">
        <f t="shared" si="4"/>
        <v>1194</v>
      </c>
      <c r="L117" s="6">
        <v>2970</v>
      </c>
      <c r="M117" s="6">
        <f t="shared" si="5"/>
        <v>5940</v>
      </c>
      <c r="N117" s="6">
        <f t="shared" si="6"/>
        <v>826</v>
      </c>
      <c r="O117" s="8">
        <f t="shared" si="7"/>
        <v>0.10376884422110552</v>
      </c>
    </row>
    <row r="118" spans="1:15" ht="17" customHeight="1">
      <c r="A118" s="1" t="s">
        <v>2020</v>
      </c>
      <c r="C118" s="1" t="s">
        <v>2021</v>
      </c>
      <c r="D118" s="1" t="s">
        <v>2022</v>
      </c>
      <c r="G118" s="1">
        <v>3980</v>
      </c>
      <c r="H118" s="1">
        <v>2</v>
      </c>
      <c r="I118" s="1">
        <v>7960</v>
      </c>
      <c r="J118" s="1">
        <v>1</v>
      </c>
      <c r="K118" s="1">
        <f t="shared" si="4"/>
        <v>1194</v>
      </c>
      <c r="L118" s="6">
        <v>1116</v>
      </c>
      <c r="M118" s="6">
        <f t="shared" si="5"/>
        <v>2232</v>
      </c>
      <c r="N118" s="6">
        <f t="shared" si="6"/>
        <v>4534</v>
      </c>
      <c r="O118" s="8">
        <f t="shared" si="7"/>
        <v>0.56959798994974875</v>
      </c>
    </row>
    <row r="119" spans="1:15" ht="17" customHeight="1">
      <c r="A119" s="1" t="s">
        <v>310</v>
      </c>
      <c r="C119" s="1" t="s">
        <v>311</v>
      </c>
      <c r="D119" s="1" t="s">
        <v>312</v>
      </c>
      <c r="G119" s="1">
        <v>3980</v>
      </c>
      <c r="H119" s="1">
        <v>2</v>
      </c>
      <c r="I119" s="1">
        <v>7960</v>
      </c>
      <c r="J119" s="1">
        <v>2</v>
      </c>
      <c r="K119" s="1">
        <f t="shared" si="4"/>
        <v>1194</v>
      </c>
      <c r="L119" s="6">
        <v>1998</v>
      </c>
      <c r="M119" s="6">
        <f t="shared" si="5"/>
        <v>3996</v>
      </c>
      <c r="N119" s="6">
        <f t="shared" si="6"/>
        <v>2770</v>
      </c>
      <c r="O119" s="8">
        <f t="shared" si="7"/>
        <v>0.3479899497487437</v>
      </c>
    </row>
    <row r="120" spans="1:15" ht="17" customHeight="1">
      <c r="A120" s="1" t="s">
        <v>1637</v>
      </c>
      <c r="B120" s="1" t="s">
        <v>1208</v>
      </c>
      <c r="C120" s="1" t="s">
        <v>1639</v>
      </c>
      <c r="D120" s="1" t="s">
        <v>1640</v>
      </c>
      <c r="E120" s="1" t="s">
        <v>1736</v>
      </c>
      <c r="G120" s="1">
        <v>3980</v>
      </c>
      <c r="H120" s="1">
        <v>2</v>
      </c>
      <c r="I120" s="1">
        <v>7960</v>
      </c>
      <c r="J120" s="1">
        <v>2</v>
      </c>
      <c r="K120" s="1">
        <f t="shared" si="4"/>
        <v>1194</v>
      </c>
      <c r="L120" s="6">
        <v>1133</v>
      </c>
      <c r="M120" s="6">
        <f t="shared" si="5"/>
        <v>2266</v>
      </c>
      <c r="N120" s="6">
        <f t="shared" si="6"/>
        <v>4500</v>
      </c>
      <c r="O120" s="8">
        <f t="shared" si="7"/>
        <v>0.5653266331658291</v>
      </c>
    </row>
    <row r="121" spans="1:15" ht="17" customHeight="1">
      <c r="A121" s="1" t="s">
        <v>518</v>
      </c>
      <c r="C121" s="1" t="s">
        <v>519</v>
      </c>
      <c r="D121" s="1" t="s">
        <v>2023</v>
      </c>
      <c r="G121" s="1">
        <v>3980</v>
      </c>
      <c r="H121" s="1">
        <v>2</v>
      </c>
      <c r="I121" s="1">
        <v>7960</v>
      </c>
      <c r="J121" s="1">
        <v>1</v>
      </c>
      <c r="K121" s="1">
        <f t="shared" si="4"/>
        <v>1194</v>
      </c>
      <c r="L121" s="6">
        <v>2160</v>
      </c>
      <c r="M121" s="6">
        <f t="shared" si="5"/>
        <v>4320</v>
      </c>
      <c r="N121" s="6">
        <f t="shared" si="6"/>
        <v>2446</v>
      </c>
      <c r="O121" s="8">
        <f t="shared" si="7"/>
        <v>0.30728643216080403</v>
      </c>
    </row>
    <row r="122" spans="1:15" ht="17" customHeight="1">
      <c r="A122" s="1" t="s">
        <v>2024</v>
      </c>
      <c r="C122" s="1" t="s">
        <v>2025</v>
      </c>
      <c r="D122" s="1" t="s">
        <v>2026</v>
      </c>
      <c r="G122" s="1">
        <v>1980</v>
      </c>
      <c r="H122" s="1">
        <v>4</v>
      </c>
      <c r="I122" s="1">
        <v>7920</v>
      </c>
      <c r="J122" s="1">
        <v>4</v>
      </c>
      <c r="K122" s="1">
        <f t="shared" si="4"/>
        <v>1188</v>
      </c>
      <c r="L122" s="6">
        <v>436</v>
      </c>
      <c r="M122" s="6">
        <f t="shared" si="5"/>
        <v>1744</v>
      </c>
      <c r="N122" s="6">
        <f t="shared" si="6"/>
        <v>4988</v>
      </c>
      <c r="O122" s="8">
        <f t="shared" si="7"/>
        <v>0.6297979797979798</v>
      </c>
    </row>
    <row r="123" spans="1:15" ht="17" customHeight="1">
      <c r="A123" s="1" t="s">
        <v>2027</v>
      </c>
      <c r="C123" s="1" t="s">
        <v>2028</v>
      </c>
      <c r="D123" s="1" t="s">
        <v>2029</v>
      </c>
      <c r="G123" s="1">
        <v>1980</v>
      </c>
      <c r="H123" s="1">
        <v>4</v>
      </c>
      <c r="I123" s="1">
        <v>7920</v>
      </c>
      <c r="J123" s="1">
        <v>4</v>
      </c>
      <c r="K123" s="1">
        <f t="shared" si="4"/>
        <v>1188</v>
      </c>
      <c r="L123" s="6">
        <v>436</v>
      </c>
      <c r="M123" s="6">
        <f t="shared" si="5"/>
        <v>1744</v>
      </c>
      <c r="N123" s="6">
        <f t="shared" si="6"/>
        <v>4988</v>
      </c>
      <c r="O123" s="8">
        <f t="shared" si="7"/>
        <v>0.6297979797979798</v>
      </c>
    </row>
    <row r="124" spans="1:15" ht="17" customHeight="1">
      <c r="A124" s="1" t="s">
        <v>1619</v>
      </c>
      <c r="C124" s="1" t="s">
        <v>1620</v>
      </c>
      <c r="D124" s="1" t="s">
        <v>2030</v>
      </c>
      <c r="G124" s="1">
        <v>1980</v>
      </c>
      <c r="H124" s="1">
        <v>4</v>
      </c>
      <c r="I124" s="1">
        <v>7920</v>
      </c>
      <c r="J124" s="1">
        <v>4</v>
      </c>
      <c r="K124" s="1">
        <f t="shared" si="4"/>
        <v>1188</v>
      </c>
      <c r="L124" s="6">
        <v>850</v>
      </c>
      <c r="M124" s="6">
        <f t="shared" si="5"/>
        <v>3400</v>
      </c>
      <c r="N124" s="6">
        <f t="shared" si="6"/>
        <v>3332</v>
      </c>
      <c r="O124" s="8">
        <f t="shared" si="7"/>
        <v>0.4207070707070707</v>
      </c>
    </row>
    <row r="125" spans="1:15" ht="17" customHeight="1">
      <c r="A125" s="1" t="s">
        <v>270</v>
      </c>
      <c r="C125" s="1" t="s">
        <v>271</v>
      </c>
      <c r="D125" s="1">
        <v>785</v>
      </c>
      <c r="G125" s="1">
        <v>1580</v>
      </c>
      <c r="H125" s="1">
        <v>5</v>
      </c>
      <c r="I125" s="1">
        <v>7900</v>
      </c>
      <c r="J125" s="1">
        <v>4</v>
      </c>
      <c r="K125" s="1">
        <f t="shared" si="4"/>
        <v>1185</v>
      </c>
      <c r="L125" s="6">
        <v>785</v>
      </c>
      <c r="M125" s="6">
        <f t="shared" si="5"/>
        <v>3925</v>
      </c>
      <c r="N125" s="6">
        <f t="shared" si="6"/>
        <v>2790</v>
      </c>
      <c r="O125" s="8">
        <f t="shared" si="7"/>
        <v>0.35316455696202531</v>
      </c>
    </row>
    <row r="126" spans="1:15" ht="17" customHeight="1">
      <c r="A126" s="1" t="s">
        <v>217</v>
      </c>
      <c r="C126" s="1" t="s">
        <v>218</v>
      </c>
      <c r="D126" s="1" t="s">
        <v>2031</v>
      </c>
      <c r="G126" s="1">
        <v>1930</v>
      </c>
      <c r="H126" s="1">
        <v>4</v>
      </c>
      <c r="I126" s="1">
        <v>7720</v>
      </c>
      <c r="J126" s="1">
        <v>3</v>
      </c>
      <c r="K126" s="1">
        <f t="shared" si="4"/>
        <v>1158</v>
      </c>
      <c r="L126" s="6">
        <v>416</v>
      </c>
      <c r="M126" s="6">
        <f t="shared" si="5"/>
        <v>1664</v>
      </c>
      <c r="N126" s="6">
        <f t="shared" si="6"/>
        <v>4898</v>
      </c>
      <c r="O126" s="8">
        <f t="shared" si="7"/>
        <v>0.63445595854922276</v>
      </c>
    </row>
    <row r="127" spans="1:15" ht="17" customHeight="1">
      <c r="A127" s="1" t="s">
        <v>1031</v>
      </c>
      <c r="C127" s="1" t="s">
        <v>1032</v>
      </c>
      <c r="D127" s="1" t="s">
        <v>1033</v>
      </c>
      <c r="G127" s="1">
        <v>1080</v>
      </c>
      <c r="H127" s="1">
        <v>7</v>
      </c>
      <c r="I127" s="1">
        <v>7560</v>
      </c>
      <c r="J127" s="1">
        <v>7</v>
      </c>
      <c r="K127" s="1">
        <f t="shared" si="4"/>
        <v>1134</v>
      </c>
      <c r="L127" s="6">
        <v>253</v>
      </c>
      <c r="M127" s="6">
        <f t="shared" si="5"/>
        <v>1771</v>
      </c>
      <c r="N127" s="6">
        <f t="shared" si="6"/>
        <v>4655</v>
      </c>
      <c r="O127" s="8">
        <f t="shared" si="7"/>
        <v>0.6157407407407407</v>
      </c>
    </row>
    <row r="128" spans="1:15" ht="17" customHeight="1">
      <c r="A128" s="1" t="s">
        <v>160</v>
      </c>
      <c r="C128" s="1" t="s">
        <v>161</v>
      </c>
      <c r="D128" s="1" t="s">
        <v>162</v>
      </c>
      <c r="G128" s="1">
        <v>7490</v>
      </c>
      <c r="H128" s="1">
        <v>1</v>
      </c>
      <c r="I128" s="1">
        <v>7490</v>
      </c>
      <c r="J128" s="1">
        <v>1</v>
      </c>
      <c r="K128" s="1">
        <f t="shared" si="4"/>
        <v>1123.5</v>
      </c>
      <c r="L128" s="6">
        <v>3849</v>
      </c>
      <c r="M128" s="6">
        <f t="shared" si="5"/>
        <v>3849</v>
      </c>
      <c r="N128" s="6">
        <f t="shared" si="6"/>
        <v>2517.5</v>
      </c>
      <c r="O128" s="8">
        <f t="shared" si="7"/>
        <v>0.33611481975967955</v>
      </c>
    </row>
    <row r="129" spans="1:15" ht="17" customHeight="1">
      <c r="A129" s="1" t="s">
        <v>333</v>
      </c>
      <c r="B129" s="1" t="s">
        <v>212</v>
      </c>
      <c r="C129" s="1" t="s">
        <v>334</v>
      </c>
      <c r="D129" s="1" t="s">
        <v>335</v>
      </c>
      <c r="E129" s="1" t="s">
        <v>2032</v>
      </c>
      <c r="G129" s="1">
        <v>7480</v>
      </c>
      <c r="H129" s="1">
        <v>1</v>
      </c>
      <c r="I129" s="1">
        <v>7480</v>
      </c>
      <c r="J129" s="1">
        <v>1</v>
      </c>
      <c r="K129" s="1">
        <f t="shared" si="4"/>
        <v>1122</v>
      </c>
      <c r="L129" s="6">
        <v>4990</v>
      </c>
      <c r="M129" s="6">
        <f t="shared" si="5"/>
        <v>4990</v>
      </c>
      <c r="N129" s="6">
        <f t="shared" si="6"/>
        <v>1368</v>
      </c>
      <c r="O129" s="8">
        <f t="shared" si="7"/>
        <v>0.18288770053475936</v>
      </c>
    </row>
    <row r="130" spans="1:15" ht="17" customHeight="1">
      <c r="A130" s="1" t="s">
        <v>1846</v>
      </c>
      <c r="C130" s="1" t="s">
        <v>1847</v>
      </c>
      <c r="D130" s="1" t="s">
        <v>1848</v>
      </c>
      <c r="G130" s="1">
        <v>2480</v>
      </c>
      <c r="H130" s="1">
        <v>3</v>
      </c>
      <c r="I130" s="1">
        <v>7440</v>
      </c>
      <c r="J130" s="1">
        <v>3</v>
      </c>
      <c r="K130" s="1">
        <f t="shared" si="4"/>
        <v>1116</v>
      </c>
      <c r="L130" s="6">
        <v>1188</v>
      </c>
      <c r="M130" s="6">
        <f t="shared" si="5"/>
        <v>3564</v>
      </c>
      <c r="N130" s="6">
        <f t="shared" si="6"/>
        <v>2760</v>
      </c>
      <c r="O130" s="8">
        <f t="shared" si="7"/>
        <v>0.37096774193548387</v>
      </c>
    </row>
    <row r="131" spans="1:15" ht="17" customHeight="1">
      <c r="A131" s="1" t="s">
        <v>692</v>
      </c>
      <c r="B131" s="1" t="s">
        <v>1851</v>
      </c>
      <c r="C131" s="1" t="s">
        <v>694</v>
      </c>
      <c r="D131" s="1" t="s">
        <v>1692</v>
      </c>
      <c r="E131" s="1" t="s">
        <v>1852</v>
      </c>
      <c r="G131" s="1">
        <v>2480</v>
      </c>
      <c r="H131" s="1">
        <v>3</v>
      </c>
      <c r="I131" s="1">
        <v>7440</v>
      </c>
      <c r="J131" s="1">
        <v>3</v>
      </c>
      <c r="K131" s="1">
        <f t="shared" si="4"/>
        <v>1116</v>
      </c>
      <c r="L131" s="6">
        <v>803</v>
      </c>
      <c r="M131" s="6">
        <f t="shared" si="5"/>
        <v>2409</v>
      </c>
      <c r="N131" s="6">
        <f t="shared" si="6"/>
        <v>3915</v>
      </c>
      <c r="O131" s="8">
        <f t="shared" si="7"/>
        <v>0.52620967741935487</v>
      </c>
    </row>
    <row r="132" spans="1:15" ht="17" customHeight="1">
      <c r="A132" s="1" t="s">
        <v>1799</v>
      </c>
      <c r="C132" s="1">
        <v>4550391011940</v>
      </c>
      <c r="D132" s="1" t="s">
        <v>1800</v>
      </c>
      <c r="G132" s="1">
        <v>1480</v>
      </c>
      <c r="H132" s="1">
        <v>5</v>
      </c>
      <c r="I132" s="1">
        <v>7400</v>
      </c>
      <c r="J132" s="1">
        <v>3</v>
      </c>
      <c r="K132" s="1">
        <f t="shared" si="4"/>
        <v>1110</v>
      </c>
      <c r="L132" s="6">
        <v>612</v>
      </c>
      <c r="M132" s="6">
        <f t="shared" si="5"/>
        <v>3060</v>
      </c>
      <c r="N132" s="6">
        <f t="shared" si="6"/>
        <v>3230</v>
      </c>
      <c r="O132" s="8">
        <f t="shared" si="7"/>
        <v>0.43648648648648647</v>
      </c>
    </row>
    <row r="133" spans="1:15" ht="17" customHeight="1">
      <c r="A133" s="1" t="s">
        <v>492</v>
      </c>
      <c r="C133" s="1" t="s">
        <v>493</v>
      </c>
      <c r="D133" s="1" t="s">
        <v>494</v>
      </c>
      <c r="G133" s="1">
        <v>1480</v>
      </c>
      <c r="H133" s="1">
        <v>5</v>
      </c>
      <c r="I133" s="1">
        <v>7400</v>
      </c>
      <c r="J133" s="1">
        <v>1</v>
      </c>
      <c r="K133" s="1">
        <f t="shared" si="4"/>
        <v>1110</v>
      </c>
      <c r="L133" s="6">
        <v>624</v>
      </c>
      <c r="M133" s="6">
        <f t="shared" si="5"/>
        <v>3120</v>
      </c>
      <c r="N133" s="6">
        <f t="shared" si="6"/>
        <v>3170</v>
      </c>
      <c r="O133" s="8">
        <f t="shared" si="7"/>
        <v>0.42837837837837839</v>
      </c>
    </row>
    <row r="134" spans="1:15" ht="17" customHeight="1">
      <c r="A134" s="1" t="s">
        <v>2033</v>
      </c>
      <c r="C134" s="1" t="s">
        <v>2034</v>
      </c>
      <c r="D134" s="1" t="s">
        <v>2035</v>
      </c>
      <c r="G134" s="1">
        <v>6980</v>
      </c>
      <c r="H134" s="1">
        <v>1</v>
      </c>
      <c r="I134" s="1">
        <v>6980</v>
      </c>
      <c r="J134" s="1">
        <v>1</v>
      </c>
      <c r="K134" s="1">
        <f t="shared" si="4"/>
        <v>1047</v>
      </c>
      <c r="L134" s="6">
        <v>3500</v>
      </c>
      <c r="M134" s="6">
        <f t="shared" si="5"/>
        <v>3500</v>
      </c>
      <c r="N134" s="6">
        <f t="shared" si="6"/>
        <v>2433</v>
      </c>
      <c r="O134" s="8">
        <f t="shared" si="7"/>
        <v>0.34856733524355299</v>
      </c>
    </row>
    <row r="135" spans="1:15" ht="17" customHeight="1">
      <c r="A135" s="1" t="s">
        <v>1016</v>
      </c>
      <c r="C135" s="1" t="s">
        <v>1017</v>
      </c>
      <c r="D135" s="1" t="s">
        <v>1018</v>
      </c>
      <c r="G135" s="1">
        <v>698</v>
      </c>
      <c r="H135" s="1">
        <v>10</v>
      </c>
      <c r="I135" s="1">
        <v>6980</v>
      </c>
      <c r="J135" s="1">
        <v>5</v>
      </c>
      <c r="K135" s="1">
        <f t="shared" si="4"/>
        <v>1047</v>
      </c>
      <c r="L135" s="6">
        <v>670</v>
      </c>
      <c r="M135" s="6">
        <f t="shared" si="5"/>
        <v>6700</v>
      </c>
      <c r="N135" s="6">
        <f t="shared" si="6"/>
        <v>-767</v>
      </c>
      <c r="O135" s="8">
        <f t="shared" si="7"/>
        <v>-0.10988538681948425</v>
      </c>
    </row>
    <row r="136" spans="1:15" ht="17" customHeight="1">
      <c r="A136" s="1" t="s">
        <v>2036</v>
      </c>
      <c r="C136" s="1" t="s">
        <v>2037</v>
      </c>
      <c r="G136" s="1">
        <v>6629</v>
      </c>
      <c r="H136" s="1">
        <v>1</v>
      </c>
      <c r="I136" s="1">
        <v>6629</v>
      </c>
      <c r="J136" s="1">
        <v>1</v>
      </c>
      <c r="K136" s="1">
        <f t="shared" ref="K136:K199" si="8">SUM(I136*0.15)</f>
        <v>994.34999999999991</v>
      </c>
      <c r="L136" s="6">
        <v>4990</v>
      </c>
      <c r="M136" s="6">
        <f t="shared" ref="M136:M199" si="9">SUM(H136*L136)</f>
        <v>4990</v>
      </c>
      <c r="N136" s="6">
        <f t="shared" ref="N136:N199" si="10">SUM(I136-K136-M136)</f>
        <v>644.64999999999964</v>
      </c>
      <c r="O136" s="8">
        <f t="shared" ref="O136:O199" si="11">IF(I136=0,"",N136/I136)</f>
        <v>9.7246945240609395E-2</v>
      </c>
    </row>
    <row r="137" spans="1:15" ht="17" customHeight="1">
      <c r="A137" s="1" t="s">
        <v>651</v>
      </c>
      <c r="B137" s="1" t="s">
        <v>1056</v>
      </c>
      <c r="C137" s="1" t="s">
        <v>653</v>
      </c>
      <c r="D137" s="1" t="s">
        <v>1983</v>
      </c>
      <c r="E137" s="1" t="s">
        <v>1057</v>
      </c>
      <c r="G137" s="1">
        <v>2180</v>
      </c>
      <c r="H137" s="1">
        <v>3</v>
      </c>
      <c r="I137" s="1">
        <v>6540</v>
      </c>
      <c r="J137" s="1">
        <v>3</v>
      </c>
      <c r="K137" s="1">
        <f t="shared" si="8"/>
        <v>981</v>
      </c>
      <c r="L137" s="6">
        <v>1148</v>
      </c>
      <c r="M137" s="6">
        <f t="shared" si="9"/>
        <v>3444</v>
      </c>
      <c r="N137" s="6">
        <f t="shared" si="10"/>
        <v>2115</v>
      </c>
      <c r="O137" s="8">
        <f t="shared" si="11"/>
        <v>0.32339449541284404</v>
      </c>
    </row>
    <row r="138" spans="1:15" ht="17" customHeight="1">
      <c r="A138" s="1" t="s">
        <v>376</v>
      </c>
      <c r="C138" s="1" t="s">
        <v>377</v>
      </c>
      <c r="D138" s="1" t="s">
        <v>378</v>
      </c>
      <c r="G138" s="1">
        <v>6480</v>
      </c>
      <c r="H138" s="1">
        <v>1</v>
      </c>
      <c r="I138" s="1">
        <v>6480</v>
      </c>
      <c r="J138" s="1">
        <v>1</v>
      </c>
      <c r="K138" s="1">
        <f t="shared" si="8"/>
        <v>972</v>
      </c>
      <c r="L138" s="6">
        <v>2499</v>
      </c>
      <c r="M138" s="6">
        <f t="shared" si="9"/>
        <v>2499</v>
      </c>
      <c r="N138" s="6">
        <f t="shared" si="10"/>
        <v>3009</v>
      </c>
      <c r="O138" s="8">
        <f t="shared" si="11"/>
        <v>0.46435185185185185</v>
      </c>
    </row>
    <row r="139" spans="1:15" ht="17" customHeight="1">
      <c r="A139" s="1" t="s">
        <v>2038</v>
      </c>
      <c r="C139" s="1" t="s">
        <v>2039</v>
      </c>
      <c r="D139" s="1" t="s">
        <v>2040</v>
      </c>
      <c r="G139" s="1">
        <v>6380</v>
      </c>
      <c r="H139" s="1">
        <v>1</v>
      </c>
      <c r="I139" s="1">
        <v>6380</v>
      </c>
      <c r="J139" s="1">
        <v>1</v>
      </c>
      <c r="K139" s="1">
        <f t="shared" si="8"/>
        <v>957</v>
      </c>
      <c r="L139" s="6">
        <v>3652</v>
      </c>
      <c r="M139" s="6">
        <f t="shared" si="9"/>
        <v>3652</v>
      </c>
      <c r="N139" s="6">
        <f t="shared" si="10"/>
        <v>1771</v>
      </c>
      <c r="O139" s="8">
        <f t="shared" si="11"/>
        <v>0.27758620689655172</v>
      </c>
    </row>
    <row r="140" spans="1:15" ht="17" customHeight="1">
      <c r="A140" s="1" t="s">
        <v>102</v>
      </c>
      <c r="C140" s="1" t="s">
        <v>103</v>
      </c>
      <c r="D140" s="1" t="s">
        <v>1078</v>
      </c>
      <c r="G140" s="1">
        <v>999</v>
      </c>
      <c r="H140" s="1">
        <v>6</v>
      </c>
      <c r="I140" s="1">
        <v>5994</v>
      </c>
      <c r="J140" s="1">
        <v>4</v>
      </c>
      <c r="K140" s="1">
        <f t="shared" si="8"/>
        <v>899.1</v>
      </c>
      <c r="L140" s="6">
        <v>396</v>
      </c>
      <c r="M140" s="6">
        <f t="shared" si="9"/>
        <v>2376</v>
      </c>
      <c r="N140" s="6">
        <f t="shared" si="10"/>
        <v>2718.8999999999996</v>
      </c>
      <c r="O140" s="8">
        <f t="shared" si="11"/>
        <v>0.45360360360360352</v>
      </c>
    </row>
    <row r="141" spans="1:15" ht="17" customHeight="1">
      <c r="A141" s="1" t="s">
        <v>2041</v>
      </c>
      <c r="C141" s="1" t="s">
        <v>2042</v>
      </c>
      <c r="D141" s="1" t="s">
        <v>2043</v>
      </c>
      <c r="G141" s="1">
        <v>5980</v>
      </c>
      <c r="H141" s="1">
        <v>1</v>
      </c>
      <c r="I141" s="1">
        <v>5980</v>
      </c>
      <c r="J141" s="1">
        <v>1</v>
      </c>
      <c r="K141" s="1">
        <f t="shared" si="8"/>
        <v>897</v>
      </c>
      <c r="L141" s="6">
        <v>3500</v>
      </c>
      <c r="M141" s="6">
        <f t="shared" si="9"/>
        <v>3500</v>
      </c>
      <c r="N141" s="6">
        <f t="shared" si="10"/>
        <v>1583</v>
      </c>
      <c r="O141" s="8">
        <f t="shared" si="11"/>
        <v>0.26471571906354513</v>
      </c>
    </row>
    <row r="142" spans="1:15" ht="17" customHeight="1">
      <c r="A142" s="1" t="s">
        <v>2044</v>
      </c>
      <c r="C142" s="1" t="s">
        <v>2045</v>
      </c>
      <c r="D142" s="1" t="s">
        <v>2046</v>
      </c>
      <c r="G142" s="1">
        <v>5980</v>
      </c>
      <c r="H142" s="1">
        <v>1</v>
      </c>
      <c r="I142" s="1">
        <v>5980</v>
      </c>
      <c r="J142" s="1">
        <v>1</v>
      </c>
      <c r="K142" s="1">
        <f t="shared" si="8"/>
        <v>897</v>
      </c>
      <c r="L142" s="6">
        <v>3900</v>
      </c>
      <c r="M142" s="6">
        <f t="shared" si="9"/>
        <v>3900</v>
      </c>
      <c r="N142" s="6">
        <f t="shared" si="10"/>
        <v>1183</v>
      </c>
      <c r="O142" s="8">
        <f t="shared" si="11"/>
        <v>0.19782608695652174</v>
      </c>
    </row>
    <row r="143" spans="1:15" ht="17" customHeight="1">
      <c r="A143" s="1" t="s">
        <v>1658</v>
      </c>
      <c r="C143" s="1" t="s">
        <v>1659</v>
      </c>
      <c r="D143" s="1" t="s">
        <v>1660</v>
      </c>
      <c r="G143" s="1">
        <v>5980</v>
      </c>
      <c r="H143" s="1">
        <v>1</v>
      </c>
      <c r="I143" s="1">
        <v>5980</v>
      </c>
      <c r="J143" s="1">
        <v>1</v>
      </c>
      <c r="K143" s="1">
        <f t="shared" si="8"/>
        <v>897</v>
      </c>
      <c r="L143" s="6">
        <v>2990</v>
      </c>
      <c r="M143" s="6">
        <f t="shared" si="9"/>
        <v>2990</v>
      </c>
      <c r="N143" s="6">
        <f t="shared" si="10"/>
        <v>2093</v>
      </c>
      <c r="O143" s="8">
        <f t="shared" si="11"/>
        <v>0.35</v>
      </c>
    </row>
    <row r="144" spans="1:15" ht="17" customHeight="1">
      <c r="A144" s="1" t="s">
        <v>204</v>
      </c>
      <c r="C144" s="1" t="s">
        <v>205</v>
      </c>
      <c r="D144" s="1" t="s">
        <v>1047</v>
      </c>
      <c r="G144" s="1">
        <v>2980</v>
      </c>
      <c r="H144" s="1">
        <v>2</v>
      </c>
      <c r="I144" s="1">
        <v>5960</v>
      </c>
      <c r="J144" s="1">
        <v>2</v>
      </c>
      <c r="K144" s="1">
        <f t="shared" si="8"/>
        <v>894</v>
      </c>
      <c r="L144" s="6">
        <v>1182</v>
      </c>
      <c r="M144" s="6">
        <f t="shared" si="9"/>
        <v>2364</v>
      </c>
      <c r="N144" s="6">
        <f t="shared" si="10"/>
        <v>2702</v>
      </c>
      <c r="O144" s="8">
        <f t="shared" si="11"/>
        <v>0.45335570469798658</v>
      </c>
    </row>
    <row r="145" spans="1:15" ht="17" customHeight="1">
      <c r="A145" s="1" t="s">
        <v>257</v>
      </c>
      <c r="B145" s="1" t="s">
        <v>697</v>
      </c>
      <c r="C145" s="1">
        <v>4550391046508</v>
      </c>
      <c r="D145" s="1" t="s">
        <v>1627</v>
      </c>
      <c r="E145" s="1" t="s">
        <v>698</v>
      </c>
      <c r="G145" s="1">
        <v>2980</v>
      </c>
      <c r="H145" s="1">
        <v>2</v>
      </c>
      <c r="I145" s="1">
        <v>5960</v>
      </c>
      <c r="J145" s="1">
        <v>2</v>
      </c>
      <c r="K145" s="1">
        <f t="shared" si="8"/>
        <v>894</v>
      </c>
      <c r="L145" s="6">
        <v>1130</v>
      </c>
      <c r="M145" s="6">
        <f t="shared" si="9"/>
        <v>2260</v>
      </c>
      <c r="N145" s="6">
        <f t="shared" si="10"/>
        <v>2806</v>
      </c>
      <c r="O145" s="8">
        <f t="shared" si="11"/>
        <v>0.4708053691275168</v>
      </c>
    </row>
    <row r="146" spans="1:15" ht="17" customHeight="1">
      <c r="A146" s="1" t="s">
        <v>2047</v>
      </c>
      <c r="C146" s="1" t="s">
        <v>1004</v>
      </c>
      <c r="D146" s="1" t="s">
        <v>1005</v>
      </c>
      <c r="G146" s="1">
        <v>2980</v>
      </c>
      <c r="H146" s="1">
        <v>2</v>
      </c>
      <c r="I146" s="1">
        <v>5960</v>
      </c>
      <c r="J146" s="1">
        <v>2</v>
      </c>
      <c r="K146" s="1">
        <f t="shared" si="8"/>
        <v>894</v>
      </c>
      <c r="L146" s="6">
        <v>1581</v>
      </c>
      <c r="M146" s="6">
        <f t="shared" si="9"/>
        <v>3162</v>
      </c>
      <c r="N146" s="6">
        <f t="shared" si="10"/>
        <v>1904</v>
      </c>
      <c r="O146" s="8">
        <f t="shared" si="11"/>
        <v>0.31946308724832218</v>
      </c>
    </row>
    <row r="147" spans="1:15" ht="17" customHeight="1">
      <c r="A147" s="1" t="s">
        <v>2048</v>
      </c>
      <c r="C147" s="1" t="s">
        <v>2049</v>
      </c>
      <c r="D147" s="1" t="s">
        <v>2050</v>
      </c>
      <c r="G147" s="1">
        <v>2980</v>
      </c>
      <c r="H147" s="1">
        <v>2</v>
      </c>
      <c r="I147" s="1">
        <v>5960</v>
      </c>
      <c r="J147" s="1">
        <v>2</v>
      </c>
      <c r="K147" s="1">
        <f t="shared" si="8"/>
        <v>894</v>
      </c>
      <c r="L147" s="6">
        <v>1941</v>
      </c>
      <c r="M147" s="6">
        <f t="shared" si="9"/>
        <v>3882</v>
      </c>
      <c r="N147" s="6">
        <f t="shared" si="10"/>
        <v>1184</v>
      </c>
      <c r="O147" s="8">
        <f t="shared" si="11"/>
        <v>0.19865771812080538</v>
      </c>
    </row>
    <row r="148" spans="1:15" ht="17" customHeight="1">
      <c r="A148" s="1" t="s">
        <v>632</v>
      </c>
      <c r="B148" s="1" t="s">
        <v>1796</v>
      </c>
      <c r="C148" s="1">
        <v>4550391062164</v>
      </c>
      <c r="D148" s="1" t="s">
        <v>634</v>
      </c>
      <c r="E148" s="1">
        <v>4550391062195</v>
      </c>
      <c r="G148" s="1">
        <v>2980</v>
      </c>
      <c r="H148" s="1">
        <v>2</v>
      </c>
      <c r="I148" s="1">
        <v>5960</v>
      </c>
      <c r="J148" s="1">
        <v>2</v>
      </c>
      <c r="K148" s="1">
        <f t="shared" si="8"/>
        <v>894</v>
      </c>
      <c r="L148" s="6">
        <v>1072</v>
      </c>
      <c r="M148" s="6">
        <f t="shared" si="9"/>
        <v>2144</v>
      </c>
      <c r="N148" s="6">
        <f t="shared" si="10"/>
        <v>2922</v>
      </c>
      <c r="O148" s="8">
        <f t="shared" si="11"/>
        <v>0.49026845637583893</v>
      </c>
    </row>
    <row r="149" spans="1:15" ht="17" customHeight="1">
      <c r="A149" s="1" t="s">
        <v>257</v>
      </c>
      <c r="B149" s="1" t="s">
        <v>2051</v>
      </c>
      <c r="C149" s="1">
        <v>4550391046508</v>
      </c>
      <c r="D149" s="1" t="s">
        <v>1627</v>
      </c>
      <c r="E149" s="1" t="s">
        <v>2052</v>
      </c>
      <c r="G149" s="1">
        <v>2980</v>
      </c>
      <c r="H149" s="1">
        <v>2</v>
      </c>
      <c r="I149" s="1">
        <v>5960</v>
      </c>
      <c r="J149" s="1">
        <v>2</v>
      </c>
      <c r="K149" s="1">
        <f t="shared" si="8"/>
        <v>894</v>
      </c>
      <c r="L149" s="6">
        <v>1130</v>
      </c>
      <c r="M149" s="6">
        <f t="shared" si="9"/>
        <v>2260</v>
      </c>
      <c r="N149" s="6">
        <f t="shared" si="10"/>
        <v>2806</v>
      </c>
      <c r="O149" s="8">
        <f t="shared" si="11"/>
        <v>0.4708053691275168</v>
      </c>
    </row>
    <row r="150" spans="1:15" ht="17" customHeight="1">
      <c r="A150" s="1" t="s">
        <v>2053</v>
      </c>
      <c r="C150" s="1" t="s">
        <v>1301</v>
      </c>
      <c r="D150" s="1" t="s">
        <v>1302</v>
      </c>
      <c r="G150" s="1">
        <v>2980</v>
      </c>
      <c r="H150" s="1">
        <v>2</v>
      </c>
      <c r="I150" s="1">
        <v>5960</v>
      </c>
      <c r="J150" s="1">
        <v>2</v>
      </c>
      <c r="K150" s="1">
        <f t="shared" si="8"/>
        <v>894</v>
      </c>
      <c r="L150" s="6">
        <v>1540</v>
      </c>
      <c r="M150" s="6">
        <f t="shared" si="9"/>
        <v>3080</v>
      </c>
      <c r="N150" s="6">
        <f t="shared" si="10"/>
        <v>1986</v>
      </c>
      <c r="O150" s="8">
        <f t="shared" si="11"/>
        <v>0.33322147651006712</v>
      </c>
    </row>
    <row r="151" spans="1:15" ht="17" customHeight="1">
      <c r="A151" s="1" t="s">
        <v>68</v>
      </c>
      <c r="C151" s="1" t="s">
        <v>69</v>
      </c>
      <c r="D151" s="1" t="s">
        <v>70</v>
      </c>
      <c r="G151" s="1">
        <v>2980</v>
      </c>
      <c r="H151" s="1">
        <v>2</v>
      </c>
      <c r="I151" s="1">
        <v>5960</v>
      </c>
      <c r="J151" s="1">
        <v>2</v>
      </c>
      <c r="K151" s="1">
        <f t="shared" si="8"/>
        <v>894</v>
      </c>
      <c r="L151" s="6">
        <v>1287</v>
      </c>
      <c r="M151" s="6">
        <f t="shared" si="9"/>
        <v>2574</v>
      </c>
      <c r="N151" s="6">
        <f t="shared" si="10"/>
        <v>2492</v>
      </c>
      <c r="O151" s="8">
        <f t="shared" si="11"/>
        <v>0.41812080536912749</v>
      </c>
    </row>
    <row r="152" spans="1:15" ht="17" customHeight="1">
      <c r="A152" s="1" t="s">
        <v>138</v>
      </c>
      <c r="C152" s="1" t="s">
        <v>139</v>
      </c>
      <c r="D152" s="1" t="s">
        <v>2054</v>
      </c>
      <c r="G152" s="1">
        <v>5880</v>
      </c>
      <c r="H152" s="1">
        <v>1</v>
      </c>
      <c r="I152" s="1">
        <v>5880</v>
      </c>
      <c r="J152" s="1">
        <v>1</v>
      </c>
      <c r="K152" s="1">
        <f t="shared" si="8"/>
        <v>882</v>
      </c>
      <c r="L152" s="6">
        <v>2600</v>
      </c>
      <c r="M152" s="6">
        <f t="shared" si="9"/>
        <v>2600</v>
      </c>
      <c r="N152" s="6">
        <f t="shared" si="10"/>
        <v>2398</v>
      </c>
      <c r="O152" s="8">
        <f t="shared" si="11"/>
        <v>0.40782312925170067</v>
      </c>
    </row>
    <row r="153" spans="1:15" ht="17" customHeight="1">
      <c r="A153" s="1" t="s">
        <v>1812</v>
      </c>
      <c r="C153" s="1" t="s">
        <v>1813</v>
      </c>
      <c r="D153" s="1" t="s">
        <v>1814</v>
      </c>
      <c r="G153" s="1">
        <v>2780</v>
      </c>
      <c r="H153" s="1">
        <v>2</v>
      </c>
      <c r="I153" s="1">
        <v>5560</v>
      </c>
      <c r="J153" s="1">
        <v>2</v>
      </c>
      <c r="K153" s="1">
        <f t="shared" si="8"/>
        <v>834</v>
      </c>
      <c r="L153" s="6">
        <v>1534</v>
      </c>
      <c r="M153" s="6">
        <f t="shared" si="9"/>
        <v>3068</v>
      </c>
      <c r="N153" s="6">
        <f t="shared" si="10"/>
        <v>1658</v>
      </c>
      <c r="O153" s="8">
        <f t="shared" si="11"/>
        <v>0.29820143884892086</v>
      </c>
    </row>
    <row r="154" spans="1:15" ht="17" customHeight="1">
      <c r="A154" s="1" t="s">
        <v>430</v>
      </c>
      <c r="C154" s="1" t="s">
        <v>431</v>
      </c>
      <c r="D154" s="1">
        <v>2691</v>
      </c>
      <c r="G154" s="1">
        <v>5480</v>
      </c>
      <c r="H154" s="1">
        <v>1</v>
      </c>
      <c r="I154" s="1">
        <v>5480</v>
      </c>
      <c r="J154" s="1">
        <v>1</v>
      </c>
      <c r="K154" s="1">
        <f t="shared" si="8"/>
        <v>822</v>
      </c>
      <c r="L154" s="6">
        <v>2691</v>
      </c>
      <c r="M154" s="6">
        <f t="shared" si="9"/>
        <v>2691</v>
      </c>
      <c r="N154" s="6">
        <f t="shared" si="10"/>
        <v>1967</v>
      </c>
      <c r="O154" s="8">
        <f t="shared" si="11"/>
        <v>0.35894160583941603</v>
      </c>
    </row>
    <row r="155" spans="1:15" ht="17" customHeight="1">
      <c r="A155" s="1" t="s">
        <v>1922</v>
      </c>
      <c r="C155" s="1" t="s">
        <v>1923</v>
      </c>
      <c r="D155" s="1">
        <v>659</v>
      </c>
      <c r="G155" s="1">
        <v>899</v>
      </c>
      <c r="H155" s="1">
        <v>6</v>
      </c>
      <c r="I155" s="1">
        <v>5394</v>
      </c>
      <c r="J155" s="1">
        <v>2</v>
      </c>
      <c r="K155" s="1">
        <f t="shared" si="8"/>
        <v>809.1</v>
      </c>
      <c r="L155" s="6">
        <v>659</v>
      </c>
      <c r="M155" s="6">
        <f t="shared" si="9"/>
        <v>3954</v>
      </c>
      <c r="N155" s="6">
        <f t="shared" si="10"/>
        <v>630.89999999999964</v>
      </c>
      <c r="O155" s="8">
        <f t="shared" si="11"/>
        <v>0.11696329254727468</v>
      </c>
    </row>
    <row r="156" spans="1:15" ht="17" customHeight="1">
      <c r="A156" s="1" t="s">
        <v>841</v>
      </c>
      <c r="B156" s="1" t="s">
        <v>1251</v>
      </c>
      <c r="C156" s="1" t="s">
        <v>843</v>
      </c>
      <c r="D156" s="9">
        <v>605858638891</v>
      </c>
      <c r="E156" s="1" t="s">
        <v>1252</v>
      </c>
      <c r="G156" s="1">
        <v>1780</v>
      </c>
      <c r="H156" s="1">
        <v>3</v>
      </c>
      <c r="I156" s="1">
        <v>5340</v>
      </c>
      <c r="J156" s="1">
        <v>2</v>
      </c>
      <c r="K156" s="1">
        <f t="shared" si="8"/>
        <v>801</v>
      </c>
      <c r="L156" s="6">
        <v>605</v>
      </c>
      <c r="M156" s="6">
        <f t="shared" si="9"/>
        <v>1815</v>
      </c>
      <c r="N156" s="6">
        <f t="shared" si="10"/>
        <v>2724</v>
      </c>
      <c r="O156" s="8">
        <f t="shared" si="11"/>
        <v>0.51011235955056178</v>
      </c>
    </row>
    <row r="157" spans="1:15" ht="17" customHeight="1">
      <c r="A157" s="1" t="s">
        <v>1825</v>
      </c>
      <c r="C157" s="1" t="s">
        <v>1826</v>
      </c>
      <c r="D157" s="1" t="s">
        <v>1827</v>
      </c>
      <c r="G157" s="1">
        <v>2580</v>
      </c>
      <c r="H157" s="1">
        <v>2</v>
      </c>
      <c r="I157" s="1">
        <v>5160</v>
      </c>
      <c r="J157" s="1">
        <v>2</v>
      </c>
      <c r="K157" s="1">
        <f t="shared" si="8"/>
        <v>774</v>
      </c>
      <c r="L157" s="6">
        <v>1480</v>
      </c>
      <c r="M157" s="6">
        <f t="shared" si="9"/>
        <v>2960</v>
      </c>
      <c r="N157" s="6">
        <f t="shared" si="10"/>
        <v>1426</v>
      </c>
      <c r="O157" s="8">
        <f t="shared" si="11"/>
        <v>0.27635658914728684</v>
      </c>
    </row>
    <row r="158" spans="1:15" ht="17" customHeight="1">
      <c r="A158" s="1" t="s">
        <v>2055</v>
      </c>
      <c r="C158" s="1" t="s">
        <v>2056</v>
      </c>
      <c r="D158" s="1" t="s">
        <v>2057</v>
      </c>
      <c r="G158" s="1">
        <v>1280</v>
      </c>
      <c r="H158" s="1">
        <v>4</v>
      </c>
      <c r="I158" s="1">
        <v>5120</v>
      </c>
      <c r="J158" s="1">
        <v>3</v>
      </c>
      <c r="K158" s="1">
        <f t="shared" si="8"/>
        <v>768</v>
      </c>
      <c r="L158" s="6">
        <v>219</v>
      </c>
      <c r="M158" s="6">
        <f t="shared" si="9"/>
        <v>876</v>
      </c>
      <c r="N158" s="6">
        <f t="shared" si="10"/>
        <v>3476</v>
      </c>
      <c r="O158" s="8">
        <f t="shared" si="11"/>
        <v>0.67890625000000004</v>
      </c>
    </row>
    <row r="159" spans="1:15" ht="17" customHeight="1">
      <c r="A159" s="1" t="s">
        <v>1686</v>
      </c>
      <c r="C159" s="1" t="s">
        <v>1687</v>
      </c>
      <c r="D159" s="1" t="s">
        <v>2058</v>
      </c>
      <c r="G159" s="1">
        <v>999</v>
      </c>
      <c r="H159" s="1">
        <v>5</v>
      </c>
      <c r="I159" s="1">
        <v>4995</v>
      </c>
      <c r="J159" s="1">
        <v>4</v>
      </c>
      <c r="K159" s="1">
        <f t="shared" si="8"/>
        <v>749.25</v>
      </c>
      <c r="L159" s="6">
        <v>396</v>
      </c>
      <c r="M159" s="6">
        <f t="shared" si="9"/>
        <v>1980</v>
      </c>
      <c r="N159" s="6">
        <f t="shared" si="10"/>
        <v>2265.75</v>
      </c>
      <c r="O159" s="8">
        <f t="shared" si="11"/>
        <v>0.45360360360360358</v>
      </c>
    </row>
    <row r="160" spans="1:15" ht="17" customHeight="1">
      <c r="A160" s="1" t="s">
        <v>2059</v>
      </c>
      <c r="C160" s="1" t="s">
        <v>2060</v>
      </c>
      <c r="D160" s="1" t="s">
        <v>2061</v>
      </c>
      <c r="G160" s="1">
        <v>4980</v>
      </c>
      <c r="H160" s="1">
        <v>1</v>
      </c>
      <c r="I160" s="1">
        <v>4980</v>
      </c>
      <c r="J160" s="1">
        <v>1</v>
      </c>
      <c r="K160" s="1">
        <f t="shared" si="8"/>
        <v>747</v>
      </c>
      <c r="L160" s="6">
        <v>3320</v>
      </c>
      <c r="M160" s="6">
        <f t="shared" si="9"/>
        <v>3320</v>
      </c>
      <c r="N160" s="6">
        <f t="shared" si="10"/>
        <v>913</v>
      </c>
      <c r="O160" s="8">
        <f t="shared" si="11"/>
        <v>0.18333333333333332</v>
      </c>
    </row>
    <row r="161" spans="1:15" ht="17" customHeight="1">
      <c r="A161" s="1" t="s">
        <v>1150</v>
      </c>
      <c r="C161" s="1" t="s">
        <v>1151</v>
      </c>
      <c r="D161" s="1" t="s">
        <v>1152</v>
      </c>
      <c r="G161" s="1">
        <v>4980</v>
      </c>
      <c r="H161" s="1">
        <v>1</v>
      </c>
      <c r="I161" s="1">
        <v>4980</v>
      </c>
      <c r="J161" s="1">
        <v>1</v>
      </c>
      <c r="K161" s="1">
        <f t="shared" si="8"/>
        <v>747</v>
      </c>
      <c r="L161" s="6">
        <v>3847</v>
      </c>
      <c r="M161" s="6">
        <f t="shared" si="9"/>
        <v>3847</v>
      </c>
      <c r="N161" s="6">
        <f t="shared" si="10"/>
        <v>386</v>
      </c>
      <c r="O161" s="8">
        <f t="shared" si="11"/>
        <v>7.7510040160642571E-2</v>
      </c>
    </row>
    <row r="162" spans="1:15" ht="17" customHeight="1">
      <c r="A162" s="1" t="s">
        <v>2062</v>
      </c>
      <c r="C162" s="1" t="s">
        <v>2063</v>
      </c>
      <c r="D162" s="1" t="s">
        <v>2064</v>
      </c>
      <c r="G162" s="1">
        <v>4980</v>
      </c>
      <c r="H162" s="1">
        <v>1</v>
      </c>
      <c r="I162" s="1">
        <v>4980</v>
      </c>
      <c r="J162" s="1">
        <v>1</v>
      </c>
      <c r="K162" s="1">
        <f t="shared" si="8"/>
        <v>747</v>
      </c>
      <c r="L162" s="6">
        <v>3060</v>
      </c>
      <c r="M162" s="6">
        <f t="shared" si="9"/>
        <v>3060</v>
      </c>
      <c r="N162" s="6">
        <f t="shared" si="10"/>
        <v>1173</v>
      </c>
      <c r="O162" s="8">
        <f t="shared" si="11"/>
        <v>0.23554216867469879</v>
      </c>
    </row>
    <row r="163" spans="1:15" ht="17" customHeight="1">
      <c r="A163" s="1" t="s">
        <v>163</v>
      </c>
      <c r="C163" s="1" t="s">
        <v>164</v>
      </c>
      <c r="D163" s="1">
        <v>2588</v>
      </c>
      <c r="G163" s="1">
        <v>4980</v>
      </c>
      <c r="H163" s="1">
        <v>1</v>
      </c>
      <c r="I163" s="1">
        <v>4980</v>
      </c>
      <c r="J163" s="1">
        <v>1</v>
      </c>
      <c r="K163" s="1">
        <f t="shared" si="8"/>
        <v>747</v>
      </c>
      <c r="L163" s="6">
        <v>2588</v>
      </c>
      <c r="M163" s="6">
        <f t="shared" si="9"/>
        <v>2588</v>
      </c>
      <c r="N163" s="6">
        <f t="shared" si="10"/>
        <v>1645</v>
      </c>
      <c r="O163" s="8">
        <f t="shared" si="11"/>
        <v>0.33032128514056225</v>
      </c>
    </row>
    <row r="164" spans="1:15" ht="17" customHeight="1">
      <c r="A164" s="1" t="s">
        <v>458</v>
      </c>
      <c r="C164" s="1" t="s">
        <v>459</v>
      </c>
      <c r="D164" s="1" t="s">
        <v>1682</v>
      </c>
      <c r="G164" s="1">
        <v>2480</v>
      </c>
      <c r="H164" s="1">
        <v>2</v>
      </c>
      <c r="I164" s="1">
        <v>4960</v>
      </c>
      <c r="J164" s="1">
        <v>1</v>
      </c>
      <c r="K164" s="1">
        <f t="shared" si="8"/>
        <v>744</v>
      </c>
      <c r="L164" s="6">
        <v>1164</v>
      </c>
      <c r="M164" s="6">
        <f t="shared" si="9"/>
        <v>2328</v>
      </c>
      <c r="N164" s="6">
        <f t="shared" si="10"/>
        <v>1888</v>
      </c>
      <c r="O164" s="8">
        <f t="shared" si="11"/>
        <v>0.38064516129032255</v>
      </c>
    </row>
    <row r="165" spans="1:15" ht="17" customHeight="1">
      <c r="A165" s="1" t="s">
        <v>1350</v>
      </c>
      <c r="C165" s="1" t="s">
        <v>1351</v>
      </c>
      <c r="D165" s="1" t="s">
        <v>2065</v>
      </c>
      <c r="G165" s="1">
        <v>2480</v>
      </c>
      <c r="H165" s="1">
        <v>2</v>
      </c>
      <c r="I165" s="1">
        <v>4960</v>
      </c>
      <c r="J165" s="1">
        <v>2</v>
      </c>
      <c r="K165" s="1">
        <f t="shared" si="8"/>
        <v>744</v>
      </c>
      <c r="L165" s="6">
        <v>550</v>
      </c>
      <c r="M165" s="6">
        <f t="shared" si="9"/>
        <v>1100</v>
      </c>
      <c r="N165" s="6">
        <f t="shared" si="10"/>
        <v>3116</v>
      </c>
      <c r="O165" s="8">
        <f t="shared" si="11"/>
        <v>0.62822580645161286</v>
      </c>
    </row>
    <row r="166" spans="1:15" ht="17" customHeight="1">
      <c r="A166" s="1" t="s">
        <v>2066</v>
      </c>
      <c r="C166" s="1" t="s">
        <v>1701</v>
      </c>
      <c r="D166" s="1" t="s">
        <v>1702</v>
      </c>
      <c r="G166" s="1">
        <v>4780</v>
      </c>
      <c r="H166" s="1">
        <v>1</v>
      </c>
      <c r="I166" s="1">
        <v>4780</v>
      </c>
      <c r="J166" s="1">
        <v>1</v>
      </c>
      <c r="K166" s="1">
        <f t="shared" si="8"/>
        <v>717</v>
      </c>
      <c r="L166" s="6">
        <v>2418</v>
      </c>
      <c r="M166" s="6">
        <f t="shared" si="9"/>
        <v>2418</v>
      </c>
      <c r="N166" s="6">
        <f t="shared" si="10"/>
        <v>1645</v>
      </c>
      <c r="O166" s="8">
        <f t="shared" si="11"/>
        <v>0.34414225941422594</v>
      </c>
    </row>
    <row r="167" spans="1:15" ht="17" customHeight="1">
      <c r="A167" s="1" t="s">
        <v>567</v>
      </c>
      <c r="C167" s="1" t="s">
        <v>568</v>
      </c>
      <c r="D167" s="1" t="s">
        <v>569</v>
      </c>
      <c r="G167" s="1">
        <v>1580</v>
      </c>
      <c r="H167" s="1">
        <v>3</v>
      </c>
      <c r="I167" s="1">
        <v>4740</v>
      </c>
      <c r="J167" s="1">
        <v>2</v>
      </c>
      <c r="K167" s="1">
        <f t="shared" si="8"/>
        <v>711</v>
      </c>
      <c r="L167" s="6">
        <v>1086</v>
      </c>
      <c r="M167" s="6">
        <f t="shared" si="9"/>
        <v>3258</v>
      </c>
      <c r="N167" s="6">
        <f t="shared" si="10"/>
        <v>771</v>
      </c>
      <c r="O167" s="8">
        <f t="shared" si="11"/>
        <v>0.16265822784810127</v>
      </c>
    </row>
    <row r="168" spans="1:15" ht="17" customHeight="1">
      <c r="A168" s="1" t="s">
        <v>1170</v>
      </c>
      <c r="C168" s="1" t="s">
        <v>1171</v>
      </c>
      <c r="D168" s="1" t="s">
        <v>1172</v>
      </c>
      <c r="G168" s="1">
        <v>1580</v>
      </c>
      <c r="H168" s="1">
        <v>3</v>
      </c>
      <c r="I168" s="1">
        <v>4740</v>
      </c>
      <c r="J168" s="1">
        <v>3</v>
      </c>
      <c r="K168" s="1">
        <f t="shared" si="8"/>
        <v>711</v>
      </c>
      <c r="L168" s="6">
        <v>555</v>
      </c>
      <c r="M168" s="6">
        <f t="shared" si="9"/>
        <v>1665</v>
      </c>
      <c r="N168" s="6">
        <f t="shared" si="10"/>
        <v>2364</v>
      </c>
      <c r="O168" s="8">
        <f t="shared" si="11"/>
        <v>0.49873417721518987</v>
      </c>
    </row>
    <row r="169" spans="1:15" ht="17" customHeight="1">
      <c r="A169" s="1" t="s">
        <v>1863</v>
      </c>
      <c r="C169" s="1" t="s">
        <v>1864</v>
      </c>
      <c r="D169" s="1" t="s">
        <v>1865</v>
      </c>
      <c r="G169" s="1">
        <v>1180</v>
      </c>
      <c r="H169" s="1">
        <v>4</v>
      </c>
      <c r="I169" s="1">
        <v>4720</v>
      </c>
      <c r="J169" s="1">
        <v>2</v>
      </c>
      <c r="K169" s="1">
        <f t="shared" si="8"/>
        <v>708</v>
      </c>
      <c r="L169" s="6">
        <v>576</v>
      </c>
      <c r="M169" s="6">
        <f t="shared" si="9"/>
        <v>2304</v>
      </c>
      <c r="N169" s="6">
        <f t="shared" si="10"/>
        <v>1708</v>
      </c>
      <c r="O169" s="8">
        <f t="shared" si="11"/>
        <v>0.36186440677966103</v>
      </c>
    </row>
    <row r="170" spans="1:15" ht="17" customHeight="1">
      <c r="A170" s="1" t="s">
        <v>2067</v>
      </c>
      <c r="C170" s="1" t="s">
        <v>2068</v>
      </c>
      <c r="D170" s="1" t="s">
        <v>2069</v>
      </c>
      <c r="G170" s="1">
        <v>4580</v>
      </c>
      <c r="H170" s="1">
        <v>1</v>
      </c>
      <c r="I170" s="1">
        <v>4580</v>
      </c>
      <c r="J170" s="1">
        <v>1</v>
      </c>
      <c r="K170" s="1">
        <f t="shared" si="8"/>
        <v>687</v>
      </c>
      <c r="L170" s="6">
        <v>3135</v>
      </c>
      <c r="M170" s="6">
        <f t="shared" si="9"/>
        <v>3135</v>
      </c>
      <c r="N170" s="6">
        <f t="shared" si="10"/>
        <v>758</v>
      </c>
      <c r="O170" s="8">
        <f t="shared" si="11"/>
        <v>0.16550218340611353</v>
      </c>
    </row>
    <row r="171" spans="1:15" ht="17" customHeight="1">
      <c r="A171" s="1" t="s">
        <v>2070</v>
      </c>
      <c r="B171" s="1" t="s">
        <v>212</v>
      </c>
      <c r="C171" s="1" t="s">
        <v>2071</v>
      </c>
      <c r="D171" s="1" t="s">
        <v>2072</v>
      </c>
      <c r="E171" s="1" t="s">
        <v>2073</v>
      </c>
      <c r="G171" s="1">
        <v>4480</v>
      </c>
      <c r="H171" s="1">
        <v>1</v>
      </c>
      <c r="I171" s="1">
        <v>4480</v>
      </c>
      <c r="J171" s="1">
        <v>1</v>
      </c>
      <c r="K171" s="1">
        <f t="shared" si="8"/>
        <v>672</v>
      </c>
      <c r="L171" s="6">
        <v>2873</v>
      </c>
      <c r="M171" s="6">
        <f t="shared" si="9"/>
        <v>2873</v>
      </c>
      <c r="N171" s="6">
        <f t="shared" si="10"/>
        <v>935</v>
      </c>
      <c r="O171" s="8">
        <f t="shared" si="11"/>
        <v>0.20870535714285715</v>
      </c>
    </row>
    <row r="172" spans="1:15" ht="17" customHeight="1">
      <c r="A172" s="1" t="s">
        <v>651</v>
      </c>
      <c r="B172" s="1" t="s">
        <v>652</v>
      </c>
      <c r="C172" s="1" t="s">
        <v>653</v>
      </c>
      <c r="D172" s="1" t="s">
        <v>1983</v>
      </c>
      <c r="E172" s="1" t="s">
        <v>655</v>
      </c>
      <c r="G172" s="1">
        <v>1480</v>
      </c>
      <c r="H172" s="1">
        <v>3</v>
      </c>
      <c r="I172" s="1">
        <v>4440</v>
      </c>
      <c r="J172" s="1">
        <v>3</v>
      </c>
      <c r="K172" s="1">
        <f t="shared" si="8"/>
        <v>666</v>
      </c>
      <c r="L172" s="6">
        <v>1148</v>
      </c>
      <c r="M172" s="6">
        <f t="shared" si="9"/>
        <v>3444</v>
      </c>
      <c r="N172" s="6">
        <f t="shared" si="10"/>
        <v>330</v>
      </c>
      <c r="O172" s="8">
        <f t="shared" si="11"/>
        <v>7.4324324324324328E-2</v>
      </c>
    </row>
    <row r="173" spans="1:15" ht="17" customHeight="1">
      <c r="A173" s="1" t="s">
        <v>729</v>
      </c>
      <c r="C173" s="1" t="s">
        <v>730</v>
      </c>
      <c r="D173" s="1" t="s">
        <v>2074</v>
      </c>
      <c r="G173" s="1">
        <v>2198</v>
      </c>
      <c r="H173" s="1">
        <v>2</v>
      </c>
      <c r="I173" s="1">
        <v>4396</v>
      </c>
      <c r="J173" s="1">
        <v>2</v>
      </c>
      <c r="K173" s="1">
        <f t="shared" si="8"/>
        <v>659.4</v>
      </c>
      <c r="L173" s="6">
        <v>1278</v>
      </c>
      <c r="M173" s="6">
        <f t="shared" si="9"/>
        <v>2556</v>
      </c>
      <c r="N173" s="6">
        <f t="shared" si="10"/>
        <v>1180.5999999999999</v>
      </c>
      <c r="O173" s="8">
        <f t="shared" si="11"/>
        <v>0.26856232939035485</v>
      </c>
    </row>
    <row r="174" spans="1:15" ht="17" customHeight="1">
      <c r="A174" s="1" t="s">
        <v>2075</v>
      </c>
      <c r="C174" s="1" t="s">
        <v>2076</v>
      </c>
      <c r="D174" s="1" t="s">
        <v>2077</v>
      </c>
      <c r="G174" s="1">
        <v>4380</v>
      </c>
      <c r="H174" s="1">
        <v>1</v>
      </c>
      <c r="I174" s="1">
        <v>4380</v>
      </c>
      <c r="J174" s="1">
        <v>1</v>
      </c>
      <c r="K174" s="1">
        <f t="shared" si="8"/>
        <v>657</v>
      </c>
      <c r="L174" s="6">
        <v>3069</v>
      </c>
      <c r="M174" s="6">
        <f t="shared" si="9"/>
        <v>3069</v>
      </c>
      <c r="N174" s="6">
        <f t="shared" si="10"/>
        <v>654</v>
      </c>
      <c r="O174" s="8">
        <f t="shared" si="11"/>
        <v>0.14931506849315068</v>
      </c>
    </row>
    <row r="175" spans="1:15" ht="17" customHeight="1">
      <c r="A175" s="1" t="s">
        <v>2078</v>
      </c>
      <c r="C175" s="1" t="s">
        <v>1359</v>
      </c>
      <c r="D175" s="1">
        <v>946</v>
      </c>
      <c r="G175" s="1">
        <v>2180</v>
      </c>
      <c r="H175" s="1">
        <v>2</v>
      </c>
      <c r="I175" s="1">
        <v>4360</v>
      </c>
      <c r="J175" s="1">
        <v>2</v>
      </c>
      <c r="K175" s="1">
        <f t="shared" si="8"/>
        <v>654</v>
      </c>
      <c r="L175" s="6">
        <v>946</v>
      </c>
      <c r="M175" s="6">
        <f t="shared" si="9"/>
        <v>1892</v>
      </c>
      <c r="N175" s="6">
        <f t="shared" si="10"/>
        <v>1814</v>
      </c>
      <c r="O175" s="8">
        <f t="shared" si="11"/>
        <v>0.41605504587155961</v>
      </c>
    </row>
    <row r="176" spans="1:15" ht="17" customHeight="1">
      <c r="A176" s="1" t="s">
        <v>651</v>
      </c>
      <c r="B176" s="1" t="s">
        <v>956</v>
      </c>
      <c r="C176" s="1" t="s">
        <v>653</v>
      </c>
      <c r="D176" s="1" t="s">
        <v>1983</v>
      </c>
      <c r="E176" s="1" t="s">
        <v>957</v>
      </c>
      <c r="G176" s="1">
        <v>2180</v>
      </c>
      <c r="H176" s="1">
        <v>2</v>
      </c>
      <c r="I176" s="1">
        <v>4360</v>
      </c>
      <c r="J176" s="1">
        <v>1</v>
      </c>
      <c r="K176" s="1">
        <f t="shared" si="8"/>
        <v>654</v>
      </c>
      <c r="L176" s="6">
        <v>1148</v>
      </c>
      <c r="M176" s="6">
        <f t="shared" si="9"/>
        <v>2296</v>
      </c>
      <c r="N176" s="6">
        <f t="shared" si="10"/>
        <v>1410</v>
      </c>
      <c r="O176" s="8">
        <f t="shared" si="11"/>
        <v>0.32339449541284404</v>
      </c>
    </row>
    <row r="177" spans="1:15" ht="17" customHeight="1">
      <c r="A177" s="1" t="s">
        <v>480</v>
      </c>
      <c r="C177" s="1" t="s">
        <v>481</v>
      </c>
      <c r="D177" s="1" t="s">
        <v>1874</v>
      </c>
      <c r="G177" s="1">
        <v>2180</v>
      </c>
      <c r="H177" s="1">
        <v>2</v>
      </c>
      <c r="I177" s="1">
        <v>4360</v>
      </c>
      <c r="J177" s="1">
        <v>2</v>
      </c>
      <c r="K177" s="1">
        <f t="shared" si="8"/>
        <v>654</v>
      </c>
      <c r="L177" s="6">
        <v>1429</v>
      </c>
      <c r="M177" s="6">
        <f t="shared" si="9"/>
        <v>2858</v>
      </c>
      <c r="N177" s="6">
        <f t="shared" si="10"/>
        <v>848</v>
      </c>
      <c r="O177" s="8">
        <f t="shared" si="11"/>
        <v>0.19449541284403671</v>
      </c>
    </row>
    <row r="178" spans="1:15" ht="17" customHeight="1">
      <c r="A178" s="1" t="s">
        <v>505</v>
      </c>
      <c r="C178" s="1" t="s">
        <v>506</v>
      </c>
      <c r="D178" s="1" t="s">
        <v>2079</v>
      </c>
      <c r="G178" s="1">
        <v>4280</v>
      </c>
      <c r="H178" s="1">
        <v>1</v>
      </c>
      <c r="I178" s="1">
        <v>4280</v>
      </c>
      <c r="J178" s="1">
        <v>1</v>
      </c>
      <c r="K178" s="1">
        <f t="shared" si="8"/>
        <v>642</v>
      </c>
      <c r="L178" s="6">
        <v>2600</v>
      </c>
      <c r="M178" s="6">
        <f t="shared" si="9"/>
        <v>2600</v>
      </c>
      <c r="N178" s="6">
        <f t="shared" si="10"/>
        <v>1038</v>
      </c>
      <c r="O178" s="8">
        <f t="shared" si="11"/>
        <v>0.2425233644859813</v>
      </c>
    </row>
    <row r="179" spans="1:15" ht="17" customHeight="1">
      <c r="A179" s="1" t="s">
        <v>253</v>
      </c>
      <c r="C179" s="1" t="s">
        <v>254</v>
      </c>
      <c r="D179" s="1" t="s">
        <v>1544</v>
      </c>
      <c r="G179" s="1">
        <v>4280</v>
      </c>
      <c r="H179" s="1">
        <v>1</v>
      </c>
      <c r="I179" s="1">
        <v>4280</v>
      </c>
      <c r="J179" s="1">
        <v>1</v>
      </c>
      <c r="K179" s="1">
        <f t="shared" si="8"/>
        <v>642</v>
      </c>
      <c r="L179" s="6">
        <v>2790</v>
      </c>
      <c r="M179" s="6">
        <f t="shared" si="9"/>
        <v>2790</v>
      </c>
      <c r="N179" s="6">
        <f t="shared" si="10"/>
        <v>848</v>
      </c>
      <c r="O179" s="8">
        <f t="shared" si="11"/>
        <v>0.19813084112149532</v>
      </c>
    </row>
    <row r="180" spans="1:15" ht="17" customHeight="1">
      <c r="A180" s="1" t="s">
        <v>1438</v>
      </c>
      <c r="C180" s="1" t="s">
        <v>1439</v>
      </c>
      <c r="D180" s="1" t="s">
        <v>1440</v>
      </c>
      <c r="G180" s="1">
        <v>1380</v>
      </c>
      <c r="H180" s="1">
        <v>3</v>
      </c>
      <c r="I180" s="1">
        <v>4140</v>
      </c>
      <c r="J180" s="1">
        <v>3</v>
      </c>
      <c r="K180" s="1">
        <f t="shared" si="8"/>
        <v>621</v>
      </c>
      <c r="L180" s="6">
        <v>550</v>
      </c>
      <c r="M180" s="6">
        <f t="shared" si="9"/>
        <v>1650</v>
      </c>
      <c r="N180" s="6">
        <f t="shared" si="10"/>
        <v>1869</v>
      </c>
      <c r="O180" s="8">
        <f t="shared" si="11"/>
        <v>0.45144927536231882</v>
      </c>
    </row>
    <row r="181" spans="1:15" ht="17" customHeight="1">
      <c r="A181" s="1" t="s">
        <v>2080</v>
      </c>
      <c r="C181" s="1" t="s">
        <v>1585</v>
      </c>
      <c r="D181" s="1" t="s">
        <v>1586</v>
      </c>
      <c r="G181" s="1">
        <v>3980</v>
      </c>
      <c r="H181" s="1">
        <v>1</v>
      </c>
      <c r="I181" s="1">
        <v>3980</v>
      </c>
      <c r="J181" s="1">
        <v>1</v>
      </c>
      <c r="K181" s="1">
        <f t="shared" si="8"/>
        <v>597</v>
      </c>
      <c r="L181" s="6">
        <v>2418</v>
      </c>
      <c r="M181" s="6">
        <f t="shared" si="9"/>
        <v>2418</v>
      </c>
      <c r="N181" s="6">
        <f t="shared" si="10"/>
        <v>965</v>
      </c>
      <c r="O181" s="8">
        <f t="shared" si="11"/>
        <v>0.24246231155778894</v>
      </c>
    </row>
    <row r="182" spans="1:15" ht="17" customHeight="1">
      <c r="A182" s="1" t="s">
        <v>125</v>
      </c>
      <c r="C182" s="1" t="s">
        <v>126</v>
      </c>
      <c r="D182" s="1" t="s">
        <v>1194</v>
      </c>
      <c r="G182" s="1">
        <v>3980</v>
      </c>
      <c r="H182" s="1">
        <v>1</v>
      </c>
      <c r="I182" s="1">
        <v>3980</v>
      </c>
      <c r="J182" s="1">
        <v>1</v>
      </c>
      <c r="K182" s="1">
        <f t="shared" si="8"/>
        <v>597</v>
      </c>
      <c r="L182" s="6">
        <v>1978</v>
      </c>
      <c r="M182" s="6">
        <f t="shared" si="9"/>
        <v>1978</v>
      </c>
      <c r="N182" s="6">
        <f t="shared" si="10"/>
        <v>1405</v>
      </c>
      <c r="O182" s="8">
        <f t="shared" si="11"/>
        <v>0.35301507537688442</v>
      </c>
    </row>
    <row r="183" spans="1:15" ht="17" customHeight="1">
      <c r="A183" s="1" t="s">
        <v>1204</v>
      </c>
      <c r="B183" s="1" t="s">
        <v>1594</v>
      </c>
      <c r="C183" s="1" t="s">
        <v>1205</v>
      </c>
      <c r="D183" s="1" t="s">
        <v>1206</v>
      </c>
      <c r="E183" s="1" t="s">
        <v>1595</v>
      </c>
      <c r="G183" s="1">
        <v>3980</v>
      </c>
      <c r="H183" s="1">
        <v>1</v>
      </c>
      <c r="I183" s="1">
        <v>3980</v>
      </c>
      <c r="J183" s="1">
        <v>1</v>
      </c>
      <c r="K183" s="1">
        <f t="shared" si="8"/>
        <v>597</v>
      </c>
      <c r="L183" s="6">
        <v>1014</v>
      </c>
      <c r="M183" s="6">
        <f t="shared" si="9"/>
        <v>1014</v>
      </c>
      <c r="N183" s="6">
        <f t="shared" si="10"/>
        <v>2369</v>
      </c>
      <c r="O183" s="8">
        <f t="shared" si="11"/>
        <v>0.59522613065326635</v>
      </c>
    </row>
    <row r="184" spans="1:15" ht="17" customHeight="1">
      <c r="A184" s="1" t="s">
        <v>546</v>
      </c>
      <c r="C184" s="1" t="s">
        <v>547</v>
      </c>
      <c r="D184" s="1" t="s">
        <v>986</v>
      </c>
      <c r="G184" s="1">
        <v>3980</v>
      </c>
      <c r="H184" s="1">
        <v>1</v>
      </c>
      <c r="I184" s="1">
        <v>3980</v>
      </c>
      <c r="J184" s="1">
        <v>1</v>
      </c>
      <c r="K184" s="1">
        <f t="shared" si="8"/>
        <v>597</v>
      </c>
      <c r="L184" s="6">
        <v>1542</v>
      </c>
      <c r="M184" s="6">
        <f t="shared" si="9"/>
        <v>1542</v>
      </c>
      <c r="N184" s="6">
        <f t="shared" si="10"/>
        <v>1841</v>
      </c>
      <c r="O184" s="8">
        <f t="shared" si="11"/>
        <v>0.46256281407035177</v>
      </c>
    </row>
    <row r="185" spans="1:15" ht="17" customHeight="1">
      <c r="A185" s="1" t="s">
        <v>1637</v>
      </c>
      <c r="B185" s="1" t="s">
        <v>1753</v>
      </c>
      <c r="C185" s="1" t="s">
        <v>1639</v>
      </c>
      <c r="D185" s="1" t="s">
        <v>1640</v>
      </c>
      <c r="E185" s="1" t="s">
        <v>1755</v>
      </c>
      <c r="G185" s="1">
        <v>3980</v>
      </c>
      <c r="H185" s="1">
        <v>1</v>
      </c>
      <c r="I185" s="1">
        <v>3980</v>
      </c>
      <c r="J185" s="1">
        <v>1</v>
      </c>
      <c r="K185" s="1">
        <f t="shared" si="8"/>
        <v>597</v>
      </c>
      <c r="L185" s="6">
        <v>1133</v>
      </c>
      <c r="M185" s="6">
        <f t="shared" si="9"/>
        <v>1133</v>
      </c>
      <c r="N185" s="6">
        <f t="shared" si="10"/>
        <v>2250</v>
      </c>
      <c r="O185" s="8">
        <f t="shared" si="11"/>
        <v>0.5653266331658291</v>
      </c>
    </row>
    <row r="186" spans="1:15" ht="17" customHeight="1">
      <c r="A186" s="1" t="s">
        <v>2081</v>
      </c>
      <c r="C186" s="1">
        <v>4571411205552</v>
      </c>
      <c r="D186" s="1" t="s">
        <v>2082</v>
      </c>
      <c r="G186" s="1">
        <v>3980</v>
      </c>
      <c r="H186" s="1">
        <v>1</v>
      </c>
      <c r="I186" s="1">
        <v>3980</v>
      </c>
      <c r="J186" s="1">
        <v>1</v>
      </c>
      <c r="K186" s="1">
        <f t="shared" si="8"/>
        <v>597</v>
      </c>
      <c r="L186" s="6">
        <v>2197</v>
      </c>
      <c r="M186" s="6">
        <f t="shared" si="9"/>
        <v>2197</v>
      </c>
      <c r="N186" s="6">
        <f t="shared" si="10"/>
        <v>1186</v>
      </c>
      <c r="O186" s="8">
        <f t="shared" si="11"/>
        <v>0.29798994974874371</v>
      </c>
    </row>
    <row r="187" spans="1:15" ht="17" customHeight="1">
      <c r="A187" s="1" t="s">
        <v>2083</v>
      </c>
      <c r="C187" s="1" t="s">
        <v>2084</v>
      </c>
      <c r="D187" s="1" t="s">
        <v>2085</v>
      </c>
      <c r="G187" s="1">
        <v>3980</v>
      </c>
      <c r="H187" s="1">
        <v>1</v>
      </c>
      <c r="I187" s="1">
        <v>3980</v>
      </c>
      <c r="J187" s="1">
        <v>1</v>
      </c>
      <c r="K187" s="1">
        <f t="shared" si="8"/>
        <v>597</v>
      </c>
      <c r="L187" s="6">
        <v>1534</v>
      </c>
      <c r="M187" s="6">
        <f t="shared" si="9"/>
        <v>1534</v>
      </c>
      <c r="N187" s="6">
        <f t="shared" si="10"/>
        <v>1849</v>
      </c>
      <c r="O187" s="8">
        <f t="shared" si="11"/>
        <v>0.46457286432160805</v>
      </c>
    </row>
    <row r="188" spans="1:15" ht="17" customHeight="1">
      <c r="A188" s="1" t="s">
        <v>2086</v>
      </c>
      <c r="C188" s="1" t="s">
        <v>1597</v>
      </c>
      <c r="D188" s="1" t="s">
        <v>1598</v>
      </c>
      <c r="G188" s="1">
        <v>3980</v>
      </c>
      <c r="H188" s="1">
        <v>1</v>
      </c>
      <c r="I188" s="1">
        <v>3980</v>
      </c>
      <c r="J188" s="1">
        <v>1</v>
      </c>
      <c r="K188" s="1">
        <f t="shared" si="8"/>
        <v>597</v>
      </c>
      <c r="L188" s="6">
        <v>1208</v>
      </c>
      <c r="M188" s="6">
        <f t="shared" si="9"/>
        <v>1208</v>
      </c>
      <c r="N188" s="6">
        <f t="shared" si="10"/>
        <v>2175</v>
      </c>
      <c r="O188" s="8">
        <f t="shared" si="11"/>
        <v>0.54648241206030146</v>
      </c>
    </row>
    <row r="189" spans="1:15" ht="17" customHeight="1">
      <c r="A189" s="1" t="s">
        <v>2087</v>
      </c>
      <c r="C189" s="1" t="s">
        <v>991</v>
      </c>
      <c r="D189" s="1" t="s">
        <v>992</v>
      </c>
      <c r="G189" s="1">
        <v>3980</v>
      </c>
      <c r="H189" s="1">
        <v>1</v>
      </c>
      <c r="I189" s="1">
        <v>3980</v>
      </c>
      <c r="J189" s="1">
        <v>1</v>
      </c>
      <c r="K189" s="1">
        <f t="shared" si="8"/>
        <v>597</v>
      </c>
      <c r="L189" s="6">
        <v>2134</v>
      </c>
      <c r="M189" s="6">
        <f t="shared" si="9"/>
        <v>2134</v>
      </c>
      <c r="N189" s="6">
        <f t="shared" si="10"/>
        <v>1249</v>
      </c>
      <c r="O189" s="8">
        <f t="shared" si="11"/>
        <v>0.31381909547738696</v>
      </c>
    </row>
    <row r="190" spans="1:15" ht="17" customHeight="1">
      <c r="A190" s="1" t="s">
        <v>1637</v>
      </c>
      <c r="B190" s="1" t="s">
        <v>2088</v>
      </c>
      <c r="C190" s="1" t="s">
        <v>1639</v>
      </c>
      <c r="D190" s="1" t="s">
        <v>1640</v>
      </c>
      <c r="E190" s="1" t="s">
        <v>2089</v>
      </c>
      <c r="G190" s="1">
        <v>3980</v>
      </c>
      <c r="H190" s="1">
        <v>1</v>
      </c>
      <c r="I190" s="1">
        <v>3980</v>
      </c>
      <c r="J190" s="1">
        <v>1</v>
      </c>
      <c r="K190" s="1">
        <f t="shared" si="8"/>
        <v>597</v>
      </c>
      <c r="L190" s="6">
        <v>1133</v>
      </c>
      <c r="M190" s="6">
        <f t="shared" si="9"/>
        <v>1133</v>
      </c>
      <c r="N190" s="6">
        <f t="shared" si="10"/>
        <v>2250</v>
      </c>
      <c r="O190" s="8">
        <f t="shared" si="11"/>
        <v>0.5653266331658291</v>
      </c>
    </row>
    <row r="191" spans="1:15" ht="17" customHeight="1">
      <c r="A191" s="1" t="s">
        <v>528</v>
      </c>
      <c r="C191" s="1" t="s">
        <v>529</v>
      </c>
      <c r="D191" s="1" t="s">
        <v>1735</v>
      </c>
      <c r="G191" s="1">
        <v>3980</v>
      </c>
      <c r="H191" s="1">
        <v>1</v>
      </c>
      <c r="I191" s="1">
        <v>3980</v>
      </c>
      <c r="J191" s="1">
        <v>1</v>
      </c>
      <c r="K191" s="1">
        <f t="shared" si="8"/>
        <v>597</v>
      </c>
      <c r="L191" s="6">
        <v>1311</v>
      </c>
      <c r="M191" s="6">
        <f t="shared" si="9"/>
        <v>1311</v>
      </c>
      <c r="N191" s="6">
        <f t="shared" si="10"/>
        <v>2072</v>
      </c>
      <c r="O191" s="8">
        <f t="shared" si="11"/>
        <v>0.52060301507537687</v>
      </c>
    </row>
    <row r="192" spans="1:15" ht="17" customHeight="1">
      <c r="A192" s="1" t="s">
        <v>2090</v>
      </c>
      <c r="C192" s="1" t="s">
        <v>2091</v>
      </c>
      <c r="D192" s="1" t="s">
        <v>2092</v>
      </c>
      <c r="G192" s="1">
        <v>3980</v>
      </c>
      <c r="H192" s="1">
        <v>1</v>
      </c>
      <c r="I192" s="1">
        <v>3980</v>
      </c>
      <c r="J192" s="1">
        <v>1</v>
      </c>
      <c r="K192" s="1">
        <f t="shared" si="8"/>
        <v>597</v>
      </c>
      <c r="L192" s="6">
        <v>1988</v>
      </c>
      <c r="M192" s="6">
        <f t="shared" si="9"/>
        <v>1988</v>
      </c>
      <c r="N192" s="6">
        <f t="shared" si="10"/>
        <v>1395</v>
      </c>
      <c r="O192" s="8">
        <f t="shared" si="11"/>
        <v>0.35050251256281406</v>
      </c>
    </row>
    <row r="193" spans="1:15" ht="17" customHeight="1">
      <c r="A193" s="1" t="s">
        <v>635</v>
      </c>
      <c r="B193" s="1" t="s">
        <v>636</v>
      </c>
      <c r="C193" s="1" t="s">
        <v>637</v>
      </c>
      <c r="D193" s="1" t="s">
        <v>638</v>
      </c>
      <c r="E193" s="1" t="s">
        <v>639</v>
      </c>
      <c r="G193" s="1">
        <v>3980</v>
      </c>
      <c r="H193" s="1">
        <v>1</v>
      </c>
      <c r="I193" s="1">
        <v>3980</v>
      </c>
      <c r="J193" s="1">
        <v>1</v>
      </c>
      <c r="K193" s="1">
        <f t="shared" si="8"/>
        <v>597</v>
      </c>
      <c r="L193" s="6">
        <v>1014</v>
      </c>
      <c r="M193" s="6">
        <f t="shared" si="9"/>
        <v>1014</v>
      </c>
      <c r="N193" s="6">
        <f t="shared" si="10"/>
        <v>2369</v>
      </c>
      <c r="O193" s="8">
        <f t="shared" si="11"/>
        <v>0.59522613065326635</v>
      </c>
    </row>
    <row r="194" spans="1:15" ht="17" customHeight="1">
      <c r="A194" s="1" t="s">
        <v>1547</v>
      </c>
      <c r="C194" s="1" t="s">
        <v>968</v>
      </c>
      <c r="D194" s="1" t="s">
        <v>969</v>
      </c>
      <c r="G194" s="1">
        <v>3980</v>
      </c>
      <c r="H194" s="1">
        <v>1</v>
      </c>
      <c r="I194" s="1">
        <v>3980</v>
      </c>
      <c r="J194" s="1">
        <v>1</v>
      </c>
      <c r="K194" s="1">
        <f t="shared" si="8"/>
        <v>597</v>
      </c>
      <c r="L194" s="6">
        <v>2935</v>
      </c>
      <c r="M194" s="6">
        <f t="shared" si="9"/>
        <v>2935</v>
      </c>
      <c r="N194" s="6">
        <f t="shared" si="10"/>
        <v>448</v>
      </c>
      <c r="O194" s="8">
        <f t="shared" si="11"/>
        <v>0.11256281407035176</v>
      </c>
    </row>
    <row r="195" spans="1:15" ht="17" customHeight="1">
      <c r="A195" s="1" t="s">
        <v>1744</v>
      </c>
      <c r="C195" s="1" t="s">
        <v>1745</v>
      </c>
      <c r="D195" s="1" t="s">
        <v>2093</v>
      </c>
      <c r="G195" s="1">
        <v>3980</v>
      </c>
      <c r="H195" s="1">
        <v>1</v>
      </c>
      <c r="I195" s="1">
        <v>3980</v>
      </c>
      <c r="J195" s="1">
        <v>1</v>
      </c>
      <c r="K195" s="1">
        <f t="shared" si="8"/>
        <v>597</v>
      </c>
      <c r="L195" s="6">
        <v>2060</v>
      </c>
      <c r="M195" s="6">
        <f t="shared" si="9"/>
        <v>2060</v>
      </c>
      <c r="N195" s="6">
        <f t="shared" si="10"/>
        <v>1323</v>
      </c>
      <c r="O195" s="8">
        <f t="shared" si="11"/>
        <v>0.33241206030150755</v>
      </c>
    </row>
    <row r="196" spans="1:15" ht="17" customHeight="1">
      <c r="A196" s="1" t="s">
        <v>1204</v>
      </c>
      <c r="B196" s="1" t="s">
        <v>1210</v>
      </c>
      <c r="C196" s="1" t="s">
        <v>1205</v>
      </c>
      <c r="D196" s="1" t="s">
        <v>1206</v>
      </c>
      <c r="E196" s="1" t="s">
        <v>1211</v>
      </c>
      <c r="G196" s="1">
        <v>3980</v>
      </c>
      <c r="H196" s="1">
        <v>1</v>
      </c>
      <c r="I196" s="1">
        <v>3980</v>
      </c>
      <c r="J196" s="1">
        <v>1</v>
      </c>
      <c r="K196" s="1">
        <f t="shared" si="8"/>
        <v>597</v>
      </c>
      <c r="L196" s="6">
        <v>1014</v>
      </c>
      <c r="M196" s="6">
        <f t="shared" si="9"/>
        <v>1014</v>
      </c>
      <c r="N196" s="6">
        <f t="shared" si="10"/>
        <v>2369</v>
      </c>
      <c r="O196" s="8">
        <f t="shared" si="11"/>
        <v>0.59522613065326635</v>
      </c>
    </row>
    <row r="197" spans="1:15" ht="17" customHeight="1">
      <c r="A197" s="1" t="s">
        <v>534</v>
      </c>
      <c r="C197" s="1" t="s">
        <v>535</v>
      </c>
      <c r="D197" s="1" t="s">
        <v>536</v>
      </c>
      <c r="G197" s="1">
        <v>3980</v>
      </c>
      <c r="H197" s="1">
        <v>1</v>
      </c>
      <c r="I197" s="1">
        <v>3980</v>
      </c>
      <c r="J197" s="1">
        <v>1</v>
      </c>
      <c r="K197" s="1">
        <f t="shared" si="8"/>
        <v>597</v>
      </c>
      <c r="L197" s="6">
        <v>2345</v>
      </c>
      <c r="M197" s="6">
        <f t="shared" si="9"/>
        <v>2345</v>
      </c>
      <c r="N197" s="6">
        <f t="shared" si="10"/>
        <v>1038</v>
      </c>
      <c r="O197" s="8">
        <f t="shared" si="11"/>
        <v>0.26080402010050252</v>
      </c>
    </row>
    <row r="198" spans="1:15" ht="17" customHeight="1">
      <c r="A198" s="1" t="s">
        <v>1752</v>
      </c>
      <c r="B198" s="1" t="s">
        <v>1728</v>
      </c>
      <c r="C198" s="1" t="s">
        <v>1754</v>
      </c>
      <c r="D198" s="1" t="s">
        <v>1640</v>
      </c>
      <c r="E198" s="1" t="s">
        <v>1729</v>
      </c>
      <c r="G198" s="1">
        <v>3980</v>
      </c>
      <c r="H198" s="1">
        <v>1</v>
      </c>
      <c r="I198" s="1">
        <v>3980</v>
      </c>
      <c r="J198" s="1">
        <v>1</v>
      </c>
      <c r="K198" s="1">
        <f t="shared" si="8"/>
        <v>597</v>
      </c>
      <c r="L198" s="6">
        <v>1133</v>
      </c>
      <c r="M198" s="6">
        <f t="shared" si="9"/>
        <v>1133</v>
      </c>
      <c r="N198" s="6">
        <f t="shared" si="10"/>
        <v>2250</v>
      </c>
      <c r="O198" s="8">
        <f t="shared" si="11"/>
        <v>0.5653266331658291</v>
      </c>
    </row>
    <row r="199" spans="1:15" ht="17" customHeight="1">
      <c r="A199" s="1" t="s">
        <v>2094</v>
      </c>
      <c r="C199" s="1" t="s">
        <v>2095</v>
      </c>
      <c r="D199" s="1" t="s">
        <v>2096</v>
      </c>
      <c r="G199" s="1">
        <v>3980</v>
      </c>
      <c r="H199" s="1">
        <v>1</v>
      </c>
      <c r="I199" s="1">
        <v>3980</v>
      </c>
      <c r="J199" s="1">
        <v>1</v>
      </c>
      <c r="K199" s="1">
        <f t="shared" si="8"/>
        <v>597</v>
      </c>
      <c r="L199" s="6">
        <v>4552</v>
      </c>
      <c r="M199" s="6">
        <f t="shared" si="9"/>
        <v>4552</v>
      </c>
      <c r="N199" s="6">
        <f t="shared" si="10"/>
        <v>-1169</v>
      </c>
      <c r="O199" s="8">
        <f t="shared" si="11"/>
        <v>-0.29371859296482411</v>
      </c>
    </row>
    <row r="200" spans="1:15" ht="17" customHeight="1">
      <c r="A200" s="1" t="s">
        <v>1378</v>
      </c>
      <c r="C200" s="1" t="s">
        <v>1379</v>
      </c>
      <c r="D200" s="1">
        <v>1040</v>
      </c>
      <c r="G200" s="1">
        <v>1980</v>
      </c>
      <c r="H200" s="1">
        <v>2</v>
      </c>
      <c r="I200" s="1">
        <v>3960</v>
      </c>
      <c r="J200" s="1">
        <v>2</v>
      </c>
      <c r="K200" s="1">
        <f t="shared" ref="K200:K263" si="12">SUM(I200*0.15)</f>
        <v>594</v>
      </c>
      <c r="L200" s="6">
        <v>1040</v>
      </c>
      <c r="M200" s="6">
        <f t="shared" ref="M200:M263" si="13">SUM(H200*L200)</f>
        <v>2080</v>
      </c>
      <c r="N200" s="6">
        <f t="shared" ref="N200:N263" si="14">SUM(I200-K200-M200)</f>
        <v>1286</v>
      </c>
      <c r="O200" s="8">
        <f t="shared" ref="O200:O263" si="15">IF(I200=0,"",N200/I200)</f>
        <v>0.32474747474747473</v>
      </c>
    </row>
    <row r="201" spans="1:15" ht="17" customHeight="1">
      <c r="A201" s="1" t="s">
        <v>1233</v>
      </c>
      <c r="C201" s="1" t="s">
        <v>1234</v>
      </c>
      <c r="D201" s="1">
        <v>858</v>
      </c>
      <c r="G201" s="1">
        <v>1980</v>
      </c>
      <c r="H201" s="1">
        <v>2</v>
      </c>
      <c r="I201" s="1">
        <v>3960</v>
      </c>
      <c r="J201" s="1">
        <v>2</v>
      </c>
      <c r="K201" s="1">
        <f t="shared" si="12"/>
        <v>594</v>
      </c>
      <c r="L201" s="6">
        <v>858</v>
      </c>
      <c r="M201" s="6">
        <f t="shared" si="13"/>
        <v>1716</v>
      </c>
      <c r="N201" s="6">
        <f t="shared" si="14"/>
        <v>1650</v>
      </c>
      <c r="O201" s="8">
        <f t="shared" si="15"/>
        <v>0.41666666666666669</v>
      </c>
    </row>
    <row r="202" spans="1:15" ht="17" customHeight="1">
      <c r="A202" s="1" t="s">
        <v>1386</v>
      </c>
      <c r="C202" s="1">
        <v>4550391011926</v>
      </c>
      <c r="D202" s="1" t="s">
        <v>1387</v>
      </c>
      <c r="G202" s="1">
        <v>1980</v>
      </c>
      <c r="H202" s="1">
        <v>2</v>
      </c>
      <c r="I202" s="1">
        <v>3960</v>
      </c>
      <c r="J202" s="1">
        <v>2</v>
      </c>
      <c r="K202" s="1">
        <f t="shared" si="12"/>
        <v>594</v>
      </c>
      <c r="L202" s="6">
        <v>816</v>
      </c>
      <c r="M202" s="6">
        <f t="shared" si="13"/>
        <v>1632</v>
      </c>
      <c r="N202" s="6">
        <f t="shared" si="14"/>
        <v>1734</v>
      </c>
      <c r="O202" s="8">
        <f t="shared" si="15"/>
        <v>0.43787878787878787</v>
      </c>
    </row>
    <row r="203" spans="1:15" ht="17" customHeight="1">
      <c r="A203" s="1" t="s">
        <v>564</v>
      </c>
      <c r="C203" s="1" t="s">
        <v>565</v>
      </c>
      <c r="D203" s="1" t="s">
        <v>566</v>
      </c>
      <c r="G203" s="1">
        <v>1980</v>
      </c>
      <c r="H203" s="1">
        <v>2</v>
      </c>
      <c r="I203" s="1">
        <v>3960</v>
      </c>
      <c r="J203" s="1">
        <v>2</v>
      </c>
      <c r="K203" s="1">
        <f t="shared" si="12"/>
        <v>594</v>
      </c>
      <c r="L203" s="6">
        <v>533</v>
      </c>
      <c r="M203" s="6">
        <f t="shared" si="13"/>
        <v>1066</v>
      </c>
      <c r="N203" s="6">
        <f t="shared" si="14"/>
        <v>2300</v>
      </c>
      <c r="O203" s="8">
        <f t="shared" si="15"/>
        <v>0.58080808080808077</v>
      </c>
    </row>
    <row r="204" spans="1:15" ht="17" customHeight="1">
      <c r="A204" s="1" t="s">
        <v>2097</v>
      </c>
      <c r="C204" s="1" t="s">
        <v>2098</v>
      </c>
      <c r="D204" s="1" t="s">
        <v>2099</v>
      </c>
      <c r="G204" s="1">
        <v>1280</v>
      </c>
      <c r="H204" s="1">
        <v>3</v>
      </c>
      <c r="I204" s="1">
        <v>3840</v>
      </c>
      <c r="J204" s="1">
        <v>3</v>
      </c>
      <c r="K204" s="1">
        <f t="shared" si="12"/>
        <v>576</v>
      </c>
      <c r="L204" s="6">
        <v>1008</v>
      </c>
      <c r="M204" s="6">
        <f t="shared" si="13"/>
        <v>3024</v>
      </c>
      <c r="N204" s="6">
        <f t="shared" si="14"/>
        <v>240</v>
      </c>
      <c r="O204" s="8">
        <f t="shared" si="15"/>
        <v>6.25E-2</v>
      </c>
    </row>
    <row r="205" spans="1:15" ht="17" customHeight="1">
      <c r="A205" s="1" t="s">
        <v>686</v>
      </c>
      <c r="C205" s="1" t="s">
        <v>687</v>
      </c>
      <c r="D205" s="1" t="s">
        <v>1012</v>
      </c>
      <c r="G205" s="1">
        <v>1280</v>
      </c>
      <c r="H205" s="1">
        <v>3</v>
      </c>
      <c r="I205" s="1">
        <v>3840</v>
      </c>
      <c r="J205" s="1">
        <v>2</v>
      </c>
      <c r="K205" s="1">
        <f t="shared" si="12"/>
        <v>576</v>
      </c>
      <c r="L205" s="6">
        <v>806</v>
      </c>
      <c r="M205" s="6">
        <f t="shared" si="13"/>
        <v>2418</v>
      </c>
      <c r="N205" s="6">
        <f t="shared" si="14"/>
        <v>846</v>
      </c>
      <c r="O205" s="8">
        <f t="shared" si="15"/>
        <v>0.22031249999999999</v>
      </c>
    </row>
    <row r="206" spans="1:15" ht="17" customHeight="1">
      <c r="A206" s="1" t="s">
        <v>324</v>
      </c>
      <c r="C206" s="1" t="s">
        <v>325</v>
      </c>
      <c r="D206" s="1" t="s">
        <v>2100</v>
      </c>
      <c r="G206" s="1">
        <v>1898</v>
      </c>
      <c r="H206" s="1">
        <v>2</v>
      </c>
      <c r="I206" s="1">
        <v>3796</v>
      </c>
      <c r="J206" s="1">
        <v>1</v>
      </c>
      <c r="K206" s="1">
        <f t="shared" si="12"/>
        <v>569.4</v>
      </c>
      <c r="L206" s="6">
        <v>1242</v>
      </c>
      <c r="M206" s="6">
        <f t="shared" si="13"/>
        <v>2484</v>
      </c>
      <c r="N206" s="6">
        <f t="shared" si="14"/>
        <v>742.59999999999991</v>
      </c>
      <c r="O206" s="8">
        <f t="shared" si="15"/>
        <v>0.19562697576396204</v>
      </c>
    </row>
    <row r="207" spans="1:15" ht="17" customHeight="1">
      <c r="A207" s="1" t="s">
        <v>573</v>
      </c>
      <c r="B207" s="1" t="s">
        <v>1768</v>
      </c>
      <c r="C207" s="1" t="s">
        <v>575</v>
      </c>
      <c r="D207" s="1" t="s">
        <v>1769</v>
      </c>
      <c r="E207" s="1" t="s">
        <v>1770</v>
      </c>
      <c r="G207" s="1">
        <v>3780</v>
      </c>
      <c r="H207" s="1">
        <v>1</v>
      </c>
      <c r="I207" s="1">
        <v>3780</v>
      </c>
      <c r="J207" s="1">
        <v>1</v>
      </c>
      <c r="K207" s="1">
        <f t="shared" si="12"/>
        <v>567</v>
      </c>
      <c r="L207" s="6">
        <v>2208</v>
      </c>
      <c r="M207" s="6">
        <f t="shared" si="13"/>
        <v>2208</v>
      </c>
      <c r="N207" s="6">
        <f t="shared" si="14"/>
        <v>1005</v>
      </c>
      <c r="O207" s="8">
        <f t="shared" si="15"/>
        <v>0.26587301587301587</v>
      </c>
    </row>
    <row r="208" spans="1:15" ht="17" customHeight="1">
      <c r="A208" s="1" t="s">
        <v>573</v>
      </c>
      <c r="B208" s="1" t="s">
        <v>574</v>
      </c>
      <c r="C208" s="1" t="s">
        <v>575</v>
      </c>
      <c r="D208" s="1" t="s">
        <v>1769</v>
      </c>
      <c r="E208" s="1" t="s">
        <v>577</v>
      </c>
      <c r="G208" s="1">
        <v>3780</v>
      </c>
      <c r="H208" s="1">
        <v>1</v>
      </c>
      <c r="I208" s="1">
        <v>3780</v>
      </c>
      <c r="J208" s="1">
        <v>1</v>
      </c>
      <c r="K208" s="1">
        <f t="shared" si="12"/>
        <v>567</v>
      </c>
      <c r="L208" s="6">
        <v>2208</v>
      </c>
      <c r="M208" s="6">
        <f t="shared" si="13"/>
        <v>2208</v>
      </c>
      <c r="N208" s="6">
        <f t="shared" si="14"/>
        <v>1005</v>
      </c>
      <c r="O208" s="8">
        <f t="shared" si="15"/>
        <v>0.26587301587301587</v>
      </c>
    </row>
    <row r="209" spans="1:15" ht="17" customHeight="1">
      <c r="A209" s="1" t="s">
        <v>583</v>
      </c>
      <c r="C209" s="1" t="s">
        <v>584</v>
      </c>
      <c r="D209" s="1" t="s">
        <v>2101</v>
      </c>
      <c r="G209" s="1">
        <v>1780</v>
      </c>
      <c r="H209" s="1">
        <v>2</v>
      </c>
      <c r="I209" s="1">
        <v>3560</v>
      </c>
      <c r="J209" s="1">
        <v>2</v>
      </c>
      <c r="K209" s="1">
        <f t="shared" si="12"/>
        <v>534</v>
      </c>
      <c r="L209" s="6">
        <v>874</v>
      </c>
      <c r="M209" s="6">
        <f t="shared" si="13"/>
        <v>1748</v>
      </c>
      <c r="N209" s="6">
        <f t="shared" si="14"/>
        <v>1278</v>
      </c>
      <c r="O209" s="8">
        <f t="shared" si="15"/>
        <v>0.35898876404494384</v>
      </c>
    </row>
    <row r="210" spans="1:15" ht="17" customHeight="1">
      <c r="A210" s="1" t="s">
        <v>841</v>
      </c>
      <c r="B210" s="1" t="s">
        <v>842</v>
      </c>
      <c r="C210" s="1" t="s">
        <v>843</v>
      </c>
      <c r="D210" s="9">
        <v>605858638891</v>
      </c>
      <c r="E210" s="1" t="s">
        <v>845</v>
      </c>
      <c r="G210" s="1">
        <v>1180</v>
      </c>
      <c r="H210" s="1">
        <v>3</v>
      </c>
      <c r="I210" s="1">
        <v>3540</v>
      </c>
      <c r="J210" s="1">
        <v>3</v>
      </c>
      <c r="K210" s="1">
        <f t="shared" si="12"/>
        <v>531</v>
      </c>
      <c r="L210" s="6">
        <v>605</v>
      </c>
      <c r="M210" s="6">
        <f t="shared" si="13"/>
        <v>1815</v>
      </c>
      <c r="N210" s="6">
        <f t="shared" si="14"/>
        <v>1194</v>
      </c>
      <c r="O210" s="8">
        <f t="shared" si="15"/>
        <v>0.33728813559322035</v>
      </c>
    </row>
    <row r="211" spans="1:15" ht="17" customHeight="1">
      <c r="A211" s="1" t="s">
        <v>965</v>
      </c>
      <c r="C211" s="1" t="s">
        <v>966</v>
      </c>
      <c r="D211" s="1">
        <v>7357</v>
      </c>
      <c r="G211" s="1">
        <v>3480</v>
      </c>
      <c r="H211" s="1">
        <v>1</v>
      </c>
      <c r="I211" s="1">
        <v>3480</v>
      </c>
      <c r="J211" s="1">
        <v>1</v>
      </c>
      <c r="K211" s="1">
        <f t="shared" si="12"/>
        <v>522</v>
      </c>
      <c r="L211" s="6">
        <v>0</v>
      </c>
      <c r="M211" s="6">
        <f t="shared" si="13"/>
        <v>0</v>
      </c>
      <c r="N211" s="6">
        <f t="shared" si="14"/>
        <v>2958</v>
      </c>
      <c r="O211" s="8">
        <f t="shared" si="15"/>
        <v>0.85</v>
      </c>
    </row>
    <row r="212" spans="1:15" ht="17" customHeight="1">
      <c r="A212" s="1" t="s">
        <v>599</v>
      </c>
      <c r="C212" s="1" t="s">
        <v>600</v>
      </c>
      <c r="D212" s="1">
        <v>9761</v>
      </c>
      <c r="G212" s="1">
        <v>3480</v>
      </c>
      <c r="H212" s="1">
        <v>1</v>
      </c>
      <c r="I212" s="1">
        <v>3480</v>
      </c>
      <c r="J212" s="1">
        <v>1</v>
      </c>
      <c r="K212" s="1">
        <f t="shared" si="12"/>
        <v>522</v>
      </c>
      <c r="L212" s="6">
        <v>0</v>
      </c>
      <c r="M212" s="6">
        <f t="shared" si="13"/>
        <v>0</v>
      </c>
      <c r="N212" s="6">
        <f t="shared" si="14"/>
        <v>2958</v>
      </c>
      <c r="O212" s="8">
        <f t="shared" si="15"/>
        <v>0.85</v>
      </c>
    </row>
    <row r="213" spans="1:15" ht="17" customHeight="1">
      <c r="A213" s="1" t="s">
        <v>799</v>
      </c>
      <c r="C213" s="1" t="s">
        <v>800</v>
      </c>
      <c r="D213" s="1" t="s">
        <v>2102</v>
      </c>
      <c r="G213" s="1">
        <v>1680</v>
      </c>
      <c r="H213" s="1">
        <v>2</v>
      </c>
      <c r="I213" s="1">
        <v>3360</v>
      </c>
      <c r="J213" s="1">
        <v>2</v>
      </c>
      <c r="K213" s="1">
        <f t="shared" si="12"/>
        <v>504</v>
      </c>
      <c r="L213" s="6">
        <v>858</v>
      </c>
      <c r="M213" s="6">
        <f t="shared" si="13"/>
        <v>1716</v>
      </c>
      <c r="N213" s="6">
        <f t="shared" si="14"/>
        <v>1140</v>
      </c>
      <c r="O213" s="8">
        <f t="shared" si="15"/>
        <v>0.3392857142857143</v>
      </c>
    </row>
    <row r="214" spans="1:15" ht="17" customHeight="1">
      <c r="A214" s="1" t="s">
        <v>608</v>
      </c>
      <c r="C214" s="1" t="s">
        <v>609</v>
      </c>
      <c r="D214" s="1" t="s">
        <v>2103</v>
      </c>
      <c r="G214" s="1">
        <v>1680</v>
      </c>
      <c r="H214" s="1">
        <v>2</v>
      </c>
      <c r="I214" s="1">
        <v>3360</v>
      </c>
      <c r="J214" s="1">
        <v>2</v>
      </c>
      <c r="K214" s="1">
        <f t="shared" si="12"/>
        <v>504</v>
      </c>
      <c r="L214" s="6">
        <v>768</v>
      </c>
      <c r="M214" s="6">
        <f t="shared" si="13"/>
        <v>1536</v>
      </c>
      <c r="N214" s="6">
        <f t="shared" si="14"/>
        <v>1320</v>
      </c>
      <c r="O214" s="8">
        <f t="shared" si="15"/>
        <v>0.39285714285714285</v>
      </c>
    </row>
    <row r="215" spans="1:15" ht="17" customHeight="1">
      <c r="A215" s="1" t="s">
        <v>796</v>
      </c>
      <c r="C215" s="1" t="s">
        <v>797</v>
      </c>
      <c r="D215" s="1" t="s">
        <v>2104</v>
      </c>
      <c r="G215" s="1">
        <v>1680</v>
      </c>
      <c r="H215" s="1">
        <v>2</v>
      </c>
      <c r="I215" s="1">
        <v>3360</v>
      </c>
      <c r="J215" s="1">
        <v>1</v>
      </c>
      <c r="K215" s="1">
        <f t="shared" si="12"/>
        <v>504</v>
      </c>
      <c r="L215" s="6">
        <v>942</v>
      </c>
      <c r="M215" s="6">
        <f t="shared" si="13"/>
        <v>1884</v>
      </c>
      <c r="N215" s="6">
        <f t="shared" si="14"/>
        <v>972</v>
      </c>
      <c r="O215" s="8">
        <f t="shared" si="15"/>
        <v>0.28928571428571431</v>
      </c>
    </row>
    <row r="216" spans="1:15" ht="17" customHeight="1">
      <c r="A216" s="1" t="s">
        <v>787</v>
      </c>
      <c r="C216" s="1" t="s">
        <v>788</v>
      </c>
      <c r="D216" s="1" t="s">
        <v>1892</v>
      </c>
      <c r="G216" s="1">
        <v>1680</v>
      </c>
      <c r="H216" s="1">
        <v>2</v>
      </c>
      <c r="I216" s="1">
        <v>3360</v>
      </c>
      <c r="J216" s="1">
        <v>2</v>
      </c>
      <c r="K216" s="1">
        <f t="shared" si="12"/>
        <v>504</v>
      </c>
      <c r="L216" s="6">
        <v>835</v>
      </c>
      <c r="M216" s="6">
        <f t="shared" si="13"/>
        <v>1670</v>
      </c>
      <c r="N216" s="6">
        <f t="shared" si="14"/>
        <v>1186</v>
      </c>
      <c r="O216" s="8">
        <f t="shared" si="15"/>
        <v>0.3529761904761905</v>
      </c>
    </row>
    <row r="217" spans="1:15" ht="17" customHeight="1">
      <c r="A217" s="1" t="s">
        <v>2105</v>
      </c>
      <c r="C217" s="1" t="s">
        <v>451</v>
      </c>
      <c r="D217" s="1" t="s">
        <v>2106</v>
      </c>
      <c r="G217" s="1">
        <v>1680</v>
      </c>
      <c r="H217" s="1">
        <v>2</v>
      </c>
      <c r="I217" s="1">
        <v>3360</v>
      </c>
      <c r="J217" s="1">
        <v>1</v>
      </c>
      <c r="K217" s="1">
        <f t="shared" si="12"/>
        <v>504</v>
      </c>
      <c r="L217" s="6">
        <v>942</v>
      </c>
      <c r="M217" s="6">
        <f t="shared" si="13"/>
        <v>1884</v>
      </c>
      <c r="N217" s="6">
        <f t="shared" si="14"/>
        <v>972</v>
      </c>
      <c r="O217" s="8">
        <f t="shared" si="15"/>
        <v>0.28928571428571431</v>
      </c>
    </row>
    <row r="218" spans="1:15" ht="17" customHeight="1">
      <c r="A218" s="1" t="s">
        <v>790</v>
      </c>
      <c r="C218" s="1" t="s">
        <v>791</v>
      </c>
      <c r="D218" s="1" t="s">
        <v>1145</v>
      </c>
      <c r="G218" s="1">
        <v>1680</v>
      </c>
      <c r="H218" s="1">
        <v>2</v>
      </c>
      <c r="I218" s="1">
        <v>3360</v>
      </c>
      <c r="J218" s="1">
        <v>2</v>
      </c>
      <c r="K218" s="1">
        <f t="shared" si="12"/>
        <v>504</v>
      </c>
      <c r="L218" s="6">
        <v>942</v>
      </c>
      <c r="M218" s="6">
        <f t="shared" si="13"/>
        <v>1884</v>
      </c>
      <c r="N218" s="6">
        <f t="shared" si="14"/>
        <v>972</v>
      </c>
      <c r="O218" s="8">
        <f t="shared" si="15"/>
        <v>0.28928571428571431</v>
      </c>
    </row>
    <row r="219" spans="1:15" ht="17" customHeight="1">
      <c r="A219" s="1" t="s">
        <v>2107</v>
      </c>
      <c r="C219" s="1" t="s">
        <v>1080</v>
      </c>
      <c r="D219" s="1" t="s">
        <v>1081</v>
      </c>
      <c r="G219" s="1">
        <v>3280</v>
      </c>
      <c r="H219" s="1">
        <v>1</v>
      </c>
      <c r="I219" s="1">
        <v>3280</v>
      </c>
      <c r="J219" s="1">
        <v>1</v>
      </c>
      <c r="K219" s="1">
        <f t="shared" si="12"/>
        <v>492</v>
      </c>
      <c r="L219" s="6">
        <v>1892</v>
      </c>
      <c r="M219" s="6">
        <f t="shared" si="13"/>
        <v>1892</v>
      </c>
      <c r="N219" s="6">
        <f t="shared" si="14"/>
        <v>896</v>
      </c>
      <c r="O219" s="8">
        <f t="shared" si="15"/>
        <v>0.27317073170731709</v>
      </c>
    </row>
    <row r="220" spans="1:15" ht="17" customHeight="1">
      <c r="A220" s="1" t="s">
        <v>605</v>
      </c>
      <c r="C220" s="1" t="s">
        <v>606</v>
      </c>
      <c r="D220" s="1" t="s">
        <v>607</v>
      </c>
      <c r="G220" s="1">
        <v>3280</v>
      </c>
      <c r="H220" s="1">
        <v>1</v>
      </c>
      <c r="I220" s="1">
        <v>3280</v>
      </c>
      <c r="J220" s="1">
        <v>1</v>
      </c>
      <c r="K220" s="1">
        <f t="shared" si="12"/>
        <v>492</v>
      </c>
      <c r="L220" s="6">
        <v>330</v>
      </c>
      <c r="M220" s="6">
        <f t="shared" si="13"/>
        <v>330</v>
      </c>
      <c r="N220" s="6">
        <f t="shared" si="14"/>
        <v>2458</v>
      </c>
      <c r="O220" s="8">
        <f t="shared" si="15"/>
        <v>0.74939024390243902</v>
      </c>
    </row>
    <row r="221" spans="1:15" ht="17" customHeight="1">
      <c r="A221" s="1" t="s">
        <v>1655</v>
      </c>
      <c r="C221" s="1" t="s">
        <v>1656</v>
      </c>
      <c r="D221" s="1" t="s">
        <v>1657</v>
      </c>
      <c r="G221" s="1">
        <v>999</v>
      </c>
      <c r="H221" s="1">
        <v>3</v>
      </c>
      <c r="I221" s="1">
        <v>2997</v>
      </c>
      <c r="J221" s="1">
        <v>3</v>
      </c>
      <c r="K221" s="1">
        <f t="shared" si="12"/>
        <v>449.55</v>
      </c>
      <c r="L221" s="6">
        <v>730</v>
      </c>
      <c r="M221" s="6">
        <f t="shared" si="13"/>
        <v>2190</v>
      </c>
      <c r="N221" s="6">
        <f t="shared" si="14"/>
        <v>357.44999999999982</v>
      </c>
      <c r="O221" s="8">
        <f t="shared" si="15"/>
        <v>0.11926926926926922</v>
      </c>
    </row>
    <row r="222" spans="1:15" ht="17" customHeight="1">
      <c r="A222" s="1" t="s">
        <v>855</v>
      </c>
      <c r="C222" s="1" t="s">
        <v>856</v>
      </c>
      <c r="D222" s="1" t="s">
        <v>857</v>
      </c>
      <c r="G222" s="1">
        <v>999</v>
      </c>
      <c r="H222" s="1">
        <v>3</v>
      </c>
      <c r="I222" s="1">
        <v>2997</v>
      </c>
      <c r="J222" s="1">
        <v>1</v>
      </c>
      <c r="K222" s="1">
        <f t="shared" si="12"/>
        <v>449.55</v>
      </c>
      <c r="L222" s="6">
        <v>328</v>
      </c>
      <c r="M222" s="6">
        <f t="shared" si="13"/>
        <v>984</v>
      </c>
      <c r="N222" s="6">
        <f t="shared" si="14"/>
        <v>1563.4499999999998</v>
      </c>
      <c r="O222" s="8">
        <f t="shared" si="15"/>
        <v>0.52167167167167161</v>
      </c>
    </row>
    <row r="223" spans="1:15" ht="17" customHeight="1">
      <c r="A223" s="1" t="s">
        <v>745</v>
      </c>
      <c r="C223" s="1">
        <v>4550391012053</v>
      </c>
      <c r="D223" s="1" t="s">
        <v>746</v>
      </c>
      <c r="G223" s="1">
        <v>2980</v>
      </c>
      <c r="H223" s="1">
        <v>1</v>
      </c>
      <c r="I223" s="1">
        <v>2980</v>
      </c>
      <c r="J223" s="1">
        <v>1</v>
      </c>
      <c r="K223" s="1">
        <f t="shared" si="12"/>
        <v>447</v>
      </c>
      <c r="L223" s="6">
        <v>1116</v>
      </c>
      <c r="M223" s="6">
        <f t="shared" si="13"/>
        <v>1116</v>
      </c>
      <c r="N223" s="6">
        <f t="shared" si="14"/>
        <v>1417</v>
      </c>
      <c r="O223" s="8">
        <f t="shared" si="15"/>
        <v>0.47550335570469798</v>
      </c>
    </row>
    <row r="224" spans="1:15" ht="17" customHeight="1">
      <c r="A224" s="1" t="s">
        <v>2108</v>
      </c>
      <c r="C224" s="1" t="s">
        <v>2109</v>
      </c>
      <c r="D224" s="1" t="s">
        <v>2110</v>
      </c>
      <c r="G224" s="1">
        <v>2980</v>
      </c>
      <c r="H224" s="1">
        <v>1</v>
      </c>
      <c r="I224" s="1">
        <v>2980</v>
      </c>
      <c r="J224" s="1">
        <v>1</v>
      </c>
      <c r="K224" s="1">
        <f t="shared" si="12"/>
        <v>447</v>
      </c>
      <c r="L224" s="6">
        <v>1098</v>
      </c>
      <c r="M224" s="6">
        <f t="shared" si="13"/>
        <v>1098</v>
      </c>
      <c r="N224" s="6">
        <f t="shared" si="14"/>
        <v>1435</v>
      </c>
      <c r="O224" s="8">
        <f t="shared" si="15"/>
        <v>0.48154362416107382</v>
      </c>
    </row>
    <row r="225" spans="1:15" ht="17" customHeight="1">
      <c r="A225" s="1" t="s">
        <v>1048</v>
      </c>
      <c r="C225" s="1" t="s">
        <v>1049</v>
      </c>
      <c r="D225" s="1" t="s">
        <v>1050</v>
      </c>
      <c r="G225" s="1">
        <v>2980</v>
      </c>
      <c r="H225" s="1">
        <v>1</v>
      </c>
      <c r="I225" s="1">
        <v>2980</v>
      </c>
      <c r="J225" s="1">
        <v>1</v>
      </c>
      <c r="K225" s="1">
        <f t="shared" si="12"/>
        <v>447</v>
      </c>
      <c r="L225" s="6">
        <v>1650</v>
      </c>
      <c r="M225" s="6">
        <f t="shared" si="13"/>
        <v>1650</v>
      </c>
      <c r="N225" s="6">
        <f t="shared" si="14"/>
        <v>883</v>
      </c>
      <c r="O225" s="8">
        <f t="shared" si="15"/>
        <v>0.29630872483221476</v>
      </c>
    </row>
    <row r="226" spans="1:15" ht="17" customHeight="1">
      <c r="A226" s="1" t="s">
        <v>2111</v>
      </c>
      <c r="C226" s="1" t="s">
        <v>2112</v>
      </c>
      <c r="D226" s="1" t="s">
        <v>2113</v>
      </c>
      <c r="G226" s="1">
        <v>2980</v>
      </c>
      <c r="H226" s="1">
        <v>1</v>
      </c>
      <c r="I226" s="1">
        <v>2980</v>
      </c>
      <c r="J226" s="1">
        <v>1</v>
      </c>
      <c r="K226" s="1">
        <f t="shared" si="12"/>
        <v>447</v>
      </c>
      <c r="L226" s="6">
        <v>1612</v>
      </c>
      <c r="M226" s="6">
        <f t="shared" si="13"/>
        <v>1612</v>
      </c>
      <c r="N226" s="6">
        <f t="shared" si="14"/>
        <v>921</v>
      </c>
      <c r="O226" s="8">
        <f t="shared" si="15"/>
        <v>0.30906040268456375</v>
      </c>
    </row>
    <row r="227" spans="1:15" ht="17" customHeight="1">
      <c r="A227" s="1" t="s">
        <v>2114</v>
      </c>
      <c r="C227" s="1" t="s">
        <v>1667</v>
      </c>
      <c r="D227" s="1" t="s">
        <v>2115</v>
      </c>
      <c r="G227" s="1">
        <v>2980</v>
      </c>
      <c r="H227" s="1">
        <v>1</v>
      </c>
      <c r="I227" s="1">
        <v>2980</v>
      </c>
      <c r="J227" s="1">
        <v>1</v>
      </c>
      <c r="K227" s="1">
        <f t="shared" si="12"/>
        <v>447</v>
      </c>
      <c r="L227" s="6">
        <v>1547</v>
      </c>
      <c r="M227" s="6">
        <f t="shared" si="13"/>
        <v>1547</v>
      </c>
      <c r="N227" s="6">
        <f t="shared" si="14"/>
        <v>986</v>
      </c>
      <c r="O227" s="8">
        <f t="shared" si="15"/>
        <v>0.3308724832214765</v>
      </c>
    </row>
    <row r="228" spans="1:15" ht="17" customHeight="1">
      <c r="A228" s="1" t="s">
        <v>257</v>
      </c>
      <c r="B228" s="1" t="s">
        <v>258</v>
      </c>
      <c r="C228" s="1">
        <v>4550391046508</v>
      </c>
      <c r="D228" s="1" t="s">
        <v>1627</v>
      </c>
      <c r="E228" s="1" t="s">
        <v>260</v>
      </c>
      <c r="G228" s="1">
        <v>2980</v>
      </c>
      <c r="H228" s="1">
        <v>1</v>
      </c>
      <c r="I228" s="1">
        <v>2980</v>
      </c>
      <c r="J228" s="1">
        <v>1</v>
      </c>
      <c r="K228" s="1">
        <f t="shared" si="12"/>
        <v>447</v>
      </c>
      <c r="L228" s="6">
        <v>1130</v>
      </c>
      <c r="M228" s="6">
        <f t="shared" si="13"/>
        <v>1130</v>
      </c>
      <c r="N228" s="6">
        <f t="shared" si="14"/>
        <v>1403</v>
      </c>
      <c r="O228" s="8">
        <f t="shared" si="15"/>
        <v>0.4708053691275168</v>
      </c>
    </row>
    <row r="229" spans="1:15" ht="17" customHeight="1">
      <c r="A229" s="1" t="s">
        <v>1793</v>
      </c>
      <c r="C229" s="1" t="s">
        <v>1794</v>
      </c>
      <c r="D229" s="1" t="s">
        <v>2116</v>
      </c>
      <c r="G229" s="1">
        <v>2980</v>
      </c>
      <c r="H229" s="1">
        <v>1</v>
      </c>
      <c r="I229" s="1">
        <v>2980</v>
      </c>
      <c r="J229" s="1">
        <v>1</v>
      </c>
      <c r="K229" s="1">
        <f t="shared" si="12"/>
        <v>447</v>
      </c>
      <c r="L229" s="6">
        <v>1284</v>
      </c>
      <c r="M229" s="6">
        <f t="shared" si="13"/>
        <v>1284</v>
      </c>
      <c r="N229" s="6">
        <f t="shared" si="14"/>
        <v>1249</v>
      </c>
      <c r="O229" s="8">
        <f t="shared" si="15"/>
        <v>0.4191275167785235</v>
      </c>
    </row>
    <row r="230" spans="1:15" ht="17" customHeight="1">
      <c r="A230" s="1" t="s">
        <v>630</v>
      </c>
      <c r="C230" s="1" t="s">
        <v>631</v>
      </c>
      <c r="D230" s="1" t="s">
        <v>2117</v>
      </c>
      <c r="G230" s="1">
        <v>2980</v>
      </c>
      <c r="H230" s="1">
        <v>1</v>
      </c>
      <c r="I230" s="1">
        <v>2980</v>
      </c>
      <c r="J230" s="1">
        <v>1</v>
      </c>
      <c r="K230" s="1">
        <f t="shared" si="12"/>
        <v>447</v>
      </c>
      <c r="L230" s="6">
        <v>1738</v>
      </c>
      <c r="M230" s="6">
        <f t="shared" si="13"/>
        <v>1738</v>
      </c>
      <c r="N230" s="6">
        <f t="shared" si="14"/>
        <v>795</v>
      </c>
      <c r="O230" s="8">
        <f t="shared" si="15"/>
        <v>0.26677852348993286</v>
      </c>
    </row>
    <row r="231" spans="1:15" ht="17" customHeight="1">
      <c r="A231" s="1" t="s">
        <v>144</v>
      </c>
      <c r="C231" s="1" t="s">
        <v>145</v>
      </c>
      <c r="D231" s="1" t="s">
        <v>2118</v>
      </c>
      <c r="G231" s="1">
        <v>2980</v>
      </c>
      <c r="H231" s="1">
        <v>1</v>
      </c>
      <c r="I231" s="1">
        <v>2980</v>
      </c>
      <c r="J231" s="1">
        <v>1</v>
      </c>
      <c r="K231" s="1">
        <f t="shared" si="12"/>
        <v>447</v>
      </c>
      <c r="L231" s="6">
        <v>1672</v>
      </c>
      <c r="M231" s="6">
        <f t="shared" si="13"/>
        <v>1672</v>
      </c>
      <c r="N231" s="6">
        <f t="shared" si="14"/>
        <v>861</v>
      </c>
      <c r="O231" s="8">
        <f t="shared" si="15"/>
        <v>0.28892617449664432</v>
      </c>
    </row>
    <row r="232" spans="1:15" ht="17" customHeight="1">
      <c r="A232" s="1" t="s">
        <v>382</v>
      </c>
      <c r="C232" s="1" t="s">
        <v>383</v>
      </c>
      <c r="D232" s="1" t="s">
        <v>384</v>
      </c>
      <c r="G232" s="1">
        <v>2980</v>
      </c>
      <c r="H232" s="1">
        <v>1</v>
      </c>
      <c r="I232" s="1">
        <v>2980</v>
      </c>
      <c r="J232" s="1">
        <v>1</v>
      </c>
      <c r="K232" s="1">
        <f t="shared" si="12"/>
        <v>447</v>
      </c>
      <c r="L232" s="6">
        <v>2067</v>
      </c>
      <c r="M232" s="6">
        <f t="shared" si="13"/>
        <v>2067</v>
      </c>
      <c r="N232" s="6">
        <f t="shared" si="14"/>
        <v>466</v>
      </c>
      <c r="O232" s="8">
        <f t="shared" si="15"/>
        <v>0.15637583892617449</v>
      </c>
    </row>
    <row r="233" spans="1:15" ht="17" customHeight="1">
      <c r="A233" s="1" t="s">
        <v>1630</v>
      </c>
      <c r="C233" s="1" t="s">
        <v>1631</v>
      </c>
      <c r="D233" s="1" t="s">
        <v>1632</v>
      </c>
      <c r="G233" s="1">
        <v>2980</v>
      </c>
      <c r="H233" s="1">
        <v>1</v>
      </c>
      <c r="I233" s="1">
        <v>2980</v>
      </c>
      <c r="J233" s="1">
        <v>1</v>
      </c>
      <c r="K233" s="1">
        <f t="shared" si="12"/>
        <v>447</v>
      </c>
      <c r="L233" s="6">
        <v>1725</v>
      </c>
      <c r="M233" s="6">
        <f t="shared" si="13"/>
        <v>1725</v>
      </c>
      <c r="N233" s="6">
        <f t="shared" si="14"/>
        <v>808</v>
      </c>
      <c r="O233" s="8">
        <f t="shared" si="15"/>
        <v>0.27114093959731544</v>
      </c>
    </row>
    <row r="234" spans="1:15" ht="17" customHeight="1">
      <c r="A234" s="1" t="s">
        <v>632</v>
      </c>
      <c r="B234" s="1" t="s">
        <v>2119</v>
      </c>
      <c r="C234" s="1">
        <v>4550391062164</v>
      </c>
      <c r="D234" s="1" t="s">
        <v>634</v>
      </c>
      <c r="E234" s="1">
        <v>4550391062188</v>
      </c>
      <c r="G234" s="1">
        <v>2980</v>
      </c>
      <c r="H234" s="1">
        <v>1</v>
      </c>
      <c r="I234" s="1">
        <v>2980</v>
      </c>
      <c r="J234" s="1">
        <v>1</v>
      </c>
      <c r="K234" s="1">
        <f t="shared" si="12"/>
        <v>447</v>
      </c>
      <c r="L234" s="6">
        <v>1072</v>
      </c>
      <c r="M234" s="6">
        <f t="shared" si="13"/>
        <v>1072</v>
      </c>
      <c r="N234" s="6">
        <f t="shared" si="14"/>
        <v>1461</v>
      </c>
      <c r="O234" s="8">
        <f t="shared" si="15"/>
        <v>0.49026845637583893</v>
      </c>
    </row>
    <row r="235" spans="1:15" ht="17" customHeight="1">
      <c r="A235" s="1" t="s">
        <v>1305</v>
      </c>
      <c r="C235" s="1" t="s">
        <v>1306</v>
      </c>
      <c r="D235" s="1" t="s">
        <v>1307</v>
      </c>
      <c r="G235" s="1">
        <v>2980</v>
      </c>
      <c r="H235" s="1">
        <v>1</v>
      </c>
      <c r="I235" s="1">
        <v>2980</v>
      </c>
      <c r="J235" s="1">
        <v>1</v>
      </c>
      <c r="K235" s="1">
        <f t="shared" si="12"/>
        <v>447</v>
      </c>
      <c r="L235" s="6">
        <v>574</v>
      </c>
      <c r="M235" s="6">
        <f t="shared" si="13"/>
        <v>574</v>
      </c>
      <c r="N235" s="6">
        <f t="shared" si="14"/>
        <v>1959</v>
      </c>
      <c r="O235" s="8">
        <f t="shared" si="15"/>
        <v>0.65738255033557047</v>
      </c>
    </row>
    <row r="236" spans="1:15" ht="17" customHeight="1">
      <c r="A236" s="1" t="s">
        <v>2120</v>
      </c>
      <c r="C236" s="1" t="s">
        <v>1674</v>
      </c>
      <c r="D236" s="1" t="s">
        <v>1675</v>
      </c>
      <c r="G236" s="1">
        <v>2980</v>
      </c>
      <c r="H236" s="1">
        <v>1</v>
      </c>
      <c r="I236" s="1">
        <v>2980</v>
      </c>
      <c r="J236" s="1">
        <v>1</v>
      </c>
      <c r="K236" s="1">
        <f t="shared" si="12"/>
        <v>447</v>
      </c>
      <c r="L236" s="6">
        <v>1856</v>
      </c>
      <c r="M236" s="6">
        <f t="shared" si="13"/>
        <v>1856</v>
      </c>
      <c r="N236" s="6">
        <f t="shared" si="14"/>
        <v>677</v>
      </c>
      <c r="O236" s="8">
        <f t="shared" si="15"/>
        <v>0.22718120805369127</v>
      </c>
    </row>
    <row r="237" spans="1:15" ht="17" customHeight="1">
      <c r="A237" s="1" t="s">
        <v>2121</v>
      </c>
      <c r="C237" s="1" t="s">
        <v>1897</v>
      </c>
      <c r="D237" s="1" t="s">
        <v>1898</v>
      </c>
      <c r="G237" s="1">
        <v>1480</v>
      </c>
      <c r="H237" s="1">
        <v>2</v>
      </c>
      <c r="I237" s="1">
        <v>2960</v>
      </c>
      <c r="J237" s="1">
        <v>2</v>
      </c>
      <c r="K237" s="1">
        <f t="shared" si="12"/>
        <v>444</v>
      </c>
      <c r="L237" s="6">
        <v>539</v>
      </c>
      <c r="M237" s="6">
        <f t="shared" si="13"/>
        <v>1078</v>
      </c>
      <c r="N237" s="6">
        <f t="shared" si="14"/>
        <v>1438</v>
      </c>
      <c r="O237" s="8">
        <f t="shared" si="15"/>
        <v>0.48581081081081079</v>
      </c>
    </row>
    <row r="238" spans="1:15" ht="17" customHeight="1">
      <c r="A238" s="1" t="s">
        <v>1248</v>
      </c>
      <c r="B238" s="1" t="s">
        <v>1270</v>
      </c>
      <c r="C238" s="1" t="s">
        <v>1249</v>
      </c>
      <c r="D238" s="1" t="s">
        <v>2122</v>
      </c>
      <c r="E238" s="1" t="s">
        <v>1271</v>
      </c>
      <c r="G238" s="1">
        <v>1480</v>
      </c>
      <c r="H238" s="1">
        <v>2</v>
      </c>
      <c r="I238" s="1">
        <v>2960</v>
      </c>
      <c r="J238" s="1">
        <v>2</v>
      </c>
      <c r="K238" s="1">
        <f t="shared" si="12"/>
        <v>444</v>
      </c>
      <c r="L238" s="6">
        <v>504</v>
      </c>
      <c r="M238" s="6">
        <f t="shared" si="13"/>
        <v>1008</v>
      </c>
      <c r="N238" s="6">
        <f t="shared" si="14"/>
        <v>1508</v>
      </c>
      <c r="O238" s="8">
        <f t="shared" si="15"/>
        <v>0.50945945945945947</v>
      </c>
    </row>
    <row r="239" spans="1:15" ht="17" customHeight="1">
      <c r="A239" s="1" t="s">
        <v>495</v>
      </c>
      <c r="C239" s="1" t="s">
        <v>496</v>
      </c>
      <c r="D239" s="1" t="s">
        <v>2123</v>
      </c>
      <c r="G239" s="1">
        <v>1480</v>
      </c>
      <c r="H239" s="1">
        <v>2</v>
      </c>
      <c r="I239" s="1">
        <v>2960</v>
      </c>
      <c r="J239" s="1">
        <v>2</v>
      </c>
      <c r="K239" s="1">
        <f t="shared" si="12"/>
        <v>444</v>
      </c>
      <c r="L239" s="6">
        <v>720</v>
      </c>
      <c r="M239" s="6">
        <f t="shared" si="13"/>
        <v>1440</v>
      </c>
      <c r="N239" s="6">
        <f t="shared" si="14"/>
        <v>1076</v>
      </c>
      <c r="O239" s="8">
        <f t="shared" si="15"/>
        <v>0.36351351351351352</v>
      </c>
    </row>
    <row r="240" spans="1:15" ht="17" customHeight="1">
      <c r="A240" s="1" t="s">
        <v>1804</v>
      </c>
      <c r="C240" s="1">
        <v>4902806133806</v>
      </c>
      <c r="D240" s="1" t="s">
        <v>1805</v>
      </c>
      <c r="G240" s="1">
        <v>980</v>
      </c>
      <c r="H240" s="1">
        <v>3</v>
      </c>
      <c r="I240" s="1">
        <v>2940</v>
      </c>
      <c r="J240" s="1">
        <v>2</v>
      </c>
      <c r="K240" s="1">
        <f t="shared" si="12"/>
        <v>441</v>
      </c>
      <c r="L240" s="6">
        <v>140</v>
      </c>
      <c r="M240" s="6">
        <f t="shared" si="13"/>
        <v>420</v>
      </c>
      <c r="N240" s="6">
        <f t="shared" si="14"/>
        <v>2079</v>
      </c>
      <c r="O240" s="8">
        <f t="shared" si="15"/>
        <v>0.70714285714285718</v>
      </c>
    </row>
    <row r="241" spans="1:15" ht="17" customHeight="1">
      <c r="A241" s="1" t="s">
        <v>358</v>
      </c>
      <c r="C241" s="1" t="s">
        <v>359</v>
      </c>
      <c r="D241" s="1" t="s">
        <v>2124</v>
      </c>
      <c r="G241" s="1">
        <v>2780</v>
      </c>
      <c r="H241" s="1">
        <v>1</v>
      </c>
      <c r="I241" s="1">
        <v>2780</v>
      </c>
      <c r="J241" s="1">
        <v>1</v>
      </c>
      <c r="K241" s="1">
        <f t="shared" si="12"/>
        <v>417</v>
      </c>
      <c r="L241" s="6">
        <v>1273</v>
      </c>
      <c r="M241" s="6">
        <f t="shared" si="13"/>
        <v>1273</v>
      </c>
      <c r="N241" s="6">
        <f t="shared" si="14"/>
        <v>1090</v>
      </c>
      <c r="O241" s="8">
        <f t="shared" si="15"/>
        <v>0.3920863309352518</v>
      </c>
    </row>
    <row r="242" spans="1:15" ht="17" customHeight="1">
      <c r="A242" s="1" t="s">
        <v>659</v>
      </c>
      <c r="C242" s="1" t="s">
        <v>660</v>
      </c>
      <c r="D242" s="1" t="s">
        <v>661</v>
      </c>
      <c r="G242" s="1">
        <v>2780</v>
      </c>
      <c r="H242" s="1">
        <v>1</v>
      </c>
      <c r="I242" s="1">
        <v>2780</v>
      </c>
      <c r="J242" s="1">
        <v>1</v>
      </c>
      <c r="K242" s="1">
        <f t="shared" si="12"/>
        <v>417</v>
      </c>
      <c r="L242" s="6">
        <v>1112</v>
      </c>
      <c r="M242" s="6">
        <f t="shared" si="13"/>
        <v>1112</v>
      </c>
      <c r="N242" s="6">
        <f t="shared" si="14"/>
        <v>1251</v>
      </c>
      <c r="O242" s="8">
        <f t="shared" si="15"/>
        <v>0.45</v>
      </c>
    </row>
    <row r="243" spans="1:15" ht="17" customHeight="1">
      <c r="A243" s="1" t="s">
        <v>2125</v>
      </c>
      <c r="B243" s="1" t="s">
        <v>2126</v>
      </c>
      <c r="C243" s="1" t="s">
        <v>1280</v>
      </c>
      <c r="D243" s="1" t="s">
        <v>1281</v>
      </c>
      <c r="E243" s="1" t="s">
        <v>2127</v>
      </c>
      <c r="G243" s="1">
        <v>1380</v>
      </c>
      <c r="H243" s="1">
        <v>2</v>
      </c>
      <c r="I243" s="1">
        <v>2760</v>
      </c>
      <c r="J243" s="1">
        <v>2</v>
      </c>
      <c r="K243" s="1">
        <f t="shared" si="12"/>
        <v>414</v>
      </c>
      <c r="L243" s="6">
        <v>286</v>
      </c>
      <c r="M243" s="6">
        <f t="shared" si="13"/>
        <v>572</v>
      </c>
      <c r="N243" s="6">
        <f t="shared" si="14"/>
        <v>1774</v>
      </c>
      <c r="O243" s="8">
        <f t="shared" si="15"/>
        <v>0.64275362318840579</v>
      </c>
    </row>
    <row r="244" spans="1:15" ht="17" customHeight="1">
      <c r="A244" s="1" t="s">
        <v>2128</v>
      </c>
      <c r="C244" s="1" t="s">
        <v>1332</v>
      </c>
      <c r="D244" s="1">
        <v>1170</v>
      </c>
      <c r="G244" s="1">
        <v>2580</v>
      </c>
      <c r="H244" s="1">
        <v>1</v>
      </c>
      <c r="I244" s="1">
        <v>2580</v>
      </c>
      <c r="J244" s="1">
        <v>1</v>
      </c>
      <c r="K244" s="1">
        <f t="shared" si="12"/>
        <v>387</v>
      </c>
      <c r="L244" s="6">
        <v>1170</v>
      </c>
      <c r="M244" s="6">
        <f t="shared" si="13"/>
        <v>1170</v>
      </c>
      <c r="N244" s="6">
        <f t="shared" si="14"/>
        <v>1023</v>
      </c>
      <c r="O244" s="8">
        <f t="shared" si="15"/>
        <v>0.39651162790697675</v>
      </c>
    </row>
    <row r="245" spans="1:15" ht="17" customHeight="1">
      <c r="A245" s="1" t="s">
        <v>2129</v>
      </c>
      <c r="C245" s="1" t="s">
        <v>1337</v>
      </c>
      <c r="D245" s="1" t="s">
        <v>1338</v>
      </c>
      <c r="G245" s="1">
        <v>2580</v>
      </c>
      <c r="H245" s="1">
        <v>1</v>
      </c>
      <c r="I245" s="1">
        <v>2580</v>
      </c>
      <c r="J245" s="1">
        <v>1</v>
      </c>
      <c r="K245" s="1">
        <f t="shared" si="12"/>
        <v>387</v>
      </c>
      <c r="L245" s="6">
        <v>1320</v>
      </c>
      <c r="M245" s="6">
        <f t="shared" si="13"/>
        <v>1320</v>
      </c>
      <c r="N245" s="6">
        <f t="shared" si="14"/>
        <v>873</v>
      </c>
      <c r="O245" s="8">
        <f t="shared" si="15"/>
        <v>0.33837209302325583</v>
      </c>
    </row>
    <row r="246" spans="1:15" ht="17" customHeight="1">
      <c r="A246" s="1" t="s">
        <v>320</v>
      </c>
      <c r="C246" s="1" t="s">
        <v>321</v>
      </c>
      <c r="D246" s="1" t="s">
        <v>2130</v>
      </c>
      <c r="G246" s="1">
        <v>2580</v>
      </c>
      <c r="H246" s="1">
        <v>1</v>
      </c>
      <c r="I246" s="1">
        <v>2580</v>
      </c>
      <c r="J246" s="1">
        <v>1</v>
      </c>
      <c r="K246" s="1">
        <f t="shared" si="12"/>
        <v>387</v>
      </c>
      <c r="L246" s="6">
        <v>1296</v>
      </c>
      <c r="M246" s="6">
        <f t="shared" si="13"/>
        <v>1296</v>
      </c>
      <c r="N246" s="6">
        <f t="shared" si="14"/>
        <v>897</v>
      </c>
      <c r="O246" s="8">
        <f t="shared" si="15"/>
        <v>0.34767441860465115</v>
      </c>
    </row>
    <row r="247" spans="1:15" ht="17" customHeight="1">
      <c r="A247" s="1" t="s">
        <v>2131</v>
      </c>
      <c r="C247" s="1" t="s">
        <v>2132</v>
      </c>
      <c r="D247" s="1" t="s">
        <v>2133</v>
      </c>
      <c r="G247" s="1">
        <v>2580</v>
      </c>
      <c r="H247" s="1">
        <v>1</v>
      </c>
      <c r="I247" s="1">
        <v>2580</v>
      </c>
      <c r="J247" s="1">
        <v>1</v>
      </c>
      <c r="K247" s="1">
        <f t="shared" si="12"/>
        <v>387</v>
      </c>
      <c r="L247" s="6">
        <v>1116</v>
      </c>
      <c r="M247" s="6">
        <f t="shared" si="13"/>
        <v>1116</v>
      </c>
      <c r="N247" s="6">
        <f t="shared" si="14"/>
        <v>1077</v>
      </c>
      <c r="O247" s="8">
        <f t="shared" si="15"/>
        <v>0.41744186046511628</v>
      </c>
    </row>
    <row r="248" spans="1:15" ht="17" customHeight="1">
      <c r="A248" s="1" t="s">
        <v>689</v>
      </c>
      <c r="C248" s="1" t="s">
        <v>690</v>
      </c>
      <c r="D248" s="1" t="s">
        <v>2134</v>
      </c>
      <c r="G248" s="1">
        <v>2580</v>
      </c>
      <c r="H248" s="1">
        <v>1</v>
      </c>
      <c r="I248" s="1">
        <v>2580</v>
      </c>
      <c r="J248" s="1">
        <v>1</v>
      </c>
      <c r="K248" s="1">
        <f t="shared" si="12"/>
        <v>387</v>
      </c>
      <c r="L248" s="6">
        <v>1100</v>
      </c>
      <c r="M248" s="6">
        <f t="shared" si="13"/>
        <v>1100</v>
      </c>
      <c r="N248" s="6">
        <f t="shared" si="14"/>
        <v>1093</v>
      </c>
      <c r="O248" s="8">
        <f t="shared" si="15"/>
        <v>0.42364341085271318</v>
      </c>
    </row>
    <row r="249" spans="1:15" ht="17" customHeight="1">
      <c r="A249" s="1" t="s">
        <v>678</v>
      </c>
      <c r="C249" s="1" t="s">
        <v>679</v>
      </c>
      <c r="D249" s="1" t="s">
        <v>1912</v>
      </c>
      <c r="G249" s="1">
        <v>1280</v>
      </c>
      <c r="H249" s="1">
        <v>2</v>
      </c>
      <c r="I249" s="1">
        <v>2560</v>
      </c>
      <c r="J249" s="1">
        <v>2</v>
      </c>
      <c r="K249" s="1">
        <f t="shared" si="12"/>
        <v>384</v>
      </c>
      <c r="L249" s="6">
        <v>522</v>
      </c>
      <c r="M249" s="6">
        <f t="shared" si="13"/>
        <v>1044</v>
      </c>
      <c r="N249" s="6">
        <f t="shared" si="14"/>
        <v>1132</v>
      </c>
      <c r="O249" s="8">
        <f t="shared" si="15"/>
        <v>0.44218750000000001</v>
      </c>
    </row>
    <row r="250" spans="1:15" ht="17" customHeight="1">
      <c r="A250" s="1" t="s">
        <v>802</v>
      </c>
      <c r="C250" s="1" t="s">
        <v>803</v>
      </c>
      <c r="D250" s="1" t="s">
        <v>1455</v>
      </c>
      <c r="G250" s="1">
        <v>1280</v>
      </c>
      <c r="H250" s="1">
        <v>2</v>
      </c>
      <c r="I250" s="1">
        <v>2560</v>
      </c>
      <c r="J250" s="1">
        <v>2</v>
      </c>
      <c r="K250" s="1">
        <f t="shared" si="12"/>
        <v>384</v>
      </c>
      <c r="L250" s="6">
        <v>638</v>
      </c>
      <c r="M250" s="6">
        <f t="shared" si="13"/>
        <v>1276</v>
      </c>
      <c r="N250" s="6">
        <f t="shared" si="14"/>
        <v>900</v>
      </c>
      <c r="O250" s="8">
        <f t="shared" si="15"/>
        <v>0.3515625</v>
      </c>
    </row>
    <row r="251" spans="1:15" ht="17" customHeight="1">
      <c r="A251" s="1" t="s">
        <v>2135</v>
      </c>
      <c r="C251" s="1" t="s">
        <v>1156</v>
      </c>
      <c r="D251" s="1">
        <v>1086</v>
      </c>
      <c r="G251" s="1">
        <v>2480</v>
      </c>
      <c r="H251" s="1">
        <v>1</v>
      </c>
      <c r="I251" s="1">
        <v>2480</v>
      </c>
      <c r="J251" s="1">
        <v>1</v>
      </c>
      <c r="K251" s="1">
        <f t="shared" si="12"/>
        <v>372</v>
      </c>
      <c r="L251" s="6">
        <v>1086</v>
      </c>
      <c r="M251" s="6">
        <f t="shared" si="13"/>
        <v>1086</v>
      </c>
      <c r="N251" s="6">
        <f t="shared" si="14"/>
        <v>1022</v>
      </c>
      <c r="O251" s="8">
        <f t="shared" si="15"/>
        <v>0.4120967741935484</v>
      </c>
    </row>
    <row r="252" spans="1:15" ht="17" customHeight="1">
      <c r="A252" s="1" t="s">
        <v>412</v>
      </c>
      <c r="C252" s="1" t="s">
        <v>413</v>
      </c>
      <c r="D252" s="1" t="s">
        <v>2136</v>
      </c>
      <c r="G252" s="1">
        <v>2480</v>
      </c>
      <c r="H252" s="1">
        <v>1</v>
      </c>
      <c r="I252" s="1">
        <v>2480</v>
      </c>
      <c r="J252" s="1">
        <v>1</v>
      </c>
      <c r="K252" s="1">
        <f t="shared" si="12"/>
        <v>372</v>
      </c>
      <c r="L252" s="6">
        <v>1300</v>
      </c>
      <c r="M252" s="6">
        <f t="shared" si="13"/>
        <v>1300</v>
      </c>
      <c r="N252" s="6">
        <f t="shared" si="14"/>
        <v>808</v>
      </c>
      <c r="O252" s="8">
        <f t="shared" si="15"/>
        <v>0.32580645161290323</v>
      </c>
    </row>
    <row r="253" spans="1:15" ht="17" customHeight="1">
      <c r="A253" s="1" t="s">
        <v>2137</v>
      </c>
      <c r="C253" s="1" t="s">
        <v>2138</v>
      </c>
      <c r="D253" s="1" t="s">
        <v>2139</v>
      </c>
      <c r="G253" s="1">
        <v>2480</v>
      </c>
      <c r="H253" s="1">
        <v>1</v>
      </c>
      <c r="I253" s="1">
        <v>2480</v>
      </c>
      <c r="J253" s="1">
        <v>1</v>
      </c>
      <c r="K253" s="1">
        <f t="shared" si="12"/>
        <v>372</v>
      </c>
      <c r="L253" s="6">
        <v>768</v>
      </c>
      <c r="M253" s="6">
        <f t="shared" si="13"/>
        <v>768</v>
      </c>
      <c r="N253" s="6">
        <f t="shared" si="14"/>
        <v>1340</v>
      </c>
      <c r="O253" s="8">
        <f t="shared" si="15"/>
        <v>0.54032258064516125</v>
      </c>
    </row>
    <row r="254" spans="1:15" ht="17" customHeight="1">
      <c r="A254" s="1" t="s">
        <v>1836</v>
      </c>
      <c r="C254" s="1" t="s">
        <v>1837</v>
      </c>
      <c r="D254" s="1" t="s">
        <v>1838</v>
      </c>
      <c r="G254" s="1">
        <v>2480</v>
      </c>
      <c r="H254" s="1">
        <v>1</v>
      </c>
      <c r="I254" s="1">
        <v>2480</v>
      </c>
      <c r="J254" s="1">
        <v>1</v>
      </c>
      <c r="K254" s="1">
        <f t="shared" si="12"/>
        <v>372</v>
      </c>
      <c r="L254" s="6">
        <v>768</v>
      </c>
      <c r="M254" s="6">
        <f t="shared" si="13"/>
        <v>768</v>
      </c>
      <c r="N254" s="6">
        <f t="shared" si="14"/>
        <v>1340</v>
      </c>
      <c r="O254" s="8">
        <f t="shared" si="15"/>
        <v>0.54032258064516125</v>
      </c>
    </row>
    <row r="255" spans="1:15" ht="17" customHeight="1">
      <c r="A255" s="1" t="s">
        <v>166</v>
      </c>
      <c r="C255" s="1" t="s">
        <v>167</v>
      </c>
      <c r="D255" s="1" t="s">
        <v>1157</v>
      </c>
      <c r="G255" s="1">
        <v>2480</v>
      </c>
      <c r="H255" s="1">
        <v>1</v>
      </c>
      <c r="I255" s="1">
        <v>2480</v>
      </c>
      <c r="J255" s="1">
        <v>1</v>
      </c>
      <c r="K255" s="1">
        <f t="shared" si="12"/>
        <v>372</v>
      </c>
      <c r="L255" s="6">
        <v>1210</v>
      </c>
      <c r="M255" s="6">
        <f t="shared" si="13"/>
        <v>1210</v>
      </c>
      <c r="N255" s="6">
        <f t="shared" si="14"/>
        <v>898</v>
      </c>
      <c r="O255" s="8">
        <f t="shared" si="15"/>
        <v>0.36209677419354841</v>
      </c>
    </row>
    <row r="256" spans="1:15" ht="17" customHeight="1">
      <c r="A256" s="1" t="s">
        <v>2140</v>
      </c>
      <c r="C256" s="1" t="s">
        <v>1121</v>
      </c>
      <c r="D256" s="1" t="s">
        <v>2141</v>
      </c>
      <c r="G256" s="1">
        <v>2480</v>
      </c>
      <c r="H256" s="1">
        <v>1</v>
      </c>
      <c r="I256" s="1">
        <v>2480</v>
      </c>
      <c r="J256" s="1">
        <v>1</v>
      </c>
      <c r="K256" s="1">
        <f t="shared" si="12"/>
        <v>372</v>
      </c>
      <c r="L256" s="6">
        <v>924</v>
      </c>
      <c r="M256" s="6">
        <f t="shared" si="13"/>
        <v>924</v>
      </c>
      <c r="N256" s="6">
        <f t="shared" si="14"/>
        <v>1184</v>
      </c>
      <c r="O256" s="8">
        <f t="shared" si="15"/>
        <v>0.47741935483870968</v>
      </c>
    </row>
    <row r="257" spans="1:15" ht="17" customHeight="1">
      <c r="A257" s="1" t="s">
        <v>2142</v>
      </c>
      <c r="C257" s="1" t="s">
        <v>2143</v>
      </c>
      <c r="D257" s="1" t="s">
        <v>2144</v>
      </c>
      <c r="G257" s="1">
        <v>2480</v>
      </c>
      <c r="H257" s="1">
        <v>1</v>
      </c>
      <c r="I257" s="1">
        <v>2480</v>
      </c>
      <c r="J257" s="1">
        <v>1</v>
      </c>
      <c r="K257" s="1">
        <f t="shared" si="12"/>
        <v>372</v>
      </c>
      <c r="L257" s="6">
        <v>1412</v>
      </c>
      <c r="M257" s="6">
        <f t="shared" si="13"/>
        <v>1412</v>
      </c>
      <c r="N257" s="6">
        <f t="shared" si="14"/>
        <v>696</v>
      </c>
      <c r="O257" s="8">
        <f t="shared" si="15"/>
        <v>0.28064516129032258</v>
      </c>
    </row>
    <row r="258" spans="1:15" ht="17" customHeight="1">
      <c r="A258" s="1" t="s">
        <v>699</v>
      </c>
      <c r="C258" s="1" t="s">
        <v>700</v>
      </c>
      <c r="D258" s="1" t="s">
        <v>701</v>
      </c>
      <c r="G258" s="1">
        <v>2480</v>
      </c>
      <c r="H258" s="1">
        <v>1</v>
      </c>
      <c r="I258" s="1">
        <v>2480</v>
      </c>
      <c r="J258" s="1">
        <v>1</v>
      </c>
      <c r="K258" s="1">
        <f t="shared" si="12"/>
        <v>372</v>
      </c>
      <c r="L258" s="6">
        <v>612</v>
      </c>
      <c r="M258" s="6">
        <f t="shared" si="13"/>
        <v>612</v>
      </c>
      <c r="N258" s="6">
        <f t="shared" si="14"/>
        <v>1496</v>
      </c>
      <c r="O258" s="8">
        <f t="shared" si="15"/>
        <v>0.60322580645161294</v>
      </c>
    </row>
    <row r="259" spans="1:15" ht="17" customHeight="1">
      <c r="A259" s="1" t="s">
        <v>715</v>
      </c>
      <c r="C259" s="1" t="s">
        <v>716</v>
      </c>
      <c r="D259" s="1" t="s">
        <v>2145</v>
      </c>
      <c r="G259" s="1">
        <v>2480</v>
      </c>
      <c r="H259" s="1">
        <v>1</v>
      </c>
      <c r="I259" s="1">
        <v>2480</v>
      </c>
      <c r="J259" s="1">
        <v>1</v>
      </c>
      <c r="K259" s="1">
        <f t="shared" si="12"/>
        <v>372</v>
      </c>
      <c r="L259" s="6">
        <v>1094</v>
      </c>
      <c r="M259" s="6">
        <f t="shared" si="13"/>
        <v>1094</v>
      </c>
      <c r="N259" s="6">
        <f t="shared" si="14"/>
        <v>1014</v>
      </c>
      <c r="O259" s="8">
        <f t="shared" si="15"/>
        <v>0.40887096774193549</v>
      </c>
    </row>
    <row r="260" spans="1:15" ht="17" customHeight="1">
      <c r="A260" s="1" t="s">
        <v>462</v>
      </c>
      <c r="C260" s="1" t="s">
        <v>463</v>
      </c>
      <c r="D260" s="1" t="s">
        <v>1346</v>
      </c>
      <c r="G260" s="1">
        <v>2480</v>
      </c>
      <c r="H260" s="1">
        <v>1</v>
      </c>
      <c r="I260" s="1">
        <v>2480</v>
      </c>
      <c r="J260" s="1">
        <v>1</v>
      </c>
      <c r="K260" s="1">
        <f t="shared" si="12"/>
        <v>372</v>
      </c>
      <c r="L260" s="6">
        <v>1356</v>
      </c>
      <c r="M260" s="6">
        <f t="shared" si="13"/>
        <v>1356</v>
      </c>
      <c r="N260" s="6">
        <f t="shared" si="14"/>
        <v>752</v>
      </c>
      <c r="O260" s="8">
        <f t="shared" si="15"/>
        <v>0.3032258064516129</v>
      </c>
    </row>
    <row r="261" spans="1:15" ht="17" customHeight="1">
      <c r="A261" s="1" t="s">
        <v>2146</v>
      </c>
      <c r="B261" s="1" t="s">
        <v>1023</v>
      </c>
      <c r="C261" s="1" t="s">
        <v>1024</v>
      </c>
      <c r="D261" s="1" t="s">
        <v>1025</v>
      </c>
      <c r="E261" s="1" t="s">
        <v>1026</v>
      </c>
      <c r="G261" s="1">
        <v>2480</v>
      </c>
      <c r="H261" s="1">
        <v>1</v>
      </c>
      <c r="I261" s="1">
        <v>2480</v>
      </c>
      <c r="J261" s="1">
        <v>1</v>
      </c>
      <c r="K261" s="1">
        <f t="shared" si="12"/>
        <v>372</v>
      </c>
      <c r="L261" s="6">
        <v>109</v>
      </c>
      <c r="M261" s="6">
        <f t="shared" si="13"/>
        <v>109</v>
      </c>
      <c r="N261" s="6">
        <f t="shared" si="14"/>
        <v>1999</v>
      </c>
      <c r="O261" s="8">
        <f t="shared" si="15"/>
        <v>0.80604838709677418</v>
      </c>
    </row>
    <row r="262" spans="1:15" ht="17" customHeight="1">
      <c r="A262" s="1" t="s">
        <v>1857</v>
      </c>
      <c r="C262" s="1" t="s">
        <v>1858</v>
      </c>
      <c r="D262" s="1" t="s">
        <v>1859</v>
      </c>
      <c r="G262" s="1">
        <v>2380</v>
      </c>
      <c r="H262" s="1">
        <v>1</v>
      </c>
      <c r="I262" s="1">
        <v>2380</v>
      </c>
      <c r="J262" s="1">
        <v>1</v>
      </c>
      <c r="K262" s="1">
        <f t="shared" si="12"/>
        <v>357</v>
      </c>
      <c r="L262" s="6">
        <v>1100</v>
      </c>
      <c r="M262" s="6">
        <f t="shared" si="13"/>
        <v>1100</v>
      </c>
      <c r="N262" s="6">
        <f t="shared" si="14"/>
        <v>923</v>
      </c>
      <c r="O262" s="8">
        <f t="shared" si="15"/>
        <v>0.38781512605042018</v>
      </c>
    </row>
    <row r="263" spans="1:15" ht="17" customHeight="1">
      <c r="A263" s="1" t="s">
        <v>835</v>
      </c>
      <c r="C263" s="1" t="s">
        <v>836</v>
      </c>
      <c r="D263" s="1" t="s">
        <v>837</v>
      </c>
      <c r="G263" s="1">
        <v>1180</v>
      </c>
      <c r="H263" s="1">
        <v>2</v>
      </c>
      <c r="I263" s="1">
        <v>2360</v>
      </c>
      <c r="J263" s="1">
        <v>2</v>
      </c>
      <c r="K263" s="1">
        <f t="shared" si="12"/>
        <v>354</v>
      </c>
      <c r="L263" s="6">
        <v>446</v>
      </c>
      <c r="M263" s="6">
        <f t="shared" si="13"/>
        <v>892</v>
      </c>
      <c r="N263" s="6">
        <f t="shared" si="14"/>
        <v>1114</v>
      </c>
      <c r="O263" s="8">
        <f t="shared" si="15"/>
        <v>0.47203389830508474</v>
      </c>
    </row>
    <row r="264" spans="1:15" ht="17" customHeight="1">
      <c r="A264" s="1" t="s">
        <v>1354</v>
      </c>
      <c r="C264" s="1" t="s">
        <v>1355</v>
      </c>
      <c r="D264" s="1" t="s">
        <v>1356</v>
      </c>
      <c r="G264" s="1">
        <v>2280</v>
      </c>
      <c r="H264" s="1">
        <v>1</v>
      </c>
      <c r="I264" s="1">
        <v>2280</v>
      </c>
      <c r="J264" s="1">
        <v>1</v>
      </c>
      <c r="K264" s="1">
        <f t="shared" ref="K264:K308" si="16">SUM(I264*0.15)</f>
        <v>342</v>
      </c>
      <c r="L264" s="6">
        <v>825</v>
      </c>
      <c r="M264" s="6">
        <f t="shared" ref="M264:M327" si="17">SUM(H264*L264)</f>
        <v>825</v>
      </c>
      <c r="N264" s="6">
        <f t="shared" ref="N264:N327" si="18">SUM(I264-K264-M264)</f>
        <v>1113</v>
      </c>
      <c r="O264" s="8">
        <f t="shared" ref="O264:O327" si="19">IF(I264=0,"",N264/I264)</f>
        <v>0.48815789473684212</v>
      </c>
    </row>
    <row r="265" spans="1:15" ht="17" customHeight="1">
      <c r="A265" s="1" t="s">
        <v>1223</v>
      </c>
      <c r="C265" s="1" t="s">
        <v>1224</v>
      </c>
      <c r="D265" s="1" t="s">
        <v>2147</v>
      </c>
      <c r="G265" s="1">
        <v>2280</v>
      </c>
      <c r="H265" s="1">
        <v>1</v>
      </c>
      <c r="I265" s="1">
        <v>2280</v>
      </c>
      <c r="J265" s="1">
        <v>1</v>
      </c>
      <c r="K265" s="1">
        <f t="shared" si="16"/>
        <v>342</v>
      </c>
      <c r="L265" s="6">
        <v>357</v>
      </c>
      <c r="M265" s="6">
        <f t="shared" si="17"/>
        <v>357</v>
      </c>
      <c r="N265" s="6">
        <f t="shared" si="18"/>
        <v>1581</v>
      </c>
      <c r="O265" s="8">
        <f t="shared" si="19"/>
        <v>0.69342105263157894</v>
      </c>
    </row>
    <row r="266" spans="1:15" ht="17" customHeight="1">
      <c r="A266" s="1" t="s">
        <v>2148</v>
      </c>
      <c r="C266" s="1" t="s">
        <v>1174</v>
      </c>
      <c r="D266" s="1">
        <v>1122</v>
      </c>
      <c r="G266" s="1">
        <v>2280</v>
      </c>
      <c r="H266" s="1">
        <v>1</v>
      </c>
      <c r="I266" s="1">
        <v>2280</v>
      </c>
      <c r="J266" s="1">
        <v>1</v>
      </c>
      <c r="K266" s="1">
        <f t="shared" si="16"/>
        <v>342</v>
      </c>
      <c r="L266" s="6">
        <v>1122</v>
      </c>
      <c r="M266" s="6">
        <f t="shared" si="17"/>
        <v>1122</v>
      </c>
      <c r="N266" s="6">
        <f t="shared" si="18"/>
        <v>816</v>
      </c>
      <c r="O266" s="8">
        <f t="shared" si="19"/>
        <v>0.35789473684210527</v>
      </c>
    </row>
    <row r="267" spans="1:15" ht="17" customHeight="1">
      <c r="A267" s="1" t="s">
        <v>2149</v>
      </c>
      <c r="C267" s="1" t="s">
        <v>2150</v>
      </c>
      <c r="D267" s="1" t="s">
        <v>2151</v>
      </c>
      <c r="G267" s="1">
        <v>2280</v>
      </c>
      <c r="H267" s="1">
        <v>1</v>
      </c>
      <c r="I267" s="1">
        <v>2280</v>
      </c>
      <c r="J267" s="1">
        <v>1</v>
      </c>
      <c r="K267" s="1">
        <f t="shared" si="16"/>
        <v>342</v>
      </c>
      <c r="L267" s="6">
        <v>494</v>
      </c>
      <c r="M267" s="6">
        <f t="shared" si="17"/>
        <v>494</v>
      </c>
      <c r="N267" s="6">
        <f t="shared" si="18"/>
        <v>1444</v>
      </c>
      <c r="O267" s="8">
        <f t="shared" si="19"/>
        <v>0.6333333333333333</v>
      </c>
    </row>
    <row r="268" spans="1:15" ht="17" customHeight="1">
      <c r="A268" s="1" t="s">
        <v>483</v>
      </c>
      <c r="C268" s="1" t="s">
        <v>484</v>
      </c>
      <c r="D268" s="1" t="s">
        <v>1705</v>
      </c>
      <c r="G268" s="1">
        <v>2280</v>
      </c>
      <c r="H268" s="1">
        <v>1</v>
      </c>
      <c r="I268" s="1">
        <v>2280</v>
      </c>
      <c r="J268" s="1">
        <v>1</v>
      </c>
      <c r="K268" s="1">
        <f t="shared" si="16"/>
        <v>342</v>
      </c>
      <c r="L268" s="6">
        <v>1254</v>
      </c>
      <c r="M268" s="6">
        <f t="shared" si="17"/>
        <v>1254</v>
      </c>
      <c r="N268" s="6">
        <f t="shared" si="18"/>
        <v>684</v>
      </c>
      <c r="O268" s="8">
        <f t="shared" si="19"/>
        <v>0.3</v>
      </c>
    </row>
    <row r="269" spans="1:15" ht="17" customHeight="1">
      <c r="A269" s="1" t="s">
        <v>1916</v>
      </c>
      <c r="C269" s="1" t="s">
        <v>1917</v>
      </c>
      <c r="D269" s="1" t="s">
        <v>1918</v>
      </c>
      <c r="G269" s="1">
        <v>1080</v>
      </c>
      <c r="H269" s="1">
        <v>2</v>
      </c>
      <c r="I269" s="1">
        <v>2160</v>
      </c>
      <c r="J269" s="1">
        <v>2</v>
      </c>
      <c r="K269" s="1">
        <f t="shared" si="16"/>
        <v>324</v>
      </c>
      <c r="L269" s="6">
        <v>861</v>
      </c>
      <c r="M269" s="6">
        <f t="shared" si="17"/>
        <v>1722</v>
      </c>
      <c r="N269" s="6">
        <f t="shared" si="18"/>
        <v>114</v>
      </c>
      <c r="O269" s="8">
        <f t="shared" si="19"/>
        <v>5.2777777777777778E-2</v>
      </c>
    </row>
    <row r="270" spans="1:15" ht="17" customHeight="1">
      <c r="A270" s="1" t="s">
        <v>2152</v>
      </c>
      <c r="C270" s="1" t="s">
        <v>2153</v>
      </c>
      <c r="D270" s="1" t="s">
        <v>2154</v>
      </c>
      <c r="G270" s="1">
        <v>2080</v>
      </c>
      <c r="H270" s="1">
        <v>1</v>
      </c>
      <c r="I270" s="1">
        <v>2080</v>
      </c>
      <c r="J270" s="1">
        <v>1</v>
      </c>
      <c r="K270" s="1">
        <f t="shared" si="16"/>
        <v>312</v>
      </c>
      <c r="L270" s="6">
        <v>1319</v>
      </c>
      <c r="M270" s="6">
        <f t="shared" si="17"/>
        <v>1319</v>
      </c>
      <c r="N270" s="6">
        <f t="shared" si="18"/>
        <v>449</v>
      </c>
      <c r="O270" s="8">
        <f t="shared" si="19"/>
        <v>0.21586538461538463</v>
      </c>
    </row>
    <row r="271" spans="1:15" ht="17" customHeight="1">
      <c r="A271" s="1" t="s">
        <v>738</v>
      </c>
      <c r="C271" s="1">
        <v>4903301377597</v>
      </c>
      <c r="D271" s="1" t="s">
        <v>739</v>
      </c>
      <c r="G271" s="1">
        <v>2080</v>
      </c>
      <c r="H271" s="1">
        <v>1</v>
      </c>
      <c r="I271" s="1">
        <v>2080</v>
      </c>
      <c r="J271" s="1">
        <v>1</v>
      </c>
      <c r="K271" s="1">
        <f t="shared" si="16"/>
        <v>312</v>
      </c>
      <c r="L271" s="6">
        <v>1020</v>
      </c>
      <c r="M271" s="6">
        <f t="shared" si="17"/>
        <v>1020</v>
      </c>
      <c r="N271" s="6">
        <f t="shared" si="18"/>
        <v>748</v>
      </c>
      <c r="O271" s="8">
        <f t="shared" si="19"/>
        <v>0.35961538461538461</v>
      </c>
    </row>
    <row r="272" spans="1:15" ht="17" customHeight="1">
      <c r="A272" s="1" t="s">
        <v>1360</v>
      </c>
      <c r="C272" s="1" t="s">
        <v>1361</v>
      </c>
      <c r="D272" s="1" t="s">
        <v>1362</v>
      </c>
      <c r="G272" s="1">
        <v>999</v>
      </c>
      <c r="H272" s="1">
        <v>2</v>
      </c>
      <c r="I272" s="1">
        <v>1998</v>
      </c>
      <c r="J272" s="1">
        <v>1</v>
      </c>
      <c r="K272" s="1">
        <f t="shared" si="16"/>
        <v>299.7</v>
      </c>
      <c r="L272" s="6">
        <v>598</v>
      </c>
      <c r="M272" s="6">
        <f t="shared" si="17"/>
        <v>1196</v>
      </c>
      <c r="N272" s="6">
        <f t="shared" si="18"/>
        <v>502.29999999999995</v>
      </c>
      <c r="O272" s="8">
        <f t="shared" si="19"/>
        <v>0.25140140140140138</v>
      </c>
    </row>
    <row r="273" spans="1:15" ht="17" customHeight="1">
      <c r="A273" s="1" t="s">
        <v>2155</v>
      </c>
      <c r="C273" s="1" t="s">
        <v>2156</v>
      </c>
      <c r="D273" s="1" t="s">
        <v>2157</v>
      </c>
      <c r="G273" s="1">
        <v>1980</v>
      </c>
      <c r="H273" s="1">
        <v>1</v>
      </c>
      <c r="I273" s="1">
        <v>1980</v>
      </c>
      <c r="J273" s="1">
        <v>1</v>
      </c>
      <c r="K273" s="1">
        <f t="shared" si="16"/>
        <v>297</v>
      </c>
      <c r="L273" s="6">
        <v>690</v>
      </c>
      <c r="M273" s="6">
        <f t="shared" si="17"/>
        <v>690</v>
      </c>
      <c r="N273" s="6">
        <f t="shared" si="18"/>
        <v>993</v>
      </c>
      <c r="O273" s="8">
        <f t="shared" si="19"/>
        <v>0.50151515151515147</v>
      </c>
    </row>
    <row r="274" spans="1:15" ht="17" customHeight="1">
      <c r="A274" s="1" t="s">
        <v>2158</v>
      </c>
      <c r="C274" s="1" t="s">
        <v>2159</v>
      </c>
      <c r="D274" s="1" t="s">
        <v>2160</v>
      </c>
      <c r="G274" s="1">
        <v>1980</v>
      </c>
      <c r="H274" s="1">
        <v>1</v>
      </c>
      <c r="I274" s="1">
        <v>1980</v>
      </c>
      <c r="J274" s="1">
        <v>1</v>
      </c>
      <c r="K274" s="1">
        <f t="shared" si="16"/>
        <v>297</v>
      </c>
      <c r="L274" s="6">
        <v>878</v>
      </c>
      <c r="M274" s="6">
        <f t="shared" si="17"/>
        <v>878</v>
      </c>
      <c r="N274" s="6">
        <f t="shared" si="18"/>
        <v>805</v>
      </c>
      <c r="O274" s="8">
        <f t="shared" si="19"/>
        <v>0.40656565656565657</v>
      </c>
    </row>
    <row r="275" spans="1:15" ht="17" customHeight="1">
      <c r="A275" s="1" t="s">
        <v>2161</v>
      </c>
      <c r="C275" s="1" t="s">
        <v>2162</v>
      </c>
      <c r="D275" s="1" t="s">
        <v>2163</v>
      </c>
      <c r="G275" s="1">
        <v>1980</v>
      </c>
      <c r="H275" s="1">
        <v>1</v>
      </c>
      <c r="I275" s="1">
        <v>1980</v>
      </c>
      <c r="J275" s="1">
        <v>1</v>
      </c>
      <c r="K275" s="1">
        <f t="shared" si="16"/>
        <v>297</v>
      </c>
      <c r="L275" s="6">
        <v>1010</v>
      </c>
      <c r="M275" s="6">
        <f t="shared" si="17"/>
        <v>1010</v>
      </c>
      <c r="N275" s="6">
        <f t="shared" si="18"/>
        <v>673</v>
      </c>
      <c r="O275" s="8">
        <f t="shared" si="19"/>
        <v>0.33989898989898992</v>
      </c>
    </row>
    <row r="276" spans="1:15" ht="17" customHeight="1">
      <c r="A276" s="1" t="s">
        <v>756</v>
      </c>
      <c r="C276" s="1" t="s">
        <v>757</v>
      </c>
      <c r="D276" s="1" t="s">
        <v>2164</v>
      </c>
      <c r="G276" s="1">
        <v>1980</v>
      </c>
      <c r="H276" s="1">
        <v>1</v>
      </c>
      <c r="I276" s="1">
        <v>1980</v>
      </c>
      <c r="J276" s="1">
        <v>1</v>
      </c>
      <c r="K276" s="1">
        <f t="shared" si="16"/>
        <v>297</v>
      </c>
      <c r="L276" s="6">
        <v>1010</v>
      </c>
      <c r="M276" s="6">
        <f t="shared" si="17"/>
        <v>1010</v>
      </c>
      <c r="N276" s="6">
        <f t="shared" si="18"/>
        <v>673</v>
      </c>
      <c r="O276" s="8">
        <f t="shared" si="19"/>
        <v>0.33989898989898992</v>
      </c>
    </row>
    <row r="277" spans="1:15" ht="17" customHeight="1">
      <c r="A277" s="1" t="s">
        <v>2165</v>
      </c>
      <c r="C277" s="1" t="s">
        <v>2166</v>
      </c>
      <c r="D277" s="1" t="s">
        <v>2167</v>
      </c>
      <c r="G277" s="1">
        <v>1980</v>
      </c>
      <c r="H277" s="1">
        <v>1</v>
      </c>
      <c r="I277" s="1">
        <v>1980</v>
      </c>
      <c r="J277" s="1">
        <v>1</v>
      </c>
      <c r="K277" s="1">
        <f t="shared" si="16"/>
        <v>297</v>
      </c>
      <c r="L277" s="6">
        <v>199</v>
      </c>
      <c r="M277" s="6">
        <f t="shared" si="17"/>
        <v>199</v>
      </c>
      <c r="N277" s="6">
        <f t="shared" si="18"/>
        <v>1484</v>
      </c>
      <c r="O277" s="8">
        <f t="shared" si="19"/>
        <v>0.74949494949494955</v>
      </c>
    </row>
    <row r="278" spans="1:15" ht="17" customHeight="1">
      <c r="A278" s="1" t="s">
        <v>2168</v>
      </c>
      <c r="C278" s="1" t="s">
        <v>2169</v>
      </c>
      <c r="D278" s="1" t="s">
        <v>2170</v>
      </c>
      <c r="G278" s="1">
        <v>1980</v>
      </c>
      <c r="H278" s="1">
        <v>1</v>
      </c>
      <c r="I278" s="1">
        <v>1980</v>
      </c>
      <c r="J278" s="1">
        <v>1</v>
      </c>
      <c r="K278" s="1">
        <f t="shared" si="16"/>
        <v>297</v>
      </c>
      <c r="L278" s="6">
        <v>898</v>
      </c>
      <c r="M278" s="6">
        <f t="shared" si="17"/>
        <v>898</v>
      </c>
      <c r="N278" s="6">
        <f t="shared" si="18"/>
        <v>785</v>
      </c>
      <c r="O278" s="8">
        <f t="shared" si="19"/>
        <v>0.39646464646464646</v>
      </c>
    </row>
    <row r="279" spans="1:15" ht="17" customHeight="1">
      <c r="A279" s="1" t="s">
        <v>558</v>
      </c>
      <c r="C279" s="1" t="s">
        <v>559</v>
      </c>
      <c r="D279" s="1" t="s">
        <v>2171</v>
      </c>
      <c r="G279" s="1">
        <v>1980</v>
      </c>
      <c r="H279" s="1">
        <v>1</v>
      </c>
      <c r="I279" s="1">
        <v>1980</v>
      </c>
      <c r="J279" s="1">
        <v>1</v>
      </c>
      <c r="K279" s="1">
        <f t="shared" si="16"/>
        <v>297</v>
      </c>
      <c r="L279" s="6">
        <v>946</v>
      </c>
      <c r="M279" s="6">
        <f t="shared" si="17"/>
        <v>946</v>
      </c>
      <c r="N279" s="6">
        <f t="shared" si="18"/>
        <v>737</v>
      </c>
      <c r="O279" s="8">
        <f t="shared" si="19"/>
        <v>0.37222222222222223</v>
      </c>
    </row>
    <row r="280" spans="1:15" ht="17" customHeight="1">
      <c r="A280" s="1" t="s">
        <v>2172</v>
      </c>
      <c r="C280" s="1" t="s">
        <v>2173</v>
      </c>
      <c r="D280" s="1" t="s">
        <v>2174</v>
      </c>
      <c r="G280" s="1">
        <v>1980</v>
      </c>
      <c r="H280" s="1">
        <v>1</v>
      </c>
      <c r="I280" s="1">
        <v>1980</v>
      </c>
      <c r="J280" s="1">
        <v>1</v>
      </c>
      <c r="K280" s="1">
        <f t="shared" si="16"/>
        <v>297</v>
      </c>
      <c r="L280" s="6">
        <v>546</v>
      </c>
      <c r="M280" s="6">
        <f t="shared" si="17"/>
        <v>546</v>
      </c>
      <c r="N280" s="6">
        <f t="shared" si="18"/>
        <v>1137</v>
      </c>
      <c r="O280" s="8">
        <f t="shared" si="19"/>
        <v>0.57424242424242422</v>
      </c>
    </row>
    <row r="281" spans="1:15" ht="17" customHeight="1">
      <c r="A281" s="1" t="s">
        <v>2175</v>
      </c>
      <c r="C281" s="1" t="s">
        <v>2176</v>
      </c>
      <c r="D281" s="1" t="s">
        <v>2177</v>
      </c>
      <c r="G281" s="1">
        <v>1980</v>
      </c>
      <c r="H281" s="1">
        <v>1</v>
      </c>
      <c r="I281" s="1">
        <v>1980</v>
      </c>
      <c r="J281" s="1">
        <v>1</v>
      </c>
      <c r="K281" s="1">
        <f t="shared" si="16"/>
        <v>297</v>
      </c>
      <c r="L281" s="6">
        <v>878</v>
      </c>
      <c r="M281" s="6">
        <f t="shared" si="17"/>
        <v>878</v>
      </c>
      <c r="N281" s="6">
        <f t="shared" si="18"/>
        <v>805</v>
      </c>
      <c r="O281" s="8">
        <f t="shared" si="19"/>
        <v>0.40656565656565657</v>
      </c>
    </row>
    <row r="282" spans="1:15" ht="17" customHeight="1">
      <c r="A282" s="1" t="s">
        <v>750</v>
      </c>
      <c r="C282" s="1" t="s">
        <v>751</v>
      </c>
      <c r="D282" s="1" t="s">
        <v>752</v>
      </c>
      <c r="G282" s="1">
        <v>1980</v>
      </c>
      <c r="H282" s="1">
        <v>1</v>
      </c>
      <c r="I282" s="1">
        <v>1980</v>
      </c>
      <c r="J282" s="1">
        <v>1</v>
      </c>
      <c r="K282" s="1">
        <f t="shared" si="16"/>
        <v>297</v>
      </c>
      <c r="L282" s="6">
        <v>330</v>
      </c>
      <c r="M282" s="6">
        <f t="shared" si="17"/>
        <v>330</v>
      </c>
      <c r="N282" s="6">
        <f t="shared" si="18"/>
        <v>1353</v>
      </c>
      <c r="O282" s="8">
        <f t="shared" si="19"/>
        <v>0.68333333333333335</v>
      </c>
    </row>
    <row r="283" spans="1:15" ht="17" customHeight="1">
      <c r="A283" s="1" t="s">
        <v>780</v>
      </c>
      <c r="C283" s="1" t="s">
        <v>781</v>
      </c>
      <c r="D283" s="1" t="s">
        <v>2178</v>
      </c>
      <c r="G283" s="1">
        <v>1780</v>
      </c>
      <c r="H283" s="1">
        <v>1</v>
      </c>
      <c r="I283" s="1">
        <v>1780</v>
      </c>
      <c r="J283" s="1">
        <v>1</v>
      </c>
      <c r="K283" s="1">
        <f t="shared" si="16"/>
        <v>267</v>
      </c>
      <c r="L283" s="6">
        <v>549</v>
      </c>
      <c r="M283" s="6">
        <f t="shared" si="17"/>
        <v>549</v>
      </c>
      <c r="N283" s="6">
        <f t="shared" si="18"/>
        <v>964</v>
      </c>
      <c r="O283" s="8">
        <f t="shared" si="19"/>
        <v>0.54157303370786514</v>
      </c>
    </row>
    <row r="284" spans="1:15" ht="17" customHeight="1">
      <c r="A284" s="1" t="s">
        <v>439</v>
      </c>
      <c r="C284" s="1" t="s">
        <v>440</v>
      </c>
      <c r="D284" s="1" t="s">
        <v>441</v>
      </c>
      <c r="G284" s="1">
        <v>1780</v>
      </c>
      <c r="H284" s="1">
        <v>1</v>
      </c>
      <c r="I284" s="1">
        <v>1780</v>
      </c>
      <c r="J284" s="1">
        <v>1</v>
      </c>
      <c r="K284" s="1">
        <f t="shared" si="16"/>
        <v>267</v>
      </c>
      <c r="L284" s="6">
        <v>1596</v>
      </c>
      <c r="M284" s="6">
        <f t="shared" si="17"/>
        <v>1596</v>
      </c>
      <c r="N284" s="6">
        <f t="shared" si="18"/>
        <v>-83</v>
      </c>
      <c r="O284" s="8">
        <f t="shared" si="19"/>
        <v>-4.6629213483146068E-2</v>
      </c>
    </row>
    <row r="285" spans="1:15" ht="17" customHeight="1">
      <c r="A285" s="1" t="s">
        <v>1144</v>
      </c>
      <c r="C285" s="1" t="s">
        <v>794</v>
      </c>
      <c r="D285" s="1" t="s">
        <v>1145</v>
      </c>
      <c r="G285" s="1">
        <v>1680</v>
      </c>
      <c r="H285" s="1">
        <v>1</v>
      </c>
      <c r="I285" s="1">
        <v>1680</v>
      </c>
      <c r="J285" s="1">
        <v>1</v>
      </c>
      <c r="K285" s="1">
        <f t="shared" si="16"/>
        <v>252</v>
      </c>
      <c r="L285" s="6">
        <v>942</v>
      </c>
      <c r="M285" s="6">
        <f t="shared" si="17"/>
        <v>942</v>
      </c>
      <c r="N285" s="6">
        <f t="shared" si="18"/>
        <v>486</v>
      </c>
      <c r="O285" s="8">
        <f t="shared" si="19"/>
        <v>0.28928571428571431</v>
      </c>
    </row>
    <row r="286" spans="1:15" ht="17" customHeight="1">
      <c r="A286" s="1" t="s">
        <v>2179</v>
      </c>
      <c r="B286" s="1" t="s">
        <v>2180</v>
      </c>
      <c r="C286" s="1" t="s">
        <v>2181</v>
      </c>
      <c r="D286" s="9">
        <v>747690</v>
      </c>
      <c r="E286" s="1" t="s">
        <v>2182</v>
      </c>
      <c r="G286" s="1">
        <v>1580</v>
      </c>
      <c r="H286" s="1">
        <v>1</v>
      </c>
      <c r="I286" s="1">
        <v>1580</v>
      </c>
      <c r="J286" s="1">
        <v>1</v>
      </c>
      <c r="K286" s="1">
        <f t="shared" si="16"/>
        <v>237</v>
      </c>
      <c r="L286" s="6">
        <v>747</v>
      </c>
      <c r="M286" s="6">
        <f t="shared" si="17"/>
        <v>747</v>
      </c>
      <c r="N286" s="6">
        <f t="shared" si="18"/>
        <v>596</v>
      </c>
      <c r="O286" s="8">
        <f t="shared" si="19"/>
        <v>0.37721518987341773</v>
      </c>
    </row>
    <row r="287" spans="1:15" ht="17" customHeight="1">
      <c r="A287" s="1" t="s">
        <v>1097</v>
      </c>
      <c r="C287" s="1" t="s">
        <v>1098</v>
      </c>
      <c r="D287" s="1" t="s">
        <v>1099</v>
      </c>
      <c r="G287" s="1">
        <v>1580</v>
      </c>
      <c r="H287" s="1">
        <v>1</v>
      </c>
      <c r="I287" s="1">
        <v>1580</v>
      </c>
      <c r="J287" s="1">
        <v>1</v>
      </c>
      <c r="K287" s="1">
        <f t="shared" si="16"/>
        <v>237</v>
      </c>
      <c r="L287" s="6">
        <v>768</v>
      </c>
      <c r="M287" s="6">
        <f t="shared" si="17"/>
        <v>768</v>
      </c>
      <c r="N287" s="6">
        <f t="shared" si="18"/>
        <v>575</v>
      </c>
      <c r="O287" s="8">
        <f t="shared" si="19"/>
        <v>0.36392405063291139</v>
      </c>
    </row>
    <row r="288" spans="1:15" ht="17" customHeight="1">
      <c r="A288" s="1" t="s">
        <v>2183</v>
      </c>
      <c r="C288" s="1" t="s">
        <v>2184</v>
      </c>
      <c r="D288" s="1" t="s">
        <v>2185</v>
      </c>
      <c r="G288" s="1">
        <v>1580</v>
      </c>
      <c r="H288" s="1">
        <v>1</v>
      </c>
      <c r="I288" s="1">
        <v>1580</v>
      </c>
      <c r="J288" s="1">
        <v>1</v>
      </c>
      <c r="K288" s="1">
        <f t="shared" si="16"/>
        <v>237</v>
      </c>
      <c r="L288" s="6">
        <v>1260</v>
      </c>
      <c r="M288" s="6">
        <f t="shared" si="17"/>
        <v>1260</v>
      </c>
      <c r="N288" s="6">
        <f t="shared" si="18"/>
        <v>83</v>
      </c>
      <c r="O288" s="8">
        <f t="shared" si="19"/>
        <v>5.2531645569620256E-2</v>
      </c>
    </row>
    <row r="289" spans="1:15" ht="17" customHeight="1">
      <c r="A289" s="1" t="s">
        <v>2186</v>
      </c>
      <c r="C289" s="1" t="s">
        <v>2187</v>
      </c>
      <c r="D289" s="1" t="s">
        <v>2188</v>
      </c>
      <c r="G289" s="1">
        <v>1580</v>
      </c>
      <c r="H289" s="1">
        <v>1</v>
      </c>
      <c r="I289" s="1">
        <v>1580</v>
      </c>
      <c r="J289" s="1">
        <v>1</v>
      </c>
      <c r="K289" s="1">
        <f t="shared" si="16"/>
        <v>237</v>
      </c>
      <c r="L289" s="6">
        <v>411</v>
      </c>
      <c r="M289" s="6">
        <f t="shared" si="17"/>
        <v>411</v>
      </c>
      <c r="N289" s="6">
        <f t="shared" si="18"/>
        <v>932</v>
      </c>
      <c r="O289" s="8">
        <f t="shared" si="19"/>
        <v>0.58987341772151902</v>
      </c>
    </row>
    <row r="290" spans="1:15" ht="17" customHeight="1">
      <c r="A290" s="1" t="s">
        <v>2189</v>
      </c>
      <c r="C290" s="1" t="s">
        <v>2190</v>
      </c>
      <c r="D290" s="1" t="s">
        <v>2191</v>
      </c>
      <c r="G290" s="1">
        <v>1580</v>
      </c>
      <c r="H290" s="1">
        <v>1</v>
      </c>
      <c r="I290" s="1">
        <v>1580</v>
      </c>
      <c r="J290" s="1">
        <v>1</v>
      </c>
      <c r="K290" s="1">
        <f t="shared" si="16"/>
        <v>237</v>
      </c>
      <c r="L290" s="6">
        <v>918</v>
      </c>
      <c r="M290" s="6">
        <f t="shared" si="17"/>
        <v>918</v>
      </c>
      <c r="N290" s="6">
        <f t="shared" si="18"/>
        <v>425</v>
      </c>
      <c r="O290" s="8">
        <f t="shared" si="19"/>
        <v>0.26898734177215189</v>
      </c>
    </row>
    <row r="291" spans="1:15" ht="17" customHeight="1">
      <c r="A291" s="1" t="s">
        <v>2192</v>
      </c>
      <c r="C291" s="1" t="s">
        <v>2193</v>
      </c>
      <c r="D291" s="1">
        <v>840</v>
      </c>
      <c r="G291" s="1">
        <v>1480</v>
      </c>
      <c r="H291" s="1">
        <v>1</v>
      </c>
      <c r="I291" s="1">
        <v>1480</v>
      </c>
      <c r="J291" s="1">
        <v>1</v>
      </c>
      <c r="K291" s="1">
        <f t="shared" si="16"/>
        <v>222</v>
      </c>
      <c r="L291" s="6">
        <v>840</v>
      </c>
      <c r="M291" s="6">
        <f t="shared" si="17"/>
        <v>840</v>
      </c>
      <c r="N291" s="6">
        <f t="shared" si="18"/>
        <v>418</v>
      </c>
      <c r="O291" s="8">
        <f t="shared" si="19"/>
        <v>0.28243243243243243</v>
      </c>
    </row>
    <row r="292" spans="1:15" ht="17" customHeight="1">
      <c r="A292" s="1" t="s">
        <v>1175</v>
      </c>
      <c r="C292" s="1" t="s">
        <v>1176</v>
      </c>
      <c r="D292" s="1" t="s">
        <v>1177</v>
      </c>
      <c r="G292" s="1">
        <v>1480</v>
      </c>
      <c r="H292" s="1">
        <v>1</v>
      </c>
      <c r="I292" s="1">
        <v>1480</v>
      </c>
      <c r="J292" s="1">
        <v>1</v>
      </c>
      <c r="K292" s="1">
        <f t="shared" si="16"/>
        <v>222</v>
      </c>
      <c r="L292" s="6">
        <v>833</v>
      </c>
      <c r="M292" s="6">
        <f t="shared" si="17"/>
        <v>833</v>
      </c>
      <c r="N292" s="6">
        <f t="shared" si="18"/>
        <v>425</v>
      </c>
      <c r="O292" s="8">
        <f t="shared" si="19"/>
        <v>0.28716216216216217</v>
      </c>
    </row>
    <row r="293" spans="1:15" ht="17" customHeight="1">
      <c r="A293" s="1" t="s">
        <v>1248</v>
      </c>
      <c r="B293" s="1" t="s">
        <v>1425</v>
      </c>
      <c r="C293" s="1" t="s">
        <v>1249</v>
      </c>
      <c r="D293" s="1" t="s">
        <v>2122</v>
      </c>
      <c r="E293" s="1" t="s">
        <v>1426</v>
      </c>
      <c r="G293" s="1">
        <v>1480</v>
      </c>
      <c r="H293" s="1">
        <v>1</v>
      </c>
      <c r="I293" s="1">
        <v>1480</v>
      </c>
      <c r="J293" s="1">
        <v>1</v>
      </c>
      <c r="K293" s="1">
        <f t="shared" si="16"/>
        <v>222</v>
      </c>
      <c r="L293" s="6">
        <v>504</v>
      </c>
      <c r="M293" s="6">
        <f t="shared" si="17"/>
        <v>504</v>
      </c>
      <c r="N293" s="6">
        <f t="shared" si="18"/>
        <v>754</v>
      </c>
      <c r="O293" s="8">
        <f t="shared" si="19"/>
        <v>0.50945945945945947</v>
      </c>
    </row>
    <row r="294" spans="1:15" ht="17" customHeight="1">
      <c r="A294" s="1" t="s">
        <v>2194</v>
      </c>
      <c r="C294" s="1" t="s">
        <v>2195</v>
      </c>
      <c r="D294" s="1" t="s">
        <v>2196</v>
      </c>
      <c r="G294" s="1">
        <v>1480</v>
      </c>
      <c r="H294" s="1">
        <v>1</v>
      </c>
      <c r="I294" s="1">
        <v>1480</v>
      </c>
      <c r="J294" s="1">
        <v>1</v>
      </c>
      <c r="K294" s="1">
        <f t="shared" si="16"/>
        <v>222</v>
      </c>
      <c r="L294" s="6">
        <v>600</v>
      </c>
      <c r="M294" s="6">
        <f t="shared" si="17"/>
        <v>600</v>
      </c>
      <c r="N294" s="6">
        <f t="shared" si="18"/>
        <v>658</v>
      </c>
      <c r="O294" s="8">
        <f t="shared" si="19"/>
        <v>0.44459459459459461</v>
      </c>
    </row>
    <row r="295" spans="1:15" ht="17" customHeight="1">
      <c r="A295" s="1" t="s">
        <v>1248</v>
      </c>
      <c r="B295" s="1" t="s">
        <v>2197</v>
      </c>
      <c r="C295" s="1" t="s">
        <v>1249</v>
      </c>
      <c r="D295" s="1" t="s">
        <v>2122</v>
      </c>
      <c r="E295" s="1" t="s">
        <v>2198</v>
      </c>
      <c r="G295" s="1">
        <v>1480</v>
      </c>
      <c r="H295" s="1">
        <v>1</v>
      </c>
      <c r="I295" s="1">
        <v>1480</v>
      </c>
      <c r="J295" s="1">
        <v>1</v>
      </c>
      <c r="K295" s="1">
        <f t="shared" si="16"/>
        <v>222</v>
      </c>
      <c r="L295" s="6">
        <v>504</v>
      </c>
      <c r="M295" s="6">
        <f t="shared" si="17"/>
        <v>504</v>
      </c>
      <c r="N295" s="6">
        <f t="shared" si="18"/>
        <v>754</v>
      </c>
      <c r="O295" s="8">
        <f t="shared" si="19"/>
        <v>0.50945945945945947</v>
      </c>
    </row>
    <row r="296" spans="1:15" ht="17" customHeight="1">
      <c r="A296" s="1" t="s">
        <v>2199</v>
      </c>
      <c r="C296" s="1" t="s">
        <v>2200</v>
      </c>
      <c r="D296" s="1" t="s">
        <v>2201</v>
      </c>
      <c r="G296" s="1">
        <v>1480</v>
      </c>
      <c r="H296" s="1">
        <v>1</v>
      </c>
      <c r="I296" s="1">
        <v>1480</v>
      </c>
      <c r="J296" s="1">
        <v>1</v>
      </c>
      <c r="K296" s="1">
        <f t="shared" si="16"/>
        <v>222</v>
      </c>
      <c r="L296" s="6">
        <v>384</v>
      </c>
      <c r="M296" s="6">
        <f t="shared" si="17"/>
        <v>384</v>
      </c>
      <c r="N296" s="6">
        <f t="shared" si="18"/>
        <v>874</v>
      </c>
      <c r="O296" s="8">
        <f t="shared" si="19"/>
        <v>0.5905405405405405</v>
      </c>
    </row>
    <row r="297" spans="1:15" ht="17" customHeight="1">
      <c r="A297" s="1" t="s">
        <v>2202</v>
      </c>
      <c r="C297" s="1" t="s">
        <v>2203</v>
      </c>
      <c r="D297" s="1" t="s">
        <v>2204</v>
      </c>
      <c r="G297" s="1">
        <v>1380</v>
      </c>
      <c r="H297" s="1">
        <v>1</v>
      </c>
      <c r="I297" s="1">
        <v>1380</v>
      </c>
      <c r="J297" s="1">
        <v>1</v>
      </c>
      <c r="K297" s="1">
        <f t="shared" si="16"/>
        <v>207</v>
      </c>
      <c r="L297" s="6">
        <v>396</v>
      </c>
      <c r="M297" s="6">
        <f t="shared" si="17"/>
        <v>396</v>
      </c>
      <c r="N297" s="6">
        <f t="shared" si="18"/>
        <v>777</v>
      </c>
      <c r="O297" s="8">
        <f t="shared" si="19"/>
        <v>0.56304347826086953</v>
      </c>
    </row>
    <row r="298" spans="1:15" ht="17" customHeight="1">
      <c r="A298" s="1" t="s">
        <v>2125</v>
      </c>
      <c r="B298" s="1" t="s">
        <v>1433</v>
      </c>
      <c r="C298" s="1" t="s">
        <v>1280</v>
      </c>
      <c r="D298" s="1" t="s">
        <v>1281</v>
      </c>
      <c r="E298" s="1" t="s">
        <v>1434</v>
      </c>
      <c r="G298" s="1">
        <v>1380</v>
      </c>
      <c r="H298" s="1">
        <v>1</v>
      </c>
      <c r="I298" s="1">
        <v>1380</v>
      </c>
      <c r="J298" s="1">
        <v>1</v>
      </c>
      <c r="K298" s="1">
        <f t="shared" si="16"/>
        <v>207</v>
      </c>
      <c r="L298" s="6">
        <v>286</v>
      </c>
      <c r="M298" s="6">
        <f t="shared" si="17"/>
        <v>286</v>
      </c>
      <c r="N298" s="6">
        <f t="shared" si="18"/>
        <v>887</v>
      </c>
      <c r="O298" s="8">
        <f t="shared" si="19"/>
        <v>0.64275362318840579</v>
      </c>
    </row>
    <row r="299" spans="1:15" ht="17" customHeight="1">
      <c r="A299" s="1" t="s">
        <v>2205</v>
      </c>
      <c r="C299" s="1" t="s">
        <v>2206</v>
      </c>
      <c r="D299" s="1" t="s">
        <v>2207</v>
      </c>
      <c r="G299" s="1">
        <v>1380</v>
      </c>
      <c r="H299" s="1">
        <v>1</v>
      </c>
      <c r="I299" s="1">
        <v>1380</v>
      </c>
      <c r="J299" s="1">
        <v>1</v>
      </c>
      <c r="K299" s="1">
        <f t="shared" si="16"/>
        <v>207</v>
      </c>
      <c r="L299" s="6">
        <v>550</v>
      </c>
      <c r="M299" s="6">
        <f t="shared" si="17"/>
        <v>550</v>
      </c>
      <c r="N299" s="6">
        <f t="shared" si="18"/>
        <v>623</v>
      </c>
      <c r="O299" s="8">
        <f t="shared" si="19"/>
        <v>0.45144927536231882</v>
      </c>
    </row>
    <row r="300" spans="1:15" ht="17" customHeight="1">
      <c r="A300" s="1" t="s">
        <v>824</v>
      </c>
      <c r="B300" s="1" t="s">
        <v>682</v>
      </c>
      <c r="C300" s="1" t="s">
        <v>825</v>
      </c>
      <c r="D300" s="1" t="s">
        <v>1441</v>
      </c>
      <c r="E300" s="1" t="s">
        <v>827</v>
      </c>
      <c r="G300" s="1">
        <v>1380</v>
      </c>
      <c r="H300" s="1">
        <v>1</v>
      </c>
      <c r="I300" s="1">
        <v>1380</v>
      </c>
      <c r="J300" s="1">
        <v>1</v>
      </c>
      <c r="K300" s="1">
        <f t="shared" si="16"/>
        <v>207</v>
      </c>
      <c r="L300" s="6">
        <v>695</v>
      </c>
      <c r="M300" s="6">
        <f t="shared" si="17"/>
        <v>695</v>
      </c>
      <c r="N300" s="6">
        <f t="shared" si="18"/>
        <v>478</v>
      </c>
      <c r="O300" s="8">
        <f t="shared" si="19"/>
        <v>0.34637681159420292</v>
      </c>
    </row>
    <row r="301" spans="1:15" ht="17" customHeight="1">
      <c r="A301" s="1" t="s">
        <v>1818</v>
      </c>
      <c r="C301" s="1" t="s">
        <v>1819</v>
      </c>
      <c r="D301" s="1" t="s">
        <v>1820</v>
      </c>
      <c r="G301" s="1">
        <v>1380</v>
      </c>
      <c r="H301" s="1">
        <v>1</v>
      </c>
      <c r="I301" s="1">
        <v>1380</v>
      </c>
      <c r="J301" s="1">
        <v>1</v>
      </c>
      <c r="K301" s="1">
        <f t="shared" si="16"/>
        <v>207</v>
      </c>
      <c r="L301" s="6">
        <v>438</v>
      </c>
      <c r="M301" s="6">
        <f t="shared" si="17"/>
        <v>438</v>
      </c>
      <c r="N301" s="6">
        <f t="shared" si="18"/>
        <v>735</v>
      </c>
      <c r="O301" s="8">
        <f t="shared" si="19"/>
        <v>0.53260869565217395</v>
      </c>
    </row>
    <row r="302" spans="1:15" ht="17" customHeight="1">
      <c r="A302" s="1" t="s">
        <v>2208</v>
      </c>
      <c r="B302" s="1" t="s">
        <v>2209</v>
      </c>
      <c r="C302" s="1" t="s">
        <v>2210</v>
      </c>
      <c r="D302" s="1" t="s">
        <v>2211</v>
      </c>
      <c r="E302" s="1" t="s">
        <v>2212</v>
      </c>
      <c r="G302" s="1">
        <v>1380</v>
      </c>
      <c r="H302" s="1">
        <v>1</v>
      </c>
      <c r="I302" s="1">
        <v>1380</v>
      </c>
      <c r="J302" s="1">
        <v>1</v>
      </c>
      <c r="K302" s="1">
        <f t="shared" si="16"/>
        <v>207</v>
      </c>
      <c r="L302" s="6">
        <v>461</v>
      </c>
      <c r="M302" s="6">
        <f t="shared" si="17"/>
        <v>461</v>
      </c>
      <c r="N302" s="6">
        <f t="shared" si="18"/>
        <v>712</v>
      </c>
      <c r="O302" s="8">
        <f t="shared" si="19"/>
        <v>0.51594202898550723</v>
      </c>
    </row>
    <row r="303" spans="1:15" ht="17" customHeight="1">
      <c r="A303" s="1" t="s">
        <v>2213</v>
      </c>
      <c r="C303" s="1" t="s">
        <v>2214</v>
      </c>
      <c r="D303" s="1" t="s">
        <v>2215</v>
      </c>
      <c r="G303" s="1">
        <v>1280</v>
      </c>
      <c r="H303" s="1">
        <v>1</v>
      </c>
      <c r="I303" s="1">
        <v>1280</v>
      </c>
      <c r="J303" s="1">
        <v>1</v>
      </c>
      <c r="K303" s="1">
        <f t="shared" si="16"/>
        <v>192</v>
      </c>
      <c r="L303" s="6">
        <v>798</v>
      </c>
      <c r="M303" s="6">
        <f t="shared" si="17"/>
        <v>798</v>
      </c>
      <c r="N303" s="6">
        <f t="shared" si="18"/>
        <v>290</v>
      </c>
      <c r="O303" s="8">
        <f t="shared" si="19"/>
        <v>0.2265625</v>
      </c>
    </row>
    <row r="304" spans="1:15" ht="17" customHeight="1">
      <c r="A304" s="1" t="s">
        <v>2216</v>
      </c>
      <c r="C304" s="1" t="s">
        <v>2217</v>
      </c>
      <c r="D304" s="1" t="s">
        <v>2218</v>
      </c>
      <c r="G304" s="1">
        <v>1280</v>
      </c>
      <c r="H304" s="1">
        <v>1</v>
      </c>
      <c r="I304" s="1">
        <v>1280</v>
      </c>
      <c r="J304" s="1">
        <v>1</v>
      </c>
      <c r="K304" s="1">
        <f t="shared" si="16"/>
        <v>192</v>
      </c>
      <c r="L304" s="6">
        <v>675</v>
      </c>
      <c r="M304" s="6">
        <f t="shared" si="17"/>
        <v>675</v>
      </c>
      <c r="N304" s="6">
        <f t="shared" si="18"/>
        <v>413</v>
      </c>
      <c r="O304" s="8">
        <f t="shared" si="19"/>
        <v>0.32265624999999998</v>
      </c>
    </row>
    <row r="305" spans="1:15" ht="17" customHeight="1">
      <c r="A305" s="1" t="s">
        <v>1634</v>
      </c>
      <c r="B305" s="1" t="s">
        <v>228</v>
      </c>
      <c r="C305" s="1" t="s">
        <v>229</v>
      </c>
      <c r="D305" s="1" t="s">
        <v>983</v>
      </c>
      <c r="E305" s="1" t="s">
        <v>231</v>
      </c>
      <c r="G305" s="1">
        <v>1280</v>
      </c>
      <c r="H305" s="1">
        <v>1</v>
      </c>
      <c r="I305" s="1">
        <v>1280</v>
      </c>
      <c r="J305" s="1">
        <v>1</v>
      </c>
      <c r="K305" s="1">
        <f t="shared" si="16"/>
        <v>192</v>
      </c>
      <c r="L305" s="6">
        <v>504</v>
      </c>
      <c r="M305" s="6">
        <f t="shared" si="17"/>
        <v>504</v>
      </c>
      <c r="N305" s="6">
        <f t="shared" si="18"/>
        <v>584</v>
      </c>
      <c r="O305" s="8">
        <f t="shared" si="19"/>
        <v>0.45624999999999999</v>
      </c>
    </row>
    <row r="306" spans="1:15" ht="17" customHeight="1">
      <c r="A306" s="1" t="s">
        <v>850</v>
      </c>
      <c r="C306" s="1" t="s">
        <v>851</v>
      </c>
      <c r="D306" s="1" t="s">
        <v>852</v>
      </c>
      <c r="G306" s="1">
        <v>1180</v>
      </c>
      <c r="H306" s="1">
        <v>1</v>
      </c>
      <c r="I306" s="1">
        <v>1180</v>
      </c>
      <c r="J306" s="1">
        <v>1</v>
      </c>
      <c r="K306" s="1">
        <f t="shared" si="16"/>
        <v>177</v>
      </c>
      <c r="L306" s="6">
        <v>294</v>
      </c>
      <c r="M306" s="6">
        <f t="shared" si="17"/>
        <v>294</v>
      </c>
      <c r="N306" s="6">
        <f t="shared" si="18"/>
        <v>709</v>
      </c>
      <c r="O306" s="8">
        <f t="shared" si="19"/>
        <v>0.60084745762711866</v>
      </c>
    </row>
    <row r="307" spans="1:15" ht="17" customHeight="1">
      <c r="A307" s="1" t="s">
        <v>2219</v>
      </c>
      <c r="C307" s="1" t="s">
        <v>2220</v>
      </c>
      <c r="D307" s="1" t="s">
        <v>2221</v>
      </c>
      <c r="G307" s="1">
        <v>1080</v>
      </c>
      <c r="H307" s="1">
        <v>1</v>
      </c>
      <c r="I307" s="1">
        <v>1080</v>
      </c>
      <c r="J307" s="1">
        <v>1</v>
      </c>
      <c r="K307" s="1">
        <f t="shared" si="16"/>
        <v>162</v>
      </c>
      <c r="L307" s="6">
        <v>241</v>
      </c>
      <c r="M307" s="6">
        <f t="shared" si="17"/>
        <v>241</v>
      </c>
      <c r="N307" s="6">
        <f t="shared" si="18"/>
        <v>677</v>
      </c>
      <c r="O307" s="8">
        <f t="shared" si="19"/>
        <v>0.62685185185185188</v>
      </c>
    </row>
    <row r="308" spans="1:15" ht="17" customHeight="1">
      <c r="A308" s="1" t="s">
        <v>2222</v>
      </c>
      <c r="C308" s="1" t="s">
        <v>2223</v>
      </c>
      <c r="D308" s="1" t="s">
        <v>2224</v>
      </c>
      <c r="G308" s="1">
        <v>698</v>
      </c>
      <c r="H308" s="1">
        <v>1</v>
      </c>
      <c r="I308" s="1">
        <v>698</v>
      </c>
      <c r="J308" s="1">
        <v>1</v>
      </c>
      <c r="K308" s="1">
        <f t="shared" si="16"/>
        <v>104.7</v>
      </c>
      <c r="L308" s="6">
        <v>588</v>
      </c>
      <c r="M308" s="6">
        <f t="shared" si="17"/>
        <v>588</v>
      </c>
      <c r="N308" s="6">
        <f t="shared" si="18"/>
        <v>5.2999999999999545</v>
      </c>
      <c r="O308" s="8">
        <f t="shared" si="19"/>
        <v>7.5931232091689897E-3</v>
      </c>
    </row>
    <row r="309" spans="1:15" ht="13" customHeight="1">
      <c r="H309" s="1">
        <f>SUM(H7:H308)</f>
        <v>774</v>
      </c>
      <c r="I309" s="1">
        <f>SUM(I7:I308)</f>
        <v>3204984</v>
      </c>
      <c r="J309" s="1">
        <f>SUM(J7:J308)</f>
        <v>655</v>
      </c>
      <c r="K309" s="1">
        <f>SUM(K7:K308)</f>
        <v>480747.6</v>
      </c>
      <c r="M309" s="1">
        <f>SUM(M7:M308)</f>
        <v>1744305</v>
      </c>
      <c r="N309" s="1">
        <f>SUM(N7:N308)</f>
        <v>979931.4</v>
      </c>
      <c r="O309" s="8">
        <f t="shared" si="19"/>
        <v>0.30575235320987565</v>
      </c>
    </row>
    <row r="310" spans="1:15" ht="13" customHeight="1"/>
    <row r="311" spans="1:15" ht="13" customHeight="1">
      <c r="M311" s="30" t="s">
        <v>861</v>
      </c>
      <c r="N311" s="31">
        <v>75246</v>
      </c>
      <c r="O311" s="32">
        <f>SUM(N311/I309)</f>
        <v>2.3477808313551642E-2</v>
      </c>
    </row>
    <row r="312" spans="1:15" ht="13" customHeight="1">
      <c r="M312" s="33" t="s">
        <v>862</v>
      </c>
      <c r="N312" s="28">
        <v>97415</v>
      </c>
      <c r="O312" s="34">
        <f>SUM(N312/I309)</f>
        <v>3.0394847524979843E-2</v>
      </c>
    </row>
    <row r="313" spans="1:15" ht="13" customHeight="1">
      <c r="M313" s="33" t="s">
        <v>863</v>
      </c>
      <c r="N313" s="28">
        <v>8850</v>
      </c>
      <c r="O313" s="34">
        <f>SUM(N313/I309)</f>
        <v>2.7613242375000937E-3</v>
      </c>
    </row>
    <row r="314" spans="1:15" ht="13" customHeight="1">
      <c r="M314" s="33" t="s">
        <v>864</v>
      </c>
      <c r="N314" s="28">
        <v>0</v>
      </c>
      <c r="O314" s="35"/>
    </row>
    <row r="315" spans="1:15" ht="13" customHeight="1">
      <c r="M315" s="33" t="s">
        <v>866</v>
      </c>
      <c r="N315" s="28">
        <f>SUM(N311:N314)</f>
        <v>181511</v>
      </c>
      <c r="O315" s="34">
        <f>SUM(N315/I309)</f>
        <v>5.6633980076031584E-2</v>
      </c>
    </row>
    <row r="316" spans="1:15" ht="13" customHeight="1">
      <c r="M316" s="33"/>
      <c r="N316" s="28"/>
      <c r="O316" s="34"/>
    </row>
    <row r="317" spans="1:15" ht="13" customHeight="1">
      <c r="M317" s="33" t="s">
        <v>867</v>
      </c>
      <c r="N317" s="28">
        <v>270667</v>
      </c>
      <c r="O317" s="34">
        <f>SUM(N317/I309)</f>
        <v>8.4451903660049468E-2</v>
      </c>
    </row>
    <row r="318" spans="1:15" ht="13" customHeight="1">
      <c r="M318" s="36" t="s">
        <v>868</v>
      </c>
      <c r="N318" s="1">
        <v>23232</v>
      </c>
      <c r="O318" s="34">
        <f>SUM(N318/I309)</f>
        <v>7.2487101339663478E-3</v>
      </c>
    </row>
    <row r="319" spans="1:15" ht="13" customHeight="1">
      <c r="M319" s="36" t="s">
        <v>866</v>
      </c>
      <c r="N319" s="1">
        <f>SUM(N317:N318)</f>
        <v>293899</v>
      </c>
      <c r="O319" s="34">
        <f>SUM(O317:O318)</f>
        <v>9.1700613794015812E-2</v>
      </c>
    </row>
    <row r="320" spans="1:15" ht="13" customHeight="1">
      <c r="M320" s="33"/>
      <c r="N320" s="28"/>
      <c r="O320" s="35"/>
    </row>
    <row r="321" spans="13:15" ht="13" customHeight="1">
      <c r="M321" s="33" t="s">
        <v>869</v>
      </c>
      <c r="N321" s="28">
        <f>IF(COUNTBLANK(N311:N314)+COUNTBLANK(N317:N318)&gt;0,"未確定",N309-N315-N319)</f>
        <v>504521.4</v>
      </c>
      <c r="O321" s="35"/>
    </row>
    <row r="322" spans="13:15" ht="13" customHeight="1">
      <c r="M322" s="37" t="s">
        <v>870</v>
      </c>
      <c r="N322" s="38">
        <f>IF(ISTEXT(N321),"未確定",IF(I309=0,"",N321/I309))</f>
        <v>0.15741775933982821</v>
      </c>
      <c r="O322" s="39"/>
    </row>
  </sheetData>
  <phoneticPr fontId="15"/>
  <conditionalFormatting sqref="O7:O308">
    <cfRule type="cellIs" dxfId="1" priority="1" operator="lessThan">
      <formula>"20%"</formula>
    </cfRule>
    <cfRule type="cellIs" dxfId="0" priority="2" operator="greaterThan">
      <formula>"30%"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322"/>
  <sheetViews>
    <sheetView topLeftCell="A278" workbookViewId="0">
      <selection activeCell="J312" sqref="J312"/>
    </sheetView>
  </sheetViews>
  <sheetFormatPr baseColWidth="10" defaultColWidth="12.6640625" defaultRowHeight="15.75" customHeight="1"/>
  <cols>
    <col min="1" max="1" width="29" customWidth="1"/>
    <col min="4" max="4" width="26.6640625" style="41" customWidth="1"/>
  </cols>
  <sheetData>
    <row r="1" spans="1:15" ht="15.75" customHeight="1">
      <c r="A1" s="1" t="s">
        <v>0</v>
      </c>
    </row>
    <row r="2" spans="1:15" ht="15.75" customHeight="1">
      <c r="A2" s="1" t="s">
        <v>1</v>
      </c>
    </row>
    <row r="3" spans="1:15" ht="15.75" customHeight="1">
      <c r="A3" s="1" t="s">
        <v>2</v>
      </c>
      <c r="B3" s="1" t="s">
        <v>2225</v>
      </c>
    </row>
    <row r="4" spans="1:15" ht="15.75" customHeight="1">
      <c r="A4" s="1" t="s">
        <v>4</v>
      </c>
      <c r="B4" s="1" t="s">
        <v>5</v>
      </c>
    </row>
    <row r="5" spans="1:15" ht="15.75" customHeight="1">
      <c r="A5" s="1" t="s">
        <v>6</v>
      </c>
      <c r="B5" s="1" t="s">
        <v>7</v>
      </c>
    </row>
    <row r="6" spans="1:15" ht="15.75" customHeight="1">
      <c r="A6" s="1" t="s">
        <v>8</v>
      </c>
    </row>
    <row r="7" spans="1:15" ht="15.75" customHeight="1">
      <c r="A7" s="1" t="s">
        <v>9</v>
      </c>
      <c r="B7" s="1" t="s">
        <v>10</v>
      </c>
      <c r="C7" s="1" t="s">
        <v>11</v>
      </c>
      <c r="D7" s="42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4" t="s">
        <v>19</v>
      </c>
      <c r="L7" s="7" t="s">
        <v>20</v>
      </c>
      <c r="M7" s="7" t="s">
        <v>21</v>
      </c>
      <c r="N7" s="7" t="s">
        <v>22</v>
      </c>
      <c r="O7" s="4" t="s">
        <v>23</v>
      </c>
    </row>
    <row r="8" spans="1:15" ht="15.75" customHeight="1">
      <c r="A8" s="1" t="s">
        <v>24</v>
      </c>
      <c r="C8" s="1" t="s">
        <v>25</v>
      </c>
      <c r="D8" s="42" t="s">
        <v>26</v>
      </c>
      <c r="E8" t="s">
        <v>25</v>
      </c>
      <c r="G8" s="1">
        <v>3139</v>
      </c>
      <c r="H8" s="1">
        <v>51</v>
      </c>
      <c r="I8" s="1">
        <v>160080</v>
      </c>
      <c r="J8" s="1">
        <v>42</v>
      </c>
      <c r="K8" s="1">
        <f t="shared" ref="K8:K71" si="0">SUM(I8*0.15)</f>
        <v>24012</v>
      </c>
      <c r="L8" s="6">
        <v>1300</v>
      </c>
      <c r="M8" s="6">
        <f t="shared" ref="M8:M71" si="1">SUM(H8*L8)</f>
        <v>66300</v>
      </c>
      <c r="N8" s="6">
        <f t="shared" ref="N8:N71" si="2">SUM(I8-K8-M8)</f>
        <v>69768</v>
      </c>
      <c r="O8" s="8">
        <f t="shared" ref="O8:O71" si="3">IF(I8=0,"",N8/I8)</f>
        <v>0.43583208395802098</v>
      </c>
    </row>
    <row r="9" spans="1:15" ht="15.75" customHeight="1">
      <c r="A9" s="1" t="s">
        <v>138</v>
      </c>
      <c r="C9" s="1" t="s">
        <v>139</v>
      </c>
      <c r="D9" s="42" t="s">
        <v>140</v>
      </c>
      <c r="E9" t="s">
        <v>141</v>
      </c>
      <c r="G9" s="1">
        <v>6219</v>
      </c>
      <c r="H9" s="1">
        <v>23</v>
      </c>
      <c r="I9" s="1">
        <v>143040</v>
      </c>
      <c r="J9" s="1">
        <v>16</v>
      </c>
      <c r="K9" s="1">
        <f t="shared" si="0"/>
        <v>21456</v>
      </c>
      <c r="L9" s="6">
        <v>2600</v>
      </c>
      <c r="M9" s="6">
        <f t="shared" si="1"/>
        <v>59800</v>
      </c>
      <c r="N9" s="6">
        <f t="shared" si="2"/>
        <v>61784</v>
      </c>
      <c r="O9" s="8">
        <f t="shared" si="3"/>
        <v>0.43193512304250559</v>
      </c>
    </row>
    <row r="10" spans="1:15" ht="15.75" customHeight="1">
      <c r="A10" s="1" t="s">
        <v>35</v>
      </c>
      <c r="C10" s="1" t="s">
        <v>36</v>
      </c>
      <c r="D10" s="42" t="s">
        <v>37</v>
      </c>
      <c r="E10" t="s">
        <v>38</v>
      </c>
      <c r="G10" s="1">
        <v>12047</v>
      </c>
      <c r="H10" s="1">
        <v>9</v>
      </c>
      <c r="I10" s="1">
        <v>108420</v>
      </c>
      <c r="J10" s="1">
        <v>5</v>
      </c>
      <c r="K10" s="1">
        <f t="shared" si="0"/>
        <v>16263</v>
      </c>
      <c r="L10" s="6">
        <v>5200</v>
      </c>
      <c r="M10" s="6">
        <f t="shared" si="1"/>
        <v>46800</v>
      </c>
      <c r="N10" s="6">
        <f t="shared" si="2"/>
        <v>45357</v>
      </c>
      <c r="O10" s="8">
        <f t="shared" si="3"/>
        <v>0.41834532374100719</v>
      </c>
    </row>
    <row r="11" spans="1:15" ht="15.75" customHeight="1">
      <c r="A11" s="1" t="s">
        <v>39</v>
      </c>
      <c r="C11" s="1" t="s">
        <v>40</v>
      </c>
      <c r="D11" s="42">
        <v>4902430898706</v>
      </c>
      <c r="E11" t="s">
        <v>40</v>
      </c>
      <c r="G11" s="1">
        <v>6318</v>
      </c>
      <c r="H11" s="1">
        <v>13</v>
      </c>
      <c r="I11" s="1">
        <v>82140</v>
      </c>
      <c r="J11" s="1">
        <v>12</v>
      </c>
      <c r="K11" s="1">
        <f t="shared" si="0"/>
        <v>12321</v>
      </c>
      <c r="L11" s="6">
        <v>4676</v>
      </c>
      <c r="M11" s="6">
        <f t="shared" si="1"/>
        <v>60788</v>
      </c>
      <c r="N11" s="6">
        <f t="shared" si="2"/>
        <v>9031</v>
      </c>
      <c r="O11" s="8">
        <f t="shared" si="3"/>
        <v>0.1099464329194059</v>
      </c>
    </row>
    <row r="12" spans="1:15" ht="15.75" customHeight="1">
      <c r="A12" s="1" t="s">
        <v>113</v>
      </c>
      <c r="C12" s="1" t="s">
        <v>114</v>
      </c>
      <c r="D12" s="42" t="s">
        <v>115</v>
      </c>
      <c r="E12" t="s">
        <v>114</v>
      </c>
      <c r="G12" s="1">
        <v>3547</v>
      </c>
      <c r="H12" s="1">
        <v>18</v>
      </c>
      <c r="I12" s="1">
        <v>63840</v>
      </c>
      <c r="J12" s="1">
        <v>14</v>
      </c>
      <c r="K12" s="1">
        <f t="shared" si="0"/>
        <v>9576</v>
      </c>
      <c r="L12" s="6">
        <v>1980</v>
      </c>
      <c r="M12" s="6">
        <f t="shared" si="1"/>
        <v>35640</v>
      </c>
      <c r="N12" s="6">
        <f t="shared" si="2"/>
        <v>18624</v>
      </c>
      <c r="O12" s="8">
        <f t="shared" si="3"/>
        <v>0.29172932330827067</v>
      </c>
    </row>
    <row r="13" spans="1:15" ht="15.75" customHeight="1">
      <c r="A13" s="1" t="s">
        <v>123</v>
      </c>
      <c r="B13" s="1"/>
      <c r="C13" s="1">
        <v>4550391012121</v>
      </c>
      <c r="D13" s="42" t="s">
        <v>124</v>
      </c>
      <c r="E13" s="1">
        <v>4550391012121</v>
      </c>
      <c r="G13" s="1">
        <v>5230</v>
      </c>
      <c r="H13" s="1">
        <v>12</v>
      </c>
      <c r="I13" s="1">
        <v>62760</v>
      </c>
      <c r="J13" s="1">
        <v>12</v>
      </c>
      <c r="K13" s="1">
        <f t="shared" si="0"/>
        <v>9414</v>
      </c>
      <c r="L13" s="6">
        <v>1020</v>
      </c>
      <c r="M13" s="6">
        <f t="shared" si="1"/>
        <v>12240</v>
      </c>
      <c r="N13" s="6">
        <f t="shared" si="2"/>
        <v>41106</v>
      </c>
      <c r="O13" s="8">
        <f t="shared" si="3"/>
        <v>0.65497131931166352</v>
      </c>
    </row>
    <row r="14" spans="1:15" ht="15.75" customHeight="1">
      <c r="A14" s="1" t="s">
        <v>931</v>
      </c>
      <c r="C14" s="1" t="s">
        <v>932</v>
      </c>
      <c r="D14" s="42" t="s">
        <v>2226</v>
      </c>
      <c r="E14" t="s">
        <v>2227</v>
      </c>
      <c r="G14" s="1">
        <v>28390</v>
      </c>
      <c r="H14" s="1">
        <v>2</v>
      </c>
      <c r="I14" s="1">
        <v>56780</v>
      </c>
      <c r="J14" s="1">
        <v>2</v>
      </c>
      <c r="K14" s="1">
        <f t="shared" si="0"/>
        <v>8517</v>
      </c>
      <c r="L14" s="6">
        <v>19800</v>
      </c>
      <c r="M14" s="6">
        <f t="shared" si="1"/>
        <v>39600</v>
      </c>
      <c r="N14" s="6">
        <f t="shared" si="2"/>
        <v>8663</v>
      </c>
      <c r="O14" s="8">
        <f t="shared" si="3"/>
        <v>0.15257132793237055</v>
      </c>
    </row>
    <row r="15" spans="1:15" ht="15.75" customHeight="1">
      <c r="A15" s="1" t="s">
        <v>96</v>
      </c>
      <c r="C15" s="1" t="s">
        <v>97</v>
      </c>
      <c r="D15" s="42" t="s">
        <v>98</v>
      </c>
      <c r="E15" t="s">
        <v>97</v>
      </c>
      <c r="G15" s="1">
        <v>25980</v>
      </c>
      <c r="H15" s="1">
        <v>2</v>
      </c>
      <c r="I15" s="1">
        <v>51960</v>
      </c>
      <c r="J15" s="1">
        <v>2</v>
      </c>
      <c r="K15" s="1">
        <f t="shared" si="0"/>
        <v>7794</v>
      </c>
      <c r="L15" s="6">
        <v>10524</v>
      </c>
      <c r="M15" s="6">
        <f t="shared" si="1"/>
        <v>21048</v>
      </c>
      <c r="N15" s="6">
        <f t="shared" si="2"/>
        <v>23118</v>
      </c>
      <c r="O15" s="8">
        <f t="shared" si="3"/>
        <v>0.44491916859122405</v>
      </c>
    </row>
    <row r="16" spans="1:15" ht="15.75" customHeight="1">
      <c r="A16" s="1" t="s">
        <v>2228</v>
      </c>
      <c r="C16" s="1" t="s">
        <v>2229</v>
      </c>
      <c r="D16" s="42">
        <v>36300</v>
      </c>
      <c r="E16" t="s">
        <v>2229</v>
      </c>
      <c r="G16" s="1">
        <v>47800</v>
      </c>
      <c r="H16" s="1">
        <v>1</v>
      </c>
      <c r="I16" s="1">
        <v>47800</v>
      </c>
      <c r="J16" s="1">
        <v>1</v>
      </c>
      <c r="K16" s="1">
        <f t="shared" si="0"/>
        <v>7170</v>
      </c>
      <c r="L16" s="6">
        <v>36300</v>
      </c>
      <c r="M16" s="6">
        <f t="shared" si="1"/>
        <v>36300</v>
      </c>
      <c r="N16" s="6">
        <f t="shared" si="2"/>
        <v>4330</v>
      </c>
      <c r="O16" s="8">
        <f t="shared" si="3"/>
        <v>9.0585774058577401E-2</v>
      </c>
    </row>
    <row r="17" spans="1:15" ht="15.75" customHeight="1">
      <c r="A17" s="1" t="s">
        <v>52</v>
      </c>
      <c r="B17" t="s">
        <v>212</v>
      </c>
      <c r="C17" s="1" t="s">
        <v>54</v>
      </c>
      <c r="D17" s="42" t="s">
        <v>55</v>
      </c>
      <c r="E17" t="s">
        <v>266</v>
      </c>
      <c r="G17" s="1">
        <v>9480</v>
      </c>
      <c r="H17" s="1">
        <v>5</v>
      </c>
      <c r="I17" s="1">
        <v>47400</v>
      </c>
      <c r="J17" s="1">
        <v>5</v>
      </c>
      <c r="K17" s="1">
        <f t="shared" si="0"/>
        <v>7110</v>
      </c>
      <c r="L17" s="6">
        <v>6390</v>
      </c>
      <c r="M17" s="6">
        <f t="shared" si="1"/>
        <v>31950</v>
      </c>
      <c r="N17" s="6">
        <f t="shared" si="2"/>
        <v>8340</v>
      </c>
      <c r="O17" s="8">
        <f t="shared" si="3"/>
        <v>0.17594936708860759</v>
      </c>
    </row>
    <row r="18" spans="1:15" ht="15.75" customHeight="1">
      <c r="A18" s="1" t="s">
        <v>147</v>
      </c>
      <c r="C18" s="1" t="s">
        <v>148</v>
      </c>
      <c r="D18" s="42" t="s">
        <v>149</v>
      </c>
      <c r="E18" t="s">
        <v>148</v>
      </c>
      <c r="G18" s="1">
        <v>1980</v>
      </c>
      <c r="H18" s="1">
        <v>23</v>
      </c>
      <c r="I18" s="1">
        <v>45540</v>
      </c>
      <c r="J18" s="1">
        <v>17</v>
      </c>
      <c r="K18" s="1">
        <f t="shared" si="0"/>
        <v>6831</v>
      </c>
      <c r="L18" s="6">
        <v>852</v>
      </c>
      <c r="M18" s="6">
        <f t="shared" si="1"/>
        <v>19596</v>
      </c>
      <c r="N18" s="6">
        <f t="shared" si="2"/>
        <v>19113</v>
      </c>
      <c r="O18" s="8">
        <f t="shared" si="3"/>
        <v>0.41969696969696968</v>
      </c>
    </row>
    <row r="19" spans="1:15" ht="15.75" customHeight="1">
      <c r="A19" s="1" t="s">
        <v>2003</v>
      </c>
      <c r="C19" s="1" t="s">
        <v>47</v>
      </c>
      <c r="D19" s="42" t="s">
        <v>48</v>
      </c>
      <c r="E19" t="s">
        <v>47</v>
      </c>
      <c r="G19" s="1">
        <v>3109</v>
      </c>
      <c r="H19" s="1">
        <v>14</v>
      </c>
      <c r="I19" s="1">
        <v>43520</v>
      </c>
      <c r="J19" s="1">
        <v>13</v>
      </c>
      <c r="K19" s="1">
        <f t="shared" si="0"/>
        <v>6528</v>
      </c>
      <c r="L19" s="6">
        <v>1659</v>
      </c>
      <c r="M19" s="6">
        <f t="shared" si="1"/>
        <v>23226</v>
      </c>
      <c r="N19" s="6">
        <f t="shared" si="2"/>
        <v>13766</v>
      </c>
      <c r="O19" s="8">
        <f t="shared" si="3"/>
        <v>0.31631433823529409</v>
      </c>
    </row>
    <row r="20" spans="1:15" ht="15.75" customHeight="1">
      <c r="A20" s="1" t="s">
        <v>150</v>
      </c>
      <c r="C20" s="1" t="s">
        <v>151</v>
      </c>
      <c r="D20" s="42" t="s">
        <v>152</v>
      </c>
      <c r="E20" t="s">
        <v>151</v>
      </c>
      <c r="G20" s="1">
        <v>3480</v>
      </c>
      <c r="H20" s="1">
        <v>12</v>
      </c>
      <c r="I20" s="1">
        <v>41760</v>
      </c>
      <c r="J20" s="1">
        <v>10</v>
      </c>
      <c r="K20" s="1">
        <f t="shared" si="0"/>
        <v>6264</v>
      </c>
      <c r="L20" s="6">
        <v>2230</v>
      </c>
      <c r="M20" s="6">
        <f t="shared" si="1"/>
        <v>26760</v>
      </c>
      <c r="N20" s="6">
        <f t="shared" si="2"/>
        <v>8736</v>
      </c>
      <c r="O20" s="8">
        <f t="shared" si="3"/>
        <v>0.20919540229885059</v>
      </c>
    </row>
    <row r="21" spans="1:15" ht="15.75" customHeight="1">
      <c r="A21" s="1" t="s">
        <v>93</v>
      </c>
      <c r="C21" s="1" t="s">
        <v>94</v>
      </c>
      <c r="D21" s="42" t="s">
        <v>95</v>
      </c>
      <c r="E21" t="s">
        <v>94</v>
      </c>
      <c r="G21" s="1">
        <v>13480</v>
      </c>
      <c r="H21" s="1">
        <v>3</v>
      </c>
      <c r="I21" s="1">
        <v>40440</v>
      </c>
      <c r="J21" s="1">
        <v>3</v>
      </c>
      <c r="K21" s="1">
        <f t="shared" si="0"/>
        <v>6066</v>
      </c>
      <c r="L21" s="6">
        <v>8980</v>
      </c>
      <c r="M21" s="6">
        <f t="shared" si="1"/>
        <v>26940</v>
      </c>
      <c r="N21" s="6">
        <f t="shared" si="2"/>
        <v>7434</v>
      </c>
      <c r="O21" s="8">
        <f t="shared" si="3"/>
        <v>0.1838278931750742</v>
      </c>
    </row>
    <row r="22" spans="1:15" ht="15.75" customHeight="1">
      <c r="A22" s="1" t="s">
        <v>2230</v>
      </c>
      <c r="C22" s="1" t="s">
        <v>2231</v>
      </c>
      <c r="D22" s="42" t="s">
        <v>2232</v>
      </c>
      <c r="E22" t="s">
        <v>2233</v>
      </c>
      <c r="G22" s="1">
        <v>39800</v>
      </c>
      <c r="H22" s="1">
        <v>1</v>
      </c>
      <c r="I22" s="1">
        <v>39800</v>
      </c>
      <c r="J22" s="1">
        <v>1</v>
      </c>
      <c r="K22" s="1">
        <f t="shared" si="0"/>
        <v>5970</v>
      </c>
      <c r="L22" s="6">
        <v>25800</v>
      </c>
      <c r="M22" s="6">
        <f t="shared" si="1"/>
        <v>25800</v>
      </c>
      <c r="N22" s="6">
        <f t="shared" si="2"/>
        <v>8030</v>
      </c>
      <c r="O22" s="8">
        <f t="shared" si="3"/>
        <v>0.20175879396984925</v>
      </c>
    </row>
    <row r="23" spans="1:15" ht="15.75" customHeight="1">
      <c r="A23" s="1" t="s">
        <v>2234</v>
      </c>
      <c r="C23" s="1" t="s">
        <v>2235</v>
      </c>
      <c r="D23" s="42" t="s">
        <v>2236</v>
      </c>
      <c r="E23" t="s">
        <v>2235</v>
      </c>
      <c r="G23" s="1">
        <v>17980</v>
      </c>
      <c r="H23" s="1">
        <v>2</v>
      </c>
      <c r="I23" s="1">
        <v>35960</v>
      </c>
      <c r="J23" s="1">
        <v>2</v>
      </c>
      <c r="K23" s="1">
        <f t="shared" si="0"/>
        <v>5394</v>
      </c>
      <c r="L23" s="6">
        <v>10990</v>
      </c>
      <c r="M23" s="6">
        <f t="shared" si="1"/>
        <v>21980</v>
      </c>
      <c r="N23" s="6">
        <f t="shared" si="2"/>
        <v>8586</v>
      </c>
      <c r="O23" s="8">
        <f t="shared" si="3"/>
        <v>0.23876529477196887</v>
      </c>
    </row>
    <row r="24" spans="1:15" ht="15.75" customHeight="1">
      <c r="A24" s="1" t="s">
        <v>106</v>
      </c>
      <c r="C24" s="1" t="s">
        <v>107</v>
      </c>
      <c r="D24" s="42" t="s">
        <v>108</v>
      </c>
      <c r="E24" t="s">
        <v>107</v>
      </c>
      <c r="G24" s="1">
        <v>11980</v>
      </c>
      <c r="H24" s="1">
        <v>3</v>
      </c>
      <c r="I24" s="1">
        <v>35940</v>
      </c>
      <c r="J24" s="1">
        <v>3</v>
      </c>
      <c r="K24" s="1">
        <f t="shared" si="0"/>
        <v>5391</v>
      </c>
      <c r="L24" s="6">
        <v>8480</v>
      </c>
      <c r="M24" s="6">
        <f t="shared" si="1"/>
        <v>25440</v>
      </c>
      <c r="N24" s="6">
        <f t="shared" si="2"/>
        <v>5109</v>
      </c>
      <c r="O24" s="8">
        <f t="shared" si="3"/>
        <v>0.14215358931552588</v>
      </c>
    </row>
    <row r="25" spans="1:15" ht="15.75" customHeight="1">
      <c r="A25" s="1" t="s">
        <v>1038</v>
      </c>
      <c r="B25" t="s">
        <v>212</v>
      </c>
      <c r="C25" s="1" t="s">
        <v>1039</v>
      </c>
      <c r="D25" s="42" t="s">
        <v>2011</v>
      </c>
      <c r="E25" t="s">
        <v>1042</v>
      </c>
      <c r="G25" s="1">
        <v>8980</v>
      </c>
      <c r="H25" s="1">
        <v>4</v>
      </c>
      <c r="I25" s="1">
        <v>35920</v>
      </c>
      <c r="J25" s="1">
        <v>1</v>
      </c>
      <c r="K25" s="1">
        <f t="shared" si="0"/>
        <v>5388</v>
      </c>
      <c r="L25" s="6">
        <v>5990</v>
      </c>
      <c r="M25" s="6">
        <f t="shared" si="1"/>
        <v>23960</v>
      </c>
      <c r="N25" s="6">
        <f t="shared" si="2"/>
        <v>6572</v>
      </c>
      <c r="O25" s="8">
        <f t="shared" si="3"/>
        <v>0.18296213808463252</v>
      </c>
    </row>
    <row r="26" spans="1:15" ht="15.75" customHeight="1">
      <c r="A26" s="1" t="s">
        <v>1972</v>
      </c>
      <c r="C26" s="1" t="s">
        <v>1052</v>
      </c>
      <c r="D26" s="42">
        <v>9524</v>
      </c>
      <c r="E26" t="s">
        <v>1052</v>
      </c>
      <c r="G26" s="1">
        <v>2980</v>
      </c>
      <c r="H26" s="1">
        <v>12</v>
      </c>
      <c r="I26" s="1">
        <v>35760</v>
      </c>
      <c r="J26" s="1">
        <v>12</v>
      </c>
      <c r="K26" s="1">
        <f t="shared" si="0"/>
        <v>5364</v>
      </c>
      <c r="L26" s="6">
        <v>9524</v>
      </c>
      <c r="M26" s="6">
        <f t="shared" si="1"/>
        <v>114288</v>
      </c>
      <c r="N26" s="6">
        <f t="shared" si="2"/>
        <v>-83892</v>
      </c>
      <c r="O26" s="8">
        <f t="shared" si="3"/>
        <v>-2.345973154362416</v>
      </c>
    </row>
    <row r="27" spans="1:15" ht="15.75" customHeight="1">
      <c r="A27" s="1" t="s">
        <v>892</v>
      </c>
      <c r="C27" s="1" t="s">
        <v>893</v>
      </c>
      <c r="D27" s="42" t="s">
        <v>2237</v>
      </c>
      <c r="E27" t="s">
        <v>893</v>
      </c>
      <c r="G27" s="1">
        <v>34800</v>
      </c>
      <c r="H27" s="1">
        <v>1</v>
      </c>
      <c r="I27" s="1">
        <v>34800</v>
      </c>
      <c r="J27" s="1">
        <v>1</v>
      </c>
      <c r="K27" s="1">
        <f t="shared" si="0"/>
        <v>5220</v>
      </c>
      <c r="L27" s="6">
        <v>23979</v>
      </c>
      <c r="M27" s="6">
        <f t="shared" si="1"/>
        <v>23979</v>
      </c>
      <c r="N27" s="6">
        <f t="shared" si="2"/>
        <v>5601</v>
      </c>
      <c r="O27" s="8">
        <f t="shared" si="3"/>
        <v>0.16094827586206897</v>
      </c>
    </row>
    <row r="28" spans="1:15" ht="15.75" customHeight="1">
      <c r="A28" s="1" t="s">
        <v>135</v>
      </c>
      <c r="C28" s="1" t="s">
        <v>136</v>
      </c>
      <c r="D28" s="42" t="s">
        <v>137</v>
      </c>
      <c r="E28" t="s">
        <v>136</v>
      </c>
      <c r="G28" s="1">
        <v>2640</v>
      </c>
      <c r="H28" s="1">
        <v>13</v>
      </c>
      <c r="I28" s="1">
        <v>34320</v>
      </c>
      <c r="J28" s="1">
        <v>14</v>
      </c>
      <c r="K28" s="1">
        <f t="shared" si="0"/>
        <v>5148</v>
      </c>
      <c r="L28" s="6">
        <v>1576</v>
      </c>
      <c r="M28" s="6">
        <f t="shared" si="1"/>
        <v>20488</v>
      </c>
      <c r="N28" s="6">
        <f t="shared" si="2"/>
        <v>8684</v>
      </c>
      <c r="O28" s="8">
        <f t="shared" si="3"/>
        <v>0.25303030303030305</v>
      </c>
    </row>
    <row r="29" spans="1:15" ht="15.75" customHeight="1">
      <c r="A29" s="1" t="s">
        <v>2238</v>
      </c>
      <c r="B29" t="s">
        <v>212</v>
      </c>
      <c r="C29" s="1" t="s">
        <v>2239</v>
      </c>
      <c r="D29" s="42" t="s">
        <v>2240</v>
      </c>
      <c r="E29" t="s">
        <v>2241</v>
      </c>
      <c r="G29" s="1">
        <v>16500</v>
      </c>
      <c r="H29" s="1">
        <v>2</v>
      </c>
      <c r="I29" s="1">
        <v>33000</v>
      </c>
      <c r="J29" s="1">
        <v>2</v>
      </c>
      <c r="K29" s="1">
        <f t="shared" si="0"/>
        <v>4950</v>
      </c>
      <c r="L29" s="6">
        <v>7500</v>
      </c>
      <c r="M29" s="6">
        <f t="shared" si="1"/>
        <v>15000</v>
      </c>
      <c r="N29" s="6">
        <f t="shared" si="2"/>
        <v>13050</v>
      </c>
      <c r="O29" s="8">
        <f t="shared" si="3"/>
        <v>0.39545454545454545</v>
      </c>
    </row>
    <row r="30" spans="1:15" ht="15.75" customHeight="1">
      <c r="A30" s="1" t="s">
        <v>27</v>
      </c>
      <c r="B30" s="1"/>
      <c r="C30" s="1" t="s">
        <v>28</v>
      </c>
      <c r="D30" s="42" t="s">
        <v>29</v>
      </c>
      <c r="E30" s="1" t="s">
        <v>30</v>
      </c>
      <c r="G30" s="1">
        <v>10980</v>
      </c>
      <c r="H30" s="1">
        <v>3</v>
      </c>
      <c r="I30" s="1">
        <v>32940</v>
      </c>
      <c r="J30" s="1">
        <v>3</v>
      </c>
      <c r="K30" s="1">
        <f t="shared" si="0"/>
        <v>4941</v>
      </c>
      <c r="L30" s="6">
        <v>8480</v>
      </c>
      <c r="M30" s="6">
        <f t="shared" si="1"/>
        <v>25440</v>
      </c>
      <c r="N30" s="6">
        <f t="shared" si="2"/>
        <v>2559</v>
      </c>
      <c r="O30" s="8">
        <f t="shared" si="3"/>
        <v>7.7686703096539161E-2</v>
      </c>
    </row>
    <row r="31" spans="1:15" ht="15.75" customHeight="1">
      <c r="A31" s="1" t="s">
        <v>2242</v>
      </c>
      <c r="C31" s="1" t="s">
        <v>2243</v>
      </c>
      <c r="D31" s="42">
        <v>840414639447</v>
      </c>
      <c r="E31" t="s">
        <v>2243</v>
      </c>
      <c r="G31" s="1">
        <v>5480</v>
      </c>
      <c r="H31" s="1">
        <v>6</v>
      </c>
      <c r="I31" s="1">
        <v>32880</v>
      </c>
      <c r="J31" s="1">
        <v>6</v>
      </c>
      <c r="K31" s="1">
        <f t="shared" si="0"/>
        <v>4932</v>
      </c>
      <c r="L31" s="6">
        <v>3780</v>
      </c>
      <c r="M31" s="6">
        <f t="shared" si="1"/>
        <v>22680</v>
      </c>
      <c r="N31" s="6">
        <f t="shared" si="2"/>
        <v>5268</v>
      </c>
      <c r="O31" s="8">
        <f t="shared" si="3"/>
        <v>0.16021897810218977</v>
      </c>
    </row>
    <row r="32" spans="1:15" ht="15.75" customHeight="1">
      <c r="A32" s="1" t="s">
        <v>78</v>
      </c>
      <c r="C32" s="1" t="s">
        <v>79</v>
      </c>
      <c r="D32" s="42" t="s">
        <v>80</v>
      </c>
      <c r="E32" t="s">
        <v>79</v>
      </c>
      <c r="G32" s="1">
        <v>5280</v>
      </c>
      <c r="H32" s="1">
        <v>6</v>
      </c>
      <c r="I32" s="1">
        <v>31680</v>
      </c>
      <c r="J32" s="1">
        <v>6</v>
      </c>
      <c r="K32" s="1">
        <f t="shared" si="0"/>
        <v>4752</v>
      </c>
      <c r="L32" s="6">
        <v>3771</v>
      </c>
      <c r="M32" s="6">
        <f t="shared" si="1"/>
        <v>22626</v>
      </c>
      <c r="N32" s="6">
        <f t="shared" si="2"/>
        <v>4302</v>
      </c>
      <c r="O32" s="8">
        <f t="shared" si="3"/>
        <v>0.13579545454545455</v>
      </c>
    </row>
    <row r="33" spans="1:15" ht="15.75" customHeight="1">
      <c r="A33" s="1" t="s">
        <v>920</v>
      </c>
      <c r="C33" s="1" t="s">
        <v>921</v>
      </c>
      <c r="D33" s="42" t="s">
        <v>2244</v>
      </c>
      <c r="E33" t="s">
        <v>921</v>
      </c>
      <c r="G33" s="1">
        <v>30980</v>
      </c>
      <c r="H33" s="1">
        <v>1</v>
      </c>
      <c r="I33" s="1">
        <v>30980</v>
      </c>
      <c r="J33" s="1">
        <v>1</v>
      </c>
      <c r="K33" s="1">
        <f t="shared" si="0"/>
        <v>4647</v>
      </c>
      <c r="L33" s="6">
        <v>22800</v>
      </c>
      <c r="M33" s="6">
        <f t="shared" si="1"/>
        <v>22800</v>
      </c>
      <c r="N33" s="6">
        <f t="shared" si="2"/>
        <v>3533</v>
      </c>
      <c r="O33" s="8">
        <f t="shared" si="3"/>
        <v>0.11404131697869593</v>
      </c>
    </row>
    <row r="34" spans="1:15" ht="15.75" customHeight="1">
      <c r="A34" s="1" t="s">
        <v>71</v>
      </c>
      <c r="C34" s="1">
        <v>4550391042821</v>
      </c>
      <c r="D34" s="42" t="s">
        <v>72</v>
      </c>
      <c r="E34">
        <v>4550391042821</v>
      </c>
      <c r="G34" s="1">
        <v>5147</v>
      </c>
      <c r="H34" s="1">
        <v>6</v>
      </c>
      <c r="I34" s="1">
        <v>30880</v>
      </c>
      <c r="J34" s="1">
        <v>6</v>
      </c>
      <c r="K34" s="1">
        <f t="shared" si="0"/>
        <v>4632</v>
      </c>
      <c r="L34" s="6">
        <v>1160</v>
      </c>
      <c r="M34" s="6">
        <f t="shared" si="1"/>
        <v>6960</v>
      </c>
      <c r="N34" s="6">
        <f t="shared" si="2"/>
        <v>19288</v>
      </c>
      <c r="O34" s="8">
        <f t="shared" si="3"/>
        <v>0.62461139896373052</v>
      </c>
    </row>
    <row r="35" spans="1:15" ht="15.75" customHeight="1">
      <c r="A35" s="1" t="s">
        <v>412</v>
      </c>
      <c r="B35" s="1"/>
      <c r="C35" s="1" t="s">
        <v>413</v>
      </c>
      <c r="D35" s="42" t="s">
        <v>414</v>
      </c>
      <c r="E35" s="1" t="s">
        <v>415</v>
      </c>
      <c r="G35" s="1">
        <v>2780</v>
      </c>
      <c r="H35" s="1">
        <v>11</v>
      </c>
      <c r="I35" s="1">
        <v>30580</v>
      </c>
      <c r="J35" s="1">
        <v>2</v>
      </c>
      <c r="K35" s="1">
        <f t="shared" si="0"/>
        <v>4587</v>
      </c>
      <c r="L35" s="6">
        <v>1300</v>
      </c>
      <c r="M35" s="6">
        <f t="shared" si="1"/>
        <v>14300</v>
      </c>
      <c r="N35" s="6">
        <f t="shared" si="2"/>
        <v>11693</v>
      </c>
      <c r="O35" s="8">
        <f t="shared" si="3"/>
        <v>0.38237410071942446</v>
      </c>
    </row>
    <row r="36" spans="1:15" ht="15.75" customHeight="1">
      <c r="A36" s="1" t="s">
        <v>1555</v>
      </c>
      <c r="B36" s="1"/>
      <c r="C36" s="1" t="s">
        <v>1556</v>
      </c>
      <c r="D36" s="42">
        <v>2486</v>
      </c>
      <c r="E36" s="1" t="s">
        <v>1556</v>
      </c>
      <c r="G36" s="1">
        <v>5980</v>
      </c>
      <c r="H36" s="1">
        <v>5</v>
      </c>
      <c r="I36" s="1">
        <v>29900</v>
      </c>
      <c r="J36" s="1">
        <v>2</v>
      </c>
      <c r="K36" s="1">
        <f t="shared" si="0"/>
        <v>4485</v>
      </c>
      <c r="L36" s="6">
        <v>2486</v>
      </c>
      <c r="M36" s="6">
        <f t="shared" si="1"/>
        <v>12430</v>
      </c>
      <c r="N36" s="6">
        <f t="shared" si="2"/>
        <v>12985</v>
      </c>
      <c r="O36" s="8">
        <f t="shared" si="3"/>
        <v>0.4342809364548495</v>
      </c>
    </row>
    <row r="37" spans="1:15" ht="15.75" customHeight="1">
      <c r="A37" s="1" t="s">
        <v>201</v>
      </c>
      <c r="B37" s="1"/>
      <c r="C37" s="1" t="s">
        <v>202</v>
      </c>
      <c r="D37" s="42" t="s">
        <v>203</v>
      </c>
      <c r="E37" s="1" t="s">
        <v>202</v>
      </c>
      <c r="G37" s="1">
        <v>2980</v>
      </c>
      <c r="H37" s="1">
        <v>10</v>
      </c>
      <c r="I37" s="1">
        <v>29800</v>
      </c>
      <c r="J37" s="1">
        <v>8</v>
      </c>
      <c r="K37" s="1">
        <f t="shared" si="0"/>
        <v>4470</v>
      </c>
      <c r="L37" s="6">
        <v>1239</v>
      </c>
      <c r="M37" s="6">
        <f t="shared" si="1"/>
        <v>12390</v>
      </c>
      <c r="N37" s="6">
        <f t="shared" si="2"/>
        <v>12940</v>
      </c>
      <c r="O37" s="8">
        <f t="shared" si="3"/>
        <v>0.4342281879194631</v>
      </c>
    </row>
    <row r="38" spans="1:15" ht="15.75" customHeight="1">
      <c r="A38" s="1" t="s">
        <v>166</v>
      </c>
      <c r="B38" s="1"/>
      <c r="C38" s="1" t="s">
        <v>167</v>
      </c>
      <c r="D38" s="42" t="s">
        <v>168</v>
      </c>
      <c r="E38" s="1" t="s">
        <v>167</v>
      </c>
      <c r="G38" s="1">
        <v>2480</v>
      </c>
      <c r="H38" s="1">
        <v>12</v>
      </c>
      <c r="I38" s="1">
        <v>29760</v>
      </c>
      <c r="J38" s="1">
        <v>9</v>
      </c>
      <c r="K38" s="1">
        <f t="shared" si="0"/>
        <v>4464</v>
      </c>
      <c r="L38" s="6">
        <v>1210</v>
      </c>
      <c r="M38" s="6">
        <f t="shared" si="1"/>
        <v>14520</v>
      </c>
      <c r="N38" s="6">
        <f t="shared" si="2"/>
        <v>10776</v>
      </c>
      <c r="O38" s="8">
        <f t="shared" si="3"/>
        <v>0.36209677419354841</v>
      </c>
    </row>
    <row r="39" spans="1:15" ht="15.75" customHeight="1">
      <c r="A39" s="1" t="s">
        <v>1188</v>
      </c>
      <c r="C39" s="1">
        <v>3264680024993</v>
      </c>
      <c r="D39" s="42" t="s">
        <v>1189</v>
      </c>
      <c r="E39">
        <v>3264680024993</v>
      </c>
      <c r="G39" s="1">
        <v>4180</v>
      </c>
      <c r="H39" s="1">
        <v>7</v>
      </c>
      <c r="I39" s="1">
        <v>29260</v>
      </c>
      <c r="J39" s="1">
        <v>1</v>
      </c>
      <c r="K39" s="1">
        <f t="shared" si="0"/>
        <v>4389</v>
      </c>
      <c r="L39" s="6">
        <v>2893</v>
      </c>
      <c r="M39" s="6">
        <f t="shared" si="1"/>
        <v>20251</v>
      </c>
      <c r="N39" s="6">
        <f t="shared" si="2"/>
        <v>4620</v>
      </c>
      <c r="O39" s="8">
        <f t="shared" si="3"/>
        <v>0.15789473684210525</v>
      </c>
    </row>
    <row r="40" spans="1:15" ht="15.75" customHeight="1">
      <c r="A40" s="1" t="s">
        <v>296</v>
      </c>
      <c r="C40" s="1" t="s">
        <v>297</v>
      </c>
      <c r="D40" s="42" t="s">
        <v>298</v>
      </c>
      <c r="E40" t="s">
        <v>297</v>
      </c>
      <c r="G40" s="1">
        <v>2850</v>
      </c>
      <c r="H40" s="1">
        <v>10</v>
      </c>
      <c r="I40" s="1">
        <v>28500</v>
      </c>
      <c r="J40" s="1">
        <v>10</v>
      </c>
      <c r="K40" s="1">
        <f t="shared" si="0"/>
        <v>4275</v>
      </c>
      <c r="L40" s="6">
        <v>1270</v>
      </c>
      <c r="M40" s="6">
        <f t="shared" si="1"/>
        <v>12700</v>
      </c>
      <c r="N40" s="6">
        <f t="shared" si="2"/>
        <v>11525</v>
      </c>
      <c r="O40" s="8">
        <f t="shared" si="3"/>
        <v>0.40438596491228068</v>
      </c>
    </row>
    <row r="41" spans="1:15" ht="15.75" customHeight="1">
      <c r="A41" s="1" t="s">
        <v>52</v>
      </c>
      <c r="B41" s="1" t="s">
        <v>133</v>
      </c>
      <c r="C41" s="1" t="s">
        <v>54</v>
      </c>
      <c r="D41" s="42" t="s">
        <v>55</v>
      </c>
      <c r="E41" s="1" t="s">
        <v>134</v>
      </c>
      <c r="G41" s="1">
        <v>9480</v>
      </c>
      <c r="H41" s="1">
        <v>3</v>
      </c>
      <c r="I41" s="1">
        <v>28440</v>
      </c>
      <c r="J41" s="1">
        <v>3</v>
      </c>
      <c r="K41" s="1">
        <f t="shared" si="0"/>
        <v>4266</v>
      </c>
      <c r="L41" s="6">
        <v>6390</v>
      </c>
      <c r="M41" s="6">
        <f t="shared" si="1"/>
        <v>19170</v>
      </c>
      <c r="N41" s="6">
        <f t="shared" si="2"/>
        <v>5004</v>
      </c>
      <c r="O41" s="8">
        <f t="shared" si="3"/>
        <v>0.17594936708860759</v>
      </c>
    </row>
    <row r="42" spans="1:15" ht="15.75" customHeight="1">
      <c r="A42" s="1" t="s">
        <v>422</v>
      </c>
      <c r="B42" s="1" t="s">
        <v>233</v>
      </c>
      <c r="C42" s="1" t="s">
        <v>423</v>
      </c>
      <c r="D42" s="42" t="s">
        <v>424</v>
      </c>
      <c r="E42" s="1" t="s">
        <v>425</v>
      </c>
      <c r="G42" s="1">
        <v>5400</v>
      </c>
      <c r="H42" s="1">
        <v>5</v>
      </c>
      <c r="I42" s="1">
        <v>27000</v>
      </c>
      <c r="J42" s="1">
        <v>5</v>
      </c>
      <c r="K42" s="1">
        <f t="shared" si="0"/>
        <v>4050</v>
      </c>
      <c r="L42" s="6">
        <v>2980</v>
      </c>
      <c r="M42" s="6">
        <f t="shared" si="1"/>
        <v>14900</v>
      </c>
      <c r="N42" s="6">
        <f t="shared" si="2"/>
        <v>8050</v>
      </c>
      <c r="O42" s="8">
        <f t="shared" si="3"/>
        <v>0.29814814814814816</v>
      </c>
    </row>
    <row r="43" spans="1:15" ht="15.75" customHeight="1">
      <c r="A43" s="1" t="s">
        <v>2245</v>
      </c>
      <c r="C43" s="1" t="s">
        <v>1991</v>
      </c>
      <c r="D43" s="42" t="s">
        <v>2246</v>
      </c>
      <c r="E43" t="s">
        <v>1991</v>
      </c>
      <c r="G43" s="1">
        <v>2836</v>
      </c>
      <c r="H43" s="1">
        <v>9</v>
      </c>
      <c r="I43" s="1">
        <v>25520</v>
      </c>
      <c r="J43" s="1">
        <v>8</v>
      </c>
      <c r="K43" s="1">
        <f t="shared" si="0"/>
        <v>3828</v>
      </c>
      <c r="L43" s="6">
        <v>1275</v>
      </c>
      <c r="M43" s="6">
        <f t="shared" si="1"/>
        <v>11475</v>
      </c>
      <c r="N43" s="6">
        <f t="shared" si="2"/>
        <v>10217</v>
      </c>
      <c r="O43" s="8">
        <f t="shared" si="3"/>
        <v>0.40035266457680252</v>
      </c>
    </row>
    <row r="44" spans="1:15" ht="15.75" customHeight="1">
      <c r="A44" s="1" t="s">
        <v>1955</v>
      </c>
      <c r="C44" s="1" t="s">
        <v>1956</v>
      </c>
      <c r="D44" s="42" t="s">
        <v>2247</v>
      </c>
      <c r="E44" t="s">
        <v>1956</v>
      </c>
      <c r="G44" s="1">
        <v>23800</v>
      </c>
      <c r="H44" s="1">
        <v>1</v>
      </c>
      <c r="I44" s="1">
        <v>23800</v>
      </c>
      <c r="J44" s="1">
        <v>1</v>
      </c>
      <c r="K44" s="1">
        <f t="shared" si="0"/>
        <v>3570</v>
      </c>
      <c r="L44" s="6">
        <v>13980</v>
      </c>
      <c r="M44" s="6">
        <f t="shared" si="1"/>
        <v>13980</v>
      </c>
      <c r="N44" s="6">
        <f t="shared" si="2"/>
        <v>6250</v>
      </c>
      <c r="O44" s="8">
        <f t="shared" si="3"/>
        <v>0.26260504201680673</v>
      </c>
    </row>
    <row r="45" spans="1:15" ht="15.75" customHeight="1">
      <c r="A45" s="1" t="s">
        <v>416</v>
      </c>
      <c r="C45" s="1" t="s">
        <v>417</v>
      </c>
      <c r="D45" s="42" t="s">
        <v>418</v>
      </c>
      <c r="E45" t="s">
        <v>417</v>
      </c>
      <c r="G45" s="1">
        <v>2780</v>
      </c>
      <c r="H45" s="1">
        <v>8</v>
      </c>
      <c r="I45" s="1">
        <v>22240</v>
      </c>
      <c r="J45" s="1">
        <v>8</v>
      </c>
      <c r="K45" s="1">
        <f t="shared" si="0"/>
        <v>3336</v>
      </c>
      <c r="L45" s="6">
        <v>1494</v>
      </c>
      <c r="M45" s="6">
        <f t="shared" si="1"/>
        <v>11952</v>
      </c>
      <c r="N45" s="6">
        <f t="shared" si="2"/>
        <v>6952</v>
      </c>
      <c r="O45" s="8">
        <f t="shared" si="3"/>
        <v>0.31258992805755398</v>
      </c>
    </row>
    <row r="46" spans="1:15" ht="15.75" customHeight="1">
      <c r="A46" s="1" t="s">
        <v>177</v>
      </c>
      <c r="C46" s="1" t="s">
        <v>178</v>
      </c>
      <c r="D46" s="42" t="s">
        <v>179</v>
      </c>
      <c r="E46" t="s">
        <v>178</v>
      </c>
      <c r="G46" s="1">
        <v>4280</v>
      </c>
      <c r="H46" s="1">
        <v>5</v>
      </c>
      <c r="I46" s="1">
        <v>21400</v>
      </c>
      <c r="J46" s="1">
        <v>5</v>
      </c>
      <c r="K46" s="1">
        <f t="shared" si="0"/>
        <v>3210</v>
      </c>
      <c r="L46" s="6">
        <v>2081</v>
      </c>
      <c r="M46" s="6">
        <f t="shared" si="1"/>
        <v>10405</v>
      </c>
      <c r="N46" s="6">
        <f t="shared" si="2"/>
        <v>7785</v>
      </c>
      <c r="O46" s="8">
        <f t="shared" si="3"/>
        <v>0.36378504672897194</v>
      </c>
    </row>
    <row r="47" spans="1:15" ht="15.75" customHeight="1">
      <c r="A47" s="1" t="s">
        <v>293</v>
      </c>
      <c r="C47" s="1" t="s">
        <v>294</v>
      </c>
      <c r="D47" s="42" t="s">
        <v>295</v>
      </c>
      <c r="E47" t="s">
        <v>294</v>
      </c>
      <c r="G47" s="1">
        <v>2980</v>
      </c>
      <c r="H47" s="1">
        <v>7</v>
      </c>
      <c r="I47" s="1">
        <v>20860</v>
      </c>
      <c r="J47" s="1">
        <v>5</v>
      </c>
      <c r="K47" s="1">
        <f t="shared" si="0"/>
        <v>3129</v>
      </c>
      <c r="L47" s="6">
        <v>1316</v>
      </c>
      <c r="M47" s="6">
        <f t="shared" si="1"/>
        <v>9212</v>
      </c>
      <c r="N47" s="6">
        <f t="shared" si="2"/>
        <v>8519</v>
      </c>
      <c r="O47" s="8">
        <f t="shared" si="3"/>
        <v>0.40838926174496643</v>
      </c>
    </row>
    <row r="48" spans="1:15" ht="15.75" customHeight="1">
      <c r="A48" s="1" t="s">
        <v>1549</v>
      </c>
      <c r="C48" s="1" t="s">
        <v>1550</v>
      </c>
      <c r="D48" s="42" t="s">
        <v>1551</v>
      </c>
      <c r="E48" t="s">
        <v>1550</v>
      </c>
      <c r="G48" s="1">
        <v>19800</v>
      </c>
      <c r="H48" s="1">
        <v>1</v>
      </c>
      <c r="I48" s="1">
        <v>19800</v>
      </c>
      <c r="J48" s="1">
        <v>1</v>
      </c>
      <c r="K48" s="1">
        <f t="shared" si="0"/>
        <v>2970</v>
      </c>
      <c r="L48" s="6">
        <v>9980</v>
      </c>
      <c r="M48" s="6">
        <f t="shared" si="1"/>
        <v>9980</v>
      </c>
      <c r="N48" s="6">
        <f t="shared" si="2"/>
        <v>6850</v>
      </c>
      <c r="O48" s="8">
        <f t="shared" si="3"/>
        <v>0.34595959595959597</v>
      </c>
    </row>
    <row r="49" spans="1:15" ht="15.75" customHeight="1">
      <c r="A49" s="1" t="s">
        <v>128</v>
      </c>
      <c r="B49" t="s">
        <v>1962</v>
      </c>
      <c r="C49" s="1" t="s">
        <v>130</v>
      </c>
      <c r="D49" s="42" t="s">
        <v>131</v>
      </c>
      <c r="E49" t="s">
        <v>1963</v>
      </c>
      <c r="G49" s="1">
        <v>19800</v>
      </c>
      <c r="H49" s="1">
        <v>1</v>
      </c>
      <c r="I49" s="1">
        <v>19800</v>
      </c>
      <c r="J49" s="1">
        <v>1</v>
      </c>
      <c r="K49" s="1">
        <f t="shared" si="0"/>
        <v>2970</v>
      </c>
      <c r="L49" s="6">
        <v>13990</v>
      </c>
      <c r="M49" s="6">
        <f t="shared" si="1"/>
        <v>13990</v>
      </c>
      <c r="N49" s="6">
        <f t="shared" si="2"/>
        <v>2840</v>
      </c>
      <c r="O49" s="8">
        <f t="shared" si="3"/>
        <v>0.14343434343434344</v>
      </c>
    </row>
    <row r="50" spans="1:15" ht="15.75" customHeight="1">
      <c r="A50" s="1" t="s">
        <v>128</v>
      </c>
      <c r="B50" t="s">
        <v>129</v>
      </c>
      <c r="C50" s="1" t="s">
        <v>130</v>
      </c>
      <c r="D50" s="42" t="s">
        <v>131</v>
      </c>
      <c r="E50" t="s">
        <v>132</v>
      </c>
      <c r="G50" s="1">
        <v>19800</v>
      </c>
      <c r="H50" s="1">
        <v>1</v>
      </c>
      <c r="I50" s="1">
        <v>19800</v>
      </c>
      <c r="J50" s="1">
        <v>1</v>
      </c>
      <c r="K50" s="1">
        <f t="shared" si="0"/>
        <v>2970</v>
      </c>
      <c r="L50" s="6">
        <v>13990</v>
      </c>
      <c r="M50" s="6">
        <f t="shared" si="1"/>
        <v>13990</v>
      </c>
      <c r="N50" s="6">
        <f t="shared" si="2"/>
        <v>2840</v>
      </c>
      <c r="O50" s="8">
        <f t="shared" si="3"/>
        <v>0.14343434343434344</v>
      </c>
    </row>
    <row r="51" spans="1:15" ht="15.75" customHeight="1">
      <c r="A51" s="1" t="s">
        <v>102</v>
      </c>
      <c r="C51" s="1" t="s">
        <v>103</v>
      </c>
      <c r="D51" s="42" t="s">
        <v>104</v>
      </c>
      <c r="E51" t="s">
        <v>105</v>
      </c>
      <c r="G51" s="1">
        <v>999</v>
      </c>
      <c r="H51" s="1">
        <v>19</v>
      </c>
      <c r="I51" s="1">
        <v>18981</v>
      </c>
      <c r="J51" s="1">
        <v>9</v>
      </c>
      <c r="K51" s="1">
        <f t="shared" si="0"/>
        <v>2847.15</v>
      </c>
      <c r="L51" s="6">
        <v>396</v>
      </c>
      <c r="M51" s="6">
        <f t="shared" si="1"/>
        <v>7524</v>
      </c>
      <c r="N51" s="6">
        <f t="shared" si="2"/>
        <v>8609.85</v>
      </c>
      <c r="O51" s="8">
        <f t="shared" si="3"/>
        <v>0.45360360360360363</v>
      </c>
    </row>
    <row r="52" spans="1:15" ht="15.75" customHeight="1">
      <c r="A52" s="1" t="s">
        <v>270</v>
      </c>
      <c r="C52" s="1" t="s">
        <v>271</v>
      </c>
      <c r="D52" s="42" t="s">
        <v>272</v>
      </c>
      <c r="E52" t="s">
        <v>271</v>
      </c>
      <c r="G52" s="1">
        <v>1580</v>
      </c>
      <c r="H52" s="1">
        <v>12</v>
      </c>
      <c r="I52" s="1">
        <v>18960</v>
      </c>
      <c r="J52" s="1">
        <v>10</v>
      </c>
      <c r="K52" s="1">
        <f t="shared" si="0"/>
        <v>2844</v>
      </c>
      <c r="L52" s="6">
        <v>785</v>
      </c>
      <c r="M52" s="6">
        <f t="shared" si="1"/>
        <v>9420</v>
      </c>
      <c r="N52" s="6">
        <f t="shared" si="2"/>
        <v>6696</v>
      </c>
      <c r="O52" s="8">
        <f t="shared" si="3"/>
        <v>0.35316455696202531</v>
      </c>
    </row>
    <row r="53" spans="1:15" ht="15.75" customHeight="1">
      <c r="A53" s="1" t="s">
        <v>1825</v>
      </c>
      <c r="B53" s="1"/>
      <c r="C53" s="1" t="s">
        <v>1826</v>
      </c>
      <c r="D53" s="42" t="s">
        <v>1827</v>
      </c>
      <c r="E53" s="1" t="s">
        <v>1826</v>
      </c>
      <c r="G53" s="1">
        <v>2580</v>
      </c>
      <c r="H53" s="1">
        <v>7</v>
      </c>
      <c r="I53" s="1">
        <v>18060</v>
      </c>
      <c r="J53" s="1">
        <v>6</v>
      </c>
      <c r="K53" s="1">
        <f t="shared" si="0"/>
        <v>2709</v>
      </c>
      <c r="L53" s="6">
        <v>1480</v>
      </c>
      <c r="M53" s="6">
        <f t="shared" si="1"/>
        <v>10360</v>
      </c>
      <c r="N53" s="6">
        <f t="shared" si="2"/>
        <v>4991</v>
      </c>
      <c r="O53" s="8">
        <f t="shared" si="3"/>
        <v>0.27635658914728684</v>
      </c>
    </row>
    <row r="54" spans="1:15" ht="15.75" customHeight="1">
      <c r="A54" s="1" t="s">
        <v>64</v>
      </c>
      <c r="B54" t="s">
        <v>53</v>
      </c>
      <c r="C54" s="1" t="s">
        <v>65</v>
      </c>
      <c r="D54" s="42" t="s">
        <v>66</v>
      </c>
      <c r="E54" t="s">
        <v>67</v>
      </c>
      <c r="G54" s="1">
        <v>8980</v>
      </c>
      <c r="H54" s="1">
        <v>2</v>
      </c>
      <c r="I54" s="1">
        <v>17960</v>
      </c>
      <c r="J54" s="1">
        <v>2</v>
      </c>
      <c r="K54" s="1">
        <f t="shared" si="0"/>
        <v>2694</v>
      </c>
      <c r="L54" s="6">
        <v>5890</v>
      </c>
      <c r="M54" s="6">
        <f t="shared" si="1"/>
        <v>11780</v>
      </c>
      <c r="N54" s="6">
        <f t="shared" si="2"/>
        <v>3486</v>
      </c>
      <c r="O54" s="8">
        <f t="shared" si="3"/>
        <v>0.19409799554565701</v>
      </c>
    </row>
    <row r="55" spans="1:15" ht="15.75" customHeight="1">
      <c r="A55" s="1" t="s">
        <v>382</v>
      </c>
      <c r="C55" s="1" t="s">
        <v>383</v>
      </c>
      <c r="D55" s="42" t="s">
        <v>384</v>
      </c>
      <c r="E55" t="s">
        <v>383</v>
      </c>
      <c r="G55" s="1">
        <v>2980</v>
      </c>
      <c r="H55" s="1">
        <v>6</v>
      </c>
      <c r="I55" s="1">
        <v>17880</v>
      </c>
      <c r="J55" s="1">
        <v>6</v>
      </c>
      <c r="K55" s="1">
        <f t="shared" si="0"/>
        <v>2682</v>
      </c>
      <c r="L55" s="6">
        <v>2067</v>
      </c>
      <c r="M55" s="6">
        <f t="shared" si="1"/>
        <v>12402</v>
      </c>
      <c r="N55" s="6">
        <f t="shared" si="2"/>
        <v>2796</v>
      </c>
      <c r="O55" s="8">
        <f t="shared" si="3"/>
        <v>0.15637583892617449</v>
      </c>
    </row>
    <row r="56" spans="1:15" ht="15.75" customHeight="1">
      <c r="A56" s="1" t="s">
        <v>473</v>
      </c>
      <c r="B56" s="1"/>
      <c r="C56" s="1" t="s">
        <v>474</v>
      </c>
      <c r="D56" s="42" t="s">
        <v>475</v>
      </c>
      <c r="E56" s="1" t="s">
        <v>474</v>
      </c>
      <c r="G56" s="1">
        <v>1180</v>
      </c>
      <c r="H56" s="1">
        <v>15</v>
      </c>
      <c r="I56" s="1">
        <v>17700</v>
      </c>
      <c r="J56" s="1">
        <v>8</v>
      </c>
      <c r="K56" s="1">
        <f t="shared" si="0"/>
        <v>2655</v>
      </c>
      <c r="L56" s="6">
        <v>396</v>
      </c>
      <c r="M56" s="6">
        <f t="shared" si="1"/>
        <v>5940</v>
      </c>
      <c r="N56" s="6">
        <f t="shared" si="2"/>
        <v>9105</v>
      </c>
      <c r="O56" s="8">
        <f t="shared" si="3"/>
        <v>0.514406779661017</v>
      </c>
    </row>
    <row r="57" spans="1:15" ht="15.75" customHeight="1">
      <c r="A57" s="1" t="s">
        <v>373</v>
      </c>
      <c r="C57" s="1" t="s">
        <v>374</v>
      </c>
      <c r="D57" s="42" t="s">
        <v>375</v>
      </c>
      <c r="E57" t="s">
        <v>374</v>
      </c>
      <c r="G57" s="1">
        <v>2180</v>
      </c>
      <c r="H57" s="1">
        <v>8</v>
      </c>
      <c r="I57" s="1">
        <v>17440</v>
      </c>
      <c r="J57" s="1">
        <v>7</v>
      </c>
      <c r="K57" s="1">
        <f t="shared" si="0"/>
        <v>2616</v>
      </c>
      <c r="L57" s="6">
        <v>1152</v>
      </c>
      <c r="M57" s="6">
        <f t="shared" si="1"/>
        <v>9216</v>
      </c>
      <c r="N57" s="6">
        <f t="shared" si="2"/>
        <v>5608</v>
      </c>
      <c r="O57" s="8">
        <f t="shared" si="3"/>
        <v>0.32155963302752294</v>
      </c>
    </row>
    <row r="58" spans="1:15" ht="15.75" customHeight="1">
      <c r="A58" s="1" t="s">
        <v>116</v>
      </c>
      <c r="C58" s="1" t="s">
        <v>117</v>
      </c>
      <c r="D58" s="42" t="s">
        <v>118</v>
      </c>
      <c r="E58" t="s">
        <v>119</v>
      </c>
      <c r="G58" s="1">
        <v>3480</v>
      </c>
      <c r="H58" s="1">
        <v>5</v>
      </c>
      <c r="I58" s="1">
        <v>17400</v>
      </c>
      <c r="J58" s="1">
        <v>5</v>
      </c>
      <c r="K58" s="1">
        <f t="shared" si="0"/>
        <v>2610</v>
      </c>
      <c r="L58" s="6">
        <v>358</v>
      </c>
      <c r="M58" s="6">
        <f t="shared" si="1"/>
        <v>1790</v>
      </c>
      <c r="N58" s="6">
        <f t="shared" si="2"/>
        <v>13000</v>
      </c>
      <c r="O58" s="8">
        <f t="shared" si="3"/>
        <v>0.74712643678160917</v>
      </c>
    </row>
    <row r="59" spans="1:15" ht="15.75" customHeight="1">
      <c r="A59" s="1" t="s">
        <v>86</v>
      </c>
      <c r="B59" s="1"/>
      <c r="C59" s="1" t="s">
        <v>87</v>
      </c>
      <c r="D59" s="42" t="s">
        <v>88</v>
      </c>
      <c r="E59" s="1" t="s">
        <v>89</v>
      </c>
      <c r="G59" s="1">
        <v>2780</v>
      </c>
      <c r="H59" s="1">
        <v>6</v>
      </c>
      <c r="I59" s="1">
        <v>16680</v>
      </c>
      <c r="J59" s="1">
        <v>6</v>
      </c>
      <c r="K59" s="1">
        <f t="shared" si="0"/>
        <v>2502</v>
      </c>
      <c r="L59" s="6">
        <v>1630</v>
      </c>
      <c r="M59" s="6">
        <f t="shared" si="1"/>
        <v>9780</v>
      </c>
      <c r="N59" s="6">
        <f t="shared" si="2"/>
        <v>4398</v>
      </c>
      <c r="O59" s="8">
        <f t="shared" si="3"/>
        <v>0.26366906474820145</v>
      </c>
    </row>
    <row r="60" spans="1:15" ht="15.75" customHeight="1">
      <c r="A60" s="1" t="s">
        <v>1973</v>
      </c>
      <c r="C60" s="1" t="s">
        <v>1974</v>
      </c>
      <c r="D60" s="42" t="s">
        <v>1975</v>
      </c>
      <c r="E60" t="s">
        <v>1974</v>
      </c>
      <c r="G60" s="1">
        <v>15980</v>
      </c>
      <c r="H60" s="1">
        <v>1</v>
      </c>
      <c r="I60" s="1">
        <v>15980</v>
      </c>
      <c r="J60" s="1">
        <v>1</v>
      </c>
      <c r="K60" s="1">
        <f t="shared" si="0"/>
        <v>2397</v>
      </c>
      <c r="L60" s="6">
        <v>9490</v>
      </c>
      <c r="M60" s="6">
        <f t="shared" si="1"/>
        <v>9490</v>
      </c>
      <c r="N60" s="6">
        <f t="shared" si="2"/>
        <v>4093</v>
      </c>
      <c r="O60" s="8">
        <f t="shared" si="3"/>
        <v>0.25613266583229038</v>
      </c>
    </row>
    <row r="61" spans="1:15" ht="15.75" customHeight="1">
      <c r="A61" s="1" t="s">
        <v>310</v>
      </c>
      <c r="B61" s="1"/>
      <c r="C61" s="1" t="s">
        <v>311</v>
      </c>
      <c r="D61" s="42" t="s">
        <v>312</v>
      </c>
      <c r="E61" s="1" t="s">
        <v>313</v>
      </c>
      <c r="G61" s="1">
        <v>3980</v>
      </c>
      <c r="H61" s="1">
        <v>4</v>
      </c>
      <c r="I61" s="1">
        <v>15920</v>
      </c>
      <c r="J61" s="1">
        <v>4</v>
      </c>
      <c r="K61" s="1">
        <f t="shared" si="0"/>
        <v>2388</v>
      </c>
      <c r="L61" s="6">
        <v>1998</v>
      </c>
      <c r="M61" s="6">
        <f t="shared" si="1"/>
        <v>7992</v>
      </c>
      <c r="N61" s="6">
        <f t="shared" si="2"/>
        <v>5540</v>
      </c>
      <c r="O61" s="8">
        <f t="shared" si="3"/>
        <v>0.3479899497487437</v>
      </c>
    </row>
    <row r="62" spans="1:15" ht="15.75" customHeight="1">
      <c r="A62" s="1" t="s">
        <v>1945</v>
      </c>
      <c r="C62" s="1" t="s">
        <v>1946</v>
      </c>
      <c r="D62" s="42" t="s">
        <v>2248</v>
      </c>
      <c r="E62" t="s">
        <v>2249</v>
      </c>
      <c r="G62" s="1">
        <v>3980</v>
      </c>
      <c r="H62" s="1">
        <v>4</v>
      </c>
      <c r="I62" s="1">
        <v>15920</v>
      </c>
      <c r="J62" s="1">
        <v>3</v>
      </c>
      <c r="K62" s="1">
        <f t="shared" si="0"/>
        <v>2388</v>
      </c>
      <c r="L62" s="6">
        <v>2190</v>
      </c>
      <c r="M62" s="6">
        <f t="shared" si="1"/>
        <v>8760</v>
      </c>
      <c r="N62" s="6">
        <f t="shared" si="2"/>
        <v>4772</v>
      </c>
      <c r="O62" s="8">
        <f t="shared" si="3"/>
        <v>0.29974874371859295</v>
      </c>
    </row>
    <row r="63" spans="1:15" ht="15.75" customHeight="1">
      <c r="A63" s="1" t="s">
        <v>337</v>
      </c>
      <c r="B63" t="s">
        <v>212</v>
      </c>
      <c r="C63" s="1" t="s">
        <v>338</v>
      </c>
      <c r="D63" s="42" t="s">
        <v>339</v>
      </c>
      <c r="E63" t="s">
        <v>340</v>
      </c>
      <c r="G63" s="1">
        <v>7480</v>
      </c>
      <c r="H63" s="1">
        <v>2</v>
      </c>
      <c r="I63" s="1">
        <v>14960</v>
      </c>
      <c r="J63" s="1">
        <v>2</v>
      </c>
      <c r="K63" s="1">
        <f t="shared" si="0"/>
        <v>2244</v>
      </c>
      <c r="L63" s="6">
        <v>4490</v>
      </c>
      <c r="M63" s="6">
        <f t="shared" si="1"/>
        <v>8980</v>
      </c>
      <c r="N63" s="6">
        <f t="shared" si="2"/>
        <v>3736</v>
      </c>
      <c r="O63" s="8">
        <f t="shared" si="3"/>
        <v>0.24973262032085561</v>
      </c>
    </row>
    <row r="64" spans="1:15" ht="15.75" customHeight="1">
      <c r="A64" s="1" t="s">
        <v>68</v>
      </c>
      <c r="C64" s="1" t="s">
        <v>69</v>
      </c>
      <c r="D64" s="42" t="s">
        <v>70</v>
      </c>
      <c r="E64" t="s">
        <v>69</v>
      </c>
      <c r="G64" s="1">
        <v>2980</v>
      </c>
      <c r="H64" s="1">
        <v>5</v>
      </c>
      <c r="I64" s="1">
        <v>14900</v>
      </c>
      <c r="J64" s="1">
        <v>3</v>
      </c>
      <c r="K64" s="1">
        <f t="shared" si="0"/>
        <v>2235</v>
      </c>
      <c r="L64" s="6">
        <v>1287</v>
      </c>
      <c r="M64" s="6">
        <f t="shared" si="1"/>
        <v>6435</v>
      </c>
      <c r="N64" s="6">
        <f t="shared" si="2"/>
        <v>6230</v>
      </c>
      <c r="O64" s="8">
        <f t="shared" si="3"/>
        <v>0.41812080536912749</v>
      </c>
    </row>
    <row r="65" spans="1:15" ht="15.75" customHeight="1">
      <c r="A65" s="1" t="s">
        <v>470</v>
      </c>
      <c r="C65" s="1" t="s">
        <v>471</v>
      </c>
      <c r="D65" s="42" t="s">
        <v>472</v>
      </c>
      <c r="E65" t="s">
        <v>471</v>
      </c>
      <c r="G65" s="1">
        <v>2380</v>
      </c>
      <c r="H65" s="1">
        <v>6</v>
      </c>
      <c r="I65" s="1">
        <v>14280</v>
      </c>
      <c r="J65" s="1">
        <v>5</v>
      </c>
      <c r="K65" s="1">
        <f t="shared" si="0"/>
        <v>2142</v>
      </c>
      <c r="L65" s="6">
        <v>1140</v>
      </c>
      <c r="M65" s="6">
        <f t="shared" si="1"/>
        <v>6840</v>
      </c>
      <c r="N65" s="6">
        <f t="shared" si="2"/>
        <v>5298</v>
      </c>
      <c r="O65" s="8">
        <f t="shared" si="3"/>
        <v>0.37100840336134455</v>
      </c>
    </row>
    <row r="66" spans="1:15" ht="15.75" customHeight="1">
      <c r="A66" s="1" t="s">
        <v>2168</v>
      </c>
      <c r="C66" s="1" t="s">
        <v>2169</v>
      </c>
      <c r="D66" s="42" t="s">
        <v>2250</v>
      </c>
      <c r="E66" t="s">
        <v>2169</v>
      </c>
      <c r="G66" s="1">
        <v>1780</v>
      </c>
      <c r="H66" s="1">
        <v>8</v>
      </c>
      <c r="I66" s="1">
        <v>14240</v>
      </c>
      <c r="J66" s="1">
        <v>8</v>
      </c>
      <c r="K66" s="1">
        <f t="shared" si="0"/>
        <v>2136</v>
      </c>
      <c r="L66" s="6">
        <v>898</v>
      </c>
      <c r="M66" s="6">
        <f t="shared" si="1"/>
        <v>7184</v>
      </c>
      <c r="N66" s="6">
        <f t="shared" si="2"/>
        <v>4920</v>
      </c>
      <c r="O66" s="8">
        <f t="shared" si="3"/>
        <v>0.3455056179775281</v>
      </c>
    </row>
    <row r="67" spans="1:15" ht="15.75" customHeight="1">
      <c r="A67" s="1" t="s">
        <v>61</v>
      </c>
      <c r="C67" s="1" t="s">
        <v>62</v>
      </c>
      <c r="D67" s="42" t="s">
        <v>63</v>
      </c>
      <c r="E67" t="s">
        <v>62</v>
      </c>
      <c r="G67" s="1">
        <v>4580</v>
      </c>
      <c r="H67" s="1">
        <v>3</v>
      </c>
      <c r="I67" s="1">
        <v>13740</v>
      </c>
      <c r="J67" s="1">
        <v>3</v>
      </c>
      <c r="K67" s="1">
        <f t="shared" si="0"/>
        <v>2061</v>
      </c>
      <c r="L67" s="6">
        <v>3376</v>
      </c>
      <c r="M67" s="6">
        <f t="shared" si="1"/>
        <v>10128</v>
      </c>
      <c r="N67" s="6">
        <f t="shared" si="2"/>
        <v>1551</v>
      </c>
      <c r="O67" s="8">
        <f t="shared" si="3"/>
        <v>0.112882096069869</v>
      </c>
    </row>
    <row r="68" spans="1:15" ht="15.75" customHeight="1">
      <c r="A68" s="1" t="s">
        <v>486</v>
      </c>
      <c r="C68" s="1" t="s">
        <v>487</v>
      </c>
      <c r="D68" s="42" t="s">
        <v>488</v>
      </c>
      <c r="E68" t="s">
        <v>487</v>
      </c>
      <c r="G68" s="1">
        <v>2280</v>
      </c>
      <c r="H68" s="1">
        <v>6</v>
      </c>
      <c r="I68" s="1">
        <v>13680</v>
      </c>
      <c r="J68" s="1">
        <v>5</v>
      </c>
      <c r="K68" s="1">
        <f t="shared" si="0"/>
        <v>2052</v>
      </c>
      <c r="L68" s="6">
        <v>358</v>
      </c>
      <c r="M68" s="6">
        <f t="shared" si="1"/>
        <v>2148</v>
      </c>
      <c r="N68" s="6">
        <f t="shared" si="2"/>
        <v>9480</v>
      </c>
      <c r="O68" s="8">
        <f t="shared" si="3"/>
        <v>0.69298245614035092</v>
      </c>
    </row>
    <row r="69" spans="1:15" ht="15.75" customHeight="1">
      <c r="A69" s="1" t="s">
        <v>2070</v>
      </c>
      <c r="B69" t="s">
        <v>212</v>
      </c>
      <c r="C69" s="1" t="s">
        <v>2071</v>
      </c>
      <c r="D69" s="42" t="s">
        <v>2072</v>
      </c>
      <c r="E69" t="s">
        <v>2073</v>
      </c>
      <c r="G69" s="1">
        <v>4480</v>
      </c>
      <c r="H69" s="1">
        <v>3</v>
      </c>
      <c r="I69" s="1">
        <v>13440</v>
      </c>
      <c r="J69" s="1">
        <v>3</v>
      </c>
      <c r="K69" s="1">
        <f t="shared" si="0"/>
        <v>2016</v>
      </c>
      <c r="L69" s="6">
        <v>2873</v>
      </c>
      <c r="M69" s="6">
        <f t="shared" si="1"/>
        <v>8619</v>
      </c>
      <c r="N69" s="6">
        <f t="shared" si="2"/>
        <v>2805</v>
      </c>
      <c r="O69" s="8">
        <f t="shared" si="3"/>
        <v>0.20870535714285715</v>
      </c>
    </row>
    <row r="70" spans="1:15" ht="17" customHeight="1">
      <c r="A70" s="1" t="s">
        <v>174</v>
      </c>
      <c r="C70" s="1" t="s">
        <v>175</v>
      </c>
      <c r="D70" s="42" t="s">
        <v>176</v>
      </c>
      <c r="E70" t="s">
        <v>175</v>
      </c>
      <c r="G70" s="1">
        <v>6480</v>
      </c>
      <c r="H70" s="1">
        <v>2</v>
      </c>
      <c r="I70" s="1">
        <v>12960</v>
      </c>
      <c r="J70" s="1">
        <v>2</v>
      </c>
      <c r="K70" s="1">
        <f t="shared" si="0"/>
        <v>1944</v>
      </c>
      <c r="L70" s="6">
        <v>3882</v>
      </c>
      <c r="M70" s="6">
        <f t="shared" si="1"/>
        <v>7764</v>
      </c>
      <c r="N70" s="6">
        <f t="shared" si="2"/>
        <v>3252</v>
      </c>
      <c r="O70" s="8">
        <f t="shared" si="3"/>
        <v>0.25092592592592594</v>
      </c>
    </row>
    <row r="71" spans="1:15" ht="17" customHeight="1">
      <c r="A71" s="1" t="s">
        <v>188</v>
      </c>
      <c r="C71" s="1" t="s">
        <v>189</v>
      </c>
      <c r="D71" s="42" t="s">
        <v>190</v>
      </c>
      <c r="E71" t="s">
        <v>189</v>
      </c>
      <c r="G71" s="1">
        <v>1780</v>
      </c>
      <c r="H71" s="1">
        <v>7</v>
      </c>
      <c r="I71" s="1">
        <v>12460</v>
      </c>
      <c r="J71" s="1">
        <v>6</v>
      </c>
      <c r="K71" s="1">
        <f t="shared" si="0"/>
        <v>1869</v>
      </c>
      <c r="L71" s="6">
        <v>970</v>
      </c>
      <c r="M71" s="6">
        <f t="shared" si="1"/>
        <v>6790</v>
      </c>
      <c r="N71" s="6">
        <f t="shared" si="2"/>
        <v>3801</v>
      </c>
      <c r="O71" s="8">
        <f t="shared" si="3"/>
        <v>0.30505617977528088</v>
      </c>
    </row>
    <row r="72" spans="1:15" ht="17" customHeight="1">
      <c r="A72" s="1" t="s">
        <v>217</v>
      </c>
      <c r="C72" s="1" t="s">
        <v>218</v>
      </c>
      <c r="D72" s="42" t="s">
        <v>219</v>
      </c>
      <c r="E72" t="s">
        <v>220</v>
      </c>
      <c r="G72" s="1">
        <v>1780</v>
      </c>
      <c r="H72" s="1">
        <v>7</v>
      </c>
      <c r="I72" s="1">
        <v>12460</v>
      </c>
      <c r="J72" s="1">
        <v>5</v>
      </c>
      <c r="K72" s="1">
        <f t="shared" ref="K72:K135" si="4">SUM(I72*0.15)</f>
        <v>1869</v>
      </c>
      <c r="L72" s="6">
        <v>416</v>
      </c>
      <c r="M72" s="6">
        <f t="shared" ref="M72:M135" si="5">SUM(H72*L72)</f>
        <v>2912</v>
      </c>
      <c r="N72" s="6">
        <f t="shared" ref="N72:N135" si="6">SUM(I72-K72-M72)</f>
        <v>7679</v>
      </c>
      <c r="O72" s="8">
        <f t="shared" ref="O72:O135" si="7">IF(I72=0,"",N72/I72)</f>
        <v>0.61629213483146073</v>
      </c>
    </row>
    <row r="73" spans="1:15" ht="17" customHeight="1">
      <c r="A73" s="1" t="s">
        <v>2251</v>
      </c>
      <c r="C73" s="1">
        <v>4550391911226</v>
      </c>
      <c r="D73" s="42" t="s">
        <v>1665</v>
      </c>
      <c r="E73">
        <v>4550391911226</v>
      </c>
      <c r="G73" s="1">
        <v>5980</v>
      </c>
      <c r="H73" s="1">
        <v>2</v>
      </c>
      <c r="I73" s="1">
        <v>11960</v>
      </c>
      <c r="J73" s="1">
        <v>2</v>
      </c>
      <c r="K73" s="1">
        <f t="shared" si="4"/>
        <v>1794</v>
      </c>
      <c r="L73" s="6">
        <v>660</v>
      </c>
      <c r="M73" s="6">
        <f t="shared" si="5"/>
        <v>1320</v>
      </c>
      <c r="N73" s="6">
        <f t="shared" si="6"/>
        <v>8846</v>
      </c>
      <c r="O73" s="8">
        <f t="shared" si="7"/>
        <v>0.73963210702341142</v>
      </c>
    </row>
    <row r="74" spans="1:15" ht="17" customHeight="1">
      <c r="A74" s="1" t="s">
        <v>1537</v>
      </c>
      <c r="C74" s="1" t="s">
        <v>1538</v>
      </c>
      <c r="D74" s="42" t="s">
        <v>2252</v>
      </c>
      <c r="E74" t="s">
        <v>1538</v>
      </c>
      <c r="G74" s="1">
        <v>3980</v>
      </c>
      <c r="H74" s="1">
        <v>3</v>
      </c>
      <c r="I74" s="1">
        <v>11940</v>
      </c>
      <c r="J74" s="1">
        <v>3</v>
      </c>
      <c r="K74" s="1">
        <f t="shared" si="4"/>
        <v>1791</v>
      </c>
      <c r="L74" s="6">
        <v>2860</v>
      </c>
      <c r="M74" s="6">
        <f t="shared" si="5"/>
        <v>8580</v>
      </c>
      <c r="N74" s="6">
        <f t="shared" si="6"/>
        <v>1569</v>
      </c>
      <c r="O74" s="8">
        <f t="shared" si="7"/>
        <v>0.1314070351758794</v>
      </c>
    </row>
    <row r="75" spans="1:15" ht="17" customHeight="1">
      <c r="A75" s="1" t="s">
        <v>125</v>
      </c>
      <c r="C75" s="1" t="s">
        <v>126</v>
      </c>
      <c r="D75" s="42" t="s">
        <v>127</v>
      </c>
      <c r="E75" t="s">
        <v>126</v>
      </c>
      <c r="G75" s="1">
        <v>3980</v>
      </c>
      <c r="H75" s="1">
        <v>3</v>
      </c>
      <c r="I75" s="1">
        <v>11940</v>
      </c>
      <c r="J75" s="1">
        <v>3</v>
      </c>
      <c r="K75" s="1">
        <f t="shared" si="4"/>
        <v>1791</v>
      </c>
      <c r="L75" s="6">
        <v>1978</v>
      </c>
      <c r="M75" s="6">
        <f t="shared" si="5"/>
        <v>5934</v>
      </c>
      <c r="N75" s="6">
        <f t="shared" si="6"/>
        <v>4215</v>
      </c>
      <c r="O75" s="8">
        <f t="shared" si="7"/>
        <v>0.35301507537688442</v>
      </c>
    </row>
    <row r="76" spans="1:15" ht="17" customHeight="1">
      <c r="A76" s="1" t="s">
        <v>314</v>
      </c>
      <c r="C76" s="1" t="s">
        <v>315</v>
      </c>
      <c r="D76" s="42" t="s">
        <v>316</v>
      </c>
      <c r="E76" t="s">
        <v>315</v>
      </c>
      <c r="G76" s="1">
        <v>3980</v>
      </c>
      <c r="H76" s="1">
        <v>3</v>
      </c>
      <c r="I76" s="1">
        <v>11940</v>
      </c>
      <c r="J76" s="1">
        <v>3</v>
      </c>
      <c r="K76" s="1">
        <f t="shared" si="4"/>
        <v>1791</v>
      </c>
      <c r="L76" s="6">
        <v>3179</v>
      </c>
      <c r="M76" s="6">
        <f t="shared" si="5"/>
        <v>9537</v>
      </c>
      <c r="N76" s="6">
        <f t="shared" si="6"/>
        <v>612</v>
      </c>
      <c r="O76" s="8">
        <f t="shared" si="7"/>
        <v>5.1256281407035177E-2</v>
      </c>
    </row>
    <row r="77" spans="1:15" ht="17" customHeight="1">
      <c r="A77" s="1" t="s">
        <v>531</v>
      </c>
      <c r="C77" s="1" t="s">
        <v>532</v>
      </c>
      <c r="D77" s="42" t="s">
        <v>533</v>
      </c>
      <c r="E77" t="s">
        <v>532</v>
      </c>
      <c r="G77" s="1">
        <v>3980</v>
      </c>
      <c r="H77" s="1">
        <v>3</v>
      </c>
      <c r="I77" s="1">
        <v>11940</v>
      </c>
      <c r="J77" s="1">
        <v>3</v>
      </c>
      <c r="K77" s="1">
        <f t="shared" si="4"/>
        <v>1791</v>
      </c>
      <c r="L77" s="6">
        <v>1534</v>
      </c>
      <c r="M77" s="6">
        <f t="shared" si="5"/>
        <v>4602</v>
      </c>
      <c r="N77" s="6">
        <f t="shared" si="6"/>
        <v>5547</v>
      </c>
      <c r="O77" s="8">
        <f t="shared" si="7"/>
        <v>0.46457286432160805</v>
      </c>
    </row>
    <row r="78" spans="1:15" ht="17" customHeight="1">
      <c r="A78" s="1" t="s">
        <v>1958</v>
      </c>
      <c r="C78" s="1" t="s">
        <v>1196</v>
      </c>
      <c r="D78" s="42" t="s">
        <v>1197</v>
      </c>
      <c r="E78" t="s">
        <v>2253</v>
      </c>
      <c r="G78" s="1">
        <v>3980</v>
      </c>
      <c r="H78" s="1">
        <v>3</v>
      </c>
      <c r="I78" s="1">
        <v>11940</v>
      </c>
      <c r="J78" s="1">
        <v>3</v>
      </c>
      <c r="K78" s="1">
        <f t="shared" si="4"/>
        <v>1791</v>
      </c>
      <c r="L78" s="6">
        <v>1998</v>
      </c>
      <c r="M78" s="6">
        <f t="shared" si="5"/>
        <v>5994</v>
      </c>
      <c r="N78" s="6">
        <f t="shared" si="6"/>
        <v>4155</v>
      </c>
      <c r="O78" s="8">
        <f t="shared" si="7"/>
        <v>0.3479899497487437</v>
      </c>
    </row>
    <row r="79" spans="1:15" ht="17" customHeight="1">
      <c r="A79" s="1" t="s">
        <v>998</v>
      </c>
      <c r="C79" s="1">
        <v>4550391910564</v>
      </c>
      <c r="D79" s="42" t="s">
        <v>999</v>
      </c>
      <c r="E79">
        <v>4550391910564</v>
      </c>
      <c r="G79" s="1">
        <v>3980</v>
      </c>
      <c r="H79" s="1">
        <v>3</v>
      </c>
      <c r="I79" s="1">
        <v>11940</v>
      </c>
      <c r="J79" s="1">
        <v>3</v>
      </c>
      <c r="K79" s="1">
        <f t="shared" si="4"/>
        <v>1791</v>
      </c>
      <c r="L79" s="6">
        <v>440</v>
      </c>
      <c r="M79" s="6">
        <f t="shared" si="5"/>
        <v>1320</v>
      </c>
      <c r="N79" s="6">
        <f t="shared" si="6"/>
        <v>8829</v>
      </c>
      <c r="O79" s="8">
        <f t="shared" si="7"/>
        <v>0.73944723618090458</v>
      </c>
    </row>
    <row r="80" spans="1:15" ht="17" customHeight="1">
      <c r="A80" s="1" t="s">
        <v>555</v>
      </c>
      <c r="C80" s="1" t="s">
        <v>556</v>
      </c>
      <c r="D80" s="42" t="s">
        <v>557</v>
      </c>
      <c r="E80" t="s">
        <v>556</v>
      </c>
      <c r="G80" s="1">
        <v>3980</v>
      </c>
      <c r="H80" s="1">
        <v>3</v>
      </c>
      <c r="I80" s="1">
        <v>11940</v>
      </c>
      <c r="J80" s="1">
        <v>3</v>
      </c>
      <c r="K80" s="1">
        <f t="shared" si="4"/>
        <v>1791</v>
      </c>
      <c r="L80" s="6">
        <v>1542</v>
      </c>
      <c r="M80" s="6">
        <f t="shared" si="5"/>
        <v>4626</v>
      </c>
      <c r="N80" s="6">
        <f t="shared" si="6"/>
        <v>5523</v>
      </c>
      <c r="O80" s="8">
        <f t="shared" si="7"/>
        <v>0.46256281407035177</v>
      </c>
    </row>
    <row r="81" spans="1:15" ht="17" customHeight="1">
      <c r="A81" s="1" t="s">
        <v>630</v>
      </c>
      <c r="C81" s="1" t="s">
        <v>631</v>
      </c>
      <c r="D81" s="42">
        <v>4571263111773</v>
      </c>
      <c r="E81" t="s">
        <v>631</v>
      </c>
      <c r="G81" s="1">
        <v>2980</v>
      </c>
      <c r="H81" s="1">
        <v>4</v>
      </c>
      <c r="I81" s="1">
        <v>11920</v>
      </c>
      <c r="J81" s="1">
        <v>4</v>
      </c>
      <c r="K81" s="1">
        <f t="shared" si="4"/>
        <v>1788</v>
      </c>
      <c r="L81" s="6">
        <v>1738</v>
      </c>
      <c r="M81" s="6">
        <f t="shared" si="5"/>
        <v>6952</v>
      </c>
      <c r="N81" s="6">
        <f t="shared" si="6"/>
        <v>3180</v>
      </c>
      <c r="O81" s="8">
        <f t="shared" si="7"/>
        <v>0.26677852348993286</v>
      </c>
    </row>
    <row r="82" spans="1:15" ht="17" customHeight="1">
      <c r="A82" s="1" t="s">
        <v>204</v>
      </c>
      <c r="B82" s="1"/>
      <c r="C82" s="1" t="s">
        <v>205</v>
      </c>
      <c r="D82" s="42" t="s">
        <v>206</v>
      </c>
      <c r="E82" s="1" t="s">
        <v>205</v>
      </c>
      <c r="G82" s="1">
        <v>2980</v>
      </c>
      <c r="H82" s="1">
        <v>4</v>
      </c>
      <c r="I82" s="1">
        <v>11920</v>
      </c>
      <c r="J82" s="1">
        <v>2</v>
      </c>
      <c r="K82" s="1">
        <f t="shared" si="4"/>
        <v>1788</v>
      </c>
      <c r="L82" s="6">
        <v>1182</v>
      </c>
      <c r="M82" s="6">
        <f t="shared" si="5"/>
        <v>4728</v>
      </c>
      <c r="N82" s="6">
        <f t="shared" si="6"/>
        <v>5404</v>
      </c>
      <c r="O82" s="8">
        <f t="shared" si="7"/>
        <v>0.45335570469798658</v>
      </c>
    </row>
    <row r="83" spans="1:15" ht="17" customHeight="1">
      <c r="A83" s="1" t="s">
        <v>492</v>
      </c>
      <c r="C83" s="1" t="s">
        <v>493</v>
      </c>
      <c r="D83" s="42" t="s">
        <v>494</v>
      </c>
      <c r="E83" t="s">
        <v>493</v>
      </c>
      <c r="G83" s="1">
        <v>1480</v>
      </c>
      <c r="H83" s="1">
        <v>8</v>
      </c>
      <c r="I83" s="1">
        <v>11840</v>
      </c>
      <c r="J83" s="1">
        <v>2</v>
      </c>
      <c r="K83" s="1">
        <f t="shared" si="4"/>
        <v>1776</v>
      </c>
      <c r="L83" s="6">
        <v>624</v>
      </c>
      <c r="M83" s="6">
        <f t="shared" si="5"/>
        <v>4992</v>
      </c>
      <c r="N83" s="6">
        <f t="shared" si="6"/>
        <v>5072</v>
      </c>
      <c r="O83" s="8">
        <f t="shared" si="7"/>
        <v>0.42837837837837839</v>
      </c>
    </row>
    <row r="84" spans="1:15" ht="17" customHeight="1">
      <c r="A84" s="1" t="s">
        <v>686</v>
      </c>
      <c r="C84" s="1" t="s">
        <v>687</v>
      </c>
      <c r="D84" s="42">
        <v>4901133718984</v>
      </c>
      <c r="E84" t="s">
        <v>688</v>
      </c>
      <c r="G84" s="1">
        <v>1280</v>
      </c>
      <c r="H84" s="1">
        <v>9</v>
      </c>
      <c r="I84" s="1">
        <v>11520</v>
      </c>
      <c r="J84" s="1">
        <v>3</v>
      </c>
      <c r="K84" s="1">
        <f t="shared" si="4"/>
        <v>1728</v>
      </c>
      <c r="L84" s="6">
        <v>806</v>
      </c>
      <c r="M84" s="6">
        <f t="shared" si="5"/>
        <v>7254</v>
      </c>
      <c r="N84" s="6">
        <f t="shared" si="6"/>
        <v>2538</v>
      </c>
      <c r="O84" s="8">
        <f t="shared" si="7"/>
        <v>0.22031249999999999</v>
      </c>
    </row>
    <row r="85" spans="1:15" ht="17" customHeight="1">
      <c r="A85" s="1" t="s">
        <v>573</v>
      </c>
      <c r="B85" t="s">
        <v>574</v>
      </c>
      <c r="C85" s="1" t="s">
        <v>575</v>
      </c>
      <c r="D85" s="42" t="s">
        <v>576</v>
      </c>
      <c r="E85" t="s">
        <v>577</v>
      </c>
      <c r="G85" s="1">
        <v>3780</v>
      </c>
      <c r="H85" s="1">
        <v>3</v>
      </c>
      <c r="I85" s="1">
        <v>11340</v>
      </c>
      <c r="J85" s="1">
        <v>2</v>
      </c>
      <c r="K85" s="1">
        <f t="shared" si="4"/>
        <v>1701</v>
      </c>
      <c r="L85" s="6">
        <v>2191</v>
      </c>
      <c r="M85" s="6">
        <f t="shared" si="5"/>
        <v>6573</v>
      </c>
      <c r="N85" s="6">
        <f t="shared" si="6"/>
        <v>3066</v>
      </c>
      <c r="O85" s="8">
        <f t="shared" si="7"/>
        <v>0.27037037037037037</v>
      </c>
    </row>
    <row r="86" spans="1:15" ht="17" customHeight="1">
      <c r="A86" s="1" t="s">
        <v>211</v>
      </c>
      <c r="B86" s="1" t="s">
        <v>215</v>
      </c>
      <c r="C86" s="1" t="s">
        <v>213</v>
      </c>
      <c r="D86" s="42">
        <v>7480</v>
      </c>
      <c r="E86" s="1" t="s">
        <v>216</v>
      </c>
      <c r="G86" s="1">
        <v>10980</v>
      </c>
      <c r="H86" s="1">
        <v>1</v>
      </c>
      <c r="I86" s="1">
        <v>10980</v>
      </c>
      <c r="J86" s="1">
        <v>1</v>
      </c>
      <c r="K86" s="1">
        <f t="shared" si="4"/>
        <v>1647</v>
      </c>
      <c r="L86" s="6">
        <v>7480</v>
      </c>
      <c r="M86" s="6">
        <f t="shared" si="5"/>
        <v>7480</v>
      </c>
      <c r="N86" s="6">
        <f t="shared" si="6"/>
        <v>1853</v>
      </c>
      <c r="O86" s="8">
        <f t="shared" si="7"/>
        <v>0.16876138433515483</v>
      </c>
    </row>
    <row r="87" spans="1:15" ht="17" customHeight="1">
      <c r="A87" s="1" t="s">
        <v>835</v>
      </c>
      <c r="C87" s="1" t="s">
        <v>836</v>
      </c>
      <c r="D87" s="42" t="s">
        <v>837</v>
      </c>
      <c r="E87" t="s">
        <v>836</v>
      </c>
      <c r="G87" s="1">
        <v>1202</v>
      </c>
      <c r="H87" s="1">
        <v>9</v>
      </c>
      <c r="I87" s="1">
        <v>10820</v>
      </c>
      <c r="J87" s="1">
        <v>6</v>
      </c>
      <c r="K87" s="1">
        <f t="shared" si="4"/>
        <v>1623</v>
      </c>
      <c r="L87" s="6">
        <v>446</v>
      </c>
      <c r="M87" s="6">
        <f t="shared" si="5"/>
        <v>4014</v>
      </c>
      <c r="N87" s="6">
        <f t="shared" si="6"/>
        <v>5183</v>
      </c>
      <c r="O87" s="8">
        <f t="shared" si="7"/>
        <v>0.47902033271719041</v>
      </c>
    </row>
    <row r="88" spans="1:15" ht="17" customHeight="1">
      <c r="A88" s="1" t="s">
        <v>2254</v>
      </c>
      <c r="C88" s="1" t="s">
        <v>2255</v>
      </c>
      <c r="D88" s="42" t="s">
        <v>2256</v>
      </c>
      <c r="E88" t="s">
        <v>2255</v>
      </c>
      <c r="G88" s="1">
        <v>5280</v>
      </c>
      <c r="H88" s="1">
        <v>2</v>
      </c>
      <c r="I88" s="1">
        <v>10560</v>
      </c>
      <c r="J88" s="1">
        <v>2</v>
      </c>
      <c r="K88" s="1">
        <f t="shared" si="4"/>
        <v>1584</v>
      </c>
      <c r="L88" s="6">
        <v>3294</v>
      </c>
      <c r="M88" s="6">
        <f t="shared" si="5"/>
        <v>6588</v>
      </c>
      <c r="N88" s="6">
        <f t="shared" si="6"/>
        <v>2388</v>
      </c>
      <c r="O88" s="8">
        <f t="shared" si="7"/>
        <v>0.22613636363636364</v>
      </c>
    </row>
    <row r="89" spans="1:15" ht="17" customHeight="1">
      <c r="A89" s="1" t="s">
        <v>1072</v>
      </c>
      <c r="C89" s="1" t="s">
        <v>1073</v>
      </c>
      <c r="D89" s="42" t="s">
        <v>2257</v>
      </c>
      <c r="E89" t="s">
        <v>1073</v>
      </c>
      <c r="G89" s="1">
        <v>2580</v>
      </c>
      <c r="H89" s="1">
        <v>4</v>
      </c>
      <c r="I89" s="1">
        <v>10320</v>
      </c>
      <c r="J89" s="1">
        <v>3</v>
      </c>
      <c r="K89" s="1">
        <f t="shared" si="4"/>
        <v>1548</v>
      </c>
      <c r="L89" s="6">
        <v>1584</v>
      </c>
      <c r="M89" s="6">
        <f t="shared" si="5"/>
        <v>6336</v>
      </c>
      <c r="N89" s="6">
        <f t="shared" si="6"/>
        <v>2436</v>
      </c>
      <c r="O89" s="8">
        <f t="shared" si="7"/>
        <v>0.23604651162790696</v>
      </c>
    </row>
    <row r="90" spans="1:15" ht="17" customHeight="1">
      <c r="A90" s="1" t="s">
        <v>1964</v>
      </c>
      <c r="B90" t="s">
        <v>212</v>
      </c>
      <c r="C90" s="1" t="s">
        <v>930</v>
      </c>
      <c r="D90" s="42">
        <v>194644137595</v>
      </c>
      <c r="E90" t="s">
        <v>2258</v>
      </c>
      <c r="G90" s="1">
        <v>9980</v>
      </c>
      <c r="H90" s="1">
        <v>1</v>
      </c>
      <c r="I90" s="1">
        <v>9980</v>
      </c>
      <c r="J90" s="1">
        <v>1</v>
      </c>
      <c r="K90" s="1">
        <f t="shared" si="4"/>
        <v>1497</v>
      </c>
      <c r="L90" s="6">
        <v>6490</v>
      </c>
      <c r="M90" s="6">
        <f t="shared" si="5"/>
        <v>6490</v>
      </c>
      <c r="N90" s="6">
        <f t="shared" si="6"/>
        <v>1993</v>
      </c>
      <c r="O90" s="8">
        <f t="shared" si="7"/>
        <v>0.19969939879759518</v>
      </c>
    </row>
    <row r="91" spans="1:15" ht="17" customHeight="1">
      <c r="A91" s="1" t="s">
        <v>81</v>
      </c>
      <c r="B91" t="s">
        <v>1617</v>
      </c>
      <c r="C91" s="1" t="s">
        <v>83</v>
      </c>
      <c r="D91" s="42" t="s">
        <v>84</v>
      </c>
      <c r="E91" t="s">
        <v>1618</v>
      </c>
      <c r="G91" s="1">
        <v>9980</v>
      </c>
      <c r="H91" s="1">
        <v>1</v>
      </c>
      <c r="I91" s="1">
        <v>9980</v>
      </c>
      <c r="J91" s="1">
        <v>1</v>
      </c>
      <c r="K91" s="1">
        <f t="shared" si="4"/>
        <v>1497</v>
      </c>
      <c r="L91" s="6">
        <v>6490</v>
      </c>
      <c r="M91" s="6">
        <f t="shared" si="5"/>
        <v>6490</v>
      </c>
      <c r="N91" s="6">
        <f t="shared" si="6"/>
        <v>1993</v>
      </c>
      <c r="O91" s="8">
        <f t="shared" si="7"/>
        <v>0.19969939879759518</v>
      </c>
    </row>
    <row r="92" spans="1:15" ht="17" customHeight="1">
      <c r="A92" s="1" t="s">
        <v>2259</v>
      </c>
      <c r="C92" s="1" t="s">
        <v>2260</v>
      </c>
      <c r="D92" s="42" t="s">
        <v>2261</v>
      </c>
      <c r="E92" t="s">
        <v>2260</v>
      </c>
      <c r="G92" s="1">
        <v>9980</v>
      </c>
      <c r="H92" s="1">
        <v>1</v>
      </c>
      <c r="I92" s="1">
        <v>9980</v>
      </c>
      <c r="J92" s="1">
        <v>1</v>
      </c>
      <c r="K92" s="1">
        <f t="shared" si="4"/>
        <v>1497</v>
      </c>
      <c r="L92" s="6">
        <v>4500</v>
      </c>
      <c r="M92" s="6">
        <f t="shared" si="5"/>
        <v>4500</v>
      </c>
      <c r="N92" s="6">
        <f t="shared" si="6"/>
        <v>3983</v>
      </c>
      <c r="O92" s="8">
        <f t="shared" si="7"/>
        <v>0.3990981963927856</v>
      </c>
    </row>
    <row r="93" spans="1:15" ht="17" customHeight="1">
      <c r="A93" s="1" t="s">
        <v>900</v>
      </c>
      <c r="C93" s="1" t="s">
        <v>901</v>
      </c>
      <c r="D93" s="42" t="s">
        <v>2262</v>
      </c>
      <c r="E93" t="s">
        <v>901</v>
      </c>
      <c r="G93" s="1">
        <v>9980</v>
      </c>
      <c r="H93" s="1">
        <v>1</v>
      </c>
      <c r="I93" s="1">
        <v>9980</v>
      </c>
      <c r="J93" s="1">
        <v>1</v>
      </c>
      <c r="K93" s="1">
        <f t="shared" si="4"/>
        <v>1497</v>
      </c>
      <c r="L93" s="6">
        <v>7794</v>
      </c>
      <c r="M93" s="6">
        <f t="shared" si="5"/>
        <v>7794</v>
      </c>
      <c r="N93" s="6">
        <f t="shared" si="6"/>
        <v>689</v>
      </c>
      <c r="O93" s="8">
        <f t="shared" si="7"/>
        <v>6.9038076152304603E-2</v>
      </c>
    </row>
    <row r="94" spans="1:15" ht="17" customHeight="1">
      <c r="A94" s="1" t="s">
        <v>718</v>
      </c>
      <c r="C94" s="1" t="s">
        <v>719</v>
      </c>
      <c r="D94" s="42" t="s">
        <v>720</v>
      </c>
      <c r="E94" t="s">
        <v>721</v>
      </c>
      <c r="G94" s="1">
        <v>2480</v>
      </c>
      <c r="H94" s="1">
        <v>4</v>
      </c>
      <c r="I94" s="1">
        <v>9920</v>
      </c>
      <c r="J94" s="1">
        <v>4</v>
      </c>
      <c r="K94" s="1">
        <f t="shared" si="4"/>
        <v>1488</v>
      </c>
      <c r="L94" s="6">
        <v>1116</v>
      </c>
      <c r="M94" s="6">
        <f t="shared" si="5"/>
        <v>4464</v>
      </c>
      <c r="N94" s="6">
        <f t="shared" si="6"/>
        <v>3968</v>
      </c>
      <c r="O94" s="8">
        <f t="shared" si="7"/>
        <v>0.4</v>
      </c>
    </row>
    <row r="95" spans="1:15" ht="17" customHeight="1">
      <c r="A95" s="1" t="s">
        <v>2263</v>
      </c>
      <c r="C95" s="1" t="s">
        <v>2264</v>
      </c>
      <c r="D95" s="42" t="s">
        <v>2265</v>
      </c>
      <c r="E95" t="s">
        <v>2264</v>
      </c>
      <c r="G95" s="1">
        <v>2480</v>
      </c>
      <c r="H95" s="1">
        <v>4</v>
      </c>
      <c r="I95" s="1">
        <v>9920</v>
      </c>
      <c r="J95" s="1">
        <v>3</v>
      </c>
      <c r="K95" s="1">
        <f t="shared" si="4"/>
        <v>1488</v>
      </c>
      <c r="L95" s="6">
        <v>1182</v>
      </c>
      <c r="M95" s="6">
        <f t="shared" si="5"/>
        <v>4728</v>
      </c>
      <c r="N95" s="6">
        <f t="shared" si="6"/>
        <v>3704</v>
      </c>
      <c r="O95" s="8">
        <f t="shared" si="7"/>
        <v>0.37338709677419357</v>
      </c>
    </row>
    <row r="96" spans="1:15" ht="17" customHeight="1">
      <c r="A96" s="1" t="s">
        <v>2266</v>
      </c>
      <c r="B96" s="1"/>
      <c r="C96" s="1" t="s">
        <v>1626</v>
      </c>
      <c r="D96" s="42" t="s">
        <v>2267</v>
      </c>
      <c r="E96" s="1" t="s">
        <v>1626</v>
      </c>
      <c r="G96" s="1">
        <v>9580</v>
      </c>
      <c r="H96" s="1">
        <v>1</v>
      </c>
      <c r="I96" s="1">
        <v>9580</v>
      </c>
      <c r="J96" s="1">
        <v>1</v>
      </c>
      <c r="K96" s="1">
        <f t="shared" si="4"/>
        <v>1437</v>
      </c>
      <c r="L96" s="6">
        <v>6980</v>
      </c>
      <c r="M96" s="6">
        <f t="shared" si="5"/>
        <v>6980</v>
      </c>
      <c r="N96" s="6">
        <f t="shared" si="6"/>
        <v>1163</v>
      </c>
      <c r="O96" s="8">
        <f t="shared" si="7"/>
        <v>0.12139874739039666</v>
      </c>
    </row>
    <row r="97" spans="1:15" ht="17" customHeight="1">
      <c r="A97" s="1" t="s">
        <v>2268</v>
      </c>
      <c r="C97" s="1" t="s">
        <v>2269</v>
      </c>
      <c r="D97" s="42" t="s">
        <v>2270</v>
      </c>
      <c r="E97" t="s">
        <v>964</v>
      </c>
      <c r="G97" s="1">
        <v>9480</v>
      </c>
      <c r="H97" s="1">
        <v>1</v>
      </c>
      <c r="I97" s="1">
        <v>9480</v>
      </c>
      <c r="J97" s="1">
        <v>1</v>
      </c>
      <c r="K97" s="1">
        <f t="shared" si="4"/>
        <v>1422</v>
      </c>
      <c r="L97" s="6">
        <v>4592</v>
      </c>
      <c r="M97" s="6">
        <f t="shared" si="5"/>
        <v>4592</v>
      </c>
      <c r="N97" s="6">
        <f t="shared" si="6"/>
        <v>3466</v>
      </c>
      <c r="O97" s="8">
        <f t="shared" si="7"/>
        <v>0.36561181434599155</v>
      </c>
    </row>
    <row r="98" spans="1:15" ht="17" customHeight="1">
      <c r="A98" s="1" t="s">
        <v>52</v>
      </c>
      <c r="B98" t="s">
        <v>53</v>
      </c>
      <c r="C98" s="1" t="s">
        <v>54</v>
      </c>
      <c r="D98" s="42" t="s">
        <v>55</v>
      </c>
      <c r="E98" t="s">
        <v>56</v>
      </c>
      <c r="G98" s="1">
        <v>9480</v>
      </c>
      <c r="H98" s="1">
        <v>1</v>
      </c>
      <c r="I98" s="1">
        <v>9480</v>
      </c>
      <c r="J98" s="1">
        <v>1</v>
      </c>
      <c r="K98" s="1">
        <f t="shared" si="4"/>
        <v>1422</v>
      </c>
      <c r="L98" s="6">
        <v>6390</v>
      </c>
      <c r="M98" s="6">
        <f t="shared" si="5"/>
        <v>6390</v>
      </c>
      <c r="N98" s="6">
        <f t="shared" si="6"/>
        <v>1668</v>
      </c>
      <c r="O98" s="8">
        <f t="shared" si="7"/>
        <v>0.17594936708860759</v>
      </c>
    </row>
    <row r="99" spans="1:15" ht="17" customHeight="1">
      <c r="A99" s="1" t="s">
        <v>2271</v>
      </c>
      <c r="B99" s="1"/>
      <c r="C99" s="1" t="s">
        <v>2272</v>
      </c>
      <c r="D99" s="42" t="s">
        <v>2273</v>
      </c>
      <c r="E99" s="1" t="s">
        <v>2274</v>
      </c>
      <c r="G99" s="1">
        <v>9380</v>
      </c>
      <c r="H99" s="1">
        <v>1</v>
      </c>
      <c r="I99" s="1">
        <v>9380</v>
      </c>
      <c r="J99" s="1">
        <v>1</v>
      </c>
      <c r="K99" s="1">
        <f t="shared" si="4"/>
        <v>1407</v>
      </c>
      <c r="L99" s="6">
        <v>5980</v>
      </c>
      <c r="M99" s="6">
        <f t="shared" si="5"/>
        <v>5980</v>
      </c>
      <c r="N99" s="6">
        <f t="shared" si="6"/>
        <v>1993</v>
      </c>
      <c r="O99" s="8">
        <f t="shared" si="7"/>
        <v>0.21247334754797442</v>
      </c>
    </row>
    <row r="100" spans="1:15" ht="17" customHeight="1">
      <c r="A100" s="1" t="s">
        <v>2275</v>
      </c>
      <c r="C100" s="1" t="s">
        <v>2276</v>
      </c>
      <c r="D100" s="42" t="s">
        <v>2277</v>
      </c>
      <c r="E100" t="s">
        <v>2278</v>
      </c>
      <c r="G100" s="1">
        <v>9280</v>
      </c>
      <c r="H100" s="1">
        <v>1</v>
      </c>
      <c r="I100" s="1">
        <v>9280</v>
      </c>
      <c r="J100" s="1">
        <v>1</v>
      </c>
      <c r="K100" s="1">
        <f t="shared" si="4"/>
        <v>1392</v>
      </c>
      <c r="L100" s="6">
        <v>5080</v>
      </c>
      <c r="M100" s="6">
        <f t="shared" si="5"/>
        <v>5080</v>
      </c>
      <c r="N100" s="6">
        <f t="shared" si="6"/>
        <v>2808</v>
      </c>
      <c r="O100" s="8">
        <f t="shared" si="7"/>
        <v>0.30258620689655175</v>
      </c>
    </row>
    <row r="101" spans="1:15" ht="17" customHeight="1">
      <c r="A101" s="1" t="s">
        <v>142</v>
      </c>
      <c r="C101" s="1" t="s">
        <v>143</v>
      </c>
      <c r="D101" s="42">
        <v>840414684973</v>
      </c>
      <c r="E101" t="s">
        <v>143</v>
      </c>
      <c r="G101" s="1">
        <v>9180</v>
      </c>
      <c r="H101" s="1">
        <v>1</v>
      </c>
      <c r="I101" s="1">
        <v>9180</v>
      </c>
      <c r="J101" s="1">
        <v>1</v>
      </c>
      <c r="K101" s="1">
        <f t="shared" si="4"/>
        <v>1377</v>
      </c>
      <c r="L101" s="6">
        <v>5980</v>
      </c>
      <c r="M101" s="6">
        <f t="shared" si="5"/>
        <v>5980</v>
      </c>
      <c r="N101" s="6">
        <f t="shared" si="6"/>
        <v>1823</v>
      </c>
      <c r="O101" s="8">
        <f t="shared" si="7"/>
        <v>0.1985838779956427</v>
      </c>
    </row>
    <row r="102" spans="1:15" ht="17" customHeight="1">
      <c r="A102" s="1" t="s">
        <v>2007</v>
      </c>
      <c r="C102" s="1" t="s">
        <v>2008</v>
      </c>
      <c r="D102" s="42" t="s">
        <v>2009</v>
      </c>
      <c r="E102" t="s">
        <v>2008</v>
      </c>
      <c r="G102" s="1">
        <v>4580</v>
      </c>
      <c r="H102" s="1">
        <v>2</v>
      </c>
      <c r="I102" s="1">
        <v>9160</v>
      </c>
      <c r="J102" s="1">
        <v>2</v>
      </c>
      <c r="K102" s="1">
        <f t="shared" si="4"/>
        <v>1374</v>
      </c>
      <c r="L102" s="6">
        <v>0</v>
      </c>
      <c r="M102" s="6">
        <f t="shared" si="5"/>
        <v>0</v>
      </c>
      <c r="N102" s="6">
        <f t="shared" si="6"/>
        <v>7786</v>
      </c>
      <c r="O102" s="8">
        <f t="shared" si="7"/>
        <v>0.85</v>
      </c>
    </row>
    <row r="103" spans="1:15" ht="17" customHeight="1">
      <c r="A103" s="1" t="s">
        <v>286</v>
      </c>
      <c r="B103" t="s">
        <v>133</v>
      </c>
      <c r="C103" s="1" t="s">
        <v>287</v>
      </c>
      <c r="D103" s="42" t="s">
        <v>288</v>
      </c>
      <c r="E103" t="s">
        <v>1554</v>
      </c>
      <c r="G103" s="1">
        <v>8980</v>
      </c>
      <c r="H103" s="1">
        <v>1</v>
      </c>
      <c r="I103" s="1">
        <v>8980</v>
      </c>
      <c r="J103" s="1">
        <v>1</v>
      </c>
      <c r="K103" s="1">
        <f t="shared" si="4"/>
        <v>1347</v>
      </c>
      <c r="L103" s="6">
        <v>5490</v>
      </c>
      <c r="M103" s="6">
        <f t="shared" si="5"/>
        <v>5490</v>
      </c>
      <c r="N103" s="6">
        <f t="shared" si="6"/>
        <v>2143</v>
      </c>
      <c r="O103" s="8">
        <f t="shared" si="7"/>
        <v>0.23864142538975502</v>
      </c>
    </row>
    <row r="104" spans="1:15" ht="17" customHeight="1">
      <c r="A104" s="1" t="s">
        <v>64</v>
      </c>
      <c r="C104" s="1" t="s">
        <v>65</v>
      </c>
      <c r="D104" s="42" t="s">
        <v>66</v>
      </c>
      <c r="E104" t="s">
        <v>65</v>
      </c>
      <c r="G104" s="1">
        <v>8980</v>
      </c>
      <c r="H104" s="1">
        <v>1</v>
      </c>
      <c r="I104" s="1">
        <v>8980</v>
      </c>
      <c r="J104" s="1">
        <v>1</v>
      </c>
      <c r="K104" s="1">
        <f t="shared" si="4"/>
        <v>1347</v>
      </c>
      <c r="L104" s="6">
        <v>5890</v>
      </c>
      <c r="M104" s="6">
        <f t="shared" si="5"/>
        <v>5890</v>
      </c>
      <c r="N104" s="6">
        <f t="shared" si="6"/>
        <v>1743</v>
      </c>
      <c r="O104" s="8">
        <f t="shared" si="7"/>
        <v>0.19409799554565701</v>
      </c>
    </row>
    <row r="105" spans="1:15" ht="17" customHeight="1">
      <c r="A105" s="1" t="s">
        <v>64</v>
      </c>
      <c r="B105" t="s">
        <v>212</v>
      </c>
      <c r="C105" s="1" t="s">
        <v>65</v>
      </c>
      <c r="D105" s="42" t="s">
        <v>66</v>
      </c>
      <c r="E105" t="s">
        <v>285</v>
      </c>
      <c r="G105" s="1">
        <v>8980</v>
      </c>
      <c r="H105" s="1">
        <v>1</v>
      </c>
      <c r="I105" s="1">
        <v>8980</v>
      </c>
      <c r="J105" s="1">
        <v>1</v>
      </c>
      <c r="K105" s="1">
        <f t="shared" si="4"/>
        <v>1347</v>
      </c>
      <c r="L105" s="6">
        <v>5890</v>
      </c>
      <c r="M105" s="6">
        <f t="shared" si="5"/>
        <v>5890</v>
      </c>
      <c r="N105" s="6">
        <f t="shared" si="6"/>
        <v>1743</v>
      </c>
      <c r="O105" s="8">
        <f t="shared" si="7"/>
        <v>0.19409799554565701</v>
      </c>
    </row>
    <row r="106" spans="1:15" ht="17" customHeight="1">
      <c r="A106" s="1" t="s">
        <v>399</v>
      </c>
      <c r="C106" s="1" t="s">
        <v>400</v>
      </c>
      <c r="D106" s="42" t="s">
        <v>2279</v>
      </c>
      <c r="E106" t="s">
        <v>400</v>
      </c>
      <c r="G106" s="1">
        <v>2980</v>
      </c>
      <c r="H106" s="1">
        <v>3</v>
      </c>
      <c r="I106" s="1">
        <v>8940</v>
      </c>
      <c r="J106" s="1">
        <v>3</v>
      </c>
      <c r="K106" s="1">
        <f t="shared" si="4"/>
        <v>1341</v>
      </c>
      <c r="L106" s="6">
        <v>850</v>
      </c>
      <c r="M106" s="6">
        <f t="shared" si="5"/>
        <v>2550</v>
      </c>
      <c r="N106" s="6">
        <f t="shared" si="6"/>
        <v>5049</v>
      </c>
      <c r="O106" s="8">
        <f t="shared" si="7"/>
        <v>0.56476510067114094</v>
      </c>
    </row>
    <row r="107" spans="1:15" ht="17" customHeight="1">
      <c r="A107" s="1" t="s">
        <v>144</v>
      </c>
      <c r="C107" s="1" t="s">
        <v>145</v>
      </c>
      <c r="D107" s="42" t="s">
        <v>146</v>
      </c>
      <c r="E107" t="s">
        <v>145</v>
      </c>
      <c r="G107" s="1">
        <v>2980</v>
      </c>
      <c r="H107" s="1">
        <v>3</v>
      </c>
      <c r="I107" s="1">
        <v>8940</v>
      </c>
      <c r="J107" s="1">
        <v>3</v>
      </c>
      <c r="K107" s="1">
        <f t="shared" si="4"/>
        <v>1341</v>
      </c>
      <c r="L107" s="6">
        <v>1338</v>
      </c>
      <c r="M107" s="6">
        <f t="shared" si="5"/>
        <v>4014</v>
      </c>
      <c r="N107" s="6">
        <f t="shared" si="6"/>
        <v>3585</v>
      </c>
      <c r="O107" s="8">
        <f t="shared" si="7"/>
        <v>0.40100671140939598</v>
      </c>
    </row>
    <row r="108" spans="1:15" ht="17" customHeight="1">
      <c r="A108" s="1" t="s">
        <v>436</v>
      </c>
      <c r="B108" s="1"/>
      <c r="C108" s="1" t="s">
        <v>437</v>
      </c>
      <c r="D108" s="42" t="s">
        <v>438</v>
      </c>
      <c r="E108" s="1" t="s">
        <v>437</v>
      </c>
      <c r="G108" s="1">
        <v>1780</v>
      </c>
      <c r="H108" s="1">
        <v>5</v>
      </c>
      <c r="I108" s="1">
        <v>8900</v>
      </c>
      <c r="J108" s="1">
        <v>4</v>
      </c>
      <c r="K108" s="1">
        <f t="shared" si="4"/>
        <v>1335</v>
      </c>
      <c r="L108" s="6">
        <v>730</v>
      </c>
      <c r="M108" s="6">
        <f t="shared" si="5"/>
        <v>3650</v>
      </c>
      <c r="N108" s="6">
        <f t="shared" si="6"/>
        <v>3915</v>
      </c>
      <c r="O108" s="8">
        <f t="shared" si="7"/>
        <v>0.43988764044943818</v>
      </c>
    </row>
    <row r="109" spans="1:15" ht="17" customHeight="1">
      <c r="A109" s="1" t="s">
        <v>1970</v>
      </c>
      <c r="C109" s="1">
        <v>4550391046515</v>
      </c>
      <c r="D109" s="42" t="s">
        <v>2280</v>
      </c>
      <c r="E109">
        <v>4550391046515</v>
      </c>
      <c r="G109" s="1">
        <v>1780</v>
      </c>
      <c r="H109" s="1">
        <v>5</v>
      </c>
      <c r="I109" s="1">
        <v>8900</v>
      </c>
      <c r="J109" s="1">
        <v>5</v>
      </c>
      <c r="K109" s="1">
        <f t="shared" si="4"/>
        <v>1335</v>
      </c>
      <c r="L109" s="6">
        <v>638</v>
      </c>
      <c r="M109" s="6">
        <f t="shared" si="5"/>
        <v>3190</v>
      </c>
      <c r="N109" s="6">
        <f t="shared" si="6"/>
        <v>4375</v>
      </c>
      <c r="O109" s="8">
        <f t="shared" si="7"/>
        <v>0.49157303370786515</v>
      </c>
    </row>
    <row r="110" spans="1:15" ht="17" customHeight="1">
      <c r="A110" s="1" t="s">
        <v>2015</v>
      </c>
      <c r="C110" s="1" t="s">
        <v>1001</v>
      </c>
      <c r="D110" s="42" t="s">
        <v>2281</v>
      </c>
      <c r="E110" t="s">
        <v>1001</v>
      </c>
      <c r="G110" s="1">
        <v>2913</v>
      </c>
      <c r="H110" s="1">
        <v>3</v>
      </c>
      <c r="I110" s="1">
        <v>8740</v>
      </c>
      <c r="J110" s="1">
        <v>3</v>
      </c>
      <c r="K110" s="1">
        <f t="shared" si="4"/>
        <v>1311</v>
      </c>
      <c r="L110" s="6">
        <v>1514</v>
      </c>
      <c r="M110" s="6">
        <f t="shared" si="5"/>
        <v>4542</v>
      </c>
      <c r="N110" s="6">
        <f t="shared" si="6"/>
        <v>2887</v>
      </c>
      <c r="O110" s="8">
        <f t="shared" si="7"/>
        <v>0.33032036613272309</v>
      </c>
    </row>
    <row r="111" spans="1:15" ht="17" customHeight="1">
      <c r="A111" s="1" t="s">
        <v>501</v>
      </c>
      <c r="C111" s="1" t="s">
        <v>502</v>
      </c>
      <c r="D111" s="42" t="s">
        <v>503</v>
      </c>
      <c r="E111" t="s">
        <v>504</v>
      </c>
      <c r="G111" s="1">
        <v>4280</v>
      </c>
      <c r="H111" s="1">
        <v>2</v>
      </c>
      <c r="I111" s="1">
        <v>8560</v>
      </c>
      <c r="J111" s="1">
        <v>2</v>
      </c>
      <c r="K111" s="1">
        <f t="shared" si="4"/>
        <v>1284</v>
      </c>
      <c r="L111" s="6">
        <v>1980</v>
      </c>
      <c r="M111" s="6">
        <f t="shared" si="5"/>
        <v>3960</v>
      </c>
      <c r="N111" s="6">
        <f t="shared" si="6"/>
        <v>3316</v>
      </c>
      <c r="O111" s="8">
        <f t="shared" si="7"/>
        <v>0.38738317757009344</v>
      </c>
    </row>
    <row r="112" spans="1:15" ht="17" customHeight="1">
      <c r="A112" s="1" t="s">
        <v>601</v>
      </c>
      <c r="B112" s="1"/>
      <c r="C112" s="1" t="s">
        <v>602</v>
      </c>
      <c r="D112" s="42" t="s">
        <v>603</v>
      </c>
      <c r="E112" s="1" t="s">
        <v>604</v>
      </c>
      <c r="G112" s="1">
        <v>1680</v>
      </c>
      <c r="H112" s="1">
        <v>5</v>
      </c>
      <c r="I112" s="1">
        <v>8400</v>
      </c>
      <c r="J112" s="1">
        <v>2</v>
      </c>
      <c r="K112" s="1">
        <f t="shared" si="4"/>
        <v>1260</v>
      </c>
      <c r="L112" s="6">
        <v>980</v>
      </c>
      <c r="M112" s="6">
        <f t="shared" si="5"/>
        <v>4900</v>
      </c>
      <c r="N112" s="6">
        <f t="shared" si="6"/>
        <v>2240</v>
      </c>
      <c r="O112" s="8">
        <f t="shared" si="7"/>
        <v>0.26666666666666666</v>
      </c>
    </row>
    <row r="113" spans="1:15" ht="17" customHeight="1">
      <c r="A113" s="1" t="s">
        <v>419</v>
      </c>
      <c r="C113" s="1" t="s">
        <v>420</v>
      </c>
      <c r="D113" s="42" t="s">
        <v>421</v>
      </c>
      <c r="E113" t="s">
        <v>420</v>
      </c>
      <c r="G113" s="1">
        <v>2780</v>
      </c>
      <c r="H113" s="1">
        <v>3</v>
      </c>
      <c r="I113" s="1">
        <v>8340</v>
      </c>
      <c r="J113" s="1">
        <v>3</v>
      </c>
      <c r="K113" s="1">
        <f t="shared" si="4"/>
        <v>1251</v>
      </c>
      <c r="L113" s="6">
        <v>1654</v>
      </c>
      <c r="M113" s="6">
        <f t="shared" si="5"/>
        <v>4962</v>
      </c>
      <c r="N113" s="6">
        <f t="shared" si="6"/>
        <v>2127</v>
      </c>
      <c r="O113" s="8">
        <f t="shared" si="7"/>
        <v>0.25503597122302157</v>
      </c>
    </row>
    <row r="114" spans="1:15" ht="17" customHeight="1">
      <c r="A114" s="1" t="s">
        <v>669</v>
      </c>
      <c r="C114" s="1" t="s">
        <v>670</v>
      </c>
      <c r="D114" s="42" t="s">
        <v>671</v>
      </c>
      <c r="E114" t="s">
        <v>670</v>
      </c>
      <c r="G114" s="1">
        <v>2713</v>
      </c>
      <c r="H114" s="1">
        <v>3</v>
      </c>
      <c r="I114" s="1">
        <v>8140</v>
      </c>
      <c r="J114" s="1">
        <v>2</v>
      </c>
      <c r="K114" s="1">
        <f t="shared" si="4"/>
        <v>1221</v>
      </c>
      <c r="L114" s="6">
        <v>1584</v>
      </c>
      <c r="M114" s="6">
        <f t="shared" si="5"/>
        <v>4752</v>
      </c>
      <c r="N114" s="6">
        <f t="shared" si="6"/>
        <v>2167</v>
      </c>
      <c r="O114" s="8">
        <f t="shared" si="7"/>
        <v>0.26621621621621622</v>
      </c>
    </row>
    <row r="115" spans="1:15" ht="17" customHeight="1">
      <c r="A115" s="1" t="s">
        <v>2282</v>
      </c>
      <c r="C115" s="1">
        <v>8720689024570</v>
      </c>
      <c r="D115" s="42" t="s">
        <v>2283</v>
      </c>
      <c r="E115">
        <v>8720689024570</v>
      </c>
      <c r="G115" s="1">
        <v>7980</v>
      </c>
      <c r="H115" s="1">
        <v>1</v>
      </c>
      <c r="I115" s="1">
        <v>7980</v>
      </c>
      <c r="J115" s="1">
        <v>1</v>
      </c>
      <c r="K115" s="1">
        <f t="shared" si="4"/>
        <v>1197</v>
      </c>
      <c r="L115" s="6">
        <v>5980</v>
      </c>
      <c r="M115" s="6">
        <f t="shared" si="5"/>
        <v>5980</v>
      </c>
      <c r="N115" s="6">
        <f t="shared" si="6"/>
        <v>803</v>
      </c>
      <c r="O115" s="8">
        <f t="shared" si="7"/>
        <v>0.10062656641604011</v>
      </c>
    </row>
    <row r="116" spans="1:15" ht="17" customHeight="1">
      <c r="A116" s="1" t="s">
        <v>305</v>
      </c>
      <c r="B116" t="s">
        <v>212</v>
      </c>
      <c r="C116" s="1" t="s">
        <v>306</v>
      </c>
      <c r="D116" s="42" t="s">
        <v>307</v>
      </c>
      <c r="E116" t="s">
        <v>309</v>
      </c>
      <c r="G116" s="1">
        <v>7980</v>
      </c>
      <c r="H116" s="1">
        <v>1</v>
      </c>
      <c r="I116" s="1">
        <v>7980</v>
      </c>
      <c r="J116" s="1">
        <v>1</v>
      </c>
      <c r="K116" s="1">
        <f t="shared" si="4"/>
        <v>1197</v>
      </c>
      <c r="L116" s="6">
        <v>4990</v>
      </c>
      <c r="M116" s="6">
        <f t="shared" si="5"/>
        <v>4990</v>
      </c>
      <c r="N116" s="6">
        <f t="shared" si="6"/>
        <v>1793</v>
      </c>
      <c r="O116" s="8">
        <f t="shared" si="7"/>
        <v>0.22468671679197996</v>
      </c>
    </row>
    <row r="117" spans="1:15" ht="17" customHeight="1">
      <c r="A117" s="1" t="s">
        <v>198</v>
      </c>
      <c r="C117" s="1" t="s">
        <v>199</v>
      </c>
      <c r="D117" s="42" t="s">
        <v>200</v>
      </c>
      <c r="E117" t="s">
        <v>199</v>
      </c>
      <c r="G117" s="1">
        <v>3980</v>
      </c>
      <c r="H117" s="1">
        <v>2</v>
      </c>
      <c r="I117" s="1">
        <v>7960</v>
      </c>
      <c r="J117" s="1">
        <v>2</v>
      </c>
      <c r="K117" s="1">
        <f t="shared" si="4"/>
        <v>1194</v>
      </c>
      <c r="L117" s="6">
        <v>1600</v>
      </c>
      <c r="M117" s="6">
        <f t="shared" si="5"/>
        <v>3200</v>
      </c>
      <c r="N117" s="6">
        <f t="shared" si="6"/>
        <v>3566</v>
      </c>
      <c r="O117" s="8">
        <f t="shared" si="7"/>
        <v>0.44798994974874373</v>
      </c>
    </row>
    <row r="118" spans="1:15" ht="17" customHeight="1">
      <c r="A118" s="1" t="s">
        <v>518</v>
      </c>
      <c r="C118" s="1" t="s">
        <v>519</v>
      </c>
      <c r="D118" s="42" t="s">
        <v>520</v>
      </c>
      <c r="E118" t="s">
        <v>519</v>
      </c>
      <c r="G118" s="1">
        <v>3980</v>
      </c>
      <c r="H118" s="1">
        <v>2</v>
      </c>
      <c r="I118" s="1">
        <v>7960</v>
      </c>
      <c r="J118" s="1">
        <v>2</v>
      </c>
      <c r="K118" s="1">
        <f t="shared" si="4"/>
        <v>1194</v>
      </c>
      <c r="L118" s="6">
        <v>2160</v>
      </c>
      <c r="M118" s="6">
        <f t="shared" si="5"/>
        <v>4320</v>
      </c>
      <c r="N118" s="6">
        <f t="shared" si="6"/>
        <v>2446</v>
      </c>
      <c r="O118" s="8">
        <f t="shared" si="7"/>
        <v>0.30728643216080403</v>
      </c>
    </row>
    <row r="119" spans="1:15" ht="17" customHeight="1">
      <c r="A119" s="1" t="s">
        <v>525</v>
      </c>
      <c r="C119" s="1" t="s">
        <v>526</v>
      </c>
      <c r="D119" s="42" t="s">
        <v>527</v>
      </c>
      <c r="E119" t="s">
        <v>526</v>
      </c>
      <c r="G119" s="1">
        <v>3980</v>
      </c>
      <c r="H119" s="1">
        <v>2</v>
      </c>
      <c r="I119" s="1">
        <v>7960</v>
      </c>
      <c r="J119" s="1">
        <v>2</v>
      </c>
      <c r="K119" s="1">
        <f t="shared" si="4"/>
        <v>1194</v>
      </c>
      <c r="L119" s="6">
        <v>972</v>
      </c>
      <c r="M119" s="6">
        <f t="shared" si="5"/>
        <v>1944</v>
      </c>
      <c r="N119" s="6">
        <f t="shared" si="6"/>
        <v>4822</v>
      </c>
      <c r="O119" s="8">
        <f t="shared" si="7"/>
        <v>0.60577889447236177</v>
      </c>
    </row>
    <row r="120" spans="1:15" ht="17" customHeight="1">
      <c r="A120" s="1" t="s">
        <v>1749</v>
      </c>
      <c r="C120" s="1" t="s">
        <v>1750</v>
      </c>
      <c r="D120" s="42" t="s">
        <v>2284</v>
      </c>
      <c r="E120" t="s">
        <v>2285</v>
      </c>
      <c r="G120" s="1">
        <v>3980</v>
      </c>
      <c r="H120" s="1">
        <v>2</v>
      </c>
      <c r="I120" s="1">
        <v>7960</v>
      </c>
      <c r="J120" s="1">
        <v>1</v>
      </c>
      <c r="K120" s="1">
        <f t="shared" si="4"/>
        <v>1194</v>
      </c>
      <c r="L120" s="6">
        <v>2110</v>
      </c>
      <c r="M120" s="6">
        <f t="shared" si="5"/>
        <v>4220</v>
      </c>
      <c r="N120" s="6">
        <f t="shared" si="6"/>
        <v>2546</v>
      </c>
      <c r="O120" s="8">
        <f t="shared" si="7"/>
        <v>0.31984924623115579</v>
      </c>
    </row>
    <row r="121" spans="1:15" ht="17" customHeight="1">
      <c r="A121" s="1" t="s">
        <v>1741</v>
      </c>
      <c r="B121" s="1"/>
      <c r="C121" s="1" t="s">
        <v>1742</v>
      </c>
      <c r="D121" s="42" t="s">
        <v>2286</v>
      </c>
      <c r="E121" s="1" t="s">
        <v>2287</v>
      </c>
      <c r="G121" s="1">
        <v>3980</v>
      </c>
      <c r="H121" s="1">
        <v>2</v>
      </c>
      <c r="I121" s="1">
        <v>7960</v>
      </c>
      <c r="J121" s="1">
        <v>1</v>
      </c>
      <c r="K121" s="1">
        <f t="shared" si="4"/>
        <v>1194</v>
      </c>
      <c r="L121" s="6">
        <v>1988</v>
      </c>
      <c r="M121" s="6">
        <f t="shared" si="5"/>
        <v>3976</v>
      </c>
      <c r="N121" s="6">
        <f t="shared" si="6"/>
        <v>2790</v>
      </c>
      <c r="O121" s="8">
        <f t="shared" si="7"/>
        <v>0.35050251256281406</v>
      </c>
    </row>
    <row r="122" spans="1:15" ht="17" customHeight="1">
      <c r="A122" s="1" t="s">
        <v>445</v>
      </c>
      <c r="C122" s="1" t="s">
        <v>446</v>
      </c>
      <c r="D122" s="42" t="s">
        <v>447</v>
      </c>
      <c r="E122" t="s">
        <v>448</v>
      </c>
      <c r="G122" s="1">
        <v>2580</v>
      </c>
      <c r="H122" s="1">
        <v>3</v>
      </c>
      <c r="I122" s="1">
        <v>7740</v>
      </c>
      <c r="J122" s="1">
        <v>3</v>
      </c>
      <c r="K122" s="1">
        <f t="shared" si="4"/>
        <v>1161</v>
      </c>
      <c r="L122" s="6">
        <v>1272</v>
      </c>
      <c r="M122" s="6">
        <f t="shared" si="5"/>
        <v>3816</v>
      </c>
      <c r="N122" s="6">
        <f t="shared" si="6"/>
        <v>2763</v>
      </c>
      <c r="O122" s="8">
        <f t="shared" si="7"/>
        <v>0.35697674418604652</v>
      </c>
    </row>
    <row r="123" spans="1:15" ht="17" customHeight="1">
      <c r="A123" s="1" t="s">
        <v>2288</v>
      </c>
      <c r="B123" s="1"/>
      <c r="C123" s="1" t="s">
        <v>2289</v>
      </c>
      <c r="D123" s="42" t="s">
        <v>2290</v>
      </c>
      <c r="E123" s="1" t="s">
        <v>2291</v>
      </c>
      <c r="G123" s="1">
        <v>2580</v>
      </c>
      <c r="H123" s="1">
        <v>3</v>
      </c>
      <c r="I123" s="1">
        <v>7740</v>
      </c>
      <c r="J123" s="1">
        <v>3</v>
      </c>
      <c r="K123" s="1">
        <f t="shared" si="4"/>
        <v>1161</v>
      </c>
      <c r="L123" s="6">
        <v>874</v>
      </c>
      <c r="M123" s="6">
        <f t="shared" si="5"/>
        <v>2622</v>
      </c>
      <c r="N123" s="6">
        <f t="shared" si="6"/>
        <v>3957</v>
      </c>
      <c r="O123" s="8">
        <f t="shared" si="7"/>
        <v>0.51124031007751936</v>
      </c>
    </row>
    <row r="124" spans="1:15" ht="17" customHeight="1">
      <c r="A124" s="1" t="s">
        <v>1994</v>
      </c>
      <c r="C124" s="1" t="s">
        <v>1995</v>
      </c>
      <c r="D124" s="42" t="s">
        <v>2292</v>
      </c>
      <c r="E124" t="s">
        <v>1995</v>
      </c>
      <c r="G124" s="1">
        <v>2580</v>
      </c>
      <c r="H124" s="1">
        <v>3</v>
      </c>
      <c r="I124" s="1">
        <v>7740</v>
      </c>
      <c r="J124" s="1">
        <v>3</v>
      </c>
      <c r="K124" s="1">
        <f t="shared" si="4"/>
        <v>1161</v>
      </c>
      <c r="L124" s="6">
        <v>1272</v>
      </c>
      <c r="M124" s="6">
        <f t="shared" si="5"/>
        <v>3816</v>
      </c>
      <c r="N124" s="6">
        <f t="shared" si="6"/>
        <v>2763</v>
      </c>
      <c r="O124" s="8">
        <f t="shared" si="7"/>
        <v>0.35697674418604652</v>
      </c>
    </row>
    <row r="125" spans="1:15" ht="17" customHeight="1">
      <c r="A125" s="1" t="s">
        <v>1634</v>
      </c>
      <c r="B125" t="s">
        <v>133</v>
      </c>
      <c r="C125" s="1" t="s">
        <v>229</v>
      </c>
      <c r="D125" s="42" t="s">
        <v>230</v>
      </c>
      <c r="E125" t="s">
        <v>449</v>
      </c>
      <c r="G125" s="1">
        <v>1280</v>
      </c>
      <c r="H125" s="1">
        <v>6</v>
      </c>
      <c r="I125" s="1">
        <v>7680</v>
      </c>
      <c r="J125" s="1">
        <v>5</v>
      </c>
      <c r="K125" s="1">
        <f t="shared" si="4"/>
        <v>1152</v>
      </c>
      <c r="L125" s="6">
        <v>504</v>
      </c>
      <c r="M125" s="6">
        <f t="shared" si="5"/>
        <v>3024</v>
      </c>
      <c r="N125" s="6">
        <f t="shared" si="6"/>
        <v>3504</v>
      </c>
      <c r="O125" s="8">
        <f t="shared" si="7"/>
        <v>0.45624999999999999</v>
      </c>
    </row>
    <row r="126" spans="1:15" ht="17" customHeight="1">
      <c r="A126" s="1" t="s">
        <v>337</v>
      </c>
      <c r="B126" t="s">
        <v>133</v>
      </c>
      <c r="C126" s="1" t="s">
        <v>338</v>
      </c>
      <c r="D126" s="42" t="s">
        <v>339</v>
      </c>
      <c r="E126" t="s">
        <v>1647</v>
      </c>
      <c r="G126" s="1">
        <v>7480</v>
      </c>
      <c r="H126" s="1">
        <v>1</v>
      </c>
      <c r="I126" s="1">
        <v>7480</v>
      </c>
      <c r="J126" s="1">
        <v>1</v>
      </c>
      <c r="K126" s="1">
        <f t="shared" si="4"/>
        <v>1122</v>
      </c>
      <c r="L126" s="6">
        <v>4490</v>
      </c>
      <c r="M126" s="6">
        <f t="shared" si="5"/>
        <v>4490</v>
      </c>
      <c r="N126" s="6">
        <f t="shared" si="6"/>
        <v>1868</v>
      </c>
      <c r="O126" s="8">
        <f t="shared" si="7"/>
        <v>0.24973262032085561</v>
      </c>
    </row>
    <row r="127" spans="1:15" ht="17" customHeight="1">
      <c r="A127" s="1" t="s">
        <v>1566</v>
      </c>
      <c r="B127" t="s">
        <v>1567</v>
      </c>
      <c r="C127" s="1" t="s">
        <v>1568</v>
      </c>
      <c r="D127" s="42">
        <v>4980</v>
      </c>
      <c r="E127" t="s">
        <v>1569</v>
      </c>
      <c r="G127" s="1">
        <v>7480</v>
      </c>
      <c r="H127" s="1">
        <v>1</v>
      </c>
      <c r="I127" s="1">
        <v>7480</v>
      </c>
      <c r="J127" s="1">
        <v>1</v>
      </c>
      <c r="K127" s="1">
        <f t="shared" si="4"/>
        <v>1122</v>
      </c>
      <c r="L127" s="6">
        <v>4980</v>
      </c>
      <c r="M127" s="6">
        <f t="shared" si="5"/>
        <v>4980</v>
      </c>
      <c r="N127" s="6">
        <f t="shared" si="6"/>
        <v>1378</v>
      </c>
      <c r="O127" s="8">
        <f t="shared" si="7"/>
        <v>0.18422459893048129</v>
      </c>
    </row>
    <row r="128" spans="1:15" ht="17" customHeight="1">
      <c r="A128" s="1" t="s">
        <v>462</v>
      </c>
      <c r="C128" s="1" t="s">
        <v>463</v>
      </c>
      <c r="D128" s="41" t="s">
        <v>464</v>
      </c>
      <c r="E128" t="s">
        <v>463</v>
      </c>
      <c r="G128" s="1">
        <v>2480</v>
      </c>
      <c r="H128" s="1">
        <v>3</v>
      </c>
      <c r="I128" s="1">
        <v>7440</v>
      </c>
      <c r="J128" s="1">
        <v>3</v>
      </c>
      <c r="K128" s="1">
        <f t="shared" si="4"/>
        <v>1116</v>
      </c>
      <c r="L128" s="6">
        <v>1356</v>
      </c>
      <c r="M128" s="6">
        <f t="shared" si="5"/>
        <v>4068</v>
      </c>
      <c r="N128" s="6">
        <f t="shared" si="6"/>
        <v>2256</v>
      </c>
      <c r="O128" s="8">
        <f t="shared" si="7"/>
        <v>0.3032258064516129</v>
      </c>
    </row>
    <row r="129" spans="1:15" ht="17" customHeight="1">
      <c r="A129" s="1" t="s">
        <v>692</v>
      </c>
      <c r="B129" s="1" t="s">
        <v>693</v>
      </c>
      <c r="C129" s="1" t="s">
        <v>694</v>
      </c>
      <c r="D129" s="42" t="s">
        <v>695</v>
      </c>
      <c r="E129" s="1" t="s">
        <v>696</v>
      </c>
      <c r="G129" s="1">
        <v>2480</v>
      </c>
      <c r="H129" s="1">
        <v>3</v>
      </c>
      <c r="I129" s="1">
        <v>7440</v>
      </c>
      <c r="J129" s="1">
        <v>3</v>
      </c>
      <c r="K129" s="1">
        <f t="shared" si="4"/>
        <v>1116</v>
      </c>
      <c r="L129" s="6">
        <v>803</v>
      </c>
      <c r="M129" s="6">
        <f t="shared" si="5"/>
        <v>2409</v>
      </c>
      <c r="N129" s="6">
        <f t="shared" si="6"/>
        <v>3915</v>
      </c>
      <c r="O129" s="8">
        <f t="shared" si="7"/>
        <v>0.52620967741935487</v>
      </c>
    </row>
    <row r="130" spans="1:15" ht="17" customHeight="1">
      <c r="A130" s="1" t="s">
        <v>699</v>
      </c>
      <c r="C130" s="1" t="s">
        <v>700</v>
      </c>
      <c r="D130" s="42" t="s">
        <v>701</v>
      </c>
      <c r="E130" t="s">
        <v>700</v>
      </c>
      <c r="G130" s="1">
        <v>2480</v>
      </c>
      <c r="H130" s="1">
        <v>3</v>
      </c>
      <c r="I130" s="1">
        <v>7440</v>
      </c>
      <c r="J130" s="1">
        <v>2</v>
      </c>
      <c r="K130" s="1">
        <f t="shared" si="4"/>
        <v>1116</v>
      </c>
      <c r="L130" s="6">
        <v>612</v>
      </c>
      <c r="M130" s="6">
        <f t="shared" si="5"/>
        <v>1836</v>
      </c>
      <c r="N130" s="6">
        <f t="shared" si="6"/>
        <v>4488</v>
      </c>
      <c r="O130" s="8">
        <f t="shared" si="7"/>
        <v>0.60322580645161294</v>
      </c>
    </row>
    <row r="131" spans="1:15" ht="17" customHeight="1">
      <c r="A131" s="1" t="s">
        <v>2033</v>
      </c>
      <c r="C131" s="1" t="s">
        <v>2034</v>
      </c>
      <c r="D131" s="42" t="s">
        <v>2035</v>
      </c>
      <c r="E131" t="s">
        <v>2034</v>
      </c>
      <c r="G131" s="1">
        <v>6980</v>
      </c>
      <c r="H131" s="1">
        <v>1</v>
      </c>
      <c r="I131" s="1">
        <v>6980</v>
      </c>
      <c r="J131" s="1">
        <v>1</v>
      </c>
      <c r="K131" s="1">
        <f t="shared" si="4"/>
        <v>1047</v>
      </c>
      <c r="L131" s="6">
        <v>3500</v>
      </c>
      <c r="M131" s="6">
        <f t="shared" si="5"/>
        <v>3500</v>
      </c>
      <c r="N131" s="6">
        <f t="shared" si="6"/>
        <v>2433</v>
      </c>
      <c r="O131" s="8">
        <f t="shared" si="7"/>
        <v>0.34856733524355299</v>
      </c>
    </row>
    <row r="132" spans="1:15" ht="17" customHeight="1">
      <c r="A132" s="1" t="s">
        <v>1204</v>
      </c>
      <c r="B132" t="s">
        <v>1208</v>
      </c>
      <c r="C132" s="1" t="s">
        <v>1205</v>
      </c>
      <c r="D132" s="42" t="s">
        <v>1206</v>
      </c>
      <c r="E132" t="s">
        <v>1209</v>
      </c>
      <c r="G132" s="1">
        <v>3480</v>
      </c>
      <c r="H132" s="1">
        <v>2</v>
      </c>
      <c r="I132" s="1">
        <v>6960</v>
      </c>
      <c r="J132" s="1">
        <v>2</v>
      </c>
      <c r="K132" s="1">
        <f t="shared" si="4"/>
        <v>1044</v>
      </c>
      <c r="L132" s="6">
        <v>1014</v>
      </c>
      <c r="M132" s="6">
        <f t="shared" si="5"/>
        <v>2028</v>
      </c>
      <c r="N132" s="6">
        <f t="shared" si="6"/>
        <v>3888</v>
      </c>
      <c r="O132" s="8">
        <f t="shared" si="7"/>
        <v>0.55862068965517242</v>
      </c>
    </row>
    <row r="133" spans="1:15" ht="17" customHeight="1">
      <c r="A133" s="1" t="s">
        <v>483</v>
      </c>
      <c r="C133" s="1" t="s">
        <v>484</v>
      </c>
      <c r="D133" s="42" t="s">
        <v>485</v>
      </c>
      <c r="E133" t="s">
        <v>484</v>
      </c>
      <c r="G133" s="1">
        <v>2280</v>
      </c>
      <c r="H133" s="1">
        <v>3</v>
      </c>
      <c r="I133" s="1">
        <v>6840</v>
      </c>
      <c r="J133" s="1">
        <v>3</v>
      </c>
      <c r="K133" s="1">
        <f t="shared" si="4"/>
        <v>1026</v>
      </c>
      <c r="L133" s="6">
        <v>1254</v>
      </c>
      <c r="M133" s="6">
        <f t="shared" si="5"/>
        <v>3762</v>
      </c>
      <c r="N133" s="6">
        <f t="shared" si="6"/>
        <v>2052</v>
      </c>
      <c r="O133" s="8">
        <f t="shared" si="7"/>
        <v>0.3</v>
      </c>
    </row>
    <row r="134" spans="1:15" ht="17" customHeight="1">
      <c r="A134" s="1" t="s">
        <v>1622</v>
      </c>
      <c r="C134" s="1" t="s">
        <v>1623</v>
      </c>
      <c r="D134" s="42" t="s">
        <v>1624</v>
      </c>
      <c r="E134" t="s">
        <v>1623</v>
      </c>
      <c r="G134" s="1">
        <v>6653</v>
      </c>
      <c r="H134" s="1">
        <v>1</v>
      </c>
      <c r="I134" s="1">
        <v>6653</v>
      </c>
      <c r="J134" s="1">
        <v>1</v>
      </c>
      <c r="K134" s="1">
        <f t="shared" si="4"/>
        <v>997.94999999999993</v>
      </c>
      <c r="L134" s="6">
        <v>10947</v>
      </c>
      <c r="M134" s="6">
        <f t="shared" si="5"/>
        <v>10947</v>
      </c>
      <c r="N134" s="6">
        <f t="shared" si="6"/>
        <v>-5291.95</v>
      </c>
      <c r="O134" s="8">
        <f t="shared" si="7"/>
        <v>-0.79542311739065086</v>
      </c>
    </row>
    <row r="135" spans="1:15" ht="17" customHeight="1">
      <c r="A135" s="1" t="s">
        <v>2005</v>
      </c>
      <c r="C135" s="1" t="s">
        <v>1118</v>
      </c>
      <c r="D135" s="42" t="s">
        <v>2293</v>
      </c>
      <c r="E135" t="s">
        <v>1118</v>
      </c>
      <c r="G135" s="1">
        <v>3280</v>
      </c>
      <c r="H135" s="1">
        <v>2</v>
      </c>
      <c r="I135" s="1">
        <v>6560</v>
      </c>
      <c r="J135" s="1">
        <v>2</v>
      </c>
      <c r="K135" s="1">
        <f t="shared" si="4"/>
        <v>984</v>
      </c>
      <c r="L135" s="6">
        <v>1508</v>
      </c>
      <c r="M135" s="6">
        <f t="shared" si="5"/>
        <v>3016</v>
      </c>
      <c r="N135" s="6">
        <f t="shared" si="6"/>
        <v>2560</v>
      </c>
      <c r="O135" s="8">
        <f t="shared" si="7"/>
        <v>0.3902439024390244</v>
      </c>
    </row>
    <row r="136" spans="1:15" ht="17" customHeight="1">
      <c r="A136" s="1" t="s">
        <v>732</v>
      </c>
      <c r="C136" s="1" t="s">
        <v>733</v>
      </c>
      <c r="D136" s="42" t="s">
        <v>734</v>
      </c>
      <c r="E136" t="s">
        <v>733</v>
      </c>
      <c r="G136" s="1">
        <v>2180</v>
      </c>
      <c r="H136" s="1">
        <v>3</v>
      </c>
      <c r="I136" s="1">
        <v>6540</v>
      </c>
      <c r="J136" s="1">
        <v>3</v>
      </c>
      <c r="K136" s="1">
        <f t="shared" ref="K136:K199" si="8">SUM(I136*0.15)</f>
        <v>981</v>
      </c>
      <c r="L136" s="6">
        <v>1130</v>
      </c>
      <c r="M136" s="6">
        <f t="shared" ref="M136:M199" si="9">SUM(H136*L136)</f>
        <v>3390</v>
      </c>
      <c r="N136" s="6">
        <f t="shared" ref="N136:N199" si="10">SUM(I136-K136-M136)</f>
        <v>2169</v>
      </c>
      <c r="O136" s="8">
        <f t="shared" ref="O136:O199" si="11">IF(I136=0,"",N136/I136)</f>
        <v>0.33165137614678897</v>
      </c>
    </row>
    <row r="137" spans="1:15" ht="17" customHeight="1">
      <c r="A137" s="1" t="s">
        <v>675</v>
      </c>
      <c r="B137" s="1"/>
      <c r="C137" s="1" t="s">
        <v>676</v>
      </c>
      <c r="D137" s="42" t="s">
        <v>677</v>
      </c>
      <c r="E137" s="1" t="s">
        <v>676</v>
      </c>
      <c r="G137" s="1">
        <v>1280</v>
      </c>
      <c r="H137" s="1">
        <v>5</v>
      </c>
      <c r="I137" s="1">
        <v>6400</v>
      </c>
      <c r="J137" s="1">
        <v>4</v>
      </c>
      <c r="K137" s="1">
        <f t="shared" si="8"/>
        <v>960</v>
      </c>
      <c r="L137" s="6">
        <v>460</v>
      </c>
      <c r="M137" s="6">
        <f t="shared" si="9"/>
        <v>2300</v>
      </c>
      <c r="N137" s="6">
        <f t="shared" si="10"/>
        <v>3140</v>
      </c>
      <c r="O137" s="8">
        <f t="shared" si="11"/>
        <v>0.49062499999999998</v>
      </c>
    </row>
    <row r="138" spans="1:15" ht="17" customHeight="1">
      <c r="A138" s="1" t="s">
        <v>2294</v>
      </c>
      <c r="C138" s="1" t="s">
        <v>2295</v>
      </c>
      <c r="D138" s="42" t="s">
        <v>2296</v>
      </c>
      <c r="E138" t="s">
        <v>2295</v>
      </c>
      <c r="G138" s="1">
        <v>1280</v>
      </c>
      <c r="H138" s="1">
        <v>5</v>
      </c>
      <c r="I138" s="1">
        <v>6400</v>
      </c>
      <c r="J138" s="1">
        <v>1</v>
      </c>
      <c r="K138" s="1">
        <f t="shared" si="8"/>
        <v>960</v>
      </c>
      <c r="L138" s="6">
        <v>332</v>
      </c>
      <c r="M138" s="6">
        <f t="shared" si="9"/>
        <v>1660</v>
      </c>
      <c r="N138" s="6">
        <f t="shared" si="10"/>
        <v>3780</v>
      </c>
      <c r="O138" s="8">
        <f t="shared" si="11"/>
        <v>0.59062499999999996</v>
      </c>
    </row>
    <row r="139" spans="1:15" ht="17" customHeight="1">
      <c r="A139" s="1" t="s">
        <v>1655</v>
      </c>
      <c r="C139" s="1" t="s">
        <v>1656</v>
      </c>
      <c r="D139" s="42" t="s">
        <v>1657</v>
      </c>
      <c r="E139" t="s">
        <v>2297</v>
      </c>
      <c r="G139" s="1">
        <v>999</v>
      </c>
      <c r="H139" s="1">
        <v>6</v>
      </c>
      <c r="I139" s="1">
        <v>5994</v>
      </c>
      <c r="J139" s="1">
        <v>4</v>
      </c>
      <c r="K139" s="1">
        <f t="shared" si="8"/>
        <v>899.1</v>
      </c>
      <c r="L139" s="6">
        <v>730</v>
      </c>
      <c r="M139" s="6">
        <f t="shared" si="9"/>
        <v>4380</v>
      </c>
      <c r="N139" s="6">
        <f t="shared" si="10"/>
        <v>714.89999999999964</v>
      </c>
      <c r="O139" s="8">
        <f t="shared" si="11"/>
        <v>0.11926926926926922</v>
      </c>
    </row>
    <row r="140" spans="1:15" ht="17" customHeight="1">
      <c r="A140" s="1" t="s">
        <v>2298</v>
      </c>
      <c r="B140" s="1"/>
      <c r="C140" s="1" t="s">
        <v>1659</v>
      </c>
      <c r="D140" s="42" t="s">
        <v>2299</v>
      </c>
      <c r="E140" s="1" t="s">
        <v>1659</v>
      </c>
      <c r="G140" s="1">
        <v>5980</v>
      </c>
      <c r="H140" s="1">
        <v>1</v>
      </c>
      <c r="I140" s="1">
        <v>5980</v>
      </c>
      <c r="J140" s="1">
        <v>1</v>
      </c>
      <c r="K140" s="1">
        <f t="shared" si="8"/>
        <v>897</v>
      </c>
      <c r="L140" s="6">
        <v>2690</v>
      </c>
      <c r="M140" s="6">
        <f t="shared" si="9"/>
        <v>2690</v>
      </c>
      <c r="N140" s="6">
        <f t="shared" si="10"/>
        <v>2393</v>
      </c>
      <c r="O140" s="8">
        <f t="shared" si="11"/>
        <v>0.40016722408026756</v>
      </c>
    </row>
    <row r="141" spans="1:15" ht="17" customHeight="1">
      <c r="A141" s="1" t="s">
        <v>2300</v>
      </c>
      <c r="B141" s="1"/>
      <c r="C141" s="1" t="s">
        <v>2301</v>
      </c>
      <c r="D141" s="42" t="s">
        <v>2302</v>
      </c>
      <c r="E141" s="1" t="s">
        <v>2303</v>
      </c>
      <c r="G141" s="1">
        <v>5980</v>
      </c>
      <c r="H141" s="1">
        <v>1</v>
      </c>
      <c r="I141" s="1">
        <v>5980</v>
      </c>
      <c r="J141" s="1">
        <v>1</v>
      </c>
      <c r="K141" s="1">
        <f t="shared" si="8"/>
        <v>897</v>
      </c>
      <c r="L141" s="6">
        <v>3280</v>
      </c>
      <c r="M141" s="6">
        <f t="shared" si="9"/>
        <v>3280</v>
      </c>
      <c r="N141" s="6">
        <f t="shared" si="10"/>
        <v>1803</v>
      </c>
      <c r="O141" s="8">
        <f t="shared" si="11"/>
        <v>0.30150501672240804</v>
      </c>
    </row>
    <row r="142" spans="1:15" ht="17" customHeight="1">
      <c r="A142" s="1" t="s">
        <v>195</v>
      </c>
      <c r="C142" s="1" t="s">
        <v>196</v>
      </c>
      <c r="D142" s="42" t="s">
        <v>197</v>
      </c>
      <c r="E142" t="s">
        <v>196</v>
      </c>
      <c r="G142" s="1">
        <v>5980</v>
      </c>
      <c r="H142" s="1">
        <v>1</v>
      </c>
      <c r="I142" s="1">
        <v>5980</v>
      </c>
      <c r="J142" s="1">
        <v>1</v>
      </c>
      <c r="K142" s="1">
        <f t="shared" si="8"/>
        <v>897</v>
      </c>
      <c r="L142" s="6">
        <v>3990</v>
      </c>
      <c r="M142" s="6">
        <f t="shared" si="9"/>
        <v>3990</v>
      </c>
      <c r="N142" s="6">
        <f t="shared" si="10"/>
        <v>1093</v>
      </c>
      <c r="O142" s="8">
        <f t="shared" si="11"/>
        <v>0.18277591973244148</v>
      </c>
    </row>
    <row r="143" spans="1:15" ht="17" customHeight="1">
      <c r="A143" s="1" t="s">
        <v>2125</v>
      </c>
      <c r="B143" t="s">
        <v>1279</v>
      </c>
      <c r="C143" s="1" t="s">
        <v>1280</v>
      </c>
      <c r="D143" s="42">
        <v>4906456568056</v>
      </c>
      <c r="E143" t="s">
        <v>1282</v>
      </c>
      <c r="G143" s="1">
        <v>2980</v>
      </c>
      <c r="H143" s="1">
        <v>2</v>
      </c>
      <c r="I143" s="1">
        <v>5960</v>
      </c>
      <c r="J143" s="1">
        <v>2</v>
      </c>
      <c r="K143" s="1">
        <f t="shared" si="8"/>
        <v>894</v>
      </c>
      <c r="L143" s="6">
        <v>286</v>
      </c>
      <c r="M143" s="6">
        <f t="shared" si="9"/>
        <v>572</v>
      </c>
      <c r="N143" s="6">
        <f t="shared" si="10"/>
        <v>4494</v>
      </c>
      <c r="O143" s="8">
        <f t="shared" si="11"/>
        <v>0.75402684563758393</v>
      </c>
    </row>
    <row r="144" spans="1:15" ht="17" customHeight="1">
      <c r="A144" s="1" t="s">
        <v>2006</v>
      </c>
      <c r="C144" s="1" t="s">
        <v>1093</v>
      </c>
      <c r="D144" s="42" t="s">
        <v>1094</v>
      </c>
      <c r="E144" t="s">
        <v>1093</v>
      </c>
      <c r="G144" s="1">
        <v>2980</v>
      </c>
      <c r="H144" s="1">
        <v>2</v>
      </c>
      <c r="I144" s="1">
        <v>5960</v>
      </c>
      <c r="J144" s="1">
        <v>2</v>
      </c>
      <c r="K144" s="1">
        <f t="shared" si="8"/>
        <v>894</v>
      </c>
      <c r="L144" s="6">
        <v>1356</v>
      </c>
      <c r="M144" s="6">
        <f t="shared" si="9"/>
        <v>2712</v>
      </c>
      <c r="N144" s="6">
        <f t="shared" si="10"/>
        <v>2354</v>
      </c>
      <c r="O144" s="8">
        <f t="shared" si="11"/>
        <v>0.39496644295302014</v>
      </c>
    </row>
    <row r="145" spans="1:15" ht="17" customHeight="1">
      <c r="A145" s="1" t="s">
        <v>2304</v>
      </c>
      <c r="C145" s="1" t="s">
        <v>1571</v>
      </c>
      <c r="D145" s="42" t="s">
        <v>1572</v>
      </c>
      <c r="E145" t="s">
        <v>1571</v>
      </c>
      <c r="G145" s="1">
        <v>2980</v>
      </c>
      <c r="H145" s="1">
        <v>2</v>
      </c>
      <c r="I145" s="1">
        <v>5960</v>
      </c>
      <c r="J145" s="1">
        <v>2</v>
      </c>
      <c r="K145" s="1">
        <f t="shared" si="8"/>
        <v>894</v>
      </c>
      <c r="L145" s="6">
        <v>1314</v>
      </c>
      <c r="M145" s="6">
        <f t="shared" si="9"/>
        <v>2628</v>
      </c>
      <c r="N145" s="6">
        <f t="shared" si="10"/>
        <v>2438</v>
      </c>
      <c r="O145" s="8">
        <f t="shared" si="11"/>
        <v>0.40906040268456378</v>
      </c>
    </row>
    <row r="146" spans="1:15" ht="17" customHeight="1">
      <c r="A146" s="1" t="s">
        <v>2305</v>
      </c>
      <c r="C146" s="1" t="s">
        <v>2306</v>
      </c>
      <c r="D146" s="42" t="s">
        <v>2307</v>
      </c>
      <c r="E146" t="s">
        <v>2308</v>
      </c>
      <c r="G146" s="1">
        <v>2980</v>
      </c>
      <c r="H146" s="1">
        <v>2</v>
      </c>
      <c r="I146" s="1">
        <v>5960</v>
      </c>
      <c r="J146" s="1">
        <v>2</v>
      </c>
      <c r="K146" s="1">
        <f t="shared" si="8"/>
        <v>894</v>
      </c>
      <c r="L146" s="6">
        <v>1584</v>
      </c>
      <c r="M146" s="6">
        <f t="shared" si="9"/>
        <v>3168</v>
      </c>
      <c r="N146" s="6">
        <f t="shared" si="10"/>
        <v>1898</v>
      </c>
      <c r="O146" s="8">
        <f t="shared" si="11"/>
        <v>0.31845637583892616</v>
      </c>
    </row>
    <row r="147" spans="1:15" ht="17" customHeight="1">
      <c r="A147" s="1" t="s">
        <v>1305</v>
      </c>
      <c r="C147" s="1" t="s">
        <v>1306</v>
      </c>
      <c r="D147" s="42" t="s">
        <v>2309</v>
      </c>
      <c r="E147" t="s">
        <v>1306</v>
      </c>
      <c r="G147" s="1">
        <v>2980</v>
      </c>
      <c r="H147" s="1">
        <v>2</v>
      </c>
      <c r="I147" s="1">
        <v>5960</v>
      </c>
      <c r="J147" s="1">
        <v>2</v>
      </c>
      <c r="K147" s="1">
        <f t="shared" si="8"/>
        <v>894</v>
      </c>
      <c r="L147" s="6">
        <v>574</v>
      </c>
      <c r="M147" s="6">
        <f t="shared" si="9"/>
        <v>1148</v>
      </c>
      <c r="N147" s="6">
        <f t="shared" si="10"/>
        <v>3918</v>
      </c>
      <c r="O147" s="8">
        <f t="shared" si="11"/>
        <v>0.65738255033557047</v>
      </c>
    </row>
    <row r="148" spans="1:15" ht="17" customHeight="1">
      <c r="A148" s="1" t="s">
        <v>394</v>
      </c>
      <c r="B148" s="1" t="s">
        <v>1303</v>
      </c>
      <c r="C148" s="1" t="s">
        <v>396</v>
      </c>
      <c r="D148" s="42" t="s">
        <v>397</v>
      </c>
      <c r="E148" s="1" t="s">
        <v>1304</v>
      </c>
      <c r="G148" s="1">
        <v>2980</v>
      </c>
      <c r="H148" s="1">
        <v>2</v>
      </c>
      <c r="I148" s="1">
        <v>5960</v>
      </c>
      <c r="J148" s="1">
        <v>1</v>
      </c>
      <c r="K148" s="1">
        <f t="shared" si="8"/>
        <v>894</v>
      </c>
      <c r="L148" s="6">
        <v>1390</v>
      </c>
      <c r="M148" s="6">
        <f t="shared" si="9"/>
        <v>2780</v>
      </c>
      <c r="N148" s="6">
        <f t="shared" si="10"/>
        <v>2286</v>
      </c>
      <c r="O148" s="8">
        <f t="shared" si="11"/>
        <v>0.38355704697986576</v>
      </c>
    </row>
    <row r="149" spans="1:15" ht="17" customHeight="1">
      <c r="A149" s="1" t="s">
        <v>442</v>
      </c>
      <c r="C149" s="1" t="s">
        <v>443</v>
      </c>
      <c r="D149" s="42" t="s">
        <v>444</v>
      </c>
      <c r="E149" t="s">
        <v>443</v>
      </c>
      <c r="G149" s="1">
        <v>5480</v>
      </c>
      <c r="H149" s="1">
        <v>1</v>
      </c>
      <c r="I149" s="1">
        <v>5480</v>
      </c>
      <c r="J149" s="1">
        <v>1</v>
      </c>
      <c r="K149" s="1">
        <f t="shared" si="8"/>
        <v>822</v>
      </c>
      <c r="L149" s="6">
        <v>2649</v>
      </c>
      <c r="M149" s="6">
        <f t="shared" si="9"/>
        <v>2649</v>
      </c>
      <c r="N149" s="6">
        <f t="shared" si="10"/>
        <v>2009</v>
      </c>
      <c r="O149" s="8">
        <f t="shared" si="11"/>
        <v>0.3666058394160584</v>
      </c>
    </row>
    <row r="150" spans="1:15" ht="17" customHeight="1">
      <c r="A150" s="1" t="s">
        <v>430</v>
      </c>
      <c r="C150" s="1" t="s">
        <v>431</v>
      </c>
      <c r="D150" s="42" t="s">
        <v>432</v>
      </c>
      <c r="E150" t="s">
        <v>431</v>
      </c>
      <c r="G150" s="1">
        <v>5480</v>
      </c>
      <c r="H150" s="1">
        <v>1</v>
      </c>
      <c r="I150" s="1">
        <v>5480</v>
      </c>
      <c r="J150" s="1">
        <v>1</v>
      </c>
      <c r="K150" s="1">
        <f t="shared" si="8"/>
        <v>822</v>
      </c>
      <c r="L150" s="6">
        <v>2691</v>
      </c>
      <c r="M150" s="6">
        <f t="shared" si="9"/>
        <v>2691</v>
      </c>
      <c r="N150" s="6">
        <f t="shared" si="10"/>
        <v>1967</v>
      </c>
      <c r="O150" s="8">
        <f t="shared" si="11"/>
        <v>0.35894160583941603</v>
      </c>
    </row>
    <row r="151" spans="1:15" ht="17" customHeight="1">
      <c r="A151" s="1" t="s">
        <v>439</v>
      </c>
      <c r="C151" s="1" t="s">
        <v>440</v>
      </c>
      <c r="D151" s="42" t="s">
        <v>441</v>
      </c>
      <c r="E151" t="s">
        <v>440</v>
      </c>
      <c r="G151" s="1">
        <v>1780</v>
      </c>
      <c r="H151" s="1">
        <v>3</v>
      </c>
      <c r="I151" s="1">
        <v>5340</v>
      </c>
      <c r="J151" s="1">
        <v>3</v>
      </c>
      <c r="K151" s="1">
        <f t="shared" si="8"/>
        <v>801</v>
      </c>
      <c r="L151" s="6">
        <v>1596</v>
      </c>
      <c r="M151" s="6">
        <f t="shared" si="9"/>
        <v>4788</v>
      </c>
      <c r="N151" s="6">
        <f t="shared" si="10"/>
        <v>-249</v>
      </c>
      <c r="O151" s="8">
        <f t="shared" si="11"/>
        <v>-4.6629213483146068E-2</v>
      </c>
    </row>
    <row r="152" spans="1:15" ht="17" customHeight="1">
      <c r="A152" s="1" t="s">
        <v>169</v>
      </c>
      <c r="C152" s="1" t="s">
        <v>170</v>
      </c>
      <c r="D152" s="42" t="s">
        <v>171</v>
      </c>
      <c r="E152" t="s">
        <v>170</v>
      </c>
      <c r="G152" s="1">
        <v>1780</v>
      </c>
      <c r="H152" s="1">
        <v>3</v>
      </c>
      <c r="I152" s="1">
        <v>5340</v>
      </c>
      <c r="J152" s="1">
        <v>3</v>
      </c>
      <c r="K152" s="1">
        <f t="shared" si="8"/>
        <v>801</v>
      </c>
      <c r="L152" s="6">
        <v>874</v>
      </c>
      <c r="M152" s="6">
        <f t="shared" si="9"/>
        <v>2622</v>
      </c>
      <c r="N152" s="6">
        <f t="shared" si="10"/>
        <v>1917</v>
      </c>
      <c r="O152" s="8">
        <f t="shared" si="11"/>
        <v>0.35898876404494384</v>
      </c>
    </row>
    <row r="153" spans="1:15" ht="17" customHeight="1">
      <c r="A153" s="1" t="s">
        <v>2129</v>
      </c>
      <c r="C153" s="1" t="s">
        <v>1337</v>
      </c>
      <c r="D153" s="42" t="s">
        <v>2310</v>
      </c>
      <c r="E153" t="s">
        <v>1337</v>
      </c>
      <c r="G153" s="1">
        <v>2580</v>
      </c>
      <c r="H153" s="1">
        <v>2</v>
      </c>
      <c r="I153" s="1">
        <v>5160</v>
      </c>
      <c r="J153" s="1">
        <v>2</v>
      </c>
      <c r="K153" s="1">
        <f t="shared" si="8"/>
        <v>774</v>
      </c>
      <c r="L153" s="6">
        <v>1320</v>
      </c>
      <c r="M153" s="6">
        <f t="shared" si="9"/>
        <v>2640</v>
      </c>
      <c r="N153" s="6">
        <f t="shared" si="10"/>
        <v>1746</v>
      </c>
      <c r="O153" s="8">
        <f t="shared" si="11"/>
        <v>0.33837209302325583</v>
      </c>
    </row>
    <row r="154" spans="1:15" ht="17" customHeight="1">
      <c r="A154" s="1" t="s">
        <v>793</v>
      </c>
      <c r="C154" s="1" t="s">
        <v>794</v>
      </c>
      <c r="D154" s="42" t="s">
        <v>792</v>
      </c>
      <c r="E154" t="s">
        <v>795</v>
      </c>
      <c r="G154" s="1">
        <v>1680</v>
      </c>
      <c r="H154" s="1">
        <v>3</v>
      </c>
      <c r="I154" s="1">
        <v>5040</v>
      </c>
      <c r="J154" s="1">
        <v>3</v>
      </c>
      <c r="K154" s="1">
        <f t="shared" si="8"/>
        <v>756</v>
      </c>
      <c r="L154" s="6">
        <v>942</v>
      </c>
      <c r="M154" s="6">
        <f t="shared" si="9"/>
        <v>2826</v>
      </c>
      <c r="N154" s="6">
        <f t="shared" si="10"/>
        <v>1458</v>
      </c>
      <c r="O154" s="8">
        <f t="shared" si="11"/>
        <v>0.28928571428571431</v>
      </c>
    </row>
    <row r="155" spans="1:15" ht="17" customHeight="1">
      <c r="A155" s="1" t="s">
        <v>796</v>
      </c>
      <c r="C155" s="1" t="s">
        <v>797</v>
      </c>
      <c r="D155" s="42" t="s">
        <v>798</v>
      </c>
      <c r="E155" t="s">
        <v>797</v>
      </c>
      <c r="G155" s="1">
        <v>1680</v>
      </c>
      <c r="H155" s="1">
        <v>3</v>
      </c>
      <c r="I155" s="1">
        <v>5040</v>
      </c>
      <c r="J155" s="1">
        <v>3</v>
      </c>
      <c r="K155" s="1">
        <f t="shared" si="8"/>
        <v>756</v>
      </c>
      <c r="L155" s="6">
        <v>942</v>
      </c>
      <c r="M155" s="6">
        <f t="shared" si="9"/>
        <v>2826</v>
      </c>
      <c r="N155" s="6">
        <f t="shared" si="10"/>
        <v>1458</v>
      </c>
      <c r="O155" s="8">
        <f t="shared" si="11"/>
        <v>0.28928571428571431</v>
      </c>
    </row>
    <row r="156" spans="1:15" ht="17" customHeight="1">
      <c r="A156" s="1" t="s">
        <v>2311</v>
      </c>
      <c r="C156" s="1">
        <v>4901416183737</v>
      </c>
      <c r="D156" s="42" t="s">
        <v>2312</v>
      </c>
      <c r="E156">
        <v>4901416183737</v>
      </c>
      <c r="G156" s="1">
        <v>4980</v>
      </c>
      <c r="H156" s="1">
        <v>1</v>
      </c>
      <c r="I156" s="1">
        <v>4980</v>
      </c>
      <c r="J156" s="1">
        <v>1</v>
      </c>
      <c r="K156" s="1">
        <f t="shared" si="8"/>
        <v>747</v>
      </c>
      <c r="L156" s="6">
        <v>3432</v>
      </c>
      <c r="M156" s="6">
        <f t="shared" si="9"/>
        <v>3432</v>
      </c>
      <c r="N156" s="6">
        <f t="shared" si="10"/>
        <v>801</v>
      </c>
      <c r="O156" s="8">
        <f t="shared" si="11"/>
        <v>0.1608433734939759</v>
      </c>
    </row>
    <row r="157" spans="1:15" ht="17" customHeight="1">
      <c r="A157" s="1" t="s">
        <v>163</v>
      </c>
      <c r="C157" s="1" t="s">
        <v>164</v>
      </c>
      <c r="D157" s="42" t="s">
        <v>165</v>
      </c>
      <c r="E157" t="s">
        <v>164</v>
      </c>
      <c r="G157" s="1">
        <v>4980</v>
      </c>
      <c r="H157" s="1">
        <v>1</v>
      </c>
      <c r="I157" s="1">
        <v>4980</v>
      </c>
      <c r="J157" s="1">
        <v>1</v>
      </c>
      <c r="K157" s="1">
        <f t="shared" si="8"/>
        <v>747</v>
      </c>
      <c r="L157" s="6">
        <v>2588</v>
      </c>
      <c r="M157" s="6">
        <f t="shared" si="9"/>
        <v>2588</v>
      </c>
      <c r="N157" s="6">
        <f t="shared" si="10"/>
        <v>1645</v>
      </c>
      <c r="O157" s="8">
        <f t="shared" si="11"/>
        <v>0.33032128514056225</v>
      </c>
    </row>
    <row r="158" spans="1:15" ht="17" customHeight="1">
      <c r="A158" s="1" t="s">
        <v>253</v>
      </c>
      <c r="C158" s="1" t="s">
        <v>254</v>
      </c>
      <c r="D158" s="42" t="s">
        <v>255</v>
      </c>
      <c r="E158" t="s">
        <v>256</v>
      </c>
      <c r="G158" s="1">
        <v>4980</v>
      </c>
      <c r="H158" s="1">
        <v>1</v>
      </c>
      <c r="I158" s="1">
        <v>4980</v>
      </c>
      <c r="J158" s="1">
        <v>1</v>
      </c>
      <c r="K158" s="1">
        <f t="shared" si="8"/>
        <v>747</v>
      </c>
      <c r="L158" s="6">
        <v>2790</v>
      </c>
      <c r="M158" s="6">
        <f t="shared" si="9"/>
        <v>2790</v>
      </c>
      <c r="N158" s="6">
        <f t="shared" si="10"/>
        <v>1443</v>
      </c>
      <c r="O158" s="8">
        <f t="shared" si="11"/>
        <v>0.28975903614457832</v>
      </c>
    </row>
    <row r="159" spans="1:15" ht="17" customHeight="1">
      <c r="A159" s="1" t="s">
        <v>2313</v>
      </c>
      <c r="C159" s="1" t="s">
        <v>2314</v>
      </c>
      <c r="D159" s="42" t="s">
        <v>2315</v>
      </c>
      <c r="E159" t="s">
        <v>2314</v>
      </c>
      <c r="G159" s="1">
        <v>4980</v>
      </c>
      <c r="H159" s="1">
        <v>1</v>
      </c>
      <c r="I159" s="1">
        <v>4980</v>
      </c>
      <c r="J159" s="1">
        <v>1</v>
      </c>
      <c r="K159" s="1">
        <f t="shared" si="8"/>
        <v>747</v>
      </c>
      <c r="L159" s="6">
        <v>2154</v>
      </c>
      <c r="M159" s="6">
        <f t="shared" si="9"/>
        <v>2154</v>
      </c>
      <c r="N159" s="6">
        <f t="shared" si="10"/>
        <v>2079</v>
      </c>
      <c r="O159" s="8">
        <f t="shared" si="11"/>
        <v>0.4174698795180723</v>
      </c>
    </row>
    <row r="160" spans="1:15" ht="17" customHeight="1">
      <c r="A160" s="1" t="s">
        <v>257</v>
      </c>
      <c r="B160" t="s">
        <v>465</v>
      </c>
      <c r="C160" s="1">
        <v>4550391046508</v>
      </c>
      <c r="D160" s="42" t="s">
        <v>259</v>
      </c>
      <c r="E160" t="s">
        <v>466</v>
      </c>
      <c r="G160" s="1">
        <v>2480</v>
      </c>
      <c r="H160" s="1">
        <v>2</v>
      </c>
      <c r="I160" s="1">
        <v>4960</v>
      </c>
      <c r="J160" s="1">
        <v>2</v>
      </c>
      <c r="K160" s="1">
        <f t="shared" si="8"/>
        <v>744</v>
      </c>
      <c r="L160" s="6">
        <v>1130</v>
      </c>
      <c r="M160" s="6">
        <f t="shared" si="9"/>
        <v>2260</v>
      </c>
      <c r="N160" s="6">
        <f t="shared" si="10"/>
        <v>1956</v>
      </c>
      <c r="O160" s="8">
        <f t="shared" si="11"/>
        <v>0.39435483870967741</v>
      </c>
    </row>
    <row r="161" spans="1:15" ht="17" customHeight="1">
      <c r="A161" s="1" t="s">
        <v>257</v>
      </c>
      <c r="B161" t="s">
        <v>697</v>
      </c>
      <c r="C161" s="1">
        <v>4550391046508</v>
      </c>
      <c r="D161" s="42" t="s">
        <v>259</v>
      </c>
      <c r="E161" t="s">
        <v>698</v>
      </c>
      <c r="G161" s="1">
        <v>2480</v>
      </c>
      <c r="H161" s="1">
        <v>2</v>
      </c>
      <c r="I161" s="1">
        <v>4960</v>
      </c>
      <c r="J161" s="1">
        <v>1</v>
      </c>
      <c r="K161" s="1">
        <f t="shared" si="8"/>
        <v>744</v>
      </c>
      <c r="L161" s="6">
        <v>1130</v>
      </c>
      <c r="M161" s="6">
        <f t="shared" si="9"/>
        <v>2260</v>
      </c>
      <c r="N161" s="6">
        <f t="shared" si="10"/>
        <v>1956</v>
      </c>
      <c r="O161" s="8">
        <f t="shared" si="11"/>
        <v>0.39435483870967741</v>
      </c>
    </row>
    <row r="162" spans="1:15" ht="17" customHeight="1">
      <c r="A162" s="1" t="s">
        <v>257</v>
      </c>
      <c r="B162" t="s">
        <v>258</v>
      </c>
      <c r="C162" s="1">
        <v>4550391046508</v>
      </c>
      <c r="D162" s="42" t="s">
        <v>259</v>
      </c>
      <c r="E162" t="s">
        <v>260</v>
      </c>
      <c r="G162" s="1">
        <v>2480</v>
      </c>
      <c r="H162" s="1">
        <v>2</v>
      </c>
      <c r="I162" s="1">
        <v>4960</v>
      </c>
      <c r="J162" s="1">
        <v>2</v>
      </c>
      <c r="K162" s="1">
        <f t="shared" si="8"/>
        <v>744</v>
      </c>
      <c r="L162" s="6">
        <v>1130</v>
      </c>
      <c r="M162" s="6">
        <f t="shared" si="9"/>
        <v>2260</v>
      </c>
      <c r="N162" s="6">
        <f t="shared" si="10"/>
        <v>1956</v>
      </c>
      <c r="O162" s="8">
        <f t="shared" si="11"/>
        <v>0.39435483870967741</v>
      </c>
    </row>
    <row r="163" spans="1:15" ht="17" customHeight="1">
      <c r="A163" s="1" t="s">
        <v>99</v>
      </c>
      <c r="B163" s="1"/>
      <c r="C163" s="1" t="s">
        <v>100</v>
      </c>
      <c r="D163" s="42" t="s">
        <v>2316</v>
      </c>
      <c r="E163" s="1" t="s">
        <v>100</v>
      </c>
      <c r="G163" s="1">
        <v>4960</v>
      </c>
      <c r="H163" s="1">
        <v>1</v>
      </c>
      <c r="I163" s="1">
        <v>4960</v>
      </c>
      <c r="J163" s="1">
        <v>1</v>
      </c>
      <c r="K163" s="1">
        <f t="shared" si="8"/>
        <v>744</v>
      </c>
      <c r="L163" s="6">
        <v>3940</v>
      </c>
      <c r="M163" s="6">
        <f t="shared" si="9"/>
        <v>3940</v>
      </c>
      <c r="N163" s="6">
        <f t="shared" si="10"/>
        <v>276</v>
      </c>
      <c r="O163" s="8">
        <f t="shared" si="11"/>
        <v>5.5645161290322584E-2</v>
      </c>
    </row>
    <row r="164" spans="1:15" ht="17" customHeight="1">
      <c r="A164" s="1" t="s">
        <v>709</v>
      </c>
      <c r="B164" s="1"/>
      <c r="C164" s="1" t="s">
        <v>710</v>
      </c>
      <c r="D164" s="42" t="s">
        <v>711</v>
      </c>
      <c r="E164" s="1" t="s">
        <v>710</v>
      </c>
      <c r="G164" s="1">
        <v>2480</v>
      </c>
      <c r="H164" s="1">
        <v>2</v>
      </c>
      <c r="I164" s="1">
        <v>4960</v>
      </c>
      <c r="J164" s="1">
        <v>2</v>
      </c>
      <c r="K164" s="1">
        <f t="shared" si="8"/>
        <v>744</v>
      </c>
      <c r="L164" s="6">
        <v>876</v>
      </c>
      <c r="M164" s="6">
        <f t="shared" si="9"/>
        <v>1752</v>
      </c>
      <c r="N164" s="6">
        <f t="shared" si="10"/>
        <v>2464</v>
      </c>
      <c r="O164" s="8">
        <f t="shared" si="11"/>
        <v>0.49677419354838709</v>
      </c>
    </row>
    <row r="165" spans="1:15" ht="17" customHeight="1">
      <c r="A165" s="1" t="s">
        <v>828</v>
      </c>
      <c r="C165" s="1" t="s">
        <v>829</v>
      </c>
      <c r="D165" s="42" t="s">
        <v>830</v>
      </c>
      <c r="E165" t="s">
        <v>831</v>
      </c>
      <c r="G165" s="1">
        <v>2480</v>
      </c>
      <c r="H165" s="1">
        <v>2</v>
      </c>
      <c r="I165" s="1">
        <v>4960</v>
      </c>
      <c r="J165" s="1">
        <v>2</v>
      </c>
      <c r="K165" s="1">
        <f t="shared" si="8"/>
        <v>744</v>
      </c>
      <c r="L165" s="6">
        <v>358</v>
      </c>
      <c r="M165" s="6">
        <f t="shared" si="9"/>
        <v>716</v>
      </c>
      <c r="N165" s="6">
        <f t="shared" si="10"/>
        <v>3500</v>
      </c>
      <c r="O165" s="8">
        <f t="shared" si="11"/>
        <v>0.70564516129032262</v>
      </c>
    </row>
    <row r="166" spans="1:15" ht="17" customHeight="1">
      <c r="A166" s="1" t="s">
        <v>722</v>
      </c>
      <c r="C166" s="1" t="s">
        <v>723</v>
      </c>
      <c r="D166" s="42" t="s">
        <v>724</v>
      </c>
      <c r="E166" t="s">
        <v>723</v>
      </c>
      <c r="G166" s="1">
        <v>2480</v>
      </c>
      <c r="H166" s="1">
        <v>2</v>
      </c>
      <c r="I166" s="1">
        <v>4960</v>
      </c>
      <c r="J166" s="1">
        <v>1</v>
      </c>
      <c r="K166" s="1">
        <f t="shared" si="8"/>
        <v>744</v>
      </c>
      <c r="L166" s="6">
        <v>895</v>
      </c>
      <c r="M166" s="6">
        <f t="shared" si="9"/>
        <v>1790</v>
      </c>
      <c r="N166" s="6">
        <f t="shared" si="10"/>
        <v>2426</v>
      </c>
      <c r="O166" s="8">
        <f t="shared" si="11"/>
        <v>0.48911290322580647</v>
      </c>
    </row>
    <row r="167" spans="1:15" ht="17" customHeight="1">
      <c r="A167" s="1" t="s">
        <v>263</v>
      </c>
      <c r="C167" s="1" t="s">
        <v>264</v>
      </c>
      <c r="D167" s="42" t="s">
        <v>265</v>
      </c>
      <c r="E167" t="s">
        <v>264</v>
      </c>
      <c r="G167" s="1">
        <v>4780</v>
      </c>
      <c r="H167" s="1">
        <v>1</v>
      </c>
      <c r="I167" s="1">
        <v>4780</v>
      </c>
      <c r="J167" s="1">
        <v>1</v>
      </c>
      <c r="K167" s="1">
        <f t="shared" si="8"/>
        <v>717</v>
      </c>
      <c r="L167" s="6">
        <v>2126</v>
      </c>
      <c r="M167" s="6">
        <f t="shared" si="9"/>
        <v>2126</v>
      </c>
      <c r="N167" s="6">
        <f t="shared" si="10"/>
        <v>1937</v>
      </c>
      <c r="O167" s="8">
        <f t="shared" si="11"/>
        <v>0.40523012552301257</v>
      </c>
    </row>
    <row r="168" spans="1:15" ht="17" customHeight="1">
      <c r="A168" s="1" t="s">
        <v>2317</v>
      </c>
      <c r="B168" s="1"/>
      <c r="C168" s="1" t="s">
        <v>2190</v>
      </c>
      <c r="D168" s="42" t="s">
        <v>2318</v>
      </c>
      <c r="E168" s="1" t="s">
        <v>2319</v>
      </c>
      <c r="G168" s="1">
        <v>1580</v>
      </c>
      <c r="H168" s="1">
        <v>3</v>
      </c>
      <c r="I168" s="1">
        <v>4740</v>
      </c>
      <c r="J168" s="1">
        <v>2</v>
      </c>
      <c r="K168" s="1">
        <f t="shared" si="8"/>
        <v>711</v>
      </c>
      <c r="L168" s="6">
        <v>918</v>
      </c>
      <c r="M168" s="6">
        <f t="shared" si="9"/>
        <v>2754</v>
      </c>
      <c r="N168" s="6">
        <f t="shared" si="10"/>
        <v>1275</v>
      </c>
      <c r="O168" s="8">
        <f t="shared" si="11"/>
        <v>0.26898734177215189</v>
      </c>
    </row>
    <row r="169" spans="1:15" ht="17" customHeight="1">
      <c r="A169" s="1" t="s">
        <v>612</v>
      </c>
      <c r="C169" s="1" t="s">
        <v>613</v>
      </c>
      <c r="D169" s="42" t="s">
        <v>614</v>
      </c>
      <c r="E169" t="s">
        <v>613</v>
      </c>
      <c r="G169" s="1">
        <v>1580</v>
      </c>
      <c r="H169" s="1">
        <v>3</v>
      </c>
      <c r="I169" s="1">
        <v>4740</v>
      </c>
      <c r="J169" s="1">
        <v>3</v>
      </c>
      <c r="K169" s="1">
        <f t="shared" si="8"/>
        <v>711</v>
      </c>
      <c r="L169" s="6">
        <v>1011</v>
      </c>
      <c r="M169" s="6">
        <f t="shared" si="9"/>
        <v>3033</v>
      </c>
      <c r="N169" s="6">
        <f t="shared" si="10"/>
        <v>996</v>
      </c>
      <c r="O169" s="8">
        <f t="shared" si="11"/>
        <v>0.21012658227848102</v>
      </c>
    </row>
    <row r="170" spans="1:15" ht="17" customHeight="1">
      <c r="A170" s="1" t="s">
        <v>1804</v>
      </c>
      <c r="C170" s="1">
        <v>4902806133806</v>
      </c>
      <c r="D170" s="42" t="s">
        <v>1805</v>
      </c>
      <c r="E170">
        <v>4902806133806</v>
      </c>
      <c r="G170" s="1">
        <v>1180</v>
      </c>
      <c r="H170" s="1">
        <v>4</v>
      </c>
      <c r="I170" s="1">
        <v>4720</v>
      </c>
      <c r="J170" s="1">
        <v>4</v>
      </c>
      <c r="K170" s="1">
        <f t="shared" si="8"/>
        <v>708</v>
      </c>
      <c r="L170" s="6">
        <v>140</v>
      </c>
      <c r="M170" s="6">
        <f t="shared" si="9"/>
        <v>560</v>
      </c>
      <c r="N170" s="6">
        <f t="shared" si="10"/>
        <v>3452</v>
      </c>
      <c r="O170" s="8">
        <f t="shared" si="11"/>
        <v>0.73135593220338979</v>
      </c>
    </row>
    <row r="171" spans="1:15" ht="17" customHeight="1">
      <c r="A171" s="1" t="s">
        <v>841</v>
      </c>
      <c r="B171" t="s">
        <v>853</v>
      </c>
      <c r="C171" s="1" t="s">
        <v>843</v>
      </c>
      <c r="D171" s="42" t="s">
        <v>844</v>
      </c>
      <c r="E171" t="s">
        <v>854</v>
      </c>
      <c r="G171" s="1">
        <v>1180</v>
      </c>
      <c r="H171" s="1">
        <v>4</v>
      </c>
      <c r="I171" s="1">
        <v>4720</v>
      </c>
      <c r="J171" s="1">
        <v>2</v>
      </c>
      <c r="K171" s="1">
        <f t="shared" si="8"/>
        <v>708</v>
      </c>
      <c r="L171" s="6">
        <v>638</v>
      </c>
      <c r="M171" s="6">
        <f t="shared" si="9"/>
        <v>2552</v>
      </c>
      <c r="N171" s="6">
        <f t="shared" si="10"/>
        <v>1460</v>
      </c>
      <c r="O171" s="8">
        <f t="shared" si="11"/>
        <v>0.30932203389830509</v>
      </c>
    </row>
    <row r="172" spans="1:15" ht="17" customHeight="1">
      <c r="A172" s="1" t="s">
        <v>2148</v>
      </c>
      <c r="C172" s="1" t="s">
        <v>1174</v>
      </c>
      <c r="D172" s="42" t="s">
        <v>2320</v>
      </c>
      <c r="E172" t="s">
        <v>1174</v>
      </c>
      <c r="G172" s="1">
        <v>2280</v>
      </c>
      <c r="H172" s="1">
        <v>2</v>
      </c>
      <c r="I172" s="1">
        <v>4560</v>
      </c>
      <c r="J172" s="1">
        <v>2</v>
      </c>
      <c r="K172" s="1">
        <f t="shared" si="8"/>
        <v>684</v>
      </c>
      <c r="L172" s="6">
        <v>1122</v>
      </c>
      <c r="M172" s="6">
        <f t="shared" si="9"/>
        <v>2244</v>
      </c>
      <c r="N172" s="6">
        <f t="shared" si="10"/>
        <v>1632</v>
      </c>
      <c r="O172" s="8">
        <f t="shared" si="11"/>
        <v>0.35789473684210527</v>
      </c>
    </row>
    <row r="173" spans="1:15" ht="17" customHeight="1">
      <c r="A173" s="1" t="s">
        <v>2321</v>
      </c>
      <c r="C173" s="1" t="s">
        <v>2322</v>
      </c>
      <c r="D173" s="42">
        <v>4987176305657</v>
      </c>
      <c r="E173" t="s">
        <v>2322</v>
      </c>
      <c r="G173" s="1">
        <v>2280</v>
      </c>
      <c r="H173" s="1">
        <v>2</v>
      </c>
      <c r="I173" s="1">
        <v>4560</v>
      </c>
      <c r="J173" s="1">
        <v>1</v>
      </c>
      <c r="K173" s="1">
        <f t="shared" si="8"/>
        <v>684</v>
      </c>
      <c r="L173" s="6">
        <v>1039</v>
      </c>
      <c r="M173" s="6">
        <f t="shared" si="9"/>
        <v>2078</v>
      </c>
      <c r="N173" s="6">
        <f t="shared" si="10"/>
        <v>1798</v>
      </c>
      <c r="O173" s="8">
        <f t="shared" si="11"/>
        <v>0.39429824561403509</v>
      </c>
    </row>
    <row r="174" spans="1:15" ht="17" customHeight="1">
      <c r="A174" s="1" t="s">
        <v>729</v>
      </c>
      <c r="C174" s="1" t="s">
        <v>730</v>
      </c>
      <c r="D174" s="42" t="s">
        <v>731</v>
      </c>
      <c r="E174" t="s">
        <v>730</v>
      </c>
      <c r="G174" s="1">
        <v>2198</v>
      </c>
      <c r="H174" s="1">
        <v>2</v>
      </c>
      <c r="I174" s="1">
        <v>4396</v>
      </c>
      <c r="J174" s="1">
        <v>2</v>
      </c>
      <c r="K174" s="1">
        <f t="shared" si="8"/>
        <v>659.4</v>
      </c>
      <c r="L174" s="6">
        <v>1278</v>
      </c>
      <c r="M174" s="6">
        <f t="shared" si="9"/>
        <v>2556</v>
      </c>
      <c r="N174" s="6">
        <f t="shared" si="10"/>
        <v>1180.5999999999999</v>
      </c>
      <c r="O174" s="8">
        <f t="shared" si="11"/>
        <v>0.26856232939035485</v>
      </c>
    </row>
    <row r="175" spans="1:15" ht="17" customHeight="1">
      <c r="A175" s="1" t="s">
        <v>1712</v>
      </c>
      <c r="B175" s="1"/>
      <c r="C175" s="1">
        <v>3264680009808</v>
      </c>
      <c r="D175" s="42" t="s">
        <v>1713</v>
      </c>
      <c r="E175" s="1">
        <v>3264680009808</v>
      </c>
      <c r="G175" s="1">
        <v>4280</v>
      </c>
      <c r="H175" s="1">
        <v>1</v>
      </c>
      <c r="I175" s="1">
        <v>4280</v>
      </c>
      <c r="J175" s="1">
        <v>1</v>
      </c>
      <c r="K175" s="1">
        <f t="shared" si="8"/>
        <v>642</v>
      </c>
      <c r="L175" s="6">
        <v>2762</v>
      </c>
      <c r="M175" s="6">
        <f t="shared" si="9"/>
        <v>2762</v>
      </c>
      <c r="N175" s="6">
        <f t="shared" si="10"/>
        <v>876</v>
      </c>
      <c r="O175" s="8">
        <f t="shared" si="11"/>
        <v>0.20467289719626169</v>
      </c>
    </row>
    <row r="176" spans="1:15" ht="17" customHeight="1">
      <c r="A176" s="1" t="s">
        <v>505</v>
      </c>
      <c r="C176" s="1" t="s">
        <v>506</v>
      </c>
      <c r="D176" s="42" t="s">
        <v>507</v>
      </c>
      <c r="E176" t="s">
        <v>508</v>
      </c>
      <c r="G176" s="1">
        <v>4280</v>
      </c>
      <c r="H176" s="1">
        <v>1</v>
      </c>
      <c r="I176" s="1">
        <v>4280</v>
      </c>
      <c r="J176" s="1">
        <v>1</v>
      </c>
      <c r="K176" s="1">
        <f t="shared" si="8"/>
        <v>642</v>
      </c>
      <c r="L176" s="6">
        <v>2600</v>
      </c>
      <c r="M176" s="6">
        <f t="shared" si="9"/>
        <v>2600</v>
      </c>
      <c r="N176" s="6">
        <f t="shared" si="10"/>
        <v>1038</v>
      </c>
      <c r="O176" s="8">
        <f t="shared" si="11"/>
        <v>0.2425233644859813</v>
      </c>
    </row>
    <row r="177" spans="1:15" ht="17" customHeight="1">
      <c r="A177" s="1" t="s">
        <v>180</v>
      </c>
      <c r="B177" s="1"/>
      <c r="C177" s="1" t="s">
        <v>181</v>
      </c>
      <c r="D177" s="42" t="s">
        <v>182</v>
      </c>
      <c r="E177" s="1" t="s">
        <v>183</v>
      </c>
      <c r="G177" s="1">
        <v>4218</v>
      </c>
      <c r="H177" s="1">
        <v>1</v>
      </c>
      <c r="I177" s="1">
        <v>4218</v>
      </c>
      <c r="J177" s="1">
        <v>1</v>
      </c>
      <c r="K177" s="1">
        <f t="shared" si="8"/>
        <v>632.69999999999993</v>
      </c>
      <c r="L177" s="6">
        <v>3460</v>
      </c>
      <c r="M177" s="6">
        <f t="shared" si="9"/>
        <v>3460</v>
      </c>
      <c r="N177" s="6">
        <f t="shared" si="10"/>
        <v>125.30000000000018</v>
      </c>
      <c r="O177" s="8">
        <f t="shared" si="11"/>
        <v>2.9706021811285014E-2</v>
      </c>
    </row>
    <row r="178" spans="1:15" ht="17" customHeight="1">
      <c r="A178" s="1" t="s">
        <v>509</v>
      </c>
      <c r="C178" s="1" t="s">
        <v>510</v>
      </c>
      <c r="D178" s="42" t="s">
        <v>511</v>
      </c>
      <c r="E178" t="s">
        <v>510</v>
      </c>
      <c r="G178" s="1">
        <v>4218</v>
      </c>
      <c r="H178" s="1">
        <v>1</v>
      </c>
      <c r="I178" s="1">
        <v>4218</v>
      </c>
      <c r="J178" s="1">
        <v>1</v>
      </c>
      <c r="K178" s="1">
        <f t="shared" si="8"/>
        <v>632.69999999999993</v>
      </c>
      <c r="L178" s="6">
        <v>3460</v>
      </c>
      <c r="M178" s="6">
        <f t="shared" si="9"/>
        <v>3460</v>
      </c>
      <c r="N178" s="6">
        <f t="shared" si="10"/>
        <v>125.30000000000018</v>
      </c>
      <c r="O178" s="8">
        <f t="shared" si="11"/>
        <v>2.9706021811285014E-2</v>
      </c>
    </row>
    <row r="179" spans="1:15" ht="17" customHeight="1">
      <c r="A179" s="1" t="s">
        <v>1982</v>
      </c>
      <c r="C179" s="1" t="s">
        <v>1179</v>
      </c>
      <c r="D179" s="42" t="s">
        <v>2323</v>
      </c>
      <c r="E179" t="s">
        <v>1179</v>
      </c>
      <c r="G179" s="1">
        <v>4080</v>
      </c>
      <c r="H179" s="1">
        <v>1</v>
      </c>
      <c r="I179" s="1">
        <v>4080</v>
      </c>
      <c r="J179" s="1">
        <v>1</v>
      </c>
      <c r="K179" s="1">
        <f t="shared" si="8"/>
        <v>612</v>
      </c>
      <c r="L179" s="6">
        <v>2271</v>
      </c>
      <c r="M179" s="6">
        <f t="shared" si="9"/>
        <v>2271</v>
      </c>
      <c r="N179" s="6">
        <f t="shared" si="10"/>
        <v>1197</v>
      </c>
      <c r="O179" s="8">
        <f t="shared" si="11"/>
        <v>0.29338235294117648</v>
      </c>
    </row>
    <row r="180" spans="1:15" ht="17" customHeight="1">
      <c r="A180" s="1" t="s">
        <v>2324</v>
      </c>
      <c r="C180" s="1" t="s">
        <v>2325</v>
      </c>
      <c r="D180" s="42" t="s">
        <v>2326</v>
      </c>
      <c r="E180" t="s">
        <v>2327</v>
      </c>
      <c r="G180" s="1">
        <v>3980</v>
      </c>
      <c r="H180" s="1">
        <v>1</v>
      </c>
      <c r="I180" s="1">
        <v>3980</v>
      </c>
      <c r="J180" s="1">
        <v>1</v>
      </c>
      <c r="K180" s="1">
        <f t="shared" si="8"/>
        <v>597</v>
      </c>
      <c r="L180" s="6">
        <v>1927</v>
      </c>
      <c r="M180" s="6">
        <f t="shared" si="9"/>
        <v>1927</v>
      </c>
      <c r="N180" s="6">
        <f t="shared" si="10"/>
        <v>1456</v>
      </c>
      <c r="O180" s="8">
        <f t="shared" si="11"/>
        <v>0.36582914572864322</v>
      </c>
    </row>
    <row r="181" spans="1:15" ht="17" customHeight="1">
      <c r="A181" s="1" t="s">
        <v>2328</v>
      </c>
      <c r="C181" s="1" t="s">
        <v>1597</v>
      </c>
      <c r="D181" s="42" t="s">
        <v>1598</v>
      </c>
      <c r="E181" t="s">
        <v>1597</v>
      </c>
      <c r="G181" s="1">
        <v>3980</v>
      </c>
      <c r="H181" s="1">
        <v>1</v>
      </c>
      <c r="I181" s="1">
        <v>3980</v>
      </c>
      <c r="J181" s="1">
        <v>1</v>
      </c>
      <c r="K181" s="1">
        <f t="shared" si="8"/>
        <v>597</v>
      </c>
      <c r="L181" s="6">
        <v>1208</v>
      </c>
      <c r="M181" s="6">
        <f t="shared" si="9"/>
        <v>1208</v>
      </c>
      <c r="N181" s="6">
        <f t="shared" si="10"/>
        <v>2175</v>
      </c>
      <c r="O181" s="8">
        <f t="shared" si="11"/>
        <v>0.54648241206030146</v>
      </c>
    </row>
    <row r="182" spans="1:15" ht="17" customHeight="1">
      <c r="A182" s="1" t="s">
        <v>2080</v>
      </c>
      <c r="B182" s="1"/>
      <c r="C182" s="1" t="s">
        <v>1585</v>
      </c>
      <c r="D182" s="42" t="s">
        <v>2329</v>
      </c>
      <c r="E182" s="1" t="s">
        <v>2330</v>
      </c>
      <c r="G182" s="1">
        <v>3980</v>
      </c>
      <c r="H182" s="1">
        <v>1</v>
      </c>
      <c r="I182" s="1">
        <v>3980</v>
      </c>
      <c r="J182" s="1">
        <v>1</v>
      </c>
      <c r="K182" s="1">
        <f t="shared" si="8"/>
        <v>597</v>
      </c>
      <c r="L182" s="6">
        <v>2418</v>
      </c>
      <c r="M182" s="6">
        <f t="shared" si="9"/>
        <v>2418</v>
      </c>
      <c r="N182" s="6">
        <f t="shared" si="10"/>
        <v>965</v>
      </c>
      <c r="O182" s="8">
        <f t="shared" si="11"/>
        <v>0.24246231155778894</v>
      </c>
    </row>
    <row r="183" spans="1:15" ht="17" customHeight="1">
      <c r="A183" s="1" t="s">
        <v>528</v>
      </c>
      <c r="C183" s="1" t="s">
        <v>529</v>
      </c>
      <c r="D183" s="42" t="s">
        <v>530</v>
      </c>
      <c r="E183" t="s">
        <v>529</v>
      </c>
      <c r="G183" s="1">
        <v>3980</v>
      </c>
      <c r="H183" s="1">
        <v>1</v>
      </c>
      <c r="I183" s="1">
        <v>3980</v>
      </c>
      <c r="J183" s="1">
        <v>1</v>
      </c>
      <c r="K183" s="1">
        <f t="shared" si="8"/>
        <v>597</v>
      </c>
      <c r="L183" s="6">
        <v>1311</v>
      </c>
      <c r="M183" s="6">
        <f t="shared" si="9"/>
        <v>1311</v>
      </c>
      <c r="N183" s="6">
        <f t="shared" si="10"/>
        <v>2072</v>
      </c>
      <c r="O183" s="8">
        <f t="shared" si="11"/>
        <v>0.52060301507537687</v>
      </c>
    </row>
    <row r="184" spans="1:15" ht="17" customHeight="1">
      <c r="A184" s="1" t="s">
        <v>2048</v>
      </c>
      <c r="C184" s="1" t="s">
        <v>2049</v>
      </c>
      <c r="D184" s="42" t="s">
        <v>2331</v>
      </c>
      <c r="E184" t="s">
        <v>2049</v>
      </c>
      <c r="G184" s="1">
        <v>3980</v>
      </c>
      <c r="H184" s="1">
        <v>1</v>
      </c>
      <c r="I184" s="1">
        <v>3980</v>
      </c>
      <c r="J184" s="1">
        <v>1</v>
      </c>
      <c r="K184" s="1">
        <f t="shared" si="8"/>
        <v>597</v>
      </c>
      <c r="L184" s="6">
        <v>1941</v>
      </c>
      <c r="M184" s="6">
        <f t="shared" si="9"/>
        <v>1941</v>
      </c>
      <c r="N184" s="6">
        <f t="shared" si="10"/>
        <v>1442</v>
      </c>
      <c r="O184" s="8">
        <f t="shared" si="11"/>
        <v>0.36231155778894475</v>
      </c>
    </row>
    <row r="185" spans="1:15" ht="17" customHeight="1">
      <c r="A185" s="1" t="s">
        <v>1637</v>
      </c>
      <c r="B185" s="1" t="s">
        <v>2088</v>
      </c>
      <c r="C185" s="1" t="s">
        <v>1639</v>
      </c>
      <c r="D185" s="42" t="s">
        <v>1640</v>
      </c>
      <c r="E185" s="1" t="s">
        <v>2089</v>
      </c>
      <c r="G185" s="1">
        <v>3980</v>
      </c>
      <c r="H185" s="1">
        <v>1</v>
      </c>
      <c r="I185" s="1">
        <v>3980</v>
      </c>
      <c r="J185" s="1">
        <v>1</v>
      </c>
      <c r="K185" s="1">
        <f t="shared" si="8"/>
        <v>597</v>
      </c>
      <c r="L185" s="6">
        <v>1133</v>
      </c>
      <c r="M185" s="6">
        <f t="shared" si="9"/>
        <v>1133</v>
      </c>
      <c r="N185" s="6">
        <f t="shared" si="10"/>
        <v>2250</v>
      </c>
      <c r="O185" s="8">
        <f t="shared" si="11"/>
        <v>0.5653266331658291</v>
      </c>
    </row>
    <row r="186" spans="1:15" ht="17" customHeight="1">
      <c r="A186" s="1" t="s">
        <v>546</v>
      </c>
      <c r="C186" s="1" t="s">
        <v>547</v>
      </c>
      <c r="D186" s="42" t="s">
        <v>548</v>
      </c>
      <c r="E186" t="s">
        <v>549</v>
      </c>
      <c r="G186" s="1">
        <v>3980</v>
      </c>
      <c r="H186" s="1">
        <v>1</v>
      </c>
      <c r="I186" s="1">
        <v>3980</v>
      </c>
      <c r="J186" s="1">
        <v>1</v>
      </c>
      <c r="K186" s="1">
        <f t="shared" si="8"/>
        <v>597</v>
      </c>
      <c r="L186" s="6">
        <v>1542</v>
      </c>
      <c r="M186" s="6">
        <f t="shared" si="9"/>
        <v>1542</v>
      </c>
      <c r="N186" s="6">
        <f t="shared" si="10"/>
        <v>1841</v>
      </c>
      <c r="O186" s="8">
        <f t="shared" si="11"/>
        <v>0.46256281407035177</v>
      </c>
    </row>
    <row r="187" spans="1:15" ht="17" customHeight="1">
      <c r="A187" s="1" t="s">
        <v>2094</v>
      </c>
      <c r="C187" s="1" t="s">
        <v>2095</v>
      </c>
      <c r="D187" s="42" t="s">
        <v>2096</v>
      </c>
      <c r="E187" t="s">
        <v>2095</v>
      </c>
      <c r="G187" s="1">
        <v>3980</v>
      </c>
      <c r="H187" s="1">
        <v>1</v>
      </c>
      <c r="I187" s="1">
        <v>3980</v>
      </c>
      <c r="J187" s="1">
        <v>1</v>
      </c>
      <c r="K187" s="1">
        <f t="shared" si="8"/>
        <v>597</v>
      </c>
      <c r="L187" s="6">
        <v>4552</v>
      </c>
      <c r="M187" s="6">
        <f t="shared" si="9"/>
        <v>4552</v>
      </c>
      <c r="N187" s="6">
        <f t="shared" si="10"/>
        <v>-1169</v>
      </c>
      <c r="O187" s="8">
        <f t="shared" si="11"/>
        <v>-0.29371859296482411</v>
      </c>
    </row>
    <row r="188" spans="1:15" ht="17" customHeight="1">
      <c r="A188" s="1" t="s">
        <v>2332</v>
      </c>
      <c r="B188" s="1"/>
      <c r="C188" s="1">
        <v>4902508103596</v>
      </c>
      <c r="D188" s="42" t="s">
        <v>2333</v>
      </c>
      <c r="E188" s="1">
        <v>4902508103596</v>
      </c>
      <c r="G188" s="1">
        <v>3980</v>
      </c>
      <c r="H188" s="1">
        <v>1</v>
      </c>
      <c r="I188" s="1">
        <v>3980</v>
      </c>
      <c r="J188" s="1">
        <v>1</v>
      </c>
      <c r="K188" s="1">
        <f t="shared" si="8"/>
        <v>597</v>
      </c>
      <c r="L188" s="6">
        <v>1453</v>
      </c>
      <c r="M188" s="6">
        <f t="shared" si="9"/>
        <v>1453</v>
      </c>
      <c r="N188" s="6">
        <f t="shared" si="10"/>
        <v>1930</v>
      </c>
      <c r="O188" s="8">
        <f t="shared" si="11"/>
        <v>0.48492462311557788</v>
      </c>
    </row>
    <row r="189" spans="1:15" ht="17" customHeight="1">
      <c r="A189" s="1" t="s">
        <v>550</v>
      </c>
      <c r="C189" s="1" t="s">
        <v>551</v>
      </c>
      <c r="D189" s="42" t="s">
        <v>552</v>
      </c>
      <c r="E189" t="s">
        <v>551</v>
      </c>
      <c r="G189" s="1">
        <v>3980</v>
      </c>
      <c r="H189" s="1">
        <v>1</v>
      </c>
      <c r="I189" s="1">
        <v>3980</v>
      </c>
      <c r="J189" s="1">
        <v>1</v>
      </c>
      <c r="K189" s="1">
        <f t="shared" si="8"/>
        <v>597</v>
      </c>
      <c r="L189" s="6">
        <v>2211</v>
      </c>
      <c r="M189" s="6">
        <f t="shared" si="9"/>
        <v>2211</v>
      </c>
      <c r="N189" s="6">
        <f t="shared" si="10"/>
        <v>1172</v>
      </c>
      <c r="O189" s="8">
        <f t="shared" si="11"/>
        <v>0.29447236180904524</v>
      </c>
    </row>
    <row r="190" spans="1:15" ht="17" customHeight="1">
      <c r="A190" s="1" t="s">
        <v>2158</v>
      </c>
      <c r="B190" s="1"/>
      <c r="C190" s="1" t="s">
        <v>2159</v>
      </c>
      <c r="D190" s="42" t="s">
        <v>2160</v>
      </c>
      <c r="E190" s="1" t="s">
        <v>2159</v>
      </c>
      <c r="G190" s="1">
        <v>1980</v>
      </c>
      <c r="H190" s="1">
        <v>2</v>
      </c>
      <c r="I190" s="1">
        <v>3960</v>
      </c>
      <c r="J190" s="1">
        <v>2</v>
      </c>
      <c r="K190" s="1">
        <f t="shared" si="8"/>
        <v>594</v>
      </c>
      <c r="L190" s="6">
        <v>878</v>
      </c>
      <c r="M190" s="6">
        <f t="shared" si="9"/>
        <v>1756</v>
      </c>
      <c r="N190" s="6">
        <f t="shared" si="10"/>
        <v>1610</v>
      </c>
      <c r="O190" s="8">
        <f t="shared" si="11"/>
        <v>0.40656565656565657</v>
      </c>
    </row>
    <row r="191" spans="1:15" ht="17" customHeight="1">
      <c r="A191" s="1" t="s">
        <v>2027</v>
      </c>
      <c r="C191" s="1" t="s">
        <v>2028</v>
      </c>
      <c r="D191" s="42" t="s">
        <v>2334</v>
      </c>
      <c r="E191" t="s">
        <v>2028</v>
      </c>
      <c r="G191" s="1">
        <v>1980</v>
      </c>
      <c r="H191" s="1">
        <v>2</v>
      </c>
      <c r="I191" s="1">
        <v>3960</v>
      </c>
      <c r="J191" s="1">
        <v>2</v>
      </c>
      <c r="K191" s="1">
        <f t="shared" si="8"/>
        <v>594</v>
      </c>
      <c r="L191" s="6">
        <v>436</v>
      </c>
      <c r="M191" s="6">
        <f t="shared" si="9"/>
        <v>872</v>
      </c>
      <c r="N191" s="6">
        <f t="shared" si="10"/>
        <v>2494</v>
      </c>
      <c r="O191" s="8">
        <f t="shared" si="11"/>
        <v>0.6297979797979798</v>
      </c>
    </row>
    <row r="192" spans="1:15" ht="17" customHeight="1">
      <c r="A192" s="1" t="s">
        <v>406</v>
      </c>
      <c r="C192" s="1" t="s">
        <v>407</v>
      </c>
      <c r="D192" s="42" t="s">
        <v>408</v>
      </c>
      <c r="E192" t="s">
        <v>407</v>
      </c>
      <c r="G192" s="1">
        <v>1980</v>
      </c>
      <c r="H192" s="1">
        <v>2</v>
      </c>
      <c r="I192" s="1">
        <v>3960</v>
      </c>
      <c r="J192" s="1">
        <v>2</v>
      </c>
      <c r="K192" s="1">
        <f t="shared" si="8"/>
        <v>594</v>
      </c>
      <c r="L192" s="6">
        <v>844</v>
      </c>
      <c r="M192" s="6">
        <f t="shared" si="9"/>
        <v>1688</v>
      </c>
      <c r="N192" s="6">
        <f t="shared" si="10"/>
        <v>1678</v>
      </c>
      <c r="O192" s="8">
        <f t="shared" si="11"/>
        <v>0.42373737373737375</v>
      </c>
    </row>
    <row r="193" spans="1:15" ht="17" customHeight="1">
      <c r="A193" s="1" t="s">
        <v>564</v>
      </c>
      <c r="C193" s="1" t="s">
        <v>565</v>
      </c>
      <c r="D193" s="42" t="s">
        <v>566</v>
      </c>
      <c r="E193" t="s">
        <v>565</v>
      </c>
      <c r="G193" s="1">
        <v>1980</v>
      </c>
      <c r="H193" s="1">
        <v>2</v>
      </c>
      <c r="I193" s="1">
        <v>3960</v>
      </c>
      <c r="J193" s="1">
        <v>2</v>
      </c>
      <c r="K193" s="1">
        <f t="shared" si="8"/>
        <v>594</v>
      </c>
      <c r="L193" s="6">
        <v>533</v>
      </c>
      <c r="M193" s="6">
        <f t="shared" si="9"/>
        <v>1066</v>
      </c>
      <c r="N193" s="6">
        <f t="shared" si="10"/>
        <v>2300</v>
      </c>
      <c r="O193" s="8">
        <f t="shared" si="11"/>
        <v>0.58080808080808077</v>
      </c>
    </row>
    <row r="194" spans="1:15" ht="17" customHeight="1">
      <c r="A194" s="1" t="s">
        <v>763</v>
      </c>
      <c r="C194" s="1" t="s">
        <v>764</v>
      </c>
      <c r="D194" s="42" t="s">
        <v>765</v>
      </c>
      <c r="E194" t="s">
        <v>766</v>
      </c>
      <c r="G194" s="1">
        <v>1980</v>
      </c>
      <c r="H194" s="1">
        <v>2</v>
      </c>
      <c r="I194" s="1">
        <v>3960</v>
      </c>
      <c r="J194" s="1">
        <v>2</v>
      </c>
      <c r="K194" s="1">
        <f t="shared" si="8"/>
        <v>594</v>
      </c>
      <c r="L194" s="6">
        <v>1160</v>
      </c>
      <c r="M194" s="6">
        <f t="shared" si="9"/>
        <v>2320</v>
      </c>
      <c r="N194" s="6">
        <f t="shared" si="10"/>
        <v>1046</v>
      </c>
      <c r="O194" s="8">
        <f t="shared" si="11"/>
        <v>0.26414141414141412</v>
      </c>
    </row>
    <row r="195" spans="1:15" ht="17" customHeight="1">
      <c r="A195" s="1" t="s">
        <v>767</v>
      </c>
      <c r="C195" s="1" t="s">
        <v>768</v>
      </c>
      <c r="D195" s="42" t="s">
        <v>769</v>
      </c>
      <c r="E195" t="s">
        <v>768</v>
      </c>
      <c r="G195" s="1">
        <v>1980</v>
      </c>
      <c r="H195" s="1">
        <v>2</v>
      </c>
      <c r="I195" s="1">
        <v>3960</v>
      </c>
      <c r="J195" s="1">
        <v>2</v>
      </c>
      <c r="K195" s="1">
        <f t="shared" si="8"/>
        <v>594</v>
      </c>
      <c r="L195" s="6">
        <v>998</v>
      </c>
      <c r="M195" s="6">
        <f t="shared" si="9"/>
        <v>1996</v>
      </c>
      <c r="N195" s="6">
        <f t="shared" si="10"/>
        <v>1370</v>
      </c>
      <c r="O195" s="8">
        <f t="shared" si="11"/>
        <v>0.34595959595959597</v>
      </c>
    </row>
    <row r="196" spans="1:15" ht="17" customHeight="1">
      <c r="A196" s="1" t="s">
        <v>2097</v>
      </c>
      <c r="C196" s="1" t="s">
        <v>2098</v>
      </c>
      <c r="D196" s="42" t="s">
        <v>2099</v>
      </c>
      <c r="E196" t="s">
        <v>2098</v>
      </c>
      <c r="G196" s="1">
        <v>1280</v>
      </c>
      <c r="H196" s="1">
        <v>3</v>
      </c>
      <c r="I196" s="1">
        <v>3840</v>
      </c>
      <c r="J196" s="1">
        <v>1</v>
      </c>
      <c r="K196" s="1">
        <f t="shared" si="8"/>
        <v>576</v>
      </c>
      <c r="L196" s="6">
        <v>1008</v>
      </c>
      <c r="M196" s="6">
        <f t="shared" si="9"/>
        <v>3024</v>
      </c>
      <c r="N196" s="6">
        <f t="shared" si="10"/>
        <v>240</v>
      </c>
      <c r="O196" s="8">
        <f t="shared" si="11"/>
        <v>6.25E-2</v>
      </c>
    </row>
    <row r="197" spans="1:15" ht="17" customHeight="1">
      <c r="A197" s="1" t="s">
        <v>1634</v>
      </c>
      <c r="B197" t="s">
        <v>228</v>
      </c>
      <c r="C197" s="1" t="s">
        <v>229</v>
      </c>
      <c r="D197" s="42" t="s">
        <v>230</v>
      </c>
      <c r="E197" t="s">
        <v>231</v>
      </c>
      <c r="G197" s="1">
        <v>1280</v>
      </c>
      <c r="H197" s="1">
        <v>3</v>
      </c>
      <c r="I197" s="1">
        <v>3840</v>
      </c>
      <c r="J197" s="1">
        <v>3</v>
      </c>
      <c r="K197" s="1">
        <f t="shared" si="8"/>
        <v>576</v>
      </c>
      <c r="L197" s="6">
        <v>504</v>
      </c>
      <c r="M197" s="6">
        <f t="shared" si="9"/>
        <v>1512</v>
      </c>
      <c r="N197" s="6">
        <f t="shared" si="10"/>
        <v>1752</v>
      </c>
      <c r="O197" s="8">
        <f t="shared" si="11"/>
        <v>0.45624999999999999</v>
      </c>
    </row>
    <row r="198" spans="1:15" ht="17" customHeight="1">
      <c r="A198" s="1" t="s">
        <v>578</v>
      </c>
      <c r="C198" s="1" t="s">
        <v>579</v>
      </c>
      <c r="D198" s="42">
        <v>4382</v>
      </c>
      <c r="E198" t="s">
        <v>579</v>
      </c>
      <c r="G198" s="1">
        <v>3580</v>
      </c>
      <c r="H198" s="1">
        <v>1</v>
      </c>
      <c r="I198" s="1">
        <v>3580</v>
      </c>
      <c r="J198" s="1">
        <v>1</v>
      </c>
      <c r="K198" s="1">
        <f t="shared" si="8"/>
        <v>537</v>
      </c>
      <c r="L198" s="6">
        <v>4382</v>
      </c>
      <c r="M198" s="6">
        <f t="shared" si="9"/>
        <v>4382</v>
      </c>
      <c r="N198" s="6">
        <f t="shared" si="10"/>
        <v>-1339</v>
      </c>
      <c r="O198" s="8">
        <f t="shared" si="11"/>
        <v>-0.37402234636871506</v>
      </c>
    </row>
    <row r="199" spans="1:15" ht="17" customHeight="1">
      <c r="A199" s="1" t="s">
        <v>1242</v>
      </c>
      <c r="B199" s="1"/>
      <c r="C199" s="1" t="s">
        <v>1243</v>
      </c>
      <c r="D199" s="42" t="s">
        <v>1244</v>
      </c>
      <c r="E199" s="1" t="s">
        <v>2335</v>
      </c>
      <c r="G199" s="1">
        <v>3580</v>
      </c>
      <c r="H199" s="1">
        <v>1</v>
      </c>
      <c r="I199" s="1">
        <v>3580</v>
      </c>
      <c r="J199" s="1">
        <v>1</v>
      </c>
      <c r="K199" s="1">
        <f t="shared" si="8"/>
        <v>537</v>
      </c>
      <c r="L199" s="6">
        <v>2418</v>
      </c>
      <c r="M199" s="6">
        <f t="shared" si="9"/>
        <v>2418</v>
      </c>
      <c r="N199" s="6">
        <f t="shared" si="10"/>
        <v>625</v>
      </c>
      <c r="O199" s="8">
        <f t="shared" si="11"/>
        <v>0.17458100558659218</v>
      </c>
    </row>
    <row r="200" spans="1:15" ht="17" customHeight="1">
      <c r="A200" s="1" t="s">
        <v>588</v>
      </c>
      <c r="B200" s="1" t="s">
        <v>778</v>
      </c>
      <c r="C200" s="1" t="s">
        <v>590</v>
      </c>
      <c r="D200" s="42" t="s">
        <v>591</v>
      </c>
      <c r="E200" s="1" t="s">
        <v>779</v>
      </c>
      <c r="G200" s="1">
        <v>1780</v>
      </c>
      <c r="H200" s="1">
        <v>2</v>
      </c>
      <c r="I200" s="1">
        <v>3560</v>
      </c>
      <c r="J200" s="1">
        <v>2</v>
      </c>
      <c r="K200" s="1">
        <f t="shared" ref="K200:K263" si="12">SUM(I200*0.15)</f>
        <v>534</v>
      </c>
      <c r="L200" s="6">
        <v>629</v>
      </c>
      <c r="M200" s="6">
        <f t="shared" ref="M200:M263" si="13">SUM(H200*L200)</f>
        <v>1258</v>
      </c>
      <c r="N200" s="6">
        <f t="shared" ref="N200:N263" si="14">SUM(I200-K200-M200)</f>
        <v>1768</v>
      </c>
      <c r="O200" s="8">
        <f t="shared" ref="O200:O263" si="15">IF(I200=0,"",N200/I200)</f>
        <v>0.49662921348314609</v>
      </c>
    </row>
    <row r="201" spans="1:15" ht="17" customHeight="1">
      <c r="A201" s="1" t="s">
        <v>841</v>
      </c>
      <c r="B201" t="s">
        <v>842</v>
      </c>
      <c r="C201" s="1" t="s">
        <v>843</v>
      </c>
      <c r="D201" s="42" t="s">
        <v>844</v>
      </c>
      <c r="E201" t="s">
        <v>845</v>
      </c>
      <c r="G201" s="1">
        <v>1180</v>
      </c>
      <c r="H201" s="1">
        <v>3</v>
      </c>
      <c r="I201" s="1">
        <v>3540</v>
      </c>
      <c r="J201" s="1">
        <v>2</v>
      </c>
      <c r="K201" s="1">
        <f t="shared" si="12"/>
        <v>531</v>
      </c>
      <c r="L201" s="6">
        <v>605</v>
      </c>
      <c r="M201" s="6">
        <f t="shared" si="13"/>
        <v>1815</v>
      </c>
      <c r="N201" s="6">
        <f t="shared" si="14"/>
        <v>1194</v>
      </c>
      <c r="O201" s="8">
        <f t="shared" si="15"/>
        <v>0.33728813559322035</v>
      </c>
    </row>
    <row r="202" spans="1:15" ht="17" customHeight="1">
      <c r="A202" s="1" t="s">
        <v>593</v>
      </c>
      <c r="B202" s="1"/>
      <c r="C202" s="1" t="s">
        <v>594</v>
      </c>
      <c r="D202" s="42" t="s">
        <v>595</v>
      </c>
      <c r="E202" s="1" t="s">
        <v>594</v>
      </c>
      <c r="G202" s="1">
        <v>3480</v>
      </c>
      <c r="H202" s="1">
        <v>1</v>
      </c>
      <c r="I202" s="1">
        <v>3480</v>
      </c>
      <c r="J202" s="1">
        <v>1</v>
      </c>
      <c r="K202" s="1">
        <f t="shared" si="12"/>
        <v>522</v>
      </c>
      <c r="L202" s="6">
        <v>1560</v>
      </c>
      <c r="M202" s="6">
        <f t="shared" si="13"/>
        <v>1560</v>
      </c>
      <c r="N202" s="6">
        <f t="shared" si="14"/>
        <v>1398</v>
      </c>
      <c r="O202" s="8">
        <f t="shared" si="15"/>
        <v>0.40172413793103451</v>
      </c>
    </row>
    <row r="203" spans="1:15" ht="17" customHeight="1">
      <c r="A203" s="1" t="s">
        <v>2336</v>
      </c>
      <c r="C203" s="1" t="s">
        <v>2337</v>
      </c>
      <c r="D203" s="42" t="s">
        <v>2338</v>
      </c>
      <c r="E203" t="s">
        <v>2337</v>
      </c>
      <c r="G203" s="1">
        <v>3480</v>
      </c>
      <c r="H203" s="1">
        <v>1</v>
      </c>
      <c r="I203" s="1">
        <v>3480</v>
      </c>
      <c r="J203" s="1">
        <v>1</v>
      </c>
      <c r="K203" s="1">
        <f t="shared" si="12"/>
        <v>522</v>
      </c>
      <c r="L203" s="6">
        <v>1914</v>
      </c>
      <c r="M203" s="6">
        <f t="shared" si="13"/>
        <v>1914</v>
      </c>
      <c r="N203" s="6">
        <f t="shared" si="14"/>
        <v>1044</v>
      </c>
      <c r="O203" s="8">
        <f t="shared" si="15"/>
        <v>0.3</v>
      </c>
    </row>
    <row r="204" spans="1:15" ht="17" customHeight="1">
      <c r="A204" s="1" t="s">
        <v>2339</v>
      </c>
      <c r="C204" s="1" t="s">
        <v>2340</v>
      </c>
      <c r="D204" s="42" t="s">
        <v>2341</v>
      </c>
      <c r="E204" t="s">
        <v>2340</v>
      </c>
      <c r="G204" s="1">
        <v>3480</v>
      </c>
      <c r="H204" s="1">
        <v>1</v>
      </c>
      <c r="I204" s="1">
        <v>3480</v>
      </c>
      <c r="J204" s="1">
        <v>1</v>
      </c>
      <c r="K204" s="1">
        <f t="shared" si="12"/>
        <v>522</v>
      </c>
      <c r="L204" s="6">
        <v>1350</v>
      </c>
      <c r="M204" s="6">
        <f t="shared" si="13"/>
        <v>1350</v>
      </c>
      <c r="N204" s="6">
        <f t="shared" si="14"/>
        <v>1608</v>
      </c>
      <c r="O204" s="8">
        <f t="shared" si="15"/>
        <v>0.46206896551724136</v>
      </c>
    </row>
    <row r="205" spans="1:15" ht="17" customHeight="1">
      <c r="A205" s="1" t="s">
        <v>1786</v>
      </c>
      <c r="B205" t="s">
        <v>1137</v>
      </c>
      <c r="C205" s="1" t="s">
        <v>1787</v>
      </c>
      <c r="D205" s="42" t="s">
        <v>1788</v>
      </c>
      <c r="E205" t="s">
        <v>2342</v>
      </c>
      <c r="G205" s="1">
        <v>3480</v>
      </c>
      <c r="H205" s="1">
        <v>1</v>
      </c>
      <c r="I205" s="1">
        <v>3480</v>
      </c>
      <c r="J205" s="1">
        <v>1</v>
      </c>
      <c r="K205" s="1">
        <f t="shared" si="12"/>
        <v>522</v>
      </c>
      <c r="L205" s="6">
        <v>1155</v>
      </c>
      <c r="M205" s="6">
        <f t="shared" si="13"/>
        <v>1155</v>
      </c>
      <c r="N205" s="6">
        <f t="shared" si="14"/>
        <v>1803</v>
      </c>
      <c r="O205" s="8">
        <f t="shared" si="15"/>
        <v>0.51810344827586208</v>
      </c>
    </row>
    <row r="206" spans="1:15" ht="17" customHeight="1">
      <c r="A206" s="1" t="s">
        <v>1953</v>
      </c>
      <c r="C206" s="1" t="s">
        <v>1020</v>
      </c>
      <c r="D206" s="42" t="s">
        <v>1021</v>
      </c>
      <c r="E206" t="s">
        <v>1020</v>
      </c>
      <c r="G206" s="1">
        <v>3380</v>
      </c>
      <c r="H206" s="1">
        <v>1</v>
      </c>
      <c r="I206" s="1">
        <v>3380</v>
      </c>
      <c r="J206" s="1">
        <v>1</v>
      </c>
      <c r="K206" s="1">
        <f t="shared" si="12"/>
        <v>507</v>
      </c>
      <c r="L206" s="6">
        <v>1182</v>
      </c>
      <c r="M206" s="6">
        <f t="shared" si="13"/>
        <v>1182</v>
      </c>
      <c r="N206" s="6">
        <f t="shared" si="14"/>
        <v>1691</v>
      </c>
      <c r="O206" s="8">
        <f t="shared" si="15"/>
        <v>0.50029585798816567</v>
      </c>
    </row>
    <row r="207" spans="1:15" ht="17" customHeight="1">
      <c r="A207" s="1" t="s">
        <v>2343</v>
      </c>
      <c r="C207" s="1">
        <v>4571509303191</v>
      </c>
      <c r="D207" s="42" t="s">
        <v>2344</v>
      </c>
      <c r="E207">
        <v>4571509303191</v>
      </c>
      <c r="G207" s="1">
        <v>1680</v>
      </c>
      <c r="H207" s="1">
        <v>2</v>
      </c>
      <c r="I207" s="1">
        <v>3360</v>
      </c>
      <c r="J207" s="1">
        <v>2</v>
      </c>
      <c r="K207" s="1">
        <f t="shared" si="12"/>
        <v>504</v>
      </c>
      <c r="L207" s="6">
        <v>539</v>
      </c>
      <c r="M207" s="6">
        <f t="shared" si="13"/>
        <v>1078</v>
      </c>
      <c r="N207" s="6">
        <f t="shared" si="14"/>
        <v>1778</v>
      </c>
      <c r="O207" s="8">
        <f t="shared" si="15"/>
        <v>0.52916666666666667</v>
      </c>
    </row>
    <row r="208" spans="1:15" ht="17" customHeight="1">
      <c r="A208" s="1" t="s">
        <v>370</v>
      </c>
      <c r="C208" s="1" t="s">
        <v>371</v>
      </c>
      <c r="D208" s="42" t="s">
        <v>372</v>
      </c>
      <c r="E208" t="s">
        <v>371</v>
      </c>
      <c r="G208" s="1">
        <v>3280</v>
      </c>
      <c r="H208" s="1">
        <v>1</v>
      </c>
      <c r="I208" s="1">
        <v>3280</v>
      </c>
      <c r="J208" s="1">
        <v>1</v>
      </c>
      <c r="K208" s="1">
        <f t="shared" si="12"/>
        <v>492</v>
      </c>
      <c r="L208" s="6">
        <v>1988</v>
      </c>
      <c r="M208" s="6">
        <f t="shared" si="13"/>
        <v>1988</v>
      </c>
      <c r="N208" s="6">
        <f t="shared" si="14"/>
        <v>800</v>
      </c>
      <c r="O208" s="8">
        <f t="shared" si="15"/>
        <v>0.24390243902439024</v>
      </c>
    </row>
    <row r="209" spans="1:15" ht="17" customHeight="1">
      <c r="A209" s="1" t="s">
        <v>1031</v>
      </c>
      <c r="C209" s="1" t="s">
        <v>1032</v>
      </c>
      <c r="D209" s="42" t="s">
        <v>1033</v>
      </c>
      <c r="E209" t="s">
        <v>2345</v>
      </c>
      <c r="G209" s="1">
        <v>1080</v>
      </c>
      <c r="H209" s="1">
        <v>3</v>
      </c>
      <c r="I209" s="1">
        <v>3240</v>
      </c>
      <c r="J209" s="1">
        <v>1</v>
      </c>
      <c r="K209" s="1">
        <f t="shared" si="12"/>
        <v>486</v>
      </c>
      <c r="L209" s="6">
        <v>253</v>
      </c>
      <c r="M209" s="6">
        <f t="shared" si="13"/>
        <v>759</v>
      </c>
      <c r="N209" s="6">
        <f t="shared" si="14"/>
        <v>1995</v>
      </c>
      <c r="O209" s="8">
        <f t="shared" si="15"/>
        <v>0.6157407407407407</v>
      </c>
    </row>
    <row r="210" spans="1:15" ht="17" customHeight="1">
      <c r="A210" s="1" t="s">
        <v>2010</v>
      </c>
      <c r="C210" s="1" t="s">
        <v>1542</v>
      </c>
      <c r="D210" s="42" t="s">
        <v>2346</v>
      </c>
      <c r="E210" t="s">
        <v>1542</v>
      </c>
      <c r="G210" s="1">
        <v>3180</v>
      </c>
      <c r="H210" s="1">
        <v>1</v>
      </c>
      <c r="I210" s="1">
        <v>3180</v>
      </c>
      <c r="J210" s="1">
        <v>1</v>
      </c>
      <c r="K210" s="1">
        <f t="shared" si="12"/>
        <v>477</v>
      </c>
      <c r="L210" s="6">
        <v>1522</v>
      </c>
      <c r="M210" s="6">
        <f t="shared" si="13"/>
        <v>1522</v>
      </c>
      <c r="N210" s="6">
        <f t="shared" si="14"/>
        <v>1181</v>
      </c>
      <c r="O210" s="8">
        <f t="shared" si="15"/>
        <v>0.37138364779874211</v>
      </c>
    </row>
    <row r="211" spans="1:15" ht="17" customHeight="1">
      <c r="A211" s="1" t="s">
        <v>512</v>
      </c>
      <c r="C211" s="1" t="s">
        <v>513</v>
      </c>
      <c r="D211" s="42" t="s">
        <v>514</v>
      </c>
      <c r="E211" t="s">
        <v>515</v>
      </c>
      <c r="G211" s="1">
        <v>999</v>
      </c>
      <c r="H211" s="1">
        <v>3</v>
      </c>
      <c r="I211" s="1">
        <v>2997</v>
      </c>
      <c r="J211" s="1">
        <v>2</v>
      </c>
      <c r="K211" s="1">
        <f t="shared" si="12"/>
        <v>449.55</v>
      </c>
      <c r="L211" s="6">
        <v>598</v>
      </c>
      <c r="M211" s="6">
        <f t="shared" si="13"/>
        <v>1794</v>
      </c>
      <c r="N211" s="6">
        <f t="shared" si="14"/>
        <v>753.44999999999982</v>
      </c>
      <c r="O211" s="8">
        <f t="shared" si="15"/>
        <v>0.25140140140140133</v>
      </c>
    </row>
    <row r="212" spans="1:15" ht="17" customHeight="1">
      <c r="A212" s="1" t="s">
        <v>2047</v>
      </c>
      <c r="C212" s="1" t="s">
        <v>1004</v>
      </c>
      <c r="D212" s="42" t="s">
        <v>2347</v>
      </c>
      <c r="E212" t="s">
        <v>1004</v>
      </c>
      <c r="G212" s="1">
        <v>2980</v>
      </c>
      <c r="H212" s="1">
        <v>1</v>
      </c>
      <c r="I212" s="1">
        <v>2980</v>
      </c>
      <c r="J212" s="1">
        <v>1</v>
      </c>
      <c r="K212" s="1">
        <f t="shared" si="12"/>
        <v>447</v>
      </c>
      <c r="L212" s="6">
        <v>903</v>
      </c>
      <c r="M212" s="6">
        <f t="shared" si="13"/>
        <v>903</v>
      </c>
      <c r="N212" s="6">
        <f t="shared" si="14"/>
        <v>1630</v>
      </c>
      <c r="O212" s="8">
        <f t="shared" si="15"/>
        <v>0.54697986577181212</v>
      </c>
    </row>
    <row r="213" spans="1:15" ht="17" customHeight="1">
      <c r="A213" s="1" t="s">
        <v>1968</v>
      </c>
      <c r="C213" s="1" t="s">
        <v>1649</v>
      </c>
      <c r="D213" s="42" t="s">
        <v>2348</v>
      </c>
      <c r="E213" t="s">
        <v>1649</v>
      </c>
      <c r="G213" s="1">
        <v>2980</v>
      </c>
      <c r="H213" s="1">
        <v>1</v>
      </c>
      <c r="I213" s="1">
        <v>2980</v>
      </c>
      <c r="J213" s="1">
        <v>1</v>
      </c>
      <c r="K213" s="1">
        <f t="shared" si="12"/>
        <v>447</v>
      </c>
      <c r="L213" s="6">
        <v>1538</v>
      </c>
      <c r="M213" s="6">
        <f t="shared" si="13"/>
        <v>1538</v>
      </c>
      <c r="N213" s="6">
        <f t="shared" si="14"/>
        <v>995</v>
      </c>
      <c r="O213" s="8">
        <f t="shared" si="15"/>
        <v>0.33389261744966442</v>
      </c>
    </row>
    <row r="214" spans="1:15" ht="17" customHeight="1">
      <c r="A214" s="1" t="s">
        <v>391</v>
      </c>
      <c r="C214" s="1" t="s">
        <v>392</v>
      </c>
      <c r="D214" s="42" t="s">
        <v>393</v>
      </c>
      <c r="E214" t="s">
        <v>392</v>
      </c>
      <c r="G214" s="1">
        <v>2980</v>
      </c>
      <c r="H214" s="1">
        <v>1</v>
      </c>
      <c r="I214" s="1">
        <v>2980</v>
      </c>
      <c r="J214" s="1">
        <v>1</v>
      </c>
      <c r="K214" s="1">
        <f t="shared" si="12"/>
        <v>447</v>
      </c>
      <c r="L214" s="6">
        <v>1641</v>
      </c>
      <c r="M214" s="6">
        <f t="shared" si="13"/>
        <v>1641</v>
      </c>
      <c r="N214" s="6">
        <f t="shared" si="14"/>
        <v>892</v>
      </c>
      <c r="O214" s="8">
        <f t="shared" si="15"/>
        <v>0.29932885906040269</v>
      </c>
    </row>
    <row r="215" spans="1:15" ht="17" customHeight="1">
      <c r="A215" s="1" t="s">
        <v>619</v>
      </c>
      <c r="C215" s="1" t="s">
        <v>620</v>
      </c>
      <c r="D215" s="42" t="s">
        <v>621</v>
      </c>
      <c r="E215" t="s">
        <v>622</v>
      </c>
      <c r="G215" s="1">
        <v>2980</v>
      </c>
      <c r="H215" s="1">
        <v>1</v>
      </c>
      <c r="I215" s="1">
        <v>2980</v>
      </c>
      <c r="J215" s="1">
        <v>1</v>
      </c>
      <c r="K215" s="1">
        <f t="shared" si="12"/>
        <v>447</v>
      </c>
      <c r="L215" s="6">
        <v>1736</v>
      </c>
      <c r="M215" s="6">
        <f t="shared" si="13"/>
        <v>1736</v>
      </c>
      <c r="N215" s="6">
        <f t="shared" si="14"/>
        <v>797</v>
      </c>
      <c r="O215" s="8">
        <f t="shared" si="15"/>
        <v>0.26744966442953022</v>
      </c>
    </row>
    <row r="216" spans="1:15" ht="17" customHeight="1">
      <c r="A216" s="1" t="s">
        <v>623</v>
      </c>
      <c r="C216" s="1" t="s">
        <v>624</v>
      </c>
      <c r="D216" s="42" t="s">
        <v>625</v>
      </c>
      <c r="E216" t="s">
        <v>624</v>
      </c>
      <c r="G216" s="1">
        <v>2980</v>
      </c>
      <c r="H216" s="1">
        <v>1</v>
      </c>
      <c r="I216" s="1">
        <v>2980</v>
      </c>
      <c r="J216" s="1">
        <v>1</v>
      </c>
      <c r="K216" s="1">
        <f t="shared" si="12"/>
        <v>447</v>
      </c>
      <c r="L216" s="6">
        <v>935</v>
      </c>
      <c r="M216" s="6">
        <f t="shared" si="13"/>
        <v>935</v>
      </c>
      <c r="N216" s="6">
        <f t="shared" si="14"/>
        <v>1598</v>
      </c>
      <c r="O216" s="8">
        <f t="shared" si="15"/>
        <v>0.53624161073825505</v>
      </c>
    </row>
    <row r="217" spans="1:15" ht="17" customHeight="1">
      <c r="A217" s="1" t="s">
        <v>2349</v>
      </c>
      <c r="C217" s="1" t="s">
        <v>2350</v>
      </c>
      <c r="D217" s="42" t="s">
        <v>2351</v>
      </c>
      <c r="E217" t="s">
        <v>2350</v>
      </c>
      <c r="G217" s="1">
        <v>2980</v>
      </c>
      <c r="H217" s="1">
        <v>1</v>
      </c>
      <c r="I217" s="1">
        <v>2980</v>
      </c>
      <c r="J217" s="1">
        <v>1</v>
      </c>
      <c r="K217" s="1">
        <f t="shared" si="12"/>
        <v>447</v>
      </c>
      <c r="L217" s="6">
        <v>1496</v>
      </c>
      <c r="M217" s="6">
        <f t="shared" si="13"/>
        <v>1496</v>
      </c>
      <c r="N217" s="6">
        <f t="shared" si="14"/>
        <v>1037</v>
      </c>
      <c r="O217" s="8">
        <f t="shared" si="15"/>
        <v>0.34798657718120807</v>
      </c>
    </row>
    <row r="218" spans="1:15" ht="17" customHeight="1">
      <c r="A218" s="1" t="s">
        <v>1204</v>
      </c>
      <c r="B218" t="s">
        <v>1594</v>
      </c>
      <c r="C218" s="1" t="s">
        <v>1205</v>
      </c>
      <c r="D218" s="42" t="s">
        <v>1206</v>
      </c>
      <c r="E218" t="s">
        <v>1595</v>
      </c>
      <c r="G218" s="1">
        <v>2980</v>
      </c>
      <c r="H218" s="1">
        <v>1</v>
      </c>
      <c r="I218" s="1">
        <v>2980</v>
      </c>
      <c r="J218" s="1">
        <v>1</v>
      </c>
      <c r="K218" s="1">
        <f t="shared" si="12"/>
        <v>447</v>
      </c>
      <c r="L218" s="6">
        <v>1014</v>
      </c>
      <c r="M218" s="6">
        <f t="shared" si="13"/>
        <v>1014</v>
      </c>
      <c r="N218" s="6">
        <f t="shared" si="14"/>
        <v>1519</v>
      </c>
      <c r="O218" s="8">
        <f t="shared" si="15"/>
        <v>0.50973154362416107</v>
      </c>
    </row>
    <row r="219" spans="1:15" ht="17" customHeight="1">
      <c r="A219" s="1" t="s">
        <v>2352</v>
      </c>
      <c r="C219" s="1" t="s">
        <v>2353</v>
      </c>
      <c r="D219" s="42" t="s">
        <v>2354</v>
      </c>
      <c r="E219" t="s">
        <v>2353</v>
      </c>
      <c r="G219" s="1">
        <v>2980</v>
      </c>
      <c r="H219" s="1">
        <v>1</v>
      </c>
      <c r="I219" s="1">
        <v>2980</v>
      </c>
      <c r="J219" s="1">
        <v>1</v>
      </c>
      <c r="K219" s="1">
        <f t="shared" si="12"/>
        <v>447</v>
      </c>
      <c r="L219" s="6">
        <v>1144</v>
      </c>
      <c r="M219" s="6">
        <f t="shared" si="13"/>
        <v>1144</v>
      </c>
      <c r="N219" s="6">
        <f t="shared" si="14"/>
        <v>1389</v>
      </c>
      <c r="O219" s="8">
        <f t="shared" si="15"/>
        <v>0.46610738255033557</v>
      </c>
    </row>
    <row r="220" spans="1:15" ht="17" customHeight="1">
      <c r="A220" s="1" t="s">
        <v>2355</v>
      </c>
      <c r="B220" s="1"/>
      <c r="C220" s="1" t="s">
        <v>2356</v>
      </c>
      <c r="D220" s="42" t="s">
        <v>2357</v>
      </c>
      <c r="E220" s="1" t="s">
        <v>2356</v>
      </c>
      <c r="G220" s="1">
        <v>2980</v>
      </c>
      <c r="H220" s="1">
        <v>1</v>
      </c>
      <c r="I220" s="1">
        <v>2980</v>
      </c>
      <c r="J220" s="1">
        <v>1</v>
      </c>
      <c r="K220" s="1">
        <f t="shared" si="12"/>
        <v>447</v>
      </c>
      <c r="L220" s="6">
        <v>1647</v>
      </c>
      <c r="M220" s="6">
        <f t="shared" si="13"/>
        <v>1647</v>
      </c>
      <c r="N220" s="6">
        <f t="shared" si="14"/>
        <v>886</v>
      </c>
      <c r="O220" s="8">
        <f t="shared" si="15"/>
        <v>0.29731543624161072</v>
      </c>
    </row>
    <row r="221" spans="1:15" ht="17" customHeight="1">
      <c r="A221" s="1" t="s">
        <v>1846</v>
      </c>
      <c r="C221" s="1" t="s">
        <v>1847</v>
      </c>
      <c r="D221" s="42" t="s">
        <v>2358</v>
      </c>
      <c r="E221" t="s">
        <v>2359</v>
      </c>
      <c r="G221" s="1">
        <v>2980</v>
      </c>
      <c r="H221" s="1">
        <v>1</v>
      </c>
      <c r="I221" s="1">
        <v>2980</v>
      </c>
      <c r="J221" s="1">
        <v>1</v>
      </c>
      <c r="K221" s="1">
        <f t="shared" si="12"/>
        <v>447</v>
      </c>
      <c r="L221" s="6">
        <v>1188</v>
      </c>
      <c r="M221" s="6">
        <f t="shared" si="13"/>
        <v>1188</v>
      </c>
      <c r="N221" s="6">
        <f t="shared" si="14"/>
        <v>1345</v>
      </c>
      <c r="O221" s="8">
        <f t="shared" si="15"/>
        <v>0.45134228187919462</v>
      </c>
    </row>
    <row r="222" spans="1:15" ht="17" customHeight="1">
      <c r="A222" s="1" t="s">
        <v>2360</v>
      </c>
      <c r="C222" s="1" t="s">
        <v>2361</v>
      </c>
      <c r="D222" s="42" t="s">
        <v>2362</v>
      </c>
      <c r="E222" t="s">
        <v>2361</v>
      </c>
      <c r="G222" s="1">
        <v>2980</v>
      </c>
      <c r="H222" s="1">
        <v>1</v>
      </c>
      <c r="I222" s="1">
        <v>2980</v>
      </c>
      <c r="J222" s="1">
        <v>1</v>
      </c>
      <c r="K222" s="1">
        <f t="shared" si="12"/>
        <v>447</v>
      </c>
      <c r="L222" s="6">
        <v>1242</v>
      </c>
      <c r="M222" s="6">
        <f t="shared" si="13"/>
        <v>1242</v>
      </c>
      <c r="N222" s="6">
        <f t="shared" si="14"/>
        <v>1291</v>
      </c>
      <c r="O222" s="8">
        <f t="shared" si="15"/>
        <v>0.43322147651006709</v>
      </c>
    </row>
    <row r="223" spans="1:15" ht="17" customHeight="1">
      <c r="A223" s="1" t="s">
        <v>632</v>
      </c>
      <c r="B223" t="s">
        <v>2119</v>
      </c>
      <c r="C223" s="1">
        <v>4550391062164</v>
      </c>
      <c r="D223" s="42" t="s">
        <v>634</v>
      </c>
      <c r="E223">
        <v>4550391062188</v>
      </c>
      <c r="G223" s="1">
        <v>2980</v>
      </c>
      <c r="H223" s="1">
        <v>1</v>
      </c>
      <c r="I223" s="1">
        <v>2980</v>
      </c>
      <c r="J223" s="1">
        <v>1</v>
      </c>
      <c r="K223" s="1">
        <f t="shared" si="12"/>
        <v>447</v>
      </c>
      <c r="L223" s="6">
        <v>1072</v>
      </c>
      <c r="M223" s="6">
        <f t="shared" si="13"/>
        <v>1072</v>
      </c>
      <c r="N223" s="6">
        <f t="shared" si="14"/>
        <v>1461</v>
      </c>
      <c r="O223" s="8">
        <f t="shared" si="15"/>
        <v>0.49026845637583893</v>
      </c>
    </row>
    <row r="224" spans="1:15" ht="17" customHeight="1">
      <c r="A224" s="1" t="s">
        <v>890</v>
      </c>
      <c r="C224" s="1" t="s">
        <v>891</v>
      </c>
      <c r="D224" s="42">
        <v>616</v>
      </c>
      <c r="E224" t="s">
        <v>891</v>
      </c>
      <c r="G224" s="1">
        <v>2980</v>
      </c>
      <c r="H224" s="1">
        <v>1</v>
      </c>
      <c r="I224" s="1">
        <v>2980</v>
      </c>
      <c r="J224" s="1">
        <v>1</v>
      </c>
      <c r="K224" s="1">
        <f t="shared" si="12"/>
        <v>447</v>
      </c>
      <c r="L224" s="6">
        <v>616</v>
      </c>
      <c r="M224" s="6">
        <f t="shared" si="13"/>
        <v>616</v>
      </c>
      <c r="N224" s="6">
        <f t="shared" si="14"/>
        <v>1917</v>
      </c>
      <c r="O224" s="8">
        <f t="shared" si="15"/>
        <v>0.64328859060402688</v>
      </c>
    </row>
    <row r="225" spans="1:15" ht="17" customHeight="1">
      <c r="A225" s="1" t="s">
        <v>1204</v>
      </c>
      <c r="B225" t="s">
        <v>1210</v>
      </c>
      <c r="C225" s="1" t="s">
        <v>1205</v>
      </c>
      <c r="D225" s="42" t="s">
        <v>1206</v>
      </c>
      <c r="E225" t="s">
        <v>1211</v>
      </c>
      <c r="G225" s="1">
        <v>2980</v>
      </c>
      <c r="H225" s="1">
        <v>1</v>
      </c>
      <c r="I225" s="1">
        <v>2980</v>
      </c>
      <c r="J225" s="1">
        <v>1</v>
      </c>
      <c r="K225" s="1">
        <f t="shared" si="12"/>
        <v>447</v>
      </c>
      <c r="L225" s="6">
        <v>1014</v>
      </c>
      <c r="M225" s="6">
        <f t="shared" si="13"/>
        <v>1014</v>
      </c>
      <c r="N225" s="6">
        <f t="shared" si="14"/>
        <v>1519</v>
      </c>
      <c r="O225" s="8">
        <f t="shared" si="15"/>
        <v>0.50973154362416107</v>
      </c>
    </row>
    <row r="226" spans="1:15" ht="17" customHeight="1">
      <c r="A226" s="1" t="s">
        <v>643</v>
      </c>
      <c r="B226" s="1"/>
      <c r="C226" s="1" t="s">
        <v>644</v>
      </c>
      <c r="D226" s="42" t="s">
        <v>645</v>
      </c>
      <c r="E226" s="1" t="s">
        <v>644</v>
      </c>
      <c r="G226" s="1">
        <v>2980</v>
      </c>
      <c r="H226" s="1">
        <v>1</v>
      </c>
      <c r="I226" s="1">
        <v>2980</v>
      </c>
      <c r="J226" s="1">
        <v>1</v>
      </c>
      <c r="K226" s="1">
        <f t="shared" si="12"/>
        <v>447</v>
      </c>
      <c r="L226" s="6">
        <v>1167</v>
      </c>
      <c r="M226" s="6">
        <f t="shared" si="13"/>
        <v>1167</v>
      </c>
      <c r="N226" s="6">
        <f t="shared" si="14"/>
        <v>1366</v>
      </c>
      <c r="O226" s="8">
        <f t="shared" si="15"/>
        <v>0.45838926174496647</v>
      </c>
    </row>
    <row r="227" spans="1:15" ht="17" customHeight="1">
      <c r="A227" s="1" t="s">
        <v>1248</v>
      </c>
      <c r="B227" t="s">
        <v>1270</v>
      </c>
      <c r="C227" s="1" t="s">
        <v>1249</v>
      </c>
      <c r="D227" s="42" t="s">
        <v>2363</v>
      </c>
      <c r="E227" t="s">
        <v>1271</v>
      </c>
      <c r="G227" s="1">
        <v>1480</v>
      </c>
      <c r="H227" s="1">
        <v>2</v>
      </c>
      <c r="I227" s="1">
        <v>2960</v>
      </c>
      <c r="J227" s="1">
        <v>2</v>
      </c>
      <c r="K227" s="1">
        <f t="shared" si="12"/>
        <v>444</v>
      </c>
      <c r="L227" s="6">
        <v>504</v>
      </c>
      <c r="M227" s="6">
        <f t="shared" si="13"/>
        <v>1008</v>
      </c>
      <c r="N227" s="6">
        <f t="shared" si="14"/>
        <v>1508</v>
      </c>
      <c r="O227" s="8">
        <f t="shared" si="15"/>
        <v>0.50945945945945947</v>
      </c>
    </row>
    <row r="228" spans="1:15" ht="17" customHeight="1">
      <c r="A228" s="1" t="s">
        <v>651</v>
      </c>
      <c r="B228" t="s">
        <v>652</v>
      </c>
      <c r="C228" s="1" t="s">
        <v>653</v>
      </c>
      <c r="D228" s="42" t="s">
        <v>654</v>
      </c>
      <c r="E228" t="s">
        <v>655</v>
      </c>
      <c r="G228" s="1">
        <v>1480</v>
      </c>
      <c r="H228" s="1">
        <v>2</v>
      </c>
      <c r="I228" s="1">
        <v>2960</v>
      </c>
      <c r="J228" s="1">
        <v>2</v>
      </c>
      <c r="K228" s="1">
        <f t="shared" si="12"/>
        <v>444</v>
      </c>
      <c r="L228" s="6">
        <v>1148</v>
      </c>
      <c r="M228" s="6">
        <f t="shared" si="13"/>
        <v>2296</v>
      </c>
      <c r="N228" s="6">
        <f t="shared" si="14"/>
        <v>220</v>
      </c>
      <c r="O228" s="8">
        <f t="shared" si="15"/>
        <v>7.4324324324324328E-2</v>
      </c>
    </row>
    <row r="229" spans="1:15" ht="17" customHeight="1">
      <c r="A229" s="1" t="s">
        <v>330</v>
      </c>
      <c r="C229" s="1" t="s">
        <v>331</v>
      </c>
      <c r="D229" s="42" t="s">
        <v>332</v>
      </c>
      <c r="E229" t="s">
        <v>331</v>
      </c>
      <c r="G229" s="1">
        <v>1480</v>
      </c>
      <c r="H229" s="1">
        <v>2</v>
      </c>
      <c r="I229" s="1">
        <v>2960</v>
      </c>
      <c r="J229" s="1">
        <v>2</v>
      </c>
      <c r="K229" s="1">
        <f t="shared" si="12"/>
        <v>444</v>
      </c>
      <c r="L229" s="6">
        <v>830</v>
      </c>
      <c r="M229" s="6">
        <f t="shared" si="13"/>
        <v>1660</v>
      </c>
      <c r="N229" s="6">
        <f t="shared" si="14"/>
        <v>856</v>
      </c>
      <c r="O229" s="8">
        <f t="shared" si="15"/>
        <v>0.28918918918918918</v>
      </c>
    </row>
    <row r="230" spans="1:15" ht="17" customHeight="1">
      <c r="A230" s="1" t="s">
        <v>302</v>
      </c>
      <c r="B230" s="1"/>
      <c r="C230" s="1" t="s">
        <v>303</v>
      </c>
      <c r="D230" s="42" t="s">
        <v>304</v>
      </c>
      <c r="E230" s="1" t="s">
        <v>303</v>
      </c>
      <c r="G230" s="1">
        <v>2780</v>
      </c>
      <c r="H230" s="1">
        <v>1</v>
      </c>
      <c r="I230" s="1">
        <v>2780</v>
      </c>
      <c r="J230" s="1">
        <v>1</v>
      </c>
      <c r="K230" s="1">
        <f t="shared" si="12"/>
        <v>417</v>
      </c>
      <c r="L230" s="6">
        <v>1690</v>
      </c>
      <c r="M230" s="6">
        <f t="shared" si="13"/>
        <v>1690</v>
      </c>
      <c r="N230" s="6">
        <f t="shared" si="14"/>
        <v>673</v>
      </c>
      <c r="O230" s="8">
        <f t="shared" si="15"/>
        <v>0.24208633093525181</v>
      </c>
    </row>
    <row r="231" spans="1:15" ht="17" customHeight="1">
      <c r="A231" s="1" t="s">
        <v>1812</v>
      </c>
      <c r="C231" s="1" t="s">
        <v>1813</v>
      </c>
      <c r="D231" s="42" t="s">
        <v>1814</v>
      </c>
      <c r="E231" t="s">
        <v>2364</v>
      </c>
      <c r="G231" s="1">
        <v>2780</v>
      </c>
      <c r="H231" s="1">
        <v>1</v>
      </c>
      <c r="I231" s="1">
        <v>2780</v>
      </c>
      <c r="J231" s="1">
        <v>1</v>
      </c>
      <c r="K231" s="1">
        <f t="shared" si="12"/>
        <v>417</v>
      </c>
      <c r="L231" s="6">
        <v>1534</v>
      </c>
      <c r="M231" s="6">
        <f t="shared" si="13"/>
        <v>1534</v>
      </c>
      <c r="N231" s="6">
        <f t="shared" si="14"/>
        <v>829</v>
      </c>
      <c r="O231" s="8">
        <f t="shared" si="15"/>
        <v>0.29820143884892086</v>
      </c>
    </row>
    <row r="232" spans="1:15" ht="17" customHeight="1">
      <c r="A232" s="1" t="s">
        <v>1438</v>
      </c>
      <c r="C232" s="1" t="s">
        <v>1439</v>
      </c>
      <c r="D232" s="42" t="s">
        <v>1440</v>
      </c>
      <c r="E232" t="s">
        <v>1439</v>
      </c>
      <c r="G232" s="1">
        <v>1380</v>
      </c>
      <c r="H232" s="1">
        <v>2</v>
      </c>
      <c r="I232" s="1">
        <v>2760</v>
      </c>
      <c r="J232" s="1">
        <v>2</v>
      </c>
      <c r="K232" s="1">
        <f t="shared" si="12"/>
        <v>414</v>
      </c>
      <c r="L232" s="6">
        <v>550</v>
      </c>
      <c r="M232" s="6">
        <f t="shared" si="13"/>
        <v>1100</v>
      </c>
      <c r="N232" s="6">
        <f t="shared" si="14"/>
        <v>1246</v>
      </c>
      <c r="O232" s="8">
        <f t="shared" si="15"/>
        <v>0.45144927536231882</v>
      </c>
    </row>
    <row r="233" spans="1:15" ht="17" customHeight="1">
      <c r="A233" s="1" t="s">
        <v>663</v>
      </c>
      <c r="C233" s="1" t="s">
        <v>664</v>
      </c>
      <c r="D233" s="42" t="s">
        <v>665</v>
      </c>
      <c r="E233" t="s">
        <v>664</v>
      </c>
      <c r="G233" s="1">
        <v>2580</v>
      </c>
      <c r="H233" s="1">
        <v>1</v>
      </c>
      <c r="I233" s="1">
        <v>2580</v>
      </c>
      <c r="J233" s="1">
        <v>1</v>
      </c>
      <c r="K233" s="1">
        <f t="shared" si="12"/>
        <v>387</v>
      </c>
      <c r="L233" s="6">
        <v>1287</v>
      </c>
      <c r="M233" s="6">
        <f t="shared" si="13"/>
        <v>1287</v>
      </c>
      <c r="N233" s="6">
        <f t="shared" si="14"/>
        <v>906</v>
      </c>
      <c r="O233" s="8">
        <f t="shared" si="15"/>
        <v>0.35116279069767442</v>
      </c>
    </row>
    <row r="234" spans="1:15" ht="17" customHeight="1">
      <c r="A234" s="1" t="s">
        <v>120</v>
      </c>
      <c r="C234" s="1" t="s">
        <v>121</v>
      </c>
      <c r="D234" s="42" t="s">
        <v>122</v>
      </c>
      <c r="E234" t="s">
        <v>121</v>
      </c>
      <c r="G234" s="1">
        <v>2580</v>
      </c>
      <c r="H234" s="1">
        <v>1</v>
      </c>
      <c r="I234" s="1">
        <v>2580</v>
      </c>
      <c r="J234" s="1">
        <v>1</v>
      </c>
      <c r="K234" s="1">
        <f t="shared" si="12"/>
        <v>387</v>
      </c>
      <c r="L234" s="6">
        <v>1267</v>
      </c>
      <c r="M234" s="6">
        <f t="shared" si="13"/>
        <v>1267</v>
      </c>
      <c r="N234" s="6">
        <f t="shared" si="14"/>
        <v>926</v>
      </c>
      <c r="O234" s="8">
        <f t="shared" si="15"/>
        <v>0.35891472868217056</v>
      </c>
    </row>
    <row r="235" spans="1:15" ht="17" customHeight="1">
      <c r="A235" s="1" t="s">
        <v>317</v>
      </c>
      <c r="B235" s="1"/>
      <c r="C235" s="1" t="s">
        <v>318</v>
      </c>
      <c r="D235" s="42" t="s">
        <v>319</v>
      </c>
      <c r="E235" s="1" t="s">
        <v>318</v>
      </c>
      <c r="G235" s="1">
        <v>2580</v>
      </c>
      <c r="H235" s="1">
        <v>1</v>
      </c>
      <c r="I235" s="1">
        <v>2580</v>
      </c>
      <c r="J235" s="1">
        <v>1</v>
      </c>
      <c r="K235" s="1">
        <f t="shared" si="12"/>
        <v>387</v>
      </c>
      <c r="L235" s="6">
        <v>1612</v>
      </c>
      <c r="M235" s="6">
        <f t="shared" si="13"/>
        <v>1612</v>
      </c>
      <c r="N235" s="6">
        <f t="shared" si="14"/>
        <v>581</v>
      </c>
      <c r="O235" s="8">
        <f t="shared" si="15"/>
        <v>0.2251937984496124</v>
      </c>
    </row>
    <row r="236" spans="1:15" ht="17" customHeight="1">
      <c r="A236" s="1" t="s">
        <v>320</v>
      </c>
      <c r="C236" s="1" t="s">
        <v>321</v>
      </c>
      <c r="D236" s="42" t="s">
        <v>322</v>
      </c>
      <c r="E236" t="s">
        <v>323</v>
      </c>
      <c r="G236" s="1">
        <v>2580</v>
      </c>
      <c r="H236" s="1">
        <v>1</v>
      </c>
      <c r="I236" s="1">
        <v>2580</v>
      </c>
      <c r="J236" s="1">
        <v>1</v>
      </c>
      <c r="K236" s="1">
        <f t="shared" si="12"/>
        <v>387</v>
      </c>
      <c r="L236" s="6">
        <v>1296</v>
      </c>
      <c r="M236" s="6">
        <f t="shared" si="13"/>
        <v>1296</v>
      </c>
      <c r="N236" s="6">
        <f t="shared" si="14"/>
        <v>897</v>
      </c>
      <c r="O236" s="8">
        <f t="shared" si="15"/>
        <v>0.34767441860465115</v>
      </c>
    </row>
    <row r="237" spans="1:15" ht="17" customHeight="1">
      <c r="A237" s="1" t="s">
        <v>689</v>
      </c>
      <c r="C237" s="1" t="s">
        <v>690</v>
      </c>
      <c r="D237" s="42" t="s">
        <v>691</v>
      </c>
      <c r="E237" t="s">
        <v>690</v>
      </c>
      <c r="G237" s="1">
        <v>2520</v>
      </c>
      <c r="H237" s="1">
        <v>1</v>
      </c>
      <c r="I237" s="1">
        <v>2520</v>
      </c>
      <c r="J237" s="1">
        <v>1</v>
      </c>
      <c r="K237" s="1">
        <f t="shared" si="12"/>
        <v>378</v>
      </c>
      <c r="L237" s="6">
        <v>1100</v>
      </c>
      <c r="M237" s="6">
        <f t="shared" si="13"/>
        <v>1100</v>
      </c>
      <c r="N237" s="6">
        <f t="shared" si="14"/>
        <v>1042</v>
      </c>
      <c r="O237" s="8">
        <f t="shared" si="15"/>
        <v>0.41349206349206347</v>
      </c>
    </row>
    <row r="238" spans="1:15" ht="17" customHeight="1">
      <c r="A238" s="1" t="s">
        <v>458</v>
      </c>
      <c r="C238" s="1" t="s">
        <v>459</v>
      </c>
      <c r="D238" s="42" t="s">
        <v>460</v>
      </c>
      <c r="E238" t="s">
        <v>461</v>
      </c>
      <c r="G238" s="1">
        <v>2480</v>
      </c>
      <c r="H238" s="1">
        <v>1</v>
      </c>
      <c r="I238" s="1">
        <v>2480</v>
      </c>
      <c r="J238" s="1">
        <v>1</v>
      </c>
      <c r="K238" s="1">
        <f t="shared" si="12"/>
        <v>372</v>
      </c>
      <c r="L238" s="6">
        <v>1164</v>
      </c>
      <c r="M238" s="6">
        <f t="shared" si="13"/>
        <v>1164</v>
      </c>
      <c r="N238" s="6">
        <f t="shared" si="14"/>
        <v>944</v>
      </c>
      <c r="O238" s="8">
        <f t="shared" si="15"/>
        <v>0.38064516129032255</v>
      </c>
    </row>
    <row r="239" spans="1:15" ht="17" customHeight="1">
      <c r="A239" s="1" t="s">
        <v>2365</v>
      </c>
      <c r="C239" s="1" t="s">
        <v>2366</v>
      </c>
      <c r="D239" s="42">
        <v>5060144645562</v>
      </c>
      <c r="E239" t="s">
        <v>2366</v>
      </c>
      <c r="G239" s="1">
        <v>2480</v>
      </c>
      <c r="H239" s="1">
        <v>1</v>
      </c>
      <c r="I239" s="1">
        <v>2480</v>
      </c>
      <c r="J239" s="1">
        <v>1</v>
      </c>
      <c r="K239" s="1">
        <f t="shared" si="12"/>
        <v>372</v>
      </c>
      <c r="L239" s="6">
        <v>1192</v>
      </c>
      <c r="M239" s="6">
        <f t="shared" si="13"/>
        <v>1192</v>
      </c>
      <c r="N239" s="6">
        <f t="shared" si="14"/>
        <v>916</v>
      </c>
      <c r="O239" s="8">
        <f t="shared" si="15"/>
        <v>0.36935483870967745</v>
      </c>
    </row>
    <row r="240" spans="1:15" ht="17" customHeight="1">
      <c r="A240" s="1" t="s">
        <v>1136</v>
      </c>
      <c r="B240" t="s">
        <v>1573</v>
      </c>
      <c r="C240" s="1" t="s">
        <v>1138</v>
      </c>
      <c r="D240" s="42" t="s">
        <v>1139</v>
      </c>
      <c r="E240" t="s">
        <v>1574</v>
      </c>
      <c r="G240" s="1">
        <v>2480</v>
      </c>
      <c r="H240" s="1">
        <v>1</v>
      </c>
      <c r="I240" s="1">
        <v>2480</v>
      </c>
      <c r="J240" s="1">
        <v>1</v>
      </c>
      <c r="K240" s="1">
        <f t="shared" si="12"/>
        <v>372</v>
      </c>
      <c r="L240" s="6">
        <v>495</v>
      </c>
      <c r="M240" s="6">
        <f t="shared" si="13"/>
        <v>495</v>
      </c>
      <c r="N240" s="6">
        <f t="shared" si="14"/>
        <v>1613</v>
      </c>
      <c r="O240" s="8">
        <f t="shared" si="15"/>
        <v>0.6504032258064516</v>
      </c>
    </row>
    <row r="241" spans="1:15" ht="17" customHeight="1">
      <c r="A241" s="1" t="s">
        <v>702</v>
      </c>
      <c r="C241" s="1" t="s">
        <v>703</v>
      </c>
      <c r="D241" s="42" t="s">
        <v>704</v>
      </c>
      <c r="E241" t="s">
        <v>705</v>
      </c>
      <c r="G241" s="1">
        <v>2480</v>
      </c>
      <c r="H241" s="1">
        <v>1</v>
      </c>
      <c r="I241" s="1">
        <v>2480</v>
      </c>
      <c r="J241" s="1">
        <v>1</v>
      </c>
      <c r="K241" s="1">
        <f t="shared" si="12"/>
        <v>372</v>
      </c>
      <c r="L241" s="6">
        <v>1314</v>
      </c>
      <c r="M241" s="6">
        <f t="shared" si="13"/>
        <v>1314</v>
      </c>
      <c r="N241" s="6">
        <f t="shared" si="14"/>
        <v>794</v>
      </c>
      <c r="O241" s="8">
        <f t="shared" si="15"/>
        <v>0.32016129032258067</v>
      </c>
    </row>
    <row r="242" spans="1:15" ht="17" customHeight="1">
      <c r="A242" s="1" t="s">
        <v>2367</v>
      </c>
      <c r="C242" s="1" t="s">
        <v>2368</v>
      </c>
      <c r="D242" s="42" t="s">
        <v>2369</v>
      </c>
      <c r="E242" t="s">
        <v>2370</v>
      </c>
      <c r="G242" s="1">
        <v>2480</v>
      </c>
      <c r="H242" s="1">
        <v>1</v>
      </c>
      <c r="I242" s="1">
        <v>2480</v>
      </c>
      <c r="J242" s="1">
        <v>1</v>
      </c>
      <c r="K242" s="1">
        <f t="shared" si="12"/>
        <v>372</v>
      </c>
      <c r="L242" s="6">
        <v>690</v>
      </c>
      <c r="M242" s="6">
        <f t="shared" si="13"/>
        <v>690</v>
      </c>
      <c r="N242" s="6">
        <f t="shared" si="14"/>
        <v>1418</v>
      </c>
      <c r="O242" s="8">
        <f t="shared" si="15"/>
        <v>0.5717741935483871</v>
      </c>
    </row>
    <row r="243" spans="1:15" ht="17" customHeight="1">
      <c r="A243" s="1" t="s">
        <v>341</v>
      </c>
      <c r="C243" s="1" t="s">
        <v>342</v>
      </c>
      <c r="D243" s="42" t="s">
        <v>343</v>
      </c>
      <c r="E243" t="s">
        <v>344</v>
      </c>
      <c r="G243" s="1">
        <v>2480</v>
      </c>
      <c r="H243" s="1">
        <v>1</v>
      </c>
      <c r="I243" s="1">
        <v>2480</v>
      </c>
      <c r="J243" s="1">
        <v>1</v>
      </c>
      <c r="K243" s="1">
        <f t="shared" si="12"/>
        <v>372</v>
      </c>
      <c r="L243" s="6">
        <v>1116</v>
      </c>
      <c r="M243" s="6">
        <f t="shared" si="13"/>
        <v>1116</v>
      </c>
      <c r="N243" s="6">
        <f t="shared" si="14"/>
        <v>992</v>
      </c>
      <c r="O243" s="8">
        <f t="shared" si="15"/>
        <v>0.4</v>
      </c>
    </row>
    <row r="244" spans="1:15" ht="17" customHeight="1">
      <c r="A244" s="1" t="s">
        <v>1339</v>
      </c>
      <c r="C244" s="1" t="s">
        <v>1340</v>
      </c>
      <c r="D244" s="42" t="s">
        <v>1341</v>
      </c>
      <c r="E244" t="s">
        <v>1340</v>
      </c>
      <c r="G244" s="1">
        <v>2480</v>
      </c>
      <c r="H244" s="1">
        <v>1</v>
      </c>
      <c r="I244" s="1">
        <v>2480</v>
      </c>
      <c r="J244" s="1">
        <v>1</v>
      </c>
      <c r="K244" s="1">
        <f t="shared" si="12"/>
        <v>372</v>
      </c>
      <c r="L244" s="6">
        <v>1429</v>
      </c>
      <c r="M244" s="6">
        <f t="shared" si="13"/>
        <v>1429</v>
      </c>
      <c r="N244" s="6">
        <f t="shared" si="14"/>
        <v>679</v>
      </c>
      <c r="O244" s="8">
        <f t="shared" si="15"/>
        <v>0.27379032258064517</v>
      </c>
    </row>
    <row r="245" spans="1:15" ht="17" customHeight="1">
      <c r="A245" s="1" t="s">
        <v>712</v>
      </c>
      <c r="C245" s="1" t="s">
        <v>713</v>
      </c>
      <c r="D245" s="42" t="s">
        <v>714</v>
      </c>
      <c r="E245" t="s">
        <v>713</v>
      </c>
      <c r="G245" s="1">
        <v>2480</v>
      </c>
      <c r="H245" s="1">
        <v>1</v>
      </c>
      <c r="I245" s="1">
        <v>2480</v>
      </c>
      <c r="J245" s="1">
        <v>1</v>
      </c>
      <c r="K245" s="1">
        <f t="shared" si="12"/>
        <v>372</v>
      </c>
      <c r="L245" s="6">
        <v>1116</v>
      </c>
      <c r="M245" s="6">
        <f t="shared" si="13"/>
        <v>1116</v>
      </c>
      <c r="N245" s="6">
        <f t="shared" si="14"/>
        <v>992</v>
      </c>
      <c r="O245" s="8">
        <f t="shared" si="15"/>
        <v>0.4</v>
      </c>
    </row>
    <row r="246" spans="1:15" ht="17" customHeight="1">
      <c r="A246" s="1" t="s">
        <v>1350</v>
      </c>
      <c r="C246" s="1" t="s">
        <v>1351</v>
      </c>
      <c r="D246" s="42" t="s">
        <v>2065</v>
      </c>
      <c r="E246" t="s">
        <v>1351</v>
      </c>
      <c r="G246" s="1">
        <v>2480</v>
      </c>
      <c r="H246" s="1">
        <v>1</v>
      </c>
      <c r="I246" s="1">
        <v>2480</v>
      </c>
      <c r="J246" s="1">
        <v>1</v>
      </c>
      <c r="K246" s="1">
        <f t="shared" si="12"/>
        <v>372</v>
      </c>
      <c r="L246" s="6">
        <v>550</v>
      </c>
      <c r="M246" s="6">
        <f t="shared" si="13"/>
        <v>550</v>
      </c>
      <c r="N246" s="6">
        <f t="shared" si="14"/>
        <v>1558</v>
      </c>
      <c r="O246" s="8">
        <f t="shared" si="15"/>
        <v>0.62822580645161286</v>
      </c>
    </row>
    <row r="247" spans="1:15" ht="17" customHeight="1">
      <c r="A247" s="1" t="s">
        <v>354</v>
      </c>
      <c r="C247" s="1" t="s">
        <v>355</v>
      </c>
      <c r="D247" s="42" t="s">
        <v>356</v>
      </c>
      <c r="E247" t="s">
        <v>357</v>
      </c>
      <c r="G247" s="1">
        <v>2480</v>
      </c>
      <c r="H247" s="1">
        <v>1</v>
      </c>
      <c r="I247" s="1">
        <v>2480</v>
      </c>
      <c r="J247" s="1">
        <v>1</v>
      </c>
      <c r="K247" s="1">
        <f t="shared" si="12"/>
        <v>372</v>
      </c>
      <c r="L247" s="6">
        <v>358</v>
      </c>
      <c r="M247" s="6">
        <f t="shared" si="13"/>
        <v>358</v>
      </c>
      <c r="N247" s="6">
        <f t="shared" si="14"/>
        <v>1750</v>
      </c>
      <c r="O247" s="8">
        <f t="shared" si="15"/>
        <v>0.70564516129032262</v>
      </c>
    </row>
    <row r="248" spans="1:15" ht="17" customHeight="1">
      <c r="A248" s="1" t="s">
        <v>358</v>
      </c>
      <c r="C248" s="1" t="s">
        <v>359</v>
      </c>
      <c r="D248" s="42" t="s">
        <v>2124</v>
      </c>
      <c r="E248" t="s">
        <v>361</v>
      </c>
      <c r="G248" s="1">
        <v>2480</v>
      </c>
      <c r="H248" s="1">
        <v>1</v>
      </c>
      <c r="I248" s="1">
        <v>2480</v>
      </c>
      <c r="J248" s="1">
        <v>1</v>
      </c>
      <c r="K248" s="1">
        <f t="shared" si="12"/>
        <v>372</v>
      </c>
      <c r="L248" s="6">
        <v>1273</v>
      </c>
      <c r="M248" s="6">
        <f t="shared" si="13"/>
        <v>1273</v>
      </c>
      <c r="N248" s="6">
        <f t="shared" si="14"/>
        <v>835</v>
      </c>
      <c r="O248" s="8">
        <f t="shared" si="15"/>
        <v>0.33669354838709675</v>
      </c>
    </row>
    <row r="249" spans="1:15" ht="17" customHeight="1">
      <c r="A249" s="43" t="s">
        <v>2371</v>
      </c>
      <c r="C249" s="1" t="s">
        <v>2372</v>
      </c>
      <c r="D249" s="42" t="s">
        <v>2373</v>
      </c>
      <c r="E249" t="s">
        <v>2372</v>
      </c>
      <c r="G249" s="1">
        <v>1200</v>
      </c>
      <c r="H249" s="1">
        <v>2</v>
      </c>
      <c r="I249" s="1">
        <v>2400</v>
      </c>
      <c r="J249" s="1">
        <v>1</v>
      </c>
      <c r="K249" s="1">
        <f t="shared" si="12"/>
        <v>360</v>
      </c>
      <c r="L249" s="6">
        <v>610</v>
      </c>
      <c r="M249" s="6">
        <f t="shared" si="13"/>
        <v>1220</v>
      </c>
      <c r="N249" s="6">
        <f t="shared" si="14"/>
        <v>820</v>
      </c>
      <c r="O249" s="8">
        <f t="shared" si="15"/>
        <v>0.34166666666666667</v>
      </c>
    </row>
    <row r="250" spans="1:15" ht="17" customHeight="1">
      <c r="A250" s="1" t="s">
        <v>1857</v>
      </c>
      <c r="C250" s="1" t="s">
        <v>1858</v>
      </c>
      <c r="D250" s="42" t="s">
        <v>2374</v>
      </c>
      <c r="E250" t="s">
        <v>1858</v>
      </c>
      <c r="G250" s="1">
        <v>2380</v>
      </c>
      <c r="H250" s="1">
        <v>1</v>
      </c>
      <c r="I250" s="1">
        <v>2380</v>
      </c>
      <c r="J250" s="1">
        <v>1</v>
      </c>
      <c r="K250" s="1">
        <f t="shared" si="12"/>
        <v>357</v>
      </c>
      <c r="L250" s="6">
        <v>1100</v>
      </c>
      <c r="M250" s="6">
        <f t="shared" si="13"/>
        <v>1100</v>
      </c>
      <c r="N250" s="6">
        <f t="shared" si="14"/>
        <v>923</v>
      </c>
      <c r="O250" s="8">
        <f t="shared" si="15"/>
        <v>0.38781512605042018</v>
      </c>
    </row>
    <row r="251" spans="1:15" ht="17" customHeight="1">
      <c r="A251" s="1" t="s">
        <v>1854</v>
      </c>
      <c r="C251" s="1" t="s">
        <v>1855</v>
      </c>
      <c r="D251" s="42" t="s">
        <v>2375</v>
      </c>
      <c r="E251" t="s">
        <v>1855</v>
      </c>
      <c r="G251" s="1">
        <v>2380</v>
      </c>
      <c r="H251" s="1">
        <v>1</v>
      </c>
      <c r="I251" s="1">
        <v>2380</v>
      </c>
      <c r="J251" s="1">
        <v>1</v>
      </c>
      <c r="K251" s="1">
        <f t="shared" si="12"/>
        <v>357</v>
      </c>
      <c r="L251" s="6">
        <v>1096</v>
      </c>
      <c r="M251" s="6">
        <f t="shared" si="13"/>
        <v>1096</v>
      </c>
      <c r="N251" s="6">
        <f t="shared" si="14"/>
        <v>927</v>
      </c>
      <c r="O251" s="8">
        <f t="shared" si="15"/>
        <v>0.38949579831932774</v>
      </c>
    </row>
    <row r="252" spans="1:15" ht="17" customHeight="1">
      <c r="A252" s="1" t="s">
        <v>651</v>
      </c>
      <c r="B252" t="s">
        <v>1056</v>
      </c>
      <c r="C252" s="1" t="s">
        <v>653</v>
      </c>
      <c r="D252" s="42" t="s">
        <v>654</v>
      </c>
      <c r="E252" t="s">
        <v>1057</v>
      </c>
      <c r="G252" s="1">
        <v>2180</v>
      </c>
      <c r="H252" s="1">
        <v>1</v>
      </c>
      <c r="I252" s="1">
        <v>2180</v>
      </c>
      <c r="J252" s="1">
        <v>1</v>
      </c>
      <c r="K252" s="1">
        <f t="shared" si="12"/>
        <v>327</v>
      </c>
      <c r="L252" s="6">
        <v>1148</v>
      </c>
      <c r="M252" s="6">
        <f t="shared" si="13"/>
        <v>1148</v>
      </c>
      <c r="N252" s="6">
        <f t="shared" si="14"/>
        <v>705</v>
      </c>
      <c r="O252" s="8">
        <f t="shared" si="15"/>
        <v>0.32339449541284404</v>
      </c>
    </row>
    <row r="253" spans="1:15" ht="17" customHeight="1">
      <c r="A253" s="1" t="s">
        <v>2376</v>
      </c>
      <c r="B253" s="1"/>
      <c r="C253" s="1" t="s">
        <v>2377</v>
      </c>
      <c r="D253" s="42" t="s">
        <v>2378</v>
      </c>
      <c r="E253" s="1" t="s">
        <v>2377</v>
      </c>
      <c r="G253" s="1">
        <v>2180</v>
      </c>
      <c r="H253" s="1">
        <v>1</v>
      </c>
      <c r="I253" s="1">
        <v>2180</v>
      </c>
      <c r="J253" s="1">
        <v>1</v>
      </c>
      <c r="K253" s="1">
        <f t="shared" si="12"/>
        <v>327</v>
      </c>
      <c r="L253" s="6">
        <v>1280</v>
      </c>
      <c r="M253" s="6">
        <f t="shared" si="13"/>
        <v>1280</v>
      </c>
      <c r="N253" s="6">
        <f t="shared" si="14"/>
        <v>573</v>
      </c>
      <c r="O253" s="8">
        <f t="shared" si="15"/>
        <v>0.26284403669724771</v>
      </c>
    </row>
    <row r="254" spans="1:15" ht="17" customHeight="1">
      <c r="A254" s="1" t="s">
        <v>2078</v>
      </c>
      <c r="C254" s="1" t="s">
        <v>1359</v>
      </c>
      <c r="D254" s="42" t="s">
        <v>2379</v>
      </c>
      <c r="E254" t="s">
        <v>1359</v>
      </c>
      <c r="G254" s="1">
        <v>2180</v>
      </c>
      <c r="H254" s="1">
        <v>1</v>
      </c>
      <c r="I254" s="1">
        <v>2180</v>
      </c>
      <c r="J254" s="1">
        <v>1</v>
      </c>
      <c r="K254" s="1">
        <f t="shared" si="12"/>
        <v>327</v>
      </c>
      <c r="L254" s="6">
        <v>946</v>
      </c>
      <c r="M254" s="6">
        <f t="shared" si="13"/>
        <v>946</v>
      </c>
      <c r="N254" s="6">
        <f t="shared" si="14"/>
        <v>907</v>
      </c>
      <c r="O254" s="8">
        <f t="shared" si="15"/>
        <v>0.41605504587155961</v>
      </c>
    </row>
    <row r="255" spans="1:15" ht="17" customHeight="1">
      <c r="A255" s="1" t="s">
        <v>740</v>
      </c>
      <c r="C255" s="1" t="s">
        <v>741</v>
      </c>
      <c r="D255" s="42">
        <v>4987176301543</v>
      </c>
      <c r="E255" t="s">
        <v>741</v>
      </c>
      <c r="G255" s="1">
        <v>2080</v>
      </c>
      <c r="H255" s="1">
        <v>1</v>
      </c>
      <c r="I255" s="1">
        <v>2080</v>
      </c>
      <c r="J255" s="1">
        <v>1</v>
      </c>
      <c r="K255" s="1">
        <f t="shared" si="12"/>
        <v>312</v>
      </c>
      <c r="L255" s="6">
        <v>1319</v>
      </c>
      <c r="M255" s="6">
        <f t="shared" si="13"/>
        <v>1319</v>
      </c>
      <c r="N255" s="6">
        <f t="shared" si="14"/>
        <v>449</v>
      </c>
      <c r="O255" s="8">
        <f t="shared" si="15"/>
        <v>0.21586538461538463</v>
      </c>
    </row>
    <row r="256" spans="1:15" ht="17" customHeight="1">
      <c r="A256" s="1" t="s">
        <v>2380</v>
      </c>
      <c r="C256" s="1" t="s">
        <v>1191</v>
      </c>
      <c r="D256" s="42" t="s">
        <v>2381</v>
      </c>
      <c r="E256" t="s">
        <v>1191</v>
      </c>
      <c r="G256" s="1">
        <v>2080</v>
      </c>
      <c r="H256" s="1">
        <v>1</v>
      </c>
      <c r="I256" s="1">
        <v>2080</v>
      </c>
      <c r="J256" s="1">
        <v>1</v>
      </c>
      <c r="K256" s="1">
        <f t="shared" si="12"/>
        <v>312</v>
      </c>
      <c r="L256" s="6">
        <v>1100</v>
      </c>
      <c r="M256" s="6">
        <f t="shared" si="13"/>
        <v>1100</v>
      </c>
      <c r="N256" s="6">
        <f t="shared" si="14"/>
        <v>668</v>
      </c>
      <c r="O256" s="8">
        <f t="shared" si="15"/>
        <v>0.32115384615384618</v>
      </c>
    </row>
    <row r="257" spans="1:15" ht="17" customHeight="1">
      <c r="A257" s="1" t="s">
        <v>1360</v>
      </c>
      <c r="C257" s="1" t="s">
        <v>1361</v>
      </c>
      <c r="D257" s="42" t="s">
        <v>1362</v>
      </c>
      <c r="E257" t="s">
        <v>2382</v>
      </c>
      <c r="G257" s="1">
        <v>999</v>
      </c>
      <c r="H257" s="1">
        <v>2</v>
      </c>
      <c r="I257" s="1">
        <v>1998</v>
      </c>
      <c r="J257" s="1">
        <v>1</v>
      </c>
      <c r="K257" s="1">
        <f t="shared" si="12"/>
        <v>299.7</v>
      </c>
      <c r="L257" s="6">
        <v>598</v>
      </c>
      <c r="M257" s="6">
        <f t="shared" si="13"/>
        <v>1196</v>
      </c>
      <c r="N257" s="6">
        <f t="shared" si="14"/>
        <v>502.29999999999995</v>
      </c>
      <c r="O257" s="8">
        <f t="shared" si="15"/>
        <v>0.25140140140140138</v>
      </c>
    </row>
    <row r="258" spans="1:15" ht="17" customHeight="1">
      <c r="A258" s="1" t="s">
        <v>2383</v>
      </c>
      <c r="C258" s="1" t="s">
        <v>2384</v>
      </c>
      <c r="D258" s="42" t="s">
        <v>2385</v>
      </c>
      <c r="E258" t="s">
        <v>2384</v>
      </c>
      <c r="G258" s="1">
        <v>1980</v>
      </c>
      <c r="H258" s="1">
        <v>1</v>
      </c>
      <c r="I258" s="1">
        <v>1980</v>
      </c>
      <c r="J258" s="1">
        <v>1</v>
      </c>
      <c r="K258" s="1">
        <f t="shared" si="12"/>
        <v>297</v>
      </c>
      <c r="L258" s="6">
        <v>928</v>
      </c>
      <c r="M258" s="6">
        <f t="shared" si="13"/>
        <v>928</v>
      </c>
      <c r="N258" s="6">
        <f t="shared" si="14"/>
        <v>755</v>
      </c>
      <c r="O258" s="8">
        <f t="shared" si="15"/>
        <v>0.38131313131313133</v>
      </c>
    </row>
    <row r="259" spans="1:15" ht="17" customHeight="1">
      <c r="A259" s="1" t="s">
        <v>745</v>
      </c>
      <c r="C259" s="1">
        <v>4550391012053</v>
      </c>
      <c r="D259" s="42" t="s">
        <v>746</v>
      </c>
      <c r="E259">
        <v>4550391012053</v>
      </c>
      <c r="G259" s="1">
        <v>1980</v>
      </c>
      <c r="H259" s="1">
        <v>1</v>
      </c>
      <c r="I259" s="1">
        <v>1980</v>
      </c>
      <c r="J259" s="1">
        <v>1</v>
      </c>
      <c r="K259" s="1">
        <f t="shared" si="12"/>
        <v>297</v>
      </c>
      <c r="L259" s="6">
        <v>1116</v>
      </c>
      <c r="M259" s="6">
        <f t="shared" si="13"/>
        <v>1116</v>
      </c>
      <c r="N259" s="6">
        <f t="shared" si="14"/>
        <v>567</v>
      </c>
      <c r="O259" s="8">
        <f t="shared" si="15"/>
        <v>0.28636363636363638</v>
      </c>
    </row>
    <row r="260" spans="1:15" ht="17" customHeight="1">
      <c r="A260" s="1" t="s">
        <v>2386</v>
      </c>
      <c r="C260" s="1" t="s">
        <v>2387</v>
      </c>
      <c r="D260" s="42" t="s">
        <v>2388</v>
      </c>
      <c r="E260" t="s">
        <v>2389</v>
      </c>
      <c r="G260" s="1">
        <v>1980</v>
      </c>
      <c r="H260" s="1">
        <v>1</v>
      </c>
      <c r="I260" s="1">
        <v>1980</v>
      </c>
      <c r="J260" s="1">
        <v>1</v>
      </c>
      <c r="K260" s="1">
        <f t="shared" si="12"/>
        <v>297</v>
      </c>
      <c r="L260" s="6">
        <v>533</v>
      </c>
      <c r="M260" s="6">
        <f t="shared" si="13"/>
        <v>533</v>
      </c>
      <c r="N260" s="6">
        <f t="shared" si="14"/>
        <v>1150</v>
      </c>
      <c r="O260" s="8">
        <f t="shared" si="15"/>
        <v>0.58080808080808077</v>
      </c>
    </row>
    <row r="261" spans="1:15" ht="17" customHeight="1">
      <c r="A261" s="1" t="s">
        <v>2024</v>
      </c>
      <c r="C261" s="1" t="s">
        <v>2025</v>
      </c>
      <c r="D261" s="42" t="s">
        <v>2026</v>
      </c>
      <c r="E261" t="s">
        <v>2025</v>
      </c>
      <c r="G261" s="1">
        <v>1980</v>
      </c>
      <c r="H261" s="1">
        <v>1</v>
      </c>
      <c r="I261" s="1">
        <v>1980</v>
      </c>
      <c r="J261" s="1">
        <v>1</v>
      </c>
      <c r="K261" s="1">
        <f t="shared" si="12"/>
        <v>297</v>
      </c>
      <c r="L261" s="6">
        <v>436</v>
      </c>
      <c r="M261" s="6">
        <f t="shared" si="13"/>
        <v>436</v>
      </c>
      <c r="N261" s="6">
        <f t="shared" si="14"/>
        <v>1247</v>
      </c>
      <c r="O261" s="8">
        <f t="shared" si="15"/>
        <v>0.6297979797979798</v>
      </c>
    </row>
    <row r="262" spans="1:15" ht="17" customHeight="1">
      <c r="A262" s="1" t="s">
        <v>1386</v>
      </c>
      <c r="C262" s="1">
        <v>4550391011926</v>
      </c>
      <c r="D262" s="42" t="s">
        <v>2390</v>
      </c>
      <c r="E262">
        <v>4550391011926</v>
      </c>
      <c r="G262" s="1">
        <v>1980</v>
      </c>
      <c r="H262" s="1">
        <v>1</v>
      </c>
      <c r="I262" s="1">
        <v>1980</v>
      </c>
      <c r="J262" s="1">
        <v>1</v>
      </c>
      <c r="K262" s="1">
        <f t="shared" si="12"/>
        <v>297</v>
      </c>
      <c r="L262" s="6">
        <v>816</v>
      </c>
      <c r="M262" s="6">
        <f t="shared" si="13"/>
        <v>816</v>
      </c>
      <c r="N262" s="6">
        <f t="shared" si="14"/>
        <v>867</v>
      </c>
      <c r="O262" s="8">
        <f t="shared" si="15"/>
        <v>0.43787878787878787</v>
      </c>
    </row>
    <row r="263" spans="1:15" ht="17" customHeight="1">
      <c r="A263" s="1" t="s">
        <v>2391</v>
      </c>
      <c r="C263" s="1" t="s">
        <v>2392</v>
      </c>
      <c r="D263" s="42" t="s">
        <v>2393</v>
      </c>
      <c r="E263" t="s">
        <v>2392</v>
      </c>
      <c r="G263" s="1">
        <v>1980</v>
      </c>
      <c r="H263" s="1">
        <v>1</v>
      </c>
      <c r="I263" s="1">
        <v>1980</v>
      </c>
      <c r="J263" s="1">
        <v>1</v>
      </c>
      <c r="K263" s="1">
        <f t="shared" si="12"/>
        <v>297</v>
      </c>
      <c r="L263" s="6">
        <v>605</v>
      </c>
      <c r="M263" s="6">
        <f t="shared" si="13"/>
        <v>605</v>
      </c>
      <c r="N263" s="6">
        <f t="shared" si="14"/>
        <v>1078</v>
      </c>
      <c r="O263" s="8">
        <f t="shared" si="15"/>
        <v>0.5444444444444444</v>
      </c>
    </row>
    <row r="264" spans="1:15" ht="17" customHeight="1">
      <c r="A264" s="1" t="s">
        <v>1233</v>
      </c>
      <c r="C264" s="1" t="s">
        <v>1234</v>
      </c>
      <c r="D264" s="42" t="s">
        <v>2394</v>
      </c>
      <c r="E264" t="s">
        <v>1234</v>
      </c>
      <c r="G264" s="1">
        <v>1980</v>
      </c>
      <c r="H264" s="1">
        <v>1</v>
      </c>
      <c r="I264" s="1">
        <v>1980</v>
      </c>
      <c r="J264" s="1">
        <v>1</v>
      </c>
      <c r="K264" s="1">
        <f t="shared" ref="K264:K300" si="16">SUM(I264*0.15)</f>
        <v>297</v>
      </c>
      <c r="L264" s="6">
        <v>858</v>
      </c>
      <c r="M264" s="6">
        <f t="shared" ref="M264:M327" si="17">SUM(H264*L264)</f>
        <v>858</v>
      </c>
      <c r="N264" s="6">
        <f t="shared" ref="N264:N327" si="18">SUM(I264-K264-M264)</f>
        <v>825</v>
      </c>
      <c r="O264" s="8">
        <f t="shared" ref="O264:O327" si="19">IF(I264=0,"",N264/I264)</f>
        <v>0.41666666666666669</v>
      </c>
    </row>
    <row r="265" spans="1:15" ht="17" customHeight="1">
      <c r="A265" s="1" t="s">
        <v>2395</v>
      </c>
      <c r="C265" s="1" t="s">
        <v>2396</v>
      </c>
      <c r="D265" s="42" t="s">
        <v>2397</v>
      </c>
      <c r="E265" t="s">
        <v>2396</v>
      </c>
      <c r="G265" s="1">
        <v>1980</v>
      </c>
      <c r="H265" s="1">
        <v>1</v>
      </c>
      <c r="I265" s="1">
        <v>1980</v>
      </c>
      <c r="J265" s="1">
        <v>1</v>
      </c>
      <c r="K265" s="1">
        <f t="shared" si="16"/>
        <v>297</v>
      </c>
      <c r="L265" s="6">
        <v>514</v>
      </c>
      <c r="M265" s="6">
        <f t="shared" si="17"/>
        <v>514</v>
      </c>
      <c r="N265" s="6">
        <f t="shared" si="18"/>
        <v>1169</v>
      </c>
      <c r="O265" s="8">
        <f t="shared" si="19"/>
        <v>0.59040404040404038</v>
      </c>
    </row>
    <row r="266" spans="1:15" ht="17" customHeight="1">
      <c r="A266" s="1" t="s">
        <v>567</v>
      </c>
      <c r="C266" s="1" t="s">
        <v>568</v>
      </c>
      <c r="D266" s="42" t="s">
        <v>569</v>
      </c>
      <c r="E266" t="s">
        <v>568</v>
      </c>
      <c r="G266" s="1">
        <v>1980</v>
      </c>
      <c r="H266" s="1">
        <v>1</v>
      </c>
      <c r="I266" s="1">
        <v>1980</v>
      </c>
      <c r="J266" s="1">
        <v>1</v>
      </c>
      <c r="K266" s="1">
        <f t="shared" si="16"/>
        <v>297</v>
      </c>
      <c r="L266" s="6">
        <v>1086</v>
      </c>
      <c r="M266" s="6">
        <f t="shared" si="17"/>
        <v>1086</v>
      </c>
      <c r="N266" s="6">
        <f t="shared" si="18"/>
        <v>597</v>
      </c>
      <c r="O266" s="8">
        <f t="shared" si="19"/>
        <v>0.30151515151515151</v>
      </c>
    </row>
    <row r="267" spans="1:15" ht="17" customHeight="1">
      <c r="A267" s="1" t="s">
        <v>747</v>
      </c>
      <c r="C267" s="1" t="s">
        <v>748</v>
      </c>
      <c r="D267" s="42" t="s">
        <v>749</v>
      </c>
      <c r="E267" t="s">
        <v>748</v>
      </c>
      <c r="G267" s="1">
        <v>1980</v>
      </c>
      <c r="H267" s="1">
        <v>1</v>
      </c>
      <c r="I267" s="1">
        <v>1980</v>
      </c>
      <c r="J267" s="1">
        <v>1</v>
      </c>
      <c r="K267" s="1">
        <f t="shared" si="16"/>
        <v>297</v>
      </c>
      <c r="L267" s="6">
        <v>792</v>
      </c>
      <c r="M267" s="6">
        <f t="shared" si="17"/>
        <v>792</v>
      </c>
      <c r="N267" s="6">
        <f t="shared" si="18"/>
        <v>891</v>
      </c>
      <c r="O267" s="8">
        <f t="shared" si="19"/>
        <v>0.45</v>
      </c>
    </row>
    <row r="268" spans="1:15" ht="17" customHeight="1">
      <c r="A268" s="1" t="s">
        <v>750</v>
      </c>
      <c r="C268" s="1" t="s">
        <v>751</v>
      </c>
      <c r="D268" s="42" t="s">
        <v>752</v>
      </c>
      <c r="E268" t="s">
        <v>751</v>
      </c>
      <c r="G268" s="1">
        <v>1980</v>
      </c>
      <c r="H268" s="1">
        <v>1</v>
      </c>
      <c r="I268" s="1">
        <v>1980</v>
      </c>
      <c r="J268" s="1">
        <v>1</v>
      </c>
      <c r="K268" s="1">
        <f t="shared" si="16"/>
        <v>297</v>
      </c>
      <c r="L268" s="6">
        <v>330</v>
      </c>
      <c r="M268" s="6">
        <f t="shared" si="17"/>
        <v>330</v>
      </c>
      <c r="N268" s="6">
        <f t="shared" si="18"/>
        <v>1353</v>
      </c>
      <c r="O268" s="8">
        <f t="shared" si="19"/>
        <v>0.68333333333333335</v>
      </c>
    </row>
    <row r="269" spans="1:15" ht="17" customHeight="1">
      <c r="A269" s="1" t="s">
        <v>753</v>
      </c>
      <c r="C269" s="1" t="s">
        <v>754</v>
      </c>
      <c r="D269" s="42" t="s">
        <v>755</v>
      </c>
      <c r="E269" t="s">
        <v>754</v>
      </c>
      <c r="G269" s="1">
        <v>1980</v>
      </c>
      <c r="H269" s="1">
        <v>1</v>
      </c>
      <c r="I269" s="1">
        <v>1980</v>
      </c>
      <c r="J269" s="1">
        <v>1</v>
      </c>
      <c r="K269" s="1">
        <f t="shared" si="16"/>
        <v>297</v>
      </c>
      <c r="L269" s="6">
        <v>660</v>
      </c>
      <c r="M269" s="6">
        <f t="shared" si="17"/>
        <v>660</v>
      </c>
      <c r="N269" s="6">
        <f t="shared" si="18"/>
        <v>1023</v>
      </c>
      <c r="O269" s="8">
        <f t="shared" si="19"/>
        <v>0.51666666666666672</v>
      </c>
    </row>
    <row r="270" spans="1:15" ht="17" customHeight="1">
      <c r="A270" s="1" t="s">
        <v>2146</v>
      </c>
      <c r="B270" t="s">
        <v>1311</v>
      </c>
      <c r="C270" s="1" t="s">
        <v>1024</v>
      </c>
      <c r="D270" s="42" t="s">
        <v>1025</v>
      </c>
      <c r="E270" t="s">
        <v>1312</v>
      </c>
      <c r="G270" s="1">
        <v>1980</v>
      </c>
      <c r="H270" s="1">
        <v>1</v>
      </c>
      <c r="I270" s="1">
        <v>1980</v>
      </c>
      <c r="J270" s="1">
        <v>1</v>
      </c>
      <c r="K270" s="1">
        <f t="shared" si="16"/>
        <v>297</v>
      </c>
      <c r="L270" s="6">
        <v>109</v>
      </c>
      <c r="M270" s="6">
        <f t="shared" si="17"/>
        <v>109</v>
      </c>
      <c r="N270" s="6">
        <f t="shared" si="18"/>
        <v>1574</v>
      </c>
      <c r="O270" s="8">
        <f t="shared" si="19"/>
        <v>0.79494949494949496</v>
      </c>
    </row>
    <row r="271" spans="1:15" ht="17" customHeight="1">
      <c r="A271" s="1" t="s">
        <v>770</v>
      </c>
      <c r="C271" s="1" t="s">
        <v>771</v>
      </c>
      <c r="D271" s="42" t="s">
        <v>772</v>
      </c>
      <c r="E271" t="s">
        <v>771</v>
      </c>
      <c r="G271" s="1">
        <v>1980</v>
      </c>
      <c r="H271" s="1">
        <v>1</v>
      </c>
      <c r="I271" s="1">
        <v>1980</v>
      </c>
      <c r="J271" s="1">
        <v>1</v>
      </c>
      <c r="K271" s="1">
        <f t="shared" si="16"/>
        <v>297</v>
      </c>
      <c r="L271" s="6">
        <v>768</v>
      </c>
      <c r="M271" s="6">
        <f t="shared" si="17"/>
        <v>768</v>
      </c>
      <c r="N271" s="6">
        <f t="shared" si="18"/>
        <v>915</v>
      </c>
      <c r="O271" s="8">
        <f t="shared" si="19"/>
        <v>0.4621212121212121</v>
      </c>
    </row>
    <row r="272" spans="1:15" ht="17" customHeight="1">
      <c r="A272" s="1" t="s">
        <v>2398</v>
      </c>
      <c r="C272" s="1" t="s">
        <v>2399</v>
      </c>
      <c r="D272" s="42" t="s">
        <v>2400</v>
      </c>
      <c r="E272" t="s">
        <v>2401</v>
      </c>
      <c r="G272" s="1">
        <v>1980</v>
      </c>
      <c r="H272" s="1">
        <v>1</v>
      </c>
      <c r="I272" s="1">
        <v>1980</v>
      </c>
      <c r="J272" s="1">
        <v>1</v>
      </c>
      <c r="K272" s="1">
        <f t="shared" si="16"/>
        <v>297</v>
      </c>
      <c r="L272" s="6">
        <v>438</v>
      </c>
      <c r="M272" s="6">
        <f t="shared" si="17"/>
        <v>438</v>
      </c>
      <c r="N272" s="6">
        <f t="shared" si="18"/>
        <v>1245</v>
      </c>
      <c r="O272" s="8">
        <f t="shared" si="19"/>
        <v>0.62878787878787878</v>
      </c>
    </row>
    <row r="273" spans="1:15" ht="17" customHeight="1">
      <c r="A273" s="1" t="s">
        <v>2402</v>
      </c>
      <c r="B273" t="s">
        <v>1137</v>
      </c>
      <c r="C273" s="1" t="s">
        <v>2403</v>
      </c>
      <c r="D273" s="42" t="s">
        <v>2404</v>
      </c>
      <c r="E273" t="s">
        <v>2405</v>
      </c>
      <c r="G273" s="1">
        <v>1980</v>
      </c>
      <c r="H273" s="1">
        <v>1</v>
      </c>
      <c r="I273" s="1">
        <v>1980</v>
      </c>
      <c r="J273" s="1">
        <v>1</v>
      </c>
      <c r="K273" s="1">
        <f t="shared" si="16"/>
        <v>297</v>
      </c>
      <c r="L273" s="6">
        <v>297</v>
      </c>
      <c r="M273" s="6">
        <f t="shared" si="17"/>
        <v>297</v>
      </c>
      <c r="N273" s="6">
        <f t="shared" si="18"/>
        <v>1386</v>
      </c>
      <c r="O273" s="8">
        <f t="shared" si="19"/>
        <v>0.7</v>
      </c>
    </row>
    <row r="274" spans="1:15" ht="17" customHeight="1">
      <c r="A274" s="1" t="s">
        <v>588</v>
      </c>
      <c r="B274" t="s">
        <v>776</v>
      </c>
      <c r="C274" s="1" t="s">
        <v>590</v>
      </c>
      <c r="D274" s="42" t="s">
        <v>591</v>
      </c>
      <c r="E274" t="s">
        <v>777</v>
      </c>
      <c r="G274" s="1">
        <v>1780</v>
      </c>
      <c r="H274" s="1">
        <v>1</v>
      </c>
      <c r="I274" s="1">
        <v>1780</v>
      </c>
      <c r="J274" s="1">
        <v>1</v>
      </c>
      <c r="K274" s="1">
        <f t="shared" si="16"/>
        <v>267</v>
      </c>
      <c r="L274" s="6">
        <v>525</v>
      </c>
      <c r="M274" s="6">
        <f t="shared" si="17"/>
        <v>525</v>
      </c>
      <c r="N274" s="6">
        <f t="shared" si="18"/>
        <v>988</v>
      </c>
      <c r="O274" s="8">
        <f t="shared" si="19"/>
        <v>0.55505617977528088</v>
      </c>
    </row>
    <row r="275" spans="1:15" ht="17" customHeight="1">
      <c r="A275" s="1" t="s">
        <v>583</v>
      </c>
      <c r="C275" s="1" t="s">
        <v>584</v>
      </c>
      <c r="D275" s="42" t="s">
        <v>585</v>
      </c>
      <c r="E275" t="s">
        <v>584</v>
      </c>
      <c r="G275" s="1">
        <v>1780</v>
      </c>
      <c r="H275" s="1">
        <v>1</v>
      </c>
      <c r="I275" s="1">
        <v>1780</v>
      </c>
      <c r="J275" s="1">
        <v>1</v>
      </c>
      <c r="K275" s="1">
        <f t="shared" si="16"/>
        <v>267</v>
      </c>
      <c r="L275" s="6">
        <v>874</v>
      </c>
      <c r="M275" s="6">
        <f t="shared" si="17"/>
        <v>874</v>
      </c>
      <c r="N275" s="6">
        <f t="shared" si="18"/>
        <v>639</v>
      </c>
      <c r="O275" s="8">
        <f t="shared" si="19"/>
        <v>0.35898876404494384</v>
      </c>
    </row>
    <row r="276" spans="1:15" ht="17" customHeight="1">
      <c r="A276" s="1" t="s">
        <v>651</v>
      </c>
      <c r="B276" t="s">
        <v>1132</v>
      </c>
      <c r="C276" s="1" t="s">
        <v>653</v>
      </c>
      <c r="D276" s="42" t="s">
        <v>654</v>
      </c>
      <c r="E276" t="s">
        <v>1133</v>
      </c>
      <c r="G276" s="1">
        <v>1780</v>
      </c>
      <c r="H276" s="1">
        <v>1</v>
      </c>
      <c r="I276" s="1">
        <v>1780</v>
      </c>
      <c r="J276" s="1">
        <v>1</v>
      </c>
      <c r="K276" s="1">
        <f t="shared" si="16"/>
        <v>267</v>
      </c>
      <c r="L276" s="6">
        <v>932</v>
      </c>
      <c r="M276" s="6">
        <f t="shared" si="17"/>
        <v>932</v>
      </c>
      <c r="N276" s="6">
        <f t="shared" si="18"/>
        <v>581</v>
      </c>
      <c r="O276" s="8">
        <f t="shared" si="19"/>
        <v>0.32640449438202246</v>
      </c>
    </row>
    <row r="277" spans="1:15" ht="17" customHeight="1">
      <c r="A277" s="1" t="s">
        <v>588</v>
      </c>
      <c r="B277" t="s">
        <v>2406</v>
      </c>
      <c r="C277" s="1" t="s">
        <v>590</v>
      </c>
      <c r="D277" s="42" t="s">
        <v>591</v>
      </c>
      <c r="E277" t="s">
        <v>2407</v>
      </c>
      <c r="G277" s="1">
        <v>1780</v>
      </c>
      <c r="H277" s="1">
        <v>1</v>
      </c>
      <c r="I277" s="1">
        <v>1780</v>
      </c>
      <c r="J277" s="1">
        <v>1</v>
      </c>
      <c r="K277" s="1">
        <f t="shared" si="16"/>
        <v>267</v>
      </c>
      <c r="L277" s="6">
        <v>629</v>
      </c>
      <c r="M277" s="6">
        <f t="shared" si="17"/>
        <v>629</v>
      </c>
      <c r="N277" s="6">
        <f t="shared" si="18"/>
        <v>884</v>
      </c>
      <c r="O277" s="8">
        <f t="shared" si="19"/>
        <v>0.49662921348314609</v>
      </c>
    </row>
    <row r="278" spans="1:15" ht="17" customHeight="1">
      <c r="A278" s="1" t="s">
        <v>588</v>
      </c>
      <c r="B278" s="1" t="s">
        <v>2408</v>
      </c>
      <c r="C278" s="1" t="s">
        <v>590</v>
      </c>
      <c r="D278" s="42" t="s">
        <v>591</v>
      </c>
      <c r="E278" s="1" t="s">
        <v>2409</v>
      </c>
      <c r="G278" s="1">
        <v>1780</v>
      </c>
      <c r="H278" s="1">
        <v>1</v>
      </c>
      <c r="I278" s="1">
        <v>1780</v>
      </c>
      <c r="J278" s="1">
        <v>1</v>
      </c>
      <c r="K278" s="1">
        <f t="shared" si="16"/>
        <v>267</v>
      </c>
      <c r="L278" s="6">
        <v>629</v>
      </c>
      <c r="M278" s="6">
        <f t="shared" si="17"/>
        <v>629</v>
      </c>
      <c r="N278" s="6">
        <f t="shared" si="18"/>
        <v>884</v>
      </c>
      <c r="O278" s="8">
        <f t="shared" si="19"/>
        <v>0.49662921348314609</v>
      </c>
    </row>
    <row r="279" spans="1:15" ht="17" customHeight="1">
      <c r="A279" s="1" t="s">
        <v>2410</v>
      </c>
      <c r="C279" s="1" t="s">
        <v>2411</v>
      </c>
      <c r="D279" s="42" t="s">
        <v>2412</v>
      </c>
      <c r="E279" t="s">
        <v>2413</v>
      </c>
      <c r="G279" s="1">
        <v>1698</v>
      </c>
      <c r="H279" s="1">
        <v>1</v>
      </c>
      <c r="I279" s="1">
        <v>1698</v>
      </c>
      <c r="J279" s="1">
        <v>1</v>
      </c>
      <c r="K279" s="1">
        <f t="shared" si="16"/>
        <v>254.7</v>
      </c>
      <c r="L279" s="6">
        <v>1577</v>
      </c>
      <c r="M279" s="6">
        <f t="shared" si="17"/>
        <v>1577</v>
      </c>
      <c r="N279" s="6">
        <f t="shared" si="18"/>
        <v>-133.70000000000005</v>
      </c>
      <c r="O279" s="8">
        <f t="shared" si="19"/>
        <v>-7.8739693757361631E-2</v>
      </c>
    </row>
    <row r="280" spans="1:15" ht="17" customHeight="1">
      <c r="A280" s="1" t="s">
        <v>784</v>
      </c>
      <c r="C280" s="1" t="s">
        <v>785</v>
      </c>
      <c r="D280" s="42" t="s">
        <v>786</v>
      </c>
      <c r="E280" t="s">
        <v>785</v>
      </c>
      <c r="G280" s="1">
        <v>1680</v>
      </c>
      <c r="H280" s="1">
        <v>1</v>
      </c>
      <c r="I280" s="1">
        <v>1680</v>
      </c>
      <c r="J280" s="1">
        <v>1</v>
      </c>
      <c r="K280" s="1">
        <f t="shared" si="16"/>
        <v>252</v>
      </c>
      <c r="L280" s="6">
        <v>1070</v>
      </c>
      <c r="M280" s="6">
        <f t="shared" si="17"/>
        <v>1070</v>
      </c>
      <c r="N280" s="6">
        <f t="shared" si="18"/>
        <v>358</v>
      </c>
      <c r="O280" s="8">
        <f t="shared" si="19"/>
        <v>0.21309523809523809</v>
      </c>
    </row>
    <row r="281" spans="1:15" ht="17" customHeight="1">
      <c r="A281" s="1" t="s">
        <v>450</v>
      </c>
      <c r="C281" s="1" t="s">
        <v>451</v>
      </c>
      <c r="D281" s="42" t="s">
        <v>452</v>
      </c>
      <c r="E281" t="s">
        <v>453</v>
      </c>
      <c r="G281" s="1">
        <v>1680</v>
      </c>
      <c r="H281" s="1">
        <v>1</v>
      </c>
      <c r="I281" s="1">
        <v>1680</v>
      </c>
      <c r="J281" s="1">
        <v>1</v>
      </c>
      <c r="K281" s="1">
        <f t="shared" si="16"/>
        <v>252</v>
      </c>
      <c r="L281" s="6">
        <v>942</v>
      </c>
      <c r="M281" s="6">
        <f t="shared" si="17"/>
        <v>942</v>
      </c>
      <c r="N281" s="6">
        <f t="shared" si="18"/>
        <v>486</v>
      </c>
      <c r="O281" s="8">
        <f t="shared" si="19"/>
        <v>0.28928571428571431</v>
      </c>
    </row>
    <row r="282" spans="1:15" ht="17" customHeight="1">
      <c r="A282" s="1" t="s">
        <v>790</v>
      </c>
      <c r="C282" s="1" t="s">
        <v>791</v>
      </c>
      <c r="D282" s="42" t="s">
        <v>792</v>
      </c>
      <c r="E282" t="s">
        <v>791</v>
      </c>
      <c r="G282" s="1">
        <v>1680</v>
      </c>
      <c r="H282" s="1">
        <v>1</v>
      </c>
      <c r="I282" s="1">
        <v>1680</v>
      </c>
      <c r="J282" s="1">
        <v>1</v>
      </c>
      <c r="K282" s="1">
        <f t="shared" si="16"/>
        <v>252</v>
      </c>
      <c r="L282" s="6">
        <v>942</v>
      </c>
      <c r="M282" s="6">
        <f t="shared" si="17"/>
        <v>942</v>
      </c>
      <c r="N282" s="6">
        <f t="shared" si="18"/>
        <v>486</v>
      </c>
      <c r="O282" s="8">
        <f t="shared" si="19"/>
        <v>0.28928571428571431</v>
      </c>
    </row>
    <row r="283" spans="1:15" ht="17" customHeight="1">
      <c r="A283" s="1" t="s">
        <v>611</v>
      </c>
      <c r="C283" s="1" t="s">
        <v>344</v>
      </c>
      <c r="D283" s="42">
        <v>720</v>
      </c>
      <c r="E283" t="s">
        <v>344</v>
      </c>
      <c r="G283" s="1">
        <v>1580</v>
      </c>
      <c r="H283" s="1">
        <v>1</v>
      </c>
      <c r="I283" s="1">
        <v>1580</v>
      </c>
      <c r="J283" s="1">
        <v>1</v>
      </c>
      <c r="K283" s="1">
        <f t="shared" si="16"/>
        <v>237</v>
      </c>
      <c r="L283" s="6">
        <v>720</v>
      </c>
      <c r="M283" s="6">
        <f t="shared" si="17"/>
        <v>720</v>
      </c>
      <c r="N283" s="6">
        <f t="shared" si="18"/>
        <v>623</v>
      </c>
      <c r="O283" s="8">
        <f t="shared" si="19"/>
        <v>0.39430379746835442</v>
      </c>
    </row>
    <row r="284" spans="1:15" ht="17" customHeight="1">
      <c r="A284" s="1" t="s">
        <v>1996</v>
      </c>
      <c r="C284" s="1" t="s">
        <v>1997</v>
      </c>
      <c r="D284" s="42" t="s">
        <v>1998</v>
      </c>
      <c r="E284" t="s">
        <v>1997</v>
      </c>
      <c r="G284" s="1">
        <v>1480</v>
      </c>
      <c r="H284" s="1">
        <v>1</v>
      </c>
      <c r="I284" s="1">
        <v>1480</v>
      </c>
      <c r="J284" s="1">
        <v>1</v>
      </c>
      <c r="K284" s="1">
        <f t="shared" si="16"/>
        <v>222</v>
      </c>
      <c r="L284" s="6">
        <v>490</v>
      </c>
      <c r="M284" s="6">
        <f t="shared" si="17"/>
        <v>490</v>
      </c>
      <c r="N284" s="6">
        <f t="shared" si="18"/>
        <v>768</v>
      </c>
      <c r="O284" s="8">
        <f t="shared" si="19"/>
        <v>0.51891891891891895</v>
      </c>
    </row>
    <row r="285" spans="1:15" ht="17" customHeight="1">
      <c r="A285" s="1" t="s">
        <v>1185</v>
      </c>
      <c r="B285" s="1"/>
      <c r="C285" s="1" t="s">
        <v>1186</v>
      </c>
      <c r="D285" s="42" t="s">
        <v>1187</v>
      </c>
      <c r="E285" s="1" t="s">
        <v>1186</v>
      </c>
      <c r="G285" s="1">
        <v>1480</v>
      </c>
      <c r="H285" s="1">
        <v>1</v>
      </c>
      <c r="I285" s="1">
        <v>1480</v>
      </c>
      <c r="J285" s="1">
        <v>1</v>
      </c>
      <c r="K285" s="1">
        <f t="shared" si="16"/>
        <v>222</v>
      </c>
      <c r="L285" s="6">
        <v>398</v>
      </c>
      <c r="M285" s="6">
        <f t="shared" si="17"/>
        <v>398</v>
      </c>
      <c r="N285" s="6">
        <f t="shared" si="18"/>
        <v>860</v>
      </c>
      <c r="O285" s="8">
        <f t="shared" si="19"/>
        <v>0.58108108108108103</v>
      </c>
    </row>
    <row r="286" spans="1:15" ht="17" customHeight="1">
      <c r="A286" s="1" t="s">
        <v>1801</v>
      </c>
      <c r="C286" s="1" t="s">
        <v>1802</v>
      </c>
      <c r="D286" s="42" t="s">
        <v>2414</v>
      </c>
      <c r="E286" t="s">
        <v>1802</v>
      </c>
      <c r="G286" s="1">
        <v>1480</v>
      </c>
      <c r="H286" s="1">
        <v>1</v>
      </c>
      <c r="I286" s="1">
        <v>1480</v>
      </c>
      <c r="J286" s="1">
        <v>1</v>
      </c>
      <c r="K286" s="1">
        <f t="shared" si="16"/>
        <v>222</v>
      </c>
      <c r="L286" s="6">
        <v>660</v>
      </c>
      <c r="M286" s="6">
        <f t="shared" si="17"/>
        <v>660</v>
      </c>
      <c r="N286" s="6">
        <f t="shared" si="18"/>
        <v>598</v>
      </c>
      <c r="O286" s="8">
        <f t="shared" si="19"/>
        <v>0.40405405405405403</v>
      </c>
    </row>
    <row r="287" spans="1:15" ht="17" customHeight="1">
      <c r="A287" s="1" t="s">
        <v>815</v>
      </c>
      <c r="B287" s="1"/>
      <c r="C287" s="1" t="s">
        <v>816</v>
      </c>
      <c r="D287" s="42" t="s">
        <v>817</v>
      </c>
      <c r="E287" s="1" t="s">
        <v>816</v>
      </c>
      <c r="G287" s="1">
        <v>1480</v>
      </c>
      <c r="H287" s="1">
        <v>1</v>
      </c>
      <c r="I287" s="1">
        <v>1480</v>
      </c>
      <c r="J287" s="1">
        <v>1</v>
      </c>
      <c r="K287" s="1">
        <f t="shared" si="16"/>
        <v>222</v>
      </c>
      <c r="L287" s="6">
        <v>660</v>
      </c>
      <c r="M287" s="6">
        <f t="shared" si="17"/>
        <v>660</v>
      </c>
      <c r="N287" s="6">
        <f t="shared" si="18"/>
        <v>598</v>
      </c>
      <c r="O287" s="8">
        <f t="shared" si="19"/>
        <v>0.40405405405405403</v>
      </c>
    </row>
    <row r="288" spans="1:15" ht="17" customHeight="1">
      <c r="A288" s="1" t="s">
        <v>2121</v>
      </c>
      <c r="C288" s="1" t="s">
        <v>1897</v>
      </c>
      <c r="D288" s="42" t="s">
        <v>1898</v>
      </c>
      <c r="E288" t="s">
        <v>1897</v>
      </c>
      <c r="G288" s="1">
        <v>1480</v>
      </c>
      <c r="H288" s="1">
        <v>1</v>
      </c>
      <c r="I288" s="1">
        <v>1480</v>
      </c>
      <c r="J288" s="1">
        <v>1</v>
      </c>
      <c r="K288" s="1">
        <f t="shared" si="16"/>
        <v>222</v>
      </c>
      <c r="L288" s="6">
        <v>539</v>
      </c>
      <c r="M288" s="6">
        <f t="shared" si="17"/>
        <v>539</v>
      </c>
      <c r="N288" s="6">
        <f t="shared" si="18"/>
        <v>719</v>
      </c>
      <c r="O288" s="8">
        <f t="shared" si="19"/>
        <v>0.48581081081081079</v>
      </c>
    </row>
    <row r="289" spans="1:15" ht="17" customHeight="1">
      <c r="A289" s="1" t="s">
        <v>366</v>
      </c>
      <c r="C289" s="1" t="s">
        <v>367</v>
      </c>
      <c r="D289" s="42" t="s">
        <v>368</v>
      </c>
      <c r="E289" t="s">
        <v>369</v>
      </c>
      <c r="G289" s="1">
        <v>1380</v>
      </c>
      <c r="H289" s="1">
        <v>1</v>
      </c>
      <c r="I289" s="1">
        <v>1380</v>
      </c>
      <c r="J289" s="1">
        <v>1</v>
      </c>
      <c r="K289" s="1">
        <f t="shared" si="16"/>
        <v>207</v>
      </c>
      <c r="L289" s="6">
        <v>396</v>
      </c>
      <c r="M289" s="6">
        <f t="shared" si="17"/>
        <v>396</v>
      </c>
      <c r="N289" s="6">
        <f t="shared" si="18"/>
        <v>777</v>
      </c>
      <c r="O289" s="8">
        <f t="shared" si="19"/>
        <v>0.56304347826086953</v>
      </c>
    </row>
    <row r="290" spans="1:15" ht="17" customHeight="1">
      <c r="A290" s="1" t="s">
        <v>1818</v>
      </c>
      <c r="B290" s="1"/>
      <c r="C290" s="1" t="s">
        <v>1819</v>
      </c>
      <c r="D290" s="42" t="s">
        <v>2415</v>
      </c>
      <c r="E290" s="1" t="s">
        <v>1819</v>
      </c>
      <c r="G290" s="1">
        <v>1380</v>
      </c>
      <c r="H290" s="1">
        <v>1</v>
      </c>
      <c r="I290" s="1">
        <v>1380</v>
      </c>
      <c r="J290" s="1">
        <v>1</v>
      </c>
      <c r="K290" s="1">
        <f t="shared" si="16"/>
        <v>207</v>
      </c>
      <c r="L290" s="6">
        <v>438</v>
      </c>
      <c r="M290" s="6">
        <f t="shared" si="17"/>
        <v>438</v>
      </c>
      <c r="N290" s="6">
        <f t="shared" si="18"/>
        <v>735</v>
      </c>
      <c r="O290" s="8">
        <f t="shared" si="19"/>
        <v>0.53260869565217395</v>
      </c>
    </row>
    <row r="291" spans="1:15" ht="17" customHeight="1">
      <c r="A291" s="1" t="s">
        <v>2213</v>
      </c>
      <c r="C291" s="1" t="s">
        <v>2214</v>
      </c>
      <c r="D291" s="42" t="s">
        <v>2215</v>
      </c>
      <c r="E291" t="s">
        <v>2416</v>
      </c>
      <c r="G291" s="1">
        <v>1280</v>
      </c>
      <c r="H291" s="1">
        <v>1</v>
      </c>
      <c r="I291" s="1">
        <v>1280</v>
      </c>
      <c r="J291" s="1">
        <v>1</v>
      </c>
      <c r="K291" s="1">
        <f t="shared" si="16"/>
        <v>192</v>
      </c>
      <c r="L291" s="6">
        <v>798</v>
      </c>
      <c r="M291" s="6">
        <f t="shared" si="17"/>
        <v>798</v>
      </c>
      <c r="N291" s="6">
        <f t="shared" si="18"/>
        <v>290</v>
      </c>
      <c r="O291" s="8">
        <f t="shared" si="19"/>
        <v>0.2265625</v>
      </c>
    </row>
    <row r="292" spans="1:15" ht="17" customHeight="1">
      <c r="A292" s="1" t="s">
        <v>832</v>
      </c>
      <c r="B292" s="1"/>
      <c r="C292" s="1" t="s">
        <v>833</v>
      </c>
      <c r="D292" s="42" t="s">
        <v>834</v>
      </c>
      <c r="E292" s="1" t="s">
        <v>833</v>
      </c>
      <c r="G292" s="1">
        <v>1280</v>
      </c>
      <c r="H292" s="1">
        <v>1</v>
      </c>
      <c r="I292" s="1">
        <v>1280</v>
      </c>
      <c r="J292" s="1">
        <v>1</v>
      </c>
      <c r="K292" s="1">
        <f t="shared" si="16"/>
        <v>192</v>
      </c>
      <c r="L292" s="6">
        <v>438</v>
      </c>
      <c r="M292" s="6">
        <f t="shared" si="17"/>
        <v>438</v>
      </c>
      <c r="N292" s="6">
        <f t="shared" si="18"/>
        <v>650</v>
      </c>
      <c r="O292" s="8">
        <f t="shared" si="19"/>
        <v>0.5078125</v>
      </c>
    </row>
    <row r="293" spans="1:15" ht="17" customHeight="1">
      <c r="A293" s="1" t="s">
        <v>1009</v>
      </c>
      <c r="C293" s="1" t="s">
        <v>1010</v>
      </c>
      <c r="D293" s="42" t="s">
        <v>2417</v>
      </c>
      <c r="E293" t="s">
        <v>2418</v>
      </c>
      <c r="G293" s="1">
        <v>1280</v>
      </c>
      <c r="H293" s="1">
        <v>1</v>
      </c>
      <c r="I293" s="1">
        <v>1280</v>
      </c>
      <c r="J293" s="1">
        <v>1</v>
      </c>
      <c r="K293" s="1">
        <f t="shared" si="16"/>
        <v>192</v>
      </c>
      <c r="L293" s="6">
        <v>306</v>
      </c>
      <c r="M293" s="6">
        <f t="shared" si="17"/>
        <v>306</v>
      </c>
      <c r="N293" s="6">
        <f t="shared" si="18"/>
        <v>782</v>
      </c>
      <c r="O293" s="8">
        <f t="shared" si="19"/>
        <v>0.61093750000000002</v>
      </c>
    </row>
    <row r="294" spans="1:15" ht="17" customHeight="1">
      <c r="A294" s="1" t="s">
        <v>2419</v>
      </c>
      <c r="B294" s="1"/>
      <c r="C294" s="1" t="s">
        <v>1870</v>
      </c>
      <c r="D294" s="42" t="s">
        <v>2420</v>
      </c>
      <c r="E294" s="1" t="s">
        <v>1870</v>
      </c>
      <c r="G294" s="1">
        <v>1100</v>
      </c>
      <c r="H294" s="1">
        <v>1</v>
      </c>
      <c r="I294" s="1">
        <v>1100</v>
      </c>
      <c r="J294" s="1">
        <v>1</v>
      </c>
      <c r="K294" s="1">
        <f t="shared" si="16"/>
        <v>165</v>
      </c>
      <c r="L294" s="6">
        <v>548</v>
      </c>
      <c r="M294" s="6">
        <f t="shared" si="17"/>
        <v>548</v>
      </c>
      <c r="N294" s="6">
        <f t="shared" si="18"/>
        <v>387</v>
      </c>
      <c r="O294" s="8">
        <f t="shared" si="19"/>
        <v>0.35181818181818181</v>
      </c>
    </row>
    <row r="295" spans="1:15" ht="17" customHeight="1">
      <c r="A295" s="1" t="s">
        <v>2421</v>
      </c>
      <c r="C295" s="1" t="s">
        <v>2422</v>
      </c>
      <c r="D295" s="42">
        <v>199</v>
      </c>
      <c r="E295" t="s">
        <v>2422</v>
      </c>
      <c r="G295" s="1">
        <v>999</v>
      </c>
      <c r="H295" s="1">
        <v>1</v>
      </c>
      <c r="I295" s="1">
        <v>999</v>
      </c>
      <c r="J295" s="1">
        <v>1</v>
      </c>
      <c r="K295" s="1">
        <f t="shared" si="16"/>
        <v>149.85</v>
      </c>
      <c r="L295" s="6">
        <v>199</v>
      </c>
      <c r="M295" s="6">
        <f t="shared" si="17"/>
        <v>199</v>
      </c>
      <c r="N295" s="6">
        <f t="shared" si="18"/>
        <v>650.15</v>
      </c>
      <c r="O295" s="8">
        <f t="shared" si="19"/>
        <v>0.65080080080080083</v>
      </c>
    </row>
    <row r="296" spans="1:15" ht="17" customHeight="1">
      <c r="A296" s="1" t="s">
        <v>1275</v>
      </c>
      <c r="C296" s="1" t="s">
        <v>1276</v>
      </c>
      <c r="D296" s="42" t="s">
        <v>1277</v>
      </c>
      <c r="E296" t="s">
        <v>1276</v>
      </c>
      <c r="G296" s="1">
        <v>999</v>
      </c>
      <c r="H296" s="1">
        <v>1</v>
      </c>
      <c r="I296" s="1">
        <v>999</v>
      </c>
      <c r="J296" s="1">
        <v>1</v>
      </c>
      <c r="K296" s="1">
        <f t="shared" si="16"/>
        <v>149.85</v>
      </c>
      <c r="L296" s="6">
        <v>750</v>
      </c>
      <c r="M296" s="6">
        <f t="shared" si="17"/>
        <v>750</v>
      </c>
      <c r="N296" s="6">
        <f t="shared" si="18"/>
        <v>99.149999999999977</v>
      </c>
      <c r="O296" s="8">
        <f t="shared" si="19"/>
        <v>9.924924924924923E-2</v>
      </c>
    </row>
    <row r="297" spans="1:15" ht="17" customHeight="1">
      <c r="A297" s="1" t="s">
        <v>2423</v>
      </c>
      <c r="B297" s="1"/>
      <c r="C297" s="1" t="s">
        <v>2424</v>
      </c>
      <c r="D297" s="42" t="s">
        <v>2425</v>
      </c>
      <c r="E297" s="1" t="s">
        <v>2424</v>
      </c>
      <c r="G297" s="1">
        <v>999</v>
      </c>
      <c r="H297" s="1">
        <v>1</v>
      </c>
      <c r="I297" s="1">
        <v>999</v>
      </c>
      <c r="J297" s="1">
        <v>1</v>
      </c>
      <c r="K297" s="1">
        <f t="shared" si="16"/>
        <v>149.85</v>
      </c>
      <c r="L297" s="6">
        <v>434</v>
      </c>
      <c r="M297" s="6">
        <f t="shared" si="17"/>
        <v>434</v>
      </c>
      <c r="N297" s="6">
        <f t="shared" si="18"/>
        <v>415.15</v>
      </c>
      <c r="O297" s="8">
        <f t="shared" si="19"/>
        <v>0.41556556556556556</v>
      </c>
    </row>
    <row r="298" spans="1:15" ht="17" customHeight="1">
      <c r="A298" s="1" t="s">
        <v>2426</v>
      </c>
      <c r="C298" s="1" t="s">
        <v>2427</v>
      </c>
      <c r="D298" s="42" t="s">
        <v>2428</v>
      </c>
      <c r="E298" t="s">
        <v>2429</v>
      </c>
      <c r="G298" s="1">
        <v>799</v>
      </c>
      <c r="H298" s="1">
        <v>1</v>
      </c>
      <c r="I298" s="1">
        <v>799</v>
      </c>
      <c r="J298" s="1">
        <v>1</v>
      </c>
      <c r="K298" s="1">
        <f t="shared" si="16"/>
        <v>119.85</v>
      </c>
      <c r="L298" s="6">
        <v>320</v>
      </c>
      <c r="M298" s="6">
        <f t="shared" si="17"/>
        <v>320</v>
      </c>
      <c r="N298" s="6">
        <f t="shared" si="18"/>
        <v>359.15</v>
      </c>
      <c r="O298" s="8">
        <f t="shared" si="19"/>
        <v>0.4494993742177722</v>
      </c>
    </row>
    <row r="299" spans="1:15" ht="17" customHeight="1">
      <c r="A299" s="1" t="s">
        <v>2430</v>
      </c>
      <c r="C299" s="1" t="s">
        <v>2431</v>
      </c>
      <c r="D299" s="42" t="s">
        <v>2432</v>
      </c>
      <c r="E299" t="s">
        <v>2431</v>
      </c>
      <c r="G299" s="1">
        <v>746</v>
      </c>
      <c r="H299" s="1">
        <v>1</v>
      </c>
      <c r="I299" s="1">
        <v>746</v>
      </c>
      <c r="J299" s="1">
        <v>1</v>
      </c>
      <c r="K299" s="1">
        <f t="shared" si="16"/>
        <v>111.89999999999999</v>
      </c>
      <c r="L299" s="6">
        <v>235</v>
      </c>
      <c r="M299" s="6">
        <f t="shared" si="17"/>
        <v>235</v>
      </c>
      <c r="N299" s="6">
        <f t="shared" si="18"/>
        <v>399.1</v>
      </c>
      <c r="O299" s="8">
        <f t="shared" si="19"/>
        <v>0.53498659517426272</v>
      </c>
    </row>
    <row r="300" spans="1:15" ht="17" customHeight="1">
      <c r="A300" s="1" t="s">
        <v>2433</v>
      </c>
      <c r="C300" s="1" t="s">
        <v>2434</v>
      </c>
      <c r="D300" s="42" t="s">
        <v>1385</v>
      </c>
      <c r="E300" t="s">
        <v>2435</v>
      </c>
      <c r="G300" s="1">
        <v>498</v>
      </c>
      <c r="H300" s="1">
        <v>1</v>
      </c>
      <c r="I300" s="1">
        <v>498</v>
      </c>
      <c r="J300" s="1">
        <v>1</v>
      </c>
      <c r="K300" s="1">
        <f t="shared" si="16"/>
        <v>74.7</v>
      </c>
      <c r="L300" s="6">
        <v>642</v>
      </c>
      <c r="M300" s="6">
        <f t="shared" si="17"/>
        <v>642</v>
      </c>
      <c r="N300" s="6">
        <f t="shared" si="18"/>
        <v>-218.7</v>
      </c>
      <c r="O300" s="8">
        <f t="shared" si="19"/>
        <v>-0.43915662650602405</v>
      </c>
    </row>
    <row r="301" spans="1:15" ht="17" customHeight="1">
      <c r="H301" s="1">
        <f>SUM(H7:H300)</f>
        <v>889</v>
      </c>
      <c r="I301" s="1">
        <f>SUM(I7:I300)</f>
        <v>3316213</v>
      </c>
      <c r="J301" s="1">
        <f>SUM(J7:J300)</f>
        <v>747</v>
      </c>
      <c r="K301" s="1">
        <f>SUM(K7:K300)</f>
        <v>497431.95</v>
      </c>
      <c r="M301" s="1">
        <f>SUM(M7:M300)</f>
        <v>1824285</v>
      </c>
      <c r="N301" s="1">
        <f>SUM(N7:N300)</f>
        <v>994496.05000000028</v>
      </c>
      <c r="O301" s="8">
        <f t="shared" si="19"/>
        <v>0.29988907527954334</v>
      </c>
    </row>
    <row r="302" spans="1:15" ht="17" customHeight="1"/>
    <row r="303" spans="1:15" ht="17" customHeight="1">
      <c r="M303" s="30" t="s">
        <v>861</v>
      </c>
      <c r="N303" s="31">
        <v>76791</v>
      </c>
      <c r="O303" s="32">
        <f>SUM(N303/I301)</f>
        <v>2.3156232726908674E-2</v>
      </c>
    </row>
    <row r="304" spans="1:15" ht="17" customHeight="1">
      <c r="M304" s="33" t="s">
        <v>862</v>
      </c>
      <c r="N304" s="28">
        <v>96798</v>
      </c>
      <c r="O304" s="34">
        <f>SUM(N304/I301)</f>
        <v>2.9189319262664975E-2</v>
      </c>
    </row>
    <row r="305" spans="13:15" ht="17" customHeight="1">
      <c r="M305" s="33" t="s">
        <v>863</v>
      </c>
      <c r="N305" s="28">
        <v>11700</v>
      </c>
      <c r="O305" s="34">
        <f>SUM(N305/I301)</f>
        <v>3.528120781144034E-3</v>
      </c>
    </row>
    <row r="306" spans="13:15" ht="17" customHeight="1">
      <c r="M306" s="33" t="s">
        <v>864</v>
      </c>
      <c r="N306" s="28">
        <v>0</v>
      </c>
      <c r="O306" s="35"/>
    </row>
    <row r="307" spans="13:15" ht="17" customHeight="1">
      <c r="M307" s="33" t="s">
        <v>866</v>
      </c>
      <c r="N307" s="28">
        <f>SUM(N303:N306)</f>
        <v>185289</v>
      </c>
      <c r="O307" s="34">
        <f>SUM(N307/I301)</f>
        <v>5.5873672770717683E-2</v>
      </c>
    </row>
    <row r="308" spans="13:15" ht="17" customHeight="1">
      <c r="M308" s="33"/>
      <c r="N308" s="28"/>
      <c r="O308" s="34"/>
    </row>
    <row r="309" spans="13:15" ht="13" customHeight="1">
      <c r="M309" s="33" t="s">
        <v>867</v>
      </c>
      <c r="N309" s="28">
        <v>248314</v>
      </c>
      <c r="O309" s="34">
        <f>SUM(N309/I301)</f>
        <v>7.4878784927264921E-2</v>
      </c>
    </row>
    <row r="310" spans="13:15" ht="13" customHeight="1">
      <c r="M310" s="36" t="s">
        <v>868</v>
      </c>
      <c r="N310" s="1">
        <v>36608</v>
      </c>
      <c r="O310" s="34">
        <f>SUM(N310/I301)</f>
        <v>1.1039097910779555E-2</v>
      </c>
    </row>
    <row r="311" spans="13:15" ht="13" customHeight="1">
      <c r="M311" s="36" t="s">
        <v>866</v>
      </c>
      <c r="N311" s="1">
        <f>SUM(N309:N310)</f>
        <v>284922</v>
      </c>
      <c r="O311" s="34">
        <f>SUM(O309:O310)</f>
        <v>8.5917882838044482E-2</v>
      </c>
    </row>
    <row r="312" spans="13:15" ht="13" customHeight="1">
      <c r="M312" s="33"/>
      <c r="N312" s="28"/>
      <c r="O312" s="35"/>
    </row>
    <row r="313" spans="13:15" ht="13" customHeight="1">
      <c r="M313" s="33" t="s">
        <v>869</v>
      </c>
      <c r="N313" s="28">
        <f>IF(COUNTBLANK(N303:N306)+COUNTBLANK(N309:N310)&gt;0,"未確定",N301-N307-N311)</f>
        <v>524285.05000000028</v>
      </c>
      <c r="O313" s="35"/>
    </row>
    <row r="314" spans="13:15" ht="13" customHeight="1">
      <c r="M314" s="37" t="s">
        <v>870</v>
      </c>
      <c r="N314" s="38">
        <f>IF(ISTEXT(N313),"未確定",IF(I301=0,"",N313/I301))</f>
        <v>0.15809751967078117</v>
      </c>
      <c r="O314" s="39"/>
    </row>
    <row r="315" spans="13:15" ht="13" customHeight="1"/>
    <row r="316" spans="13:15" ht="13" customHeight="1"/>
    <row r="317" spans="13:15" ht="13" customHeight="1"/>
    <row r="318" spans="13:15" ht="13" customHeight="1"/>
    <row r="319" spans="13:15" ht="13" customHeight="1"/>
    <row r="320" spans="13:15" ht="13" customHeight="1"/>
    <row r="321" ht="13" customHeight="1"/>
    <row r="322" ht="13" customHeight="1"/>
  </sheetData>
  <phoneticPr fontId="15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22"/>
  <sheetViews>
    <sheetView tabSelected="1" topLeftCell="A208" workbookViewId="0">
      <selection activeCell="N279" sqref="N279"/>
    </sheetView>
  </sheetViews>
  <sheetFormatPr baseColWidth="10" defaultColWidth="12.6640625" defaultRowHeight="15.75" customHeight="1"/>
  <cols>
    <col min="1" max="1" width="29" customWidth="1"/>
    <col min="4" max="4" width="26.6640625" style="41" customWidth="1"/>
  </cols>
  <sheetData>
    <row r="1" spans="1:15" ht="15.75" customHeight="1">
      <c r="A1" s="1" t="s">
        <v>0</v>
      </c>
    </row>
    <row r="2" spans="1:15" ht="15.75" customHeight="1">
      <c r="A2" s="1" t="s">
        <v>1</v>
      </c>
    </row>
    <row r="3" spans="1:15" ht="15.75" customHeight="1">
      <c r="A3" s="1" t="s">
        <v>2</v>
      </c>
      <c r="B3" s="1" t="s">
        <v>3</v>
      </c>
    </row>
    <row r="4" spans="1:15" ht="15.75" customHeight="1">
      <c r="A4" s="1" t="s">
        <v>4</v>
      </c>
      <c r="B4" s="1" t="s">
        <v>5</v>
      </c>
    </row>
    <row r="5" spans="1:15" ht="15.75" customHeight="1">
      <c r="A5" s="1" t="s">
        <v>6</v>
      </c>
      <c r="B5" s="1" t="s">
        <v>7</v>
      </c>
    </row>
    <row r="6" spans="1:15" ht="15.75" customHeight="1">
      <c r="A6" s="1" t="s">
        <v>8</v>
      </c>
    </row>
    <row r="7" spans="1:15" ht="15.75" customHeight="1">
      <c r="A7" s="1" t="s">
        <v>9</v>
      </c>
      <c r="B7" s="1" t="s">
        <v>10</v>
      </c>
      <c r="C7" s="1" t="s">
        <v>11</v>
      </c>
      <c r="D7" s="42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4" t="s">
        <v>19</v>
      </c>
      <c r="L7" s="7" t="s">
        <v>20</v>
      </c>
      <c r="M7" s="7" t="s">
        <v>21</v>
      </c>
      <c r="N7" s="7" t="s">
        <v>22</v>
      </c>
      <c r="O7" s="4" t="s">
        <v>23</v>
      </c>
    </row>
    <row r="8" spans="1:15" ht="15.75" customHeight="1">
      <c r="A8" s="1" t="s">
        <v>24</v>
      </c>
      <c r="C8" s="1" t="s">
        <v>25</v>
      </c>
      <c r="D8" s="42" t="s">
        <v>26</v>
      </c>
      <c r="E8" t="s">
        <v>25</v>
      </c>
      <c r="G8" s="1">
        <v>3194</v>
      </c>
      <c r="H8" s="1">
        <v>28</v>
      </c>
      <c r="I8" s="1">
        <v>89440</v>
      </c>
      <c r="J8" s="1">
        <v>18</v>
      </c>
      <c r="K8" s="1">
        <f t="shared" ref="K8:K71" si="0">SUM(I8*0.15)</f>
        <v>13416</v>
      </c>
      <c r="L8" s="6">
        <v>1300</v>
      </c>
      <c r="M8" s="6">
        <f t="shared" ref="M8:M71" si="1">SUM(H8*L8)</f>
        <v>36400</v>
      </c>
      <c r="N8" s="6">
        <f t="shared" ref="N8:N71" si="2">SUM(I8-K8-M8)</f>
        <v>39624</v>
      </c>
      <c r="O8" s="8">
        <f t="shared" ref="O8:O71" si="3">IF(I8=0,"",N8/I8)</f>
        <v>0.44302325581395346</v>
      </c>
    </row>
    <row r="9" spans="1:15" ht="15.75" customHeight="1">
      <c r="A9" s="1" t="s">
        <v>27</v>
      </c>
      <c r="C9" s="1" t="s">
        <v>28</v>
      </c>
      <c r="D9" s="42" t="s">
        <v>29</v>
      </c>
      <c r="E9" t="s">
        <v>30</v>
      </c>
      <c r="G9" s="1">
        <v>10980</v>
      </c>
      <c r="H9" s="1">
        <v>8</v>
      </c>
      <c r="I9" s="1">
        <v>87840</v>
      </c>
      <c r="J9" s="1">
        <v>7</v>
      </c>
      <c r="K9" s="1">
        <f t="shared" si="0"/>
        <v>13176</v>
      </c>
      <c r="L9" s="6">
        <v>8480</v>
      </c>
      <c r="M9" s="6">
        <f t="shared" si="1"/>
        <v>67840</v>
      </c>
      <c r="N9" s="6">
        <f t="shared" si="2"/>
        <v>6824</v>
      </c>
      <c r="O9" s="8">
        <f t="shared" si="3"/>
        <v>7.7686703096539161E-2</v>
      </c>
    </row>
    <row r="10" spans="1:15" ht="15.75" customHeight="1">
      <c r="A10" s="1" t="s">
        <v>31</v>
      </c>
      <c r="B10" s="1"/>
      <c r="C10" s="1" t="s">
        <v>32</v>
      </c>
      <c r="D10" s="42" t="s">
        <v>33</v>
      </c>
      <c r="E10" s="1" t="s">
        <v>34</v>
      </c>
      <c r="G10" s="1">
        <v>24980</v>
      </c>
      <c r="H10" s="1">
        <v>3</v>
      </c>
      <c r="I10" s="1">
        <v>74940</v>
      </c>
      <c r="J10" s="1">
        <v>3</v>
      </c>
      <c r="K10" s="1">
        <f t="shared" si="0"/>
        <v>11241</v>
      </c>
      <c r="L10" s="6">
        <v>15980</v>
      </c>
      <c r="M10" s="6">
        <f t="shared" si="1"/>
        <v>47940</v>
      </c>
      <c r="N10" s="6">
        <f t="shared" si="2"/>
        <v>15759</v>
      </c>
      <c r="O10" s="8">
        <f t="shared" si="3"/>
        <v>0.21028823058446758</v>
      </c>
    </row>
    <row r="11" spans="1:15" ht="15.75" customHeight="1">
      <c r="A11" s="1" t="s">
        <v>35</v>
      </c>
      <c r="B11" s="1"/>
      <c r="C11" s="1" t="s">
        <v>36</v>
      </c>
      <c r="D11" s="42" t="s">
        <v>37</v>
      </c>
      <c r="E11" s="1" t="s">
        <v>38</v>
      </c>
      <c r="G11" s="1">
        <v>12380</v>
      </c>
      <c r="H11" s="1">
        <v>6</v>
      </c>
      <c r="I11" s="1">
        <v>74280</v>
      </c>
      <c r="J11" s="1">
        <v>4</v>
      </c>
      <c r="K11" s="1">
        <f t="shared" si="0"/>
        <v>11142</v>
      </c>
      <c r="L11" s="6">
        <v>5200</v>
      </c>
      <c r="M11" s="6">
        <f t="shared" si="1"/>
        <v>31200</v>
      </c>
      <c r="N11" s="6">
        <f t="shared" si="2"/>
        <v>31938</v>
      </c>
      <c r="O11" s="8">
        <f t="shared" si="3"/>
        <v>0.429967689822294</v>
      </c>
    </row>
    <row r="12" spans="1:15" ht="15.75" customHeight="1">
      <c r="A12" s="1" t="s">
        <v>39</v>
      </c>
      <c r="C12" s="1" t="s">
        <v>40</v>
      </c>
      <c r="D12" s="42">
        <v>4902430898706</v>
      </c>
      <c r="E12" t="s">
        <v>40</v>
      </c>
      <c r="G12" s="1">
        <v>6480</v>
      </c>
      <c r="H12" s="1">
        <v>11</v>
      </c>
      <c r="I12" s="1">
        <v>71280</v>
      </c>
      <c r="J12" s="1">
        <v>10</v>
      </c>
      <c r="K12" s="1">
        <f t="shared" si="0"/>
        <v>10692</v>
      </c>
      <c r="L12" s="6">
        <v>4676</v>
      </c>
      <c r="M12" s="6">
        <f t="shared" si="1"/>
        <v>51436</v>
      </c>
      <c r="N12" s="6">
        <f t="shared" si="2"/>
        <v>9152</v>
      </c>
      <c r="O12" s="8">
        <f t="shared" si="3"/>
        <v>0.12839506172839507</v>
      </c>
    </row>
    <row r="13" spans="1:15" ht="15.75" customHeight="1">
      <c r="A13" s="1" t="s">
        <v>41</v>
      </c>
      <c r="B13" t="s">
        <v>42</v>
      </c>
      <c r="C13" s="1" t="s">
        <v>43</v>
      </c>
      <c r="D13" s="42" t="s">
        <v>44</v>
      </c>
      <c r="E13" t="s">
        <v>45</v>
      </c>
      <c r="G13" s="1">
        <v>13480</v>
      </c>
      <c r="H13" s="1">
        <v>4</v>
      </c>
      <c r="I13" s="1">
        <v>53920</v>
      </c>
      <c r="J13" s="1">
        <v>4</v>
      </c>
      <c r="K13" s="1">
        <f t="shared" si="0"/>
        <v>8088</v>
      </c>
      <c r="L13" s="6">
        <v>9100</v>
      </c>
      <c r="M13" s="6">
        <f t="shared" si="1"/>
        <v>36400</v>
      </c>
      <c r="N13" s="6">
        <f t="shared" si="2"/>
        <v>9432</v>
      </c>
      <c r="O13" s="8">
        <f t="shared" si="3"/>
        <v>0.17492581602373888</v>
      </c>
    </row>
    <row r="14" spans="1:15" ht="15.75" customHeight="1">
      <c r="A14" s="1" t="s">
        <v>46</v>
      </c>
      <c r="C14" s="1" t="s">
        <v>47</v>
      </c>
      <c r="D14" s="42" t="s">
        <v>48</v>
      </c>
      <c r="E14" t="s">
        <v>47</v>
      </c>
      <c r="G14" s="1">
        <v>2980</v>
      </c>
      <c r="H14" s="1">
        <v>18</v>
      </c>
      <c r="I14" s="1">
        <v>53640</v>
      </c>
      <c r="J14" s="1">
        <v>12</v>
      </c>
      <c r="K14" s="1">
        <f t="shared" si="0"/>
        <v>8046</v>
      </c>
      <c r="L14" s="6">
        <v>1659</v>
      </c>
      <c r="M14" s="6">
        <f t="shared" si="1"/>
        <v>29862</v>
      </c>
      <c r="N14" s="6">
        <f t="shared" si="2"/>
        <v>15732</v>
      </c>
      <c r="O14" s="8">
        <f t="shared" si="3"/>
        <v>0.29328859060402684</v>
      </c>
    </row>
    <row r="15" spans="1:15" ht="15.75" customHeight="1">
      <c r="A15" s="1" t="s">
        <v>49</v>
      </c>
      <c r="C15" s="1" t="s">
        <v>50</v>
      </c>
      <c r="D15" s="42" t="s">
        <v>51</v>
      </c>
      <c r="E15" t="s">
        <v>50</v>
      </c>
      <c r="G15" s="1">
        <v>26480</v>
      </c>
      <c r="H15" s="1">
        <v>2</v>
      </c>
      <c r="I15" s="1">
        <v>52960</v>
      </c>
      <c r="J15" s="1">
        <v>2</v>
      </c>
      <c r="K15" s="1">
        <f t="shared" si="0"/>
        <v>7944</v>
      </c>
      <c r="L15" s="6">
        <v>17980</v>
      </c>
      <c r="M15" s="6">
        <f t="shared" si="1"/>
        <v>35960</v>
      </c>
      <c r="N15" s="6">
        <f t="shared" si="2"/>
        <v>9056</v>
      </c>
      <c r="O15" s="8">
        <f t="shared" si="3"/>
        <v>0.17099697885196374</v>
      </c>
    </row>
    <row r="16" spans="1:15" ht="15.75" customHeight="1">
      <c r="A16" s="1" t="s">
        <v>52</v>
      </c>
      <c r="B16" t="s">
        <v>53</v>
      </c>
      <c r="C16" s="1" t="s">
        <v>54</v>
      </c>
      <c r="D16" s="42" t="s">
        <v>55</v>
      </c>
      <c r="E16" t="s">
        <v>56</v>
      </c>
      <c r="G16" s="1">
        <v>9480</v>
      </c>
      <c r="H16" s="1">
        <v>5</v>
      </c>
      <c r="I16" s="1">
        <v>47400</v>
      </c>
      <c r="J16" s="1">
        <v>5</v>
      </c>
      <c r="K16" s="1">
        <f t="shared" si="0"/>
        <v>7110</v>
      </c>
      <c r="L16" s="6">
        <v>6390</v>
      </c>
      <c r="M16" s="6">
        <f t="shared" si="1"/>
        <v>31950</v>
      </c>
      <c r="N16" s="6">
        <f t="shared" si="2"/>
        <v>8340</v>
      </c>
      <c r="O16" s="8">
        <f t="shared" si="3"/>
        <v>0.17594936708860759</v>
      </c>
    </row>
    <row r="17" spans="1:15" ht="15.75" customHeight="1">
      <c r="A17" s="1" t="s">
        <v>57</v>
      </c>
      <c r="C17" s="1" t="s">
        <v>58</v>
      </c>
      <c r="D17" s="42" t="s">
        <v>59</v>
      </c>
      <c r="E17" t="s">
        <v>60</v>
      </c>
      <c r="G17" s="1">
        <v>36800</v>
      </c>
      <c r="H17" s="1">
        <v>1</v>
      </c>
      <c r="I17" s="1">
        <v>36800</v>
      </c>
      <c r="J17" s="1">
        <v>1</v>
      </c>
      <c r="K17" s="1">
        <f t="shared" si="0"/>
        <v>5520</v>
      </c>
      <c r="L17" s="6">
        <v>29880</v>
      </c>
      <c r="M17" s="6">
        <f t="shared" si="1"/>
        <v>29880</v>
      </c>
      <c r="N17" s="6">
        <f t="shared" si="2"/>
        <v>1400</v>
      </c>
      <c r="O17" s="8">
        <f t="shared" si="3"/>
        <v>3.8043478260869568E-2</v>
      </c>
    </row>
    <row r="18" spans="1:15" ht="15.75" customHeight="1">
      <c r="A18" s="1" t="s">
        <v>61</v>
      </c>
      <c r="C18" s="1" t="s">
        <v>62</v>
      </c>
      <c r="D18" s="42" t="s">
        <v>63</v>
      </c>
      <c r="E18" t="s">
        <v>62</v>
      </c>
      <c r="G18" s="1">
        <v>4580</v>
      </c>
      <c r="H18" s="1">
        <v>8</v>
      </c>
      <c r="I18" s="1">
        <v>36640</v>
      </c>
      <c r="J18" s="1">
        <v>7</v>
      </c>
      <c r="K18" s="1">
        <f t="shared" si="0"/>
        <v>5496</v>
      </c>
      <c r="L18" s="6">
        <v>3376</v>
      </c>
      <c r="M18" s="6">
        <f t="shared" si="1"/>
        <v>27008</v>
      </c>
      <c r="N18" s="6">
        <f t="shared" si="2"/>
        <v>4136</v>
      </c>
      <c r="O18" s="8">
        <f t="shared" si="3"/>
        <v>0.112882096069869</v>
      </c>
    </row>
    <row r="19" spans="1:15" ht="15.75" customHeight="1">
      <c r="A19" s="1" t="s">
        <v>64</v>
      </c>
      <c r="B19" t="s">
        <v>53</v>
      </c>
      <c r="C19" s="1" t="s">
        <v>65</v>
      </c>
      <c r="D19" s="42" t="s">
        <v>66</v>
      </c>
      <c r="E19" t="s">
        <v>67</v>
      </c>
      <c r="G19" s="1">
        <v>8980</v>
      </c>
      <c r="H19" s="1">
        <v>4</v>
      </c>
      <c r="I19" s="1">
        <v>35920</v>
      </c>
      <c r="J19" s="1">
        <v>4</v>
      </c>
      <c r="K19" s="1">
        <f t="shared" si="0"/>
        <v>5388</v>
      </c>
      <c r="L19" s="6">
        <v>5890</v>
      </c>
      <c r="M19" s="6">
        <f t="shared" si="1"/>
        <v>23560</v>
      </c>
      <c r="N19" s="6">
        <f t="shared" si="2"/>
        <v>6972</v>
      </c>
      <c r="O19" s="8">
        <f t="shared" si="3"/>
        <v>0.19409799554565701</v>
      </c>
    </row>
    <row r="20" spans="1:15" ht="15.75" customHeight="1">
      <c r="A20" s="1" t="s">
        <v>68</v>
      </c>
      <c r="C20" s="1" t="s">
        <v>69</v>
      </c>
      <c r="D20" s="42" t="s">
        <v>70</v>
      </c>
      <c r="E20" t="s">
        <v>69</v>
      </c>
      <c r="G20" s="1">
        <v>2980</v>
      </c>
      <c r="H20" s="1">
        <v>12</v>
      </c>
      <c r="I20" s="1">
        <v>35760</v>
      </c>
      <c r="J20" s="1">
        <v>3</v>
      </c>
      <c r="K20" s="1">
        <f t="shared" si="0"/>
        <v>5364</v>
      </c>
      <c r="L20" s="6">
        <v>1287</v>
      </c>
      <c r="M20" s="6">
        <f t="shared" si="1"/>
        <v>15444</v>
      </c>
      <c r="N20" s="6">
        <f t="shared" si="2"/>
        <v>14952</v>
      </c>
      <c r="O20" s="8">
        <f t="shared" si="3"/>
        <v>0.41812080536912749</v>
      </c>
    </row>
    <row r="21" spans="1:15" ht="15.75" customHeight="1">
      <c r="A21" s="1" t="s">
        <v>71</v>
      </c>
      <c r="C21" s="1">
        <v>4550391042821</v>
      </c>
      <c r="D21" s="42" t="s">
        <v>72</v>
      </c>
      <c r="E21">
        <v>4550391042821</v>
      </c>
      <c r="G21" s="1">
        <v>4355</v>
      </c>
      <c r="H21" s="1">
        <v>8</v>
      </c>
      <c r="I21" s="1">
        <v>34840</v>
      </c>
      <c r="J21" s="1">
        <v>8</v>
      </c>
      <c r="K21" s="1">
        <f t="shared" si="0"/>
        <v>5226</v>
      </c>
      <c r="L21" s="6">
        <v>1160</v>
      </c>
      <c r="M21" s="6">
        <f t="shared" si="1"/>
        <v>9280</v>
      </c>
      <c r="N21" s="6">
        <f t="shared" si="2"/>
        <v>20334</v>
      </c>
      <c r="O21" s="8">
        <f t="shared" si="3"/>
        <v>0.58363949483352473</v>
      </c>
    </row>
    <row r="22" spans="1:15" ht="15.75" customHeight="1">
      <c r="A22" s="1" t="s">
        <v>73</v>
      </c>
      <c r="B22" s="1"/>
      <c r="C22" s="1" t="s">
        <v>74</v>
      </c>
      <c r="D22" s="42">
        <v>32780</v>
      </c>
      <c r="E22" s="1" t="s">
        <v>74</v>
      </c>
      <c r="G22" s="1">
        <v>34800</v>
      </c>
      <c r="H22" s="1">
        <v>1</v>
      </c>
      <c r="I22" s="1">
        <v>34800</v>
      </c>
      <c r="J22" s="1">
        <v>1</v>
      </c>
      <c r="K22" s="1">
        <f t="shared" si="0"/>
        <v>5220</v>
      </c>
      <c r="L22" s="6">
        <v>32780</v>
      </c>
      <c r="M22" s="6">
        <f t="shared" si="1"/>
        <v>32780</v>
      </c>
      <c r="N22" s="6">
        <f t="shared" si="2"/>
        <v>-3200</v>
      </c>
      <c r="O22" s="8">
        <f t="shared" si="3"/>
        <v>-9.1954022988505746E-2</v>
      </c>
    </row>
    <row r="23" spans="1:15" ht="15.75" customHeight="1">
      <c r="A23" s="1" t="s">
        <v>75</v>
      </c>
      <c r="C23" s="1" t="s">
        <v>76</v>
      </c>
      <c r="D23" s="42" t="s">
        <v>77</v>
      </c>
      <c r="E23" t="s">
        <v>76</v>
      </c>
      <c r="G23" s="1">
        <v>2595</v>
      </c>
      <c r="H23" s="1">
        <v>13</v>
      </c>
      <c r="I23" s="1">
        <v>33740</v>
      </c>
      <c r="J23" s="1">
        <v>12</v>
      </c>
      <c r="K23" s="1">
        <f t="shared" si="0"/>
        <v>5061</v>
      </c>
      <c r="L23" s="44">
        <v>1531</v>
      </c>
      <c r="M23" s="6">
        <f t="shared" si="1"/>
        <v>19903</v>
      </c>
      <c r="N23" s="6">
        <f t="shared" si="2"/>
        <v>8776</v>
      </c>
      <c r="O23" s="8">
        <f t="shared" si="3"/>
        <v>0.26010669828097216</v>
      </c>
    </row>
    <row r="24" spans="1:15" ht="15.75" customHeight="1">
      <c r="A24" s="1" t="s">
        <v>78</v>
      </c>
      <c r="C24" s="1" t="s">
        <v>79</v>
      </c>
      <c r="D24" s="42" t="s">
        <v>80</v>
      </c>
      <c r="E24" t="s">
        <v>79</v>
      </c>
      <c r="G24" s="1">
        <v>5280</v>
      </c>
      <c r="H24" s="1">
        <v>6</v>
      </c>
      <c r="I24" s="1">
        <v>31680</v>
      </c>
      <c r="J24" s="1">
        <v>6</v>
      </c>
      <c r="K24" s="1">
        <f t="shared" si="0"/>
        <v>4752</v>
      </c>
      <c r="L24" s="6">
        <v>3771</v>
      </c>
      <c r="M24" s="6">
        <f t="shared" si="1"/>
        <v>22626</v>
      </c>
      <c r="N24" s="6">
        <f t="shared" si="2"/>
        <v>4302</v>
      </c>
      <c r="O24" s="8">
        <f t="shared" si="3"/>
        <v>0.13579545454545455</v>
      </c>
    </row>
    <row r="25" spans="1:15" ht="15.75" customHeight="1">
      <c r="A25" s="1" t="s">
        <v>81</v>
      </c>
      <c r="B25" s="1" t="s">
        <v>82</v>
      </c>
      <c r="C25" s="1" t="s">
        <v>83</v>
      </c>
      <c r="D25" s="42" t="s">
        <v>84</v>
      </c>
      <c r="E25" s="1" t="s">
        <v>85</v>
      </c>
      <c r="G25" s="1">
        <v>9980</v>
      </c>
      <c r="H25" s="1">
        <v>3</v>
      </c>
      <c r="I25" s="1">
        <v>29940</v>
      </c>
      <c r="J25" s="1">
        <v>3</v>
      </c>
      <c r="K25" s="1">
        <f t="shared" si="0"/>
        <v>4491</v>
      </c>
      <c r="L25" s="6">
        <v>6490</v>
      </c>
      <c r="M25" s="6">
        <f t="shared" si="1"/>
        <v>19470</v>
      </c>
      <c r="N25" s="6">
        <f t="shared" si="2"/>
        <v>5979</v>
      </c>
      <c r="O25" s="8">
        <f t="shared" si="3"/>
        <v>0.19969939879759518</v>
      </c>
    </row>
    <row r="26" spans="1:15" ht="15.75" customHeight="1">
      <c r="A26" s="1" t="s">
        <v>86</v>
      </c>
      <c r="C26" s="1" t="s">
        <v>87</v>
      </c>
      <c r="D26" s="42" t="s">
        <v>88</v>
      </c>
      <c r="E26" t="s">
        <v>89</v>
      </c>
      <c r="G26" s="1">
        <v>2580</v>
      </c>
      <c r="H26" s="1">
        <v>11</v>
      </c>
      <c r="I26" s="1">
        <v>28380</v>
      </c>
      <c r="J26" s="1">
        <v>9</v>
      </c>
      <c r="K26" s="1">
        <f t="shared" si="0"/>
        <v>4257</v>
      </c>
      <c r="L26" s="6">
        <v>1630</v>
      </c>
      <c r="M26" s="6">
        <f t="shared" si="1"/>
        <v>17930</v>
      </c>
      <c r="N26" s="6">
        <f t="shared" si="2"/>
        <v>6193</v>
      </c>
      <c r="O26" s="8">
        <f t="shared" si="3"/>
        <v>0.21821705426356588</v>
      </c>
    </row>
    <row r="27" spans="1:15" ht="15.75" customHeight="1">
      <c r="A27" s="1" t="s">
        <v>90</v>
      </c>
      <c r="C27" s="1" t="s">
        <v>91</v>
      </c>
      <c r="D27" s="42" t="s">
        <v>92</v>
      </c>
      <c r="E27" t="s">
        <v>91</v>
      </c>
      <c r="G27" s="1">
        <v>6980</v>
      </c>
      <c r="H27" s="1">
        <v>4</v>
      </c>
      <c r="I27" s="1">
        <v>27920</v>
      </c>
      <c r="J27" s="1">
        <v>3</v>
      </c>
      <c r="K27" s="1">
        <f t="shared" si="0"/>
        <v>4188</v>
      </c>
      <c r="L27" s="6">
        <v>4780</v>
      </c>
      <c r="M27" s="6">
        <f t="shared" si="1"/>
        <v>19120</v>
      </c>
      <c r="N27" s="6">
        <f t="shared" si="2"/>
        <v>4612</v>
      </c>
      <c r="O27" s="8">
        <f t="shared" si="3"/>
        <v>0.1651862464183381</v>
      </c>
    </row>
    <row r="28" spans="1:15" ht="15.75" customHeight="1">
      <c r="A28" s="1" t="s">
        <v>93</v>
      </c>
      <c r="B28" s="1"/>
      <c r="C28" s="1" t="s">
        <v>94</v>
      </c>
      <c r="D28" s="42" t="s">
        <v>95</v>
      </c>
      <c r="E28" s="1" t="s">
        <v>94</v>
      </c>
      <c r="G28" s="1">
        <v>13480</v>
      </c>
      <c r="H28" s="1">
        <v>2</v>
      </c>
      <c r="I28" s="1">
        <v>26960</v>
      </c>
      <c r="J28" s="1">
        <v>2</v>
      </c>
      <c r="K28" s="1">
        <f t="shared" si="0"/>
        <v>4044</v>
      </c>
      <c r="L28" s="6">
        <v>8980</v>
      </c>
      <c r="M28" s="6">
        <f t="shared" si="1"/>
        <v>17960</v>
      </c>
      <c r="N28" s="6">
        <f t="shared" si="2"/>
        <v>4956</v>
      </c>
      <c r="O28" s="8">
        <f t="shared" si="3"/>
        <v>0.1838278931750742</v>
      </c>
    </row>
    <row r="29" spans="1:15" ht="15.75" customHeight="1">
      <c r="A29" s="1" t="s">
        <v>96</v>
      </c>
      <c r="C29" s="1" t="s">
        <v>97</v>
      </c>
      <c r="D29" s="42" t="s">
        <v>98</v>
      </c>
      <c r="E29" t="s">
        <v>97</v>
      </c>
      <c r="G29" s="1">
        <v>25980</v>
      </c>
      <c r="H29" s="1">
        <v>1</v>
      </c>
      <c r="I29" s="1">
        <v>25980</v>
      </c>
      <c r="J29" s="1">
        <v>1</v>
      </c>
      <c r="K29" s="1">
        <f t="shared" si="0"/>
        <v>3897</v>
      </c>
      <c r="L29" s="6">
        <v>10524</v>
      </c>
      <c r="M29" s="6">
        <f t="shared" si="1"/>
        <v>10524</v>
      </c>
      <c r="N29" s="6">
        <f t="shared" si="2"/>
        <v>11559</v>
      </c>
      <c r="O29" s="8">
        <f t="shared" si="3"/>
        <v>0.44491916859122405</v>
      </c>
    </row>
    <row r="30" spans="1:15" ht="15.75" customHeight="1">
      <c r="A30" s="1" t="s">
        <v>99</v>
      </c>
      <c r="B30" s="1"/>
      <c r="C30" s="1" t="s">
        <v>100</v>
      </c>
      <c r="D30" s="42" t="s">
        <v>101</v>
      </c>
      <c r="E30" s="1" t="s">
        <v>100</v>
      </c>
      <c r="G30" s="1">
        <v>5064</v>
      </c>
      <c r="H30" s="1">
        <v>5</v>
      </c>
      <c r="I30" s="1">
        <v>25320</v>
      </c>
      <c r="J30" s="1">
        <v>5</v>
      </c>
      <c r="K30" s="1">
        <f t="shared" si="0"/>
        <v>3798</v>
      </c>
      <c r="L30" s="6">
        <v>3516</v>
      </c>
      <c r="M30" s="6">
        <f t="shared" si="1"/>
        <v>17580</v>
      </c>
      <c r="N30" s="6">
        <f t="shared" si="2"/>
        <v>3942</v>
      </c>
      <c r="O30" s="8">
        <f t="shared" si="3"/>
        <v>0.15568720379146919</v>
      </c>
    </row>
    <row r="31" spans="1:15" ht="15.75" customHeight="1">
      <c r="A31" s="1" t="s">
        <v>102</v>
      </c>
      <c r="C31" s="1" t="s">
        <v>103</v>
      </c>
      <c r="D31" s="42" t="s">
        <v>104</v>
      </c>
      <c r="E31" t="s">
        <v>105</v>
      </c>
      <c r="G31" s="1">
        <v>999</v>
      </c>
      <c r="H31" s="1">
        <v>25</v>
      </c>
      <c r="I31" s="1">
        <v>24975</v>
      </c>
      <c r="J31" s="1">
        <v>13</v>
      </c>
      <c r="K31" s="1">
        <f t="shared" si="0"/>
        <v>3746.25</v>
      </c>
      <c r="L31" s="6">
        <v>396</v>
      </c>
      <c r="M31" s="6">
        <f t="shared" si="1"/>
        <v>9900</v>
      </c>
      <c r="N31" s="6">
        <f t="shared" si="2"/>
        <v>11328.75</v>
      </c>
      <c r="O31" s="8">
        <f t="shared" si="3"/>
        <v>0.45360360360360358</v>
      </c>
    </row>
    <row r="32" spans="1:15" ht="15.75" customHeight="1">
      <c r="A32" s="1" t="s">
        <v>106</v>
      </c>
      <c r="C32" s="1" t="s">
        <v>107</v>
      </c>
      <c r="D32" s="42" t="s">
        <v>108</v>
      </c>
      <c r="E32" t="s">
        <v>107</v>
      </c>
      <c r="G32" s="1">
        <v>11980</v>
      </c>
      <c r="H32" s="1">
        <v>2</v>
      </c>
      <c r="I32" s="1">
        <v>23960</v>
      </c>
      <c r="J32" s="1">
        <v>2</v>
      </c>
      <c r="K32" s="1">
        <f t="shared" si="0"/>
        <v>3594</v>
      </c>
      <c r="L32" s="6">
        <v>8480</v>
      </c>
      <c r="M32" s="6">
        <f t="shared" si="1"/>
        <v>16960</v>
      </c>
      <c r="N32" s="6">
        <f t="shared" si="2"/>
        <v>3406</v>
      </c>
      <c r="O32" s="8">
        <f t="shared" si="3"/>
        <v>0.14215358931552588</v>
      </c>
    </row>
    <row r="33" spans="1:16" ht="15.75" customHeight="1">
      <c r="A33" s="1" t="s">
        <v>109</v>
      </c>
      <c r="C33" s="1" t="s">
        <v>110</v>
      </c>
      <c r="D33" s="42" t="s">
        <v>111</v>
      </c>
      <c r="E33" t="s">
        <v>110</v>
      </c>
      <c r="G33" s="1">
        <v>7980</v>
      </c>
      <c r="H33" s="1">
        <v>3</v>
      </c>
      <c r="I33" s="1">
        <v>23940</v>
      </c>
      <c r="J33" s="1">
        <v>3</v>
      </c>
      <c r="K33" s="1">
        <f t="shared" si="0"/>
        <v>3591</v>
      </c>
      <c r="L33" s="48">
        <v>7536</v>
      </c>
      <c r="M33" s="6">
        <f t="shared" si="1"/>
        <v>22608</v>
      </c>
      <c r="N33" s="6">
        <f t="shared" si="2"/>
        <v>-2259</v>
      </c>
      <c r="O33" s="8">
        <f t="shared" si="3"/>
        <v>-9.4360902255639104E-2</v>
      </c>
      <c r="P33" t="s">
        <v>112</v>
      </c>
    </row>
    <row r="34" spans="1:16" ht="15.75" customHeight="1">
      <c r="A34" s="1" t="s">
        <v>113</v>
      </c>
      <c r="C34" s="1" t="s">
        <v>114</v>
      </c>
      <c r="D34" s="42" t="s">
        <v>115</v>
      </c>
      <c r="E34" t="s">
        <v>114</v>
      </c>
      <c r="G34" s="1">
        <v>3647</v>
      </c>
      <c r="H34" s="1">
        <v>6</v>
      </c>
      <c r="I34" s="1">
        <v>21880</v>
      </c>
      <c r="J34" s="1">
        <v>6</v>
      </c>
      <c r="K34" s="1">
        <f t="shared" si="0"/>
        <v>3282</v>
      </c>
      <c r="L34" s="6">
        <v>1980</v>
      </c>
      <c r="M34" s="6">
        <f t="shared" si="1"/>
        <v>11880</v>
      </c>
      <c r="N34" s="6">
        <f t="shared" si="2"/>
        <v>6718</v>
      </c>
      <c r="O34" s="8">
        <f t="shared" si="3"/>
        <v>0.30703839122486287</v>
      </c>
    </row>
    <row r="35" spans="1:16" ht="15.75" customHeight="1">
      <c r="A35" s="1" t="s">
        <v>116</v>
      </c>
      <c r="C35" s="1" t="s">
        <v>117</v>
      </c>
      <c r="D35" s="42" t="s">
        <v>118</v>
      </c>
      <c r="E35" t="s">
        <v>119</v>
      </c>
      <c r="G35" s="1">
        <v>3480</v>
      </c>
      <c r="H35" s="1">
        <v>6</v>
      </c>
      <c r="I35" s="1">
        <v>20880</v>
      </c>
      <c r="J35" s="1">
        <v>5</v>
      </c>
      <c r="K35" s="1">
        <f t="shared" si="0"/>
        <v>3132</v>
      </c>
      <c r="L35" s="6">
        <v>358</v>
      </c>
      <c r="M35" s="6">
        <f t="shared" si="1"/>
        <v>2148</v>
      </c>
      <c r="N35" s="6">
        <f t="shared" si="2"/>
        <v>15600</v>
      </c>
      <c r="O35" s="8">
        <f t="shared" si="3"/>
        <v>0.74712643678160917</v>
      </c>
    </row>
    <row r="36" spans="1:16" ht="15.75" customHeight="1">
      <c r="A36" s="1" t="s">
        <v>120</v>
      </c>
      <c r="C36" s="1" t="s">
        <v>121</v>
      </c>
      <c r="D36" s="42" t="s">
        <v>122</v>
      </c>
      <c r="E36" t="s">
        <v>121</v>
      </c>
      <c r="G36" s="1">
        <v>2580</v>
      </c>
      <c r="H36" s="1">
        <v>8</v>
      </c>
      <c r="I36" s="1">
        <v>20640</v>
      </c>
      <c r="J36" s="1">
        <v>7</v>
      </c>
      <c r="K36" s="1">
        <f t="shared" si="0"/>
        <v>3096</v>
      </c>
      <c r="L36" s="6">
        <v>1267</v>
      </c>
      <c r="M36" s="6">
        <f t="shared" si="1"/>
        <v>10136</v>
      </c>
      <c r="N36" s="6">
        <f t="shared" si="2"/>
        <v>7408</v>
      </c>
      <c r="O36" s="8">
        <f t="shared" si="3"/>
        <v>0.35891472868217056</v>
      </c>
    </row>
    <row r="37" spans="1:16" ht="15.75" customHeight="1">
      <c r="A37" s="1" t="s">
        <v>123</v>
      </c>
      <c r="C37" s="1">
        <v>4550391012121</v>
      </c>
      <c r="D37" s="42" t="s">
        <v>124</v>
      </c>
      <c r="E37">
        <v>4550391012121</v>
      </c>
      <c r="G37" s="1">
        <v>4980</v>
      </c>
      <c r="H37" s="1">
        <v>4</v>
      </c>
      <c r="I37" s="1">
        <v>19920</v>
      </c>
      <c r="J37" s="1">
        <v>4</v>
      </c>
      <c r="K37" s="1">
        <f t="shared" si="0"/>
        <v>2988</v>
      </c>
      <c r="L37" s="6">
        <v>1020</v>
      </c>
      <c r="M37" s="6">
        <f t="shared" si="1"/>
        <v>4080</v>
      </c>
      <c r="N37" s="6">
        <f t="shared" si="2"/>
        <v>12852</v>
      </c>
      <c r="O37" s="8">
        <f t="shared" si="3"/>
        <v>0.64518072289156625</v>
      </c>
    </row>
    <row r="38" spans="1:16" ht="15.75" customHeight="1">
      <c r="A38" s="1" t="s">
        <v>125</v>
      </c>
      <c r="C38" s="1" t="s">
        <v>126</v>
      </c>
      <c r="D38" s="42" t="s">
        <v>127</v>
      </c>
      <c r="E38" t="s">
        <v>126</v>
      </c>
      <c r="G38" s="1">
        <v>3980</v>
      </c>
      <c r="H38" s="1">
        <v>5</v>
      </c>
      <c r="I38" s="1">
        <v>19900</v>
      </c>
      <c r="J38" s="1">
        <v>4</v>
      </c>
      <c r="K38" s="1">
        <f t="shared" si="0"/>
        <v>2985</v>
      </c>
      <c r="L38" s="6">
        <v>1978</v>
      </c>
      <c r="M38" s="6">
        <f t="shared" si="1"/>
        <v>9890</v>
      </c>
      <c r="N38" s="6">
        <f t="shared" si="2"/>
        <v>7025</v>
      </c>
      <c r="O38" s="8">
        <f t="shared" si="3"/>
        <v>0.35301507537688442</v>
      </c>
    </row>
    <row r="39" spans="1:16" ht="15.75" customHeight="1">
      <c r="A39" s="1" t="s">
        <v>128</v>
      </c>
      <c r="B39" t="s">
        <v>129</v>
      </c>
      <c r="C39" s="1" t="s">
        <v>130</v>
      </c>
      <c r="D39" s="42" t="s">
        <v>131</v>
      </c>
      <c r="E39" t="s">
        <v>132</v>
      </c>
      <c r="G39" s="1">
        <v>19800</v>
      </c>
      <c r="H39" s="1">
        <v>1</v>
      </c>
      <c r="I39" s="1">
        <v>19800</v>
      </c>
      <c r="J39" s="1">
        <v>1</v>
      </c>
      <c r="K39" s="1">
        <f t="shared" si="0"/>
        <v>2970</v>
      </c>
      <c r="L39" s="6">
        <v>13990</v>
      </c>
      <c r="M39" s="6">
        <f t="shared" si="1"/>
        <v>13990</v>
      </c>
      <c r="N39" s="6">
        <f t="shared" si="2"/>
        <v>2840</v>
      </c>
      <c r="O39" s="8">
        <f t="shared" si="3"/>
        <v>0.14343434343434344</v>
      </c>
    </row>
    <row r="40" spans="1:16" ht="15.75" customHeight="1">
      <c r="A40" s="1" t="s">
        <v>52</v>
      </c>
      <c r="B40" t="s">
        <v>133</v>
      </c>
      <c r="C40" s="1" t="s">
        <v>54</v>
      </c>
      <c r="D40" s="42" t="s">
        <v>55</v>
      </c>
      <c r="E40" t="s">
        <v>134</v>
      </c>
      <c r="G40" s="1">
        <v>9480</v>
      </c>
      <c r="H40" s="1">
        <v>2</v>
      </c>
      <c r="I40" s="1">
        <v>18960</v>
      </c>
      <c r="J40" s="1">
        <v>2</v>
      </c>
      <c r="K40" s="1">
        <f t="shared" si="0"/>
        <v>2844</v>
      </c>
      <c r="L40" s="6">
        <v>6390</v>
      </c>
      <c r="M40" s="6">
        <f t="shared" si="1"/>
        <v>12780</v>
      </c>
      <c r="N40" s="6">
        <f t="shared" si="2"/>
        <v>3336</v>
      </c>
      <c r="O40" s="8">
        <f t="shared" si="3"/>
        <v>0.17594936708860759</v>
      </c>
    </row>
    <row r="41" spans="1:16" ht="15.75" customHeight="1">
      <c r="A41" s="1" t="s">
        <v>135</v>
      </c>
      <c r="C41" s="1" t="s">
        <v>136</v>
      </c>
      <c r="D41" s="42" t="s">
        <v>137</v>
      </c>
      <c r="E41" t="s">
        <v>136</v>
      </c>
      <c r="G41" s="1">
        <v>2640</v>
      </c>
      <c r="H41" s="1">
        <v>7</v>
      </c>
      <c r="I41" s="1">
        <v>18480</v>
      </c>
      <c r="J41" s="1">
        <v>7</v>
      </c>
      <c r="K41" s="1">
        <f t="shared" si="0"/>
        <v>2772</v>
      </c>
      <c r="L41" s="6">
        <v>1576</v>
      </c>
      <c r="M41" s="6">
        <f t="shared" si="1"/>
        <v>11032</v>
      </c>
      <c r="N41" s="6">
        <f t="shared" si="2"/>
        <v>4676</v>
      </c>
      <c r="O41" s="8">
        <f t="shared" si="3"/>
        <v>0.25303030303030305</v>
      </c>
    </row>
    <row r="42" spans="1:16" ht="15.75" customHeight="1">
      <c r="A42" s="1" t="s">
        <v>138</v>
      </c>
      <c r="C42" s="1" t="s">
        <v>139</v>
      </c>
      <c r="D42" s="42" t="s">
        <v>140</v>
      </c>
      <c r="E42" t="s">
        <v>141</v>
      </c>
      <c r="G42" s="1">
        <v>6147</v>
      </c>
      <c r="H42" s="1">
        <v>3</v>
      </c>
      <c r="I42" s="1">
        <v>18440</v>
      </c>
      <c r="J42" s="1">
        <v>2</v>
      </c>
      <c r="K42" s="1">
        <f t="shared" si="0"/>
        <v>2766</v>
      </c>
      <c r="L42" s="6">
        <v>2600</v>
      </c>
      <c r="M42" s="6">
        <f t="shared" si="1"/>
        <v>7800</v>
      </c>
      <c r="N42" s="6">
        <f t="shared" si="2"/>
        <v>7874</v>
      </c>
      <c r="O42" s="8">
        <f t="shared" si="3"/>
        <v>0.42700650759219089</v>
      </c>
    </row>
    <row r="43" spans="1:16" ht="15.75" customHeight="1">
      <c r="A43" s="1" t="s">
        <v>142</v>
      </c>
      <c r="C43" s="1" t="s">
        <v>143</v>
      </c>
      <c r="D43" s="42">
        <v>840414684973</v>
      </c>
      <c r="E43" t="s">
        <v>143</v>
      </c>
      <c r="G43" s="1">
        <v>9180</v>
      </c>
      <c r="H43" s="1">
        <v>2</v>
      </c>
      <c r="I43" s="1">
        <v>18360</v>
      </c>
      <c r="J43" s="1">
        <v>2</v>
      </c>
      <c r="K43" s="1">
        <f t="shared" si="0"/>
        <v>2754</v>
      </c>
      <c r="L43" s="6">
        <v>5980</v>
      </c>
      <c r="M43" s="6">
        <f t="shared" si="1"/>
        <v>11960</v>
      </c>
      <c r="N43" s="6">
        <f t="shared" si="2"/>
        <v>3646</v>
      </c>
      <c r="O43" s="8">
        <f t="shared" si="3"/>
        <v>0.1985838779956427</v>
      </c>
    </row>
    <row r="44" spans="1:16" ht="15.75" customHeight="1">
      <c r="A44" s="1" t="s">
        <v>144</v>
      </c>
      <c r="C44" s="1" t="s">
        <v>145</v>
      </c>
      <c r="D44" s="42" t="s">
        <v>146</v>
      </c>
      <c r="E44" t="s">
        <v>145</v>
      </c>
      <c r="G44" s="1">
        <v>2980</v>
      </c>
      <c r="H44" s="1">
        <v>6</v>
      </c>
      <c r="I44" s="1">
        <v>17880</v>
      </c>
      <c r="J44" s="1">
        <v>5</v>
      </c>
      <c r="K44" s="1">
        <f t="shared" si="0"/>
        <v>2682</v>
      </c>
      <c r="L44" s="6">
        <v>1338</v>
      </c>
      <c r="M44" s="6">
        <f t="shared" si="1"/>
        <v>8028</v>
      </c>
      <c r="N44" s="6">
        <f t="shared" si="2"/>
        <v>7170</v>
      </c>
      <c r="O44" s="8">
        <f t="shared" si="3"/>
        <v>0.40100671140939598</v>
      </c>
    </row>
    <row r="45" spans="1:16" ht="15.75" customHeight="1">
      <c r="A45" s="1" t="s">
        <v>147</v>
      </c>
      <c r="C45" s="1" t="s">
        <v>148</v>
      </c>
      <c r="D45" s="42" t="s">
        <v>149</v>
      </c>
      <c r="E45" t="s">
        <v>148</v>
      </c>
      <c r="G45" s="1">
        <v>1980</v>
      </c>
      <c r="H45" s="1">
        <v>9</v>
      </c>
      <c r="I45" s="1">
        <v>17820</v>
      </c>
      <c r="J45" s="1">
        <v>4</v>
      </c>
      <c r="K45" s="1">
        <f t="shared" si="0"/>
        <v>2673</v>
      </c>
      <c r="L45" s="6">
        <v>852</v>
      </c>
      <c r="M45" s="6">
        <f t="shared" si="1"/>
        <v>7668</v>
      </c>
      <c r="N45" s="6">
        <f t="shared" si="2"/>
        <v>7479</v>
      </c>
      <c r="O45" s="8">
        <f t="shared" si="3"/>
        <v>0.41969696969696968</v>
      </c>
    </row>
    <row r="46" spans="1:16" ht="15.75" customHeight="1">
      <c r="A46" s="1" t="s">
        <v>150</v>
      </c>
      <c r="C46" s="1" t="s">
        <v>151</v>
      </c>
      <c r="D46" s="42" t="s">
        <v>152</v>
      </c>
      <c r="E46" t="s">
        <v>151</v>
      </c>
      <c r="G46" s="1">
        <v>3440</v>
      </c>
      <c r="H46" s="1">
        <v>5</v>
      </c>
      <c r="I46" s="1">
        <v>17200</v>
      </c>
      <c r="J46" s="1">
        <v>4</v>
      </c>
      <c r="K46" s="1">
        <f t="shared" si="0"/>
        <v>2580</v>
      </c>
      <c r="L46" s="6">
        <v>2230</v>
      </c>
      <c r="M46" s="6">
        <f t="shared" si="1"/>
        <v>11150</v>
      </c>
      <c r="N46" s="6">
        <f t="shared" si="2"/>
        <v>3470</v>
      </c>
      <c r="O46" s="8">
        <f t="shared" si="3"/>
        <v>0.20174418604651162</v>
      </c>
    </row>
    <row r="47" spans="1:16" ht="15.75" customHeight="1">
      <c r="A47" s="1" t="s">
        <v>153</v>
      </c>
      <c r="C47" s="1" t="s">
        <v>154</v>
      </c>
      <c r="D47" s="42" t="s">
        <v>155</v>
      </c>
      <c r="E47" t="s">
        <v>154</v>
      </c>
      <c r="G47" s="1">
        <v>3923</v>
      </c>
      <c r="H47" s="1">
        <v>4</v>
      </c>
      <c r="I47" s="1">
        <v>15693</v>
      </c>
      <c r="J47" s="1">
        <v>4</v>
      </c>
      <c r="K47" s="1">
        <f t="shared" si="0"/>
        <v>2353.9499999999998</v>
      </c>
      <c r="L47" s="6">
        <v>2970</v>
      </c>
      <c r="M47" s="6">
        <f t="shared" si="1"/>
        <v>11880</v>
      </c>
      <c r="N47" s="6">
        <f t="shared" si="2"/>
        <v>1459.0499999999993</v>
      </c>
      <c r="O47" s="8">
        <f t="shared" si="3"/>
        <v>9.2974574651118289E-2</v>
      </c>
    </row>
    <row r="48" spans="1:16" ht="15.75" customHeight="1">
      <c r="A48" s="1" t="s">
        <v>156</v>
      </c>
      <c r="B48" t="s">
        <v>157</v>
      </c>
      <c r="C48" s="1" t="s">
        <v>158</v>
      </c>
      <c r="D48" s="42" t="s">
        <v>159</v>
      </c>
      <c r="E48">
        <v>7290114048101</v>
      </c>
      <c r="G48" s="1">
        <v>7780</v>
      </c>
      <c r="H48" s="1">
        <v>2</v>
      </c>
      <c r="I48" s="1">
        <v>15560</v>
      </c>
      <c r="J48" s="1">
        <v>2</v>
      </c>
      <c r="K48" s="1">
        <f t="shared" si="0"/>
        <v>2334</v>
      </c>
      <c r="L48" s="6">
        <v>2915</v>
      </c>
      <c r="M48" s="6">
        <f t="shared" si="1"/>
        <v>5830</v>
      </c>
      <c r="N48" s="6">
        <f t="shared" si="2"/>
        <v>7396</v>
      </c>
      <c r="O48" s="8">
        <f t="shared" si="3"/>
        <v>0.47532133676092547</v>
      </c>
    </row>
    <row r="49" spans="1:16" ht="15.75" customHeight="1">
      <c r="A49" s="1" t="s">
        <v>160</v>
      </c>
      <c r="C49" s="1" t="s">
        <v>161</v>
      </c>
      <c r="D49" s="42" t="s">
        <v>162</v>
      </c>
      <c r="E49" t="s">
        <v>161</v>
      </c>
      <c r="G49" s="1">
        <v>7490</v>
      </c>
      <c r="H49" s="1">
        <v>2</v>
      </c>
      <c r="I49" s="1">
        <v>14980</v>
      </c>
      <c r="J49" s="1">
        <v>2</v>
      </c>
      <c r="K49" s="1">
        <f t="shared" si="0"/>
        <v>2247</v>
      </c>
      <c r="L49" s="6">
        <v>3849</v>
      </c>
      <c r="M49" s="6">
        <f t="shared" si="1"/>
        <v>7698</v>
      </c>
      <c r="N49" s="6">
        <f t="shared" si="2"/>
        <v>5035</v>
      </c>
      <c r="O49" s="8">
        <f t="shared" si="3"/>
        <v>0.33611481975967955</v>
      </c>
    </row>
    <row r="50" spans="1:16" ht="15.75" customHeight="1">
      <c r="A50" s="1" t="s">
        <v>163</v>
      </c>
      <c r="C50" s="1" t="s">
        <v>164</v>
      </c>
      <c r="D50" s="42" t="s">
        <v>165</v>
      </c>
      <c r="E50" t="s">
        <v>164</v>
      </c>
      <c r="G50" s="1">
        <v>4980</v>
      </c>
      <c r="H50" s="1">
        <v>3</v>
      </c>
      <c r="I50" s="1">
        <v>14940</v>
      </c>
      <c r="J50" s="1">
        <v>3</v>
      </c>
      <c r="K50" s="1">
        <f t="shared" si="0"/>
        <v>2241</v>
      </c>
      <c r="L50" s="6">
        <v>2588</v>
      </c>
      <c r="M50" s="6">
        <f t="shared" si="1"/>
        <v>7764</v>
      </c>
      <c r="N50" s="6">
        <f t="shared" si="2"/>
        <v>4935</v>
      </c>
      <c r="O50" s="8">
        <f t="shared" si="3"/>
        <v>0.33032128514056225</v>
      </c>
    </row>
    <row r="51" spans="1:16" ht="15.75" customHeight="1">
      <c r="A51" s="1" t="s">
        <v>166</v>
      </c>
      <c r="B51" s="1"/>
      <c r="C51" s="1" t="s">
        <v>167</v>
      </c>
      <c r="D51" s="42" t="s">
        <v>168</v>
      </c>
      <c r="E51" s="1" t="s">
        <v>167</v>
      </c>
      <c r="G51" s="1">
        <v>2480</v>
      </c>
      <c r="H51" s="1">
        <v>6</v>
      </c>
      <c r="I51" s="1">
        <v>14880</v>
      </c>
      <c r="J51" s="1">
        <v>5</v>
      </c>
      <c r="K51" s="1">
        <f t="shared" si="0"/>
        <v>2232</v>
      </c>
      <c r="L51" s="6">
        <v>1210</v>
      </c>
      <c r="M51" s="6">
        <f t="shared" si="1"/>
        <v>7260</v>
      </c>
      <c r="N51" s="6">
        <f t="shared" si="2"/>
        <v>5388</v>
      </c>
      <c r="O51" s="8">
        <f t="shared" si="3"/>
        <v>0.36209677419354841</v>
      </c>
    </row>
    <row r="52" spans="1:16" ht="15.75" customHeight="1">
      <c r="A52" s="1" t="s">
        <v>169</v>
      </c>
      <c r="C52" s="1" t="s">
        <v>170</v>
      </c>
      <c r="D52" s="42" t="s">
        <v>171</v>
      </c>
      <c r="E52" t="s">
        <v>170</v>
      </c>
      <c r="G52" s="1">
        <v>1780</v>
      </c>
      <c r="H52" s="1">
        <v>8</v>
      </c>
      <c r="I52" s="1">
        <v>14240</v>
      </c>
      <c r="J52" s="1">
        <v>7</v>
      </c>
      <c r="K52" s="1">
        <f t="shared" si="0"/>
        <v>2136</v>
      </c>
      <c r="L52" s="6">
        <v>874</v>
      </c>
      <c r="M52" s="6">
        <f t="shared" si="1"/>
        <v>6992</v>
      </c>
      <c r="N52" s="6">
        <f t="shared" si="2"/>
        <v>5112</v>
      </c>
      <c r="O52" s="8">
        <f t="shared" si="3"/>
        <v>0.35898876404494384</v>
      </c>
    </row>
    <row r="53" spans="1:16" ht="15.75" customHeight="1">
      <c r="A53" s="1" t="s">
        <v>41</v>
      </c>
      <c r="B53" t="s">
        <v>172</v>
      </c>
      <c r="C53" s="1" t="s">
        <v>43</v>
      </c>
      <c r="D53" s="42" t="s">
        <v>44</v>
      </c>
      <c r="E53" t="s">
        <v>173</v>
      </c>
      <c r="G53" s="1">
        <v>13480</v>
      </c>
      <c r="H53" s="1">
        <v>1</v>
      </c>
      <c r="I53" s="1">
        <v>13480</v>
      </c>
      <c r="J53" s="1">
        <v>1</v>
      </c>
      <c r="K53" s="1">
        <f t="shared" si="0"/>
        <v>2022</v>
      </c>
      <c r="L53" s="6">
        <v>9100</v>
      </c>
      <c r="M53" s="6">
        <f t="shared" si="1"/>
        <v>9100</v>
      </c>
      <c r="N53" s="6">
        <f t="shared" si="2"/>
        <v>2358</v>
      </c>
      <c r="O53" s="8">
        <f t="shared" si="3"/>
        <v>0.17492581602373888</v>
      </c>
    </row>
    <row r="54" spans="1:16" ht="15.75" customHeight="1">
      <c r="A54" s="1" t="s">
        <v>174</v>
      </c>
      <c r="C54" s="1" t="s">
        <v>175</v>
      </c>
      <c r="D54" s="42" t="s">
        <v>176</v>
      </c>
      <c r="E54" t="s">
        <v>175</v>
      </c>
      <c r="G54" s="1">
        <v>6480</v>
      </c>
      <c r="H54" s="1">
        <v>2</v>
      </c>
      <c r="I54" s="1">
        <v>12960</v>
      </c>
      <c r="J54" s="1">
        <v>2</v>
      </c>
      <c r="K54" s="1">
        <f t="shared" si="0"/>
        <v>1944</v>
      </c>
      <c r="L54" s="6">
        <v>3882</v>
      </c>
      <c r="M54" s="6">
        <f t="shared" si="1"/>
        <v>7764</v>
      </c>
      <c r="N54" s="6">
        <f t="shared" si="2"/>
        <v>3252</v>
      </c>
      <c r="O54" s="8">
        <f t="shared" si="3"/>
        <v>0.25092592592592594</v>
      </c>
    </row>
    <row r="55" spans="1:16" ht="15.75" customHeight="1">
      <c r="A55" s="1" t="s">
        <v>177</v>
      </c>
      <c r="B55" s="1"/>
      <c r="C55" s="1" t="s">
        <v>178</v>
      </c>
      <c r="D55" s="42" t="s">
        <v>179</v>
      </c>
      <c r="E55" s="1" t="s">
        <v>178</v>
      </c>
      <c r="G55" s="1">
        <v>4280</v>
      </c>
      <c r="H55" s="1">
        <v>3</v>
      </c>
      <c r="I55" s="1">
        <v>12840</v>
      </c>
      <c r="J55" s="1">
        <v>3</v>
      </c>
      <c r="K55" s="1">
        <f t="shared" si="0"/>
        <v>1926</v>
      </c>
      <c r="L55" s="6">
        <v>2081</v>
      </c>
      <c r="M55" s="6">
        <f t="shared" si="1"/>
        <v>6243</v>
      </c>
      <c r="N55" s="6">
        <f t="shared" si="2"/>
        <v>4671</v>
      </c>
      <c r="O55" s="8">
        <f t="shared" si="3"/>
        <v>0.36378504672897194</v>
      </c>
    </row>
    <row r="56" spans="1:16" ht="15.75" customHeight="1">
      <c r="A56" s="1" t="s">
        <v>180</v>
      </c>
      <c r="C56" s="1" t="s">
        <v>181</v>
      </c>
      <c r="D56" s="42" t="s">
        <v>182</v>
      </c>
      <c r="E56" t="s">
        <v>183</v>
      </c>
      <c r="G56" s="1">
        <v>4218</v>
      </c>
      <c r="H56" s="1">
        <v>3</v>
      </c>
      <c r="I56" s="1">
        <v>12654</v>
      </c>
      <c r="J56" s="1">
        <v>3</v>
      </c>
      <c r="K56" s="1">
        <f t="shared" si="0"/>
        <v>1898.1</v>
      </c>
      <c r="L56" s="6">
        <v>3460</v>
      </c>
      <c r="M56" s="6">
        <f t="shared" si="1"/>
        <v>10380</v>
      </c>
      <c r="N56" s="6">
        <f t="shared" si="2"/>
        <v>375.89999999999964</v>
      </c>
      <c r="O56" s="8">
        <f t="shared" si="3"/>
        <v>2.9706021811284941E-2</v>
      </c>
    </row>
    <row r="57" spans="1:16" ht="15.75" customHeight="1">
      <c r="A57" s="1" t="s">
        <v>184</v>
      </c>
      <c r="C57" s="1" t="s">
        <v>185</v>
      </c>
      <c r="D57" s="42" t="s">
        <v>186</v>
      </c>
      <c r="E57" t="s">
        <v>185</v>
      </c>
      <c r="G57" s="1">
        <v>4180</v>
      </c>
      <c r="H57" s="1">
        <v>3</v>
      </c>
      <c r="I57" s="1">
        <v>12540</v>
      </c>
      <c r="J57" s="1">
        <v>2</v>
      </c>
      <c r="K57" s="1">
        <f t="shared" si="0"/>
        <v>1881</v>
      </c>
      <c r="L57" s="48">
        <v>2395</v>
      </c>
      <c r="M57" s="6">
        <f t="shared" si="1"/>
        <v>7185</v>
      </c>
      <c r="N57" s="6">
        <f t="shared" si="2"/>
        <v>3474</v>
      </c>
      <c r="O57" s="8">
        <f t="shared" si="3"/>
        <v>0.27703349282296652</v>
      </c>
      <c r="P57" t="s">
        <v>187</v>
      </c>
    </row>
    <row r="58" spans="1:16" ht="15.75" customHeight="1">
      <c r="A58" s="1" t="s">
        <v>188</v>
      </c>
      <c r="C58" s="1" t="s">
        <v>189</v>
      </c>
      <c r="D58" s="42" t="s">
        <v>190</v>
      </c>
      <c r="E58" t="s">
        <v>189</v>
      </c>
      <c r="G58" s="1">
        <v>1780</v>
      </c>
      <c r="H58" s="1">
        <v>7</v>
      </c>
      <c r="I58" s="1">
        <v>12460</v>
      </c>
      <c r="J58" s="1">
        <v>6</v>
      </c>
      <c r="K58" s="1">
        <f t="shared" si="0"/>
        <v>1869</v>
      </c>
      <c r="L58" s="6">
        <v>970</v>
      </c>
      <c r="M58" s="6">
        <f t="shared" si="1"/>
        <v>6790</v>
      </c>
      <c r="N58" s="6">
        <f t="shared" si="2"/>
        <v>3801</v>
      </c>
      <c r="O58" s="8">
        <f t="shared" si="3"/>
        <v>0.30505617977528088</v>
      </c>
    </row>
    <row r="59" spans="1:16" ht="15.75" customHeight="1">
      <c r="A59" s="1" t="s">
        <v>191</v>
      </c>
      <c r="C59" s="1" t="s">
        <v>192</v>
      </c>
      <c r="D59" s="42" t="s">
        <v>193</v>
      </c>
      <c r="E59" t="s">
        <v>194</v>
      </c>
      <c r="G59" s="1">
        <v>11980</v>
      </c>
      <c r="H59" s="1">
        <v>1</v>
      </c>
      <c r="I59" s="1">
        <v>11980</v>
      </c>
      <c r="J59" s="1">
        <v>1</v>
      </c>
      <c r="K59" s="1">
        <f t="shared" si="0"/>
        <v>1797</v>
      </c>
      <c r="L59" s="6">
        <v>8000</v>
      </c>
      <c r="M59" s="6">
        <f t="shared" si="1"/>
        <v>8000</v>
      </c>
      <c r="N59" s="6">
        <f t="shared" si="2"/>
        <v>2183</v>
      </c>
      <c r="O59" s="8">
        <f t="shared" si="3"/>
        <v>0.18222036727879801</v>
      </c>
    </row>
    <row r="60" spans="1:16" ht="15.75" customHeight="1">
      <c r="A60" s="1" t="s">
        <v>195</v>
      </c>
      <c r="C60" s="1" t="s">
        <v>196</v>
      </c>
      <c r="D60" s="42" t="s">
        <v>197</v>
      </c>
      <c r="E60" t="s">
        <v>196</v>
      </c>
      <c r="G60" s="1">
        <v>5980</v>
      </c>
      <c r="H60" s="1">
        <v>2</v>
      </c>
      <c r="I60" s="1">
        <v>11960</v>
      </c>
      <c r="J60" s="1">
        <v>2</v>
      </c>
      <c r="K60" s="1">
        <f t="shared" si="0"/>
        <v>1794</v>
      </c>
      <c r="L60" s="6">
        <v>3990</v>
      </c>
      <c r="M60" s="6">
        <f t="shared" si="1"/>
        <v>7980</v>
      </c>
      <c r="N60" s="6">
        <f t="shared" si="2"/>
        <v>2186</v>
      </c>
      <c r="O60" s="8">
        <f t="shared" si="3"/>
        <v>0.18277591973244148</v>
      </c>
    </row>
    <row r="61" spans="1:16" ht="15.75" customHeight="1">
      <c r="A61" s="1" t="s">
        <v>198</v>
      </c>
      <c r="C61" s="1" t="s">
        <v>199</v>
      </c>
      <c r="D61" s="42" t="s">
        <v>200</v>
      </c>
      <c r="E61" t="s">
        <v>199</v>
      </c>
      <c r="G61" s="1">
        <v>3980</v>
      </c>
      <c r="H61" s="1">
        <v>3</v>
      </c>
      <c r="I61" s="1">
        <v>11940</v>
      </c>
      <c r="J61" s="1">
        <v>2</v>
      </c>
      <c r="K61" s="1">
        <f t="shared" si="0"/>
        <v>1791</v>
      </c>
      <c r="L61" s="6">
        <v>1600</v>
      </c>
      <c r="M61" s="6">
        <f t="shared" si="1"/>
        <v>4800</v>
      </c>
      <c r="N61" s="6">
        <f t="shared" si="2"/>
        <v>5349</v>
      </c>
      <c r="O61" s="8">
        <f t="shared" si="3"/>
        <v>0.44798994974874373</v>
      </c>
    </row>
    <row r="62" spans="1:16" ht="15.75" customHeight="1">
      <c r="A62" s="1" t="s">
        <v>201</v>
      </c>
      <c r="C62" s="1" t="s">
        <v>202</v>
      </c>
      <c r="D62" s="42" t="s">
        <v>203</v>
      </c>
      <c r="E62" t="s">
        <v>202</v>
      </c>
      <c r="G62" s="1">
        <v>2980</v>
      </c>
      <c r="H62" s="1">
        <v>4</v>
      </c>
      <c r="I62" s="1">
        <v>11920</v>
      </c>
      <c r="J62" s="1">
        <v>2</v>
      </c>
      <c r="K62" s="1">
        <f t="shared" si="0"/>
        <v>1788</v>
      </c>
      <c r="L62" s="6">
        <v>1239</v>
      </c>
      <c r="M62" s="6">
        <f t="shared" si="1"/>
        <v>4956</v>
      </c>
      <c r="N62" s="6">
        <f t="shared" si="2"/>
        <v>5176</v>
      </c>
      <c r="O62" s="8">
        <f t="shared" si="3"/>
        <v>0.4342281879194631</v>
      </c>
    </row>
    <row r="63" spans="1:16" ht="15.75" customHeight="1">
      <c r="A63" s="1" t="s">
        <v>204</v>
      </c>
      <c r="C63" s="1" t="s">
        <v>205</v>
      </c>
      <c r="D63" s="42" t="s">
        <v>206</v>
      </c>
      <c r="E63" t="s">
        <v>205</v>
      </c>
      <c r="G63" s="1">
        <v>2980</v>
      </c>
      <c r="H63" s="1">
        <v>4</v>
      </c>
      <c r="I63" s="1">
        <v>11920</v>
      </c>
      <c r="J63" s="1">
        <v>3</v>
      </c>
      <c r="K63" s="1">
        <f t="shared" si="0"/>
        <v>1788</v>
      </c>
      <c r="L63" s="6">
        <v>1182</v>
      </c>
      <c r="M63" s="6">
        <f t="shared" si="1"/>
        <v>4728</v>
      </c>
      <c r="N63" s="6">
        <f t="shared" si="2"/>
        <v>5404</v>
      </c>
      <c r="O63" s="8">
        <f t="shared" si="3"/>
        <v>0.45335570469798658</v>
      </c>
    </row>
    <row r="64" spans="1:16" ht="15.75" customHeight="1">
      <c r="A64" s="1" t="s">
        <v>207</v>
      </c>
      <c r="C64" s="1" t="s">
        <v>208</v>
      </c>
      <c r="D64" s="42" t="s">
        <v>209</v>
      </c>
      <c r="E64" t="s">
        <v>208</v>
      </c>
      <c r="G64" s="1">
        <v>1980</v>
      </c>
      <c r="H64" s="1">
        <v>6</v>
      </c>
      <c r="I64" s="1">
        <v>11880</v>
      </c>
      <c r="J64" s="1">
        <v>3</v>
      </c>
      <c r="K64" s="1">
        <f t="shared" si="0"/>
        <v>1782</v>
      </c>
      <c r="L64" s="48">
        <v>768</v>
      </c>
      <c r="M64" s="6">
        <f t="shared" si="1"/>
        <v>4608</v>
      </c>
      <c r="N64" s="6">
        <f t="shared" si="2"/>
        <v>5490</v>
      </c>
      <c r="O64" s="8">
        <f t="shared" si="3"/>
        <v>0.4621212121212121</v>
      </c>
      <c r="P64" t="s">
        <v>210</v>
      </c>
    </row>
    <row r="65" spans="1:15" ht="15.75" customHeight="1">
      <c r="A65" s="1" t="s">
        <v>211</v>
      </c>
      <c r="B65" s="1" t="s">
        <v>212</v>
      </c>
      <c r="C65" s="1" t="s">
        <v>213</v>
      </c>
      <c r="D65" s="42">
        <v>7480</v>
      </c>
      <c r="E65" s="1" t="s">
        <v>214</v>
      </c>
      <c r="G65" s="1">
        <v>10980</v>
      </c>
      <c r="H65" s="1">
        <v>1</v>
      </c>
      <c r="I65" s="1">
        <v>10980</v>
      </c>
      <c r="J65" s="1">
        <v>1</v>
      </c>
      <c r="K65" s="1">
        <f t="shared" si="0"/>
        <v>1647</v>
      </c>
      <c r="L65" s="6">
        <v>7480</v>
      </c>
      <c r="M65" s="6">
        <f t="shared" si="1"/>
        <v>7480</v>
      </c>
      <c r="N65" s="6">
        <f t="shared" si="2"/>
        <v>1853</v>
      </c>
      <c r="O65" s="8">
        <f t="shared" si="3"/>
        <v>0.16876138433515483</v>
      </c>
    </row>
    <row r="66" spans="1:15" ht="15.75" customHeight="1">
      <c r="A66" s="1" t="s">
        <v>211</v>
      </c>
      <c r="B66" t="s">
        <v>215</v>
      </c>
      <c r="C66" s="1" t="s">
        <v>213</v>
      </c>
      <c r="D66" s="42">
        <v>7480</v>
      </c>
      <c r="E66" t="s">
        <v>216</v>
      </c>
      <c r="G66" s="1">
        <v>10980</v>
      </c>
      <c r="H66" s="1">
        <v>1</v>
      </c>
      <c r="I66" s="1">
        <v>10980</v>
      </c>
      <c r="J66" s="1">
        <v>1</v>
      </c>
      <c r="K66" s="1">
        <f t="shared" si="0"/>
        <v>1647</v>
      </c>
      <c r="L66" s="6">
        <v>7480</v>
      </c>
      <c r="M66" s="6">
        <f t="shared" si="1"/>
        <v>7480</v>
      </c>
      <c r="N66" s="6">
        <f t="shared" si="2"/>
        <v>1853</v>
      </c>
      <c r="O66" s="8">
        <f t="shared" si="3"/>
        <v>0.16876138433515483</v>
      </c>
    </row>
    <row r="67" spans="1:15" ht="15.75" customHeight="1">
      <c r="A67" s="1" t="s">
        <v>217</v>
      </c>
      <c r="C67" s="1" t="s">
        <v>218</v>
      </c>
      <c r="D67" s="42" t="s">
        <v>219</v>
      </c>
      <c r="E67" t="s">
        <v>220</v>
      </c>
      <c r="G67" s="1">
        <v>1780</v>
      </c>
      <c r="H67" s="1">
        <v>6</v>
      </c>
      <c r="I67" s="1">
        <v>10680</v>
      </c>
      <c r="J67" s="1">
        <v>5</v>
      </c>
      <c r="K67" s="1">
        <f t="shared" si="0"/>
        <v>1602</v>
      </c>
      <c r="L67" s="6">
        <v>416</v>
      </c>
      <c r="M67" s="6">
        <f t="shared" si="1"/>
        <v>2496</v>
      </c>
      <c r="N67" s="6">
        <f t="shared" si="2"/>
        <v>6582</v>
      </c>
      <c r="O67" s="8">
        <f t="shared" si="3"/>
        <v>0.61629213483146073</v>
      </c>
    </row>
    <row r="68" spans="1:15" ht="15.75" customHeight="1">
      <c r="A68" s="1" t="s">
        <v>221</v>
      </c>
      <c r="B68" s="1"/>
      <c r="C68" s="1" t="s">
        <v>222</v>
      </c>
      <c r="D68" s="42">
        <v>194644233532</v>
      </c>
      <c r="E68" s="1" t="s">
        <v>223</v>
      </c>
      <c r="G68" s="1">
        <v>5280</v>
      </c>
      <c r="H68" s="1">
        <v>2</v>
      </c>
      <c r="I68" s="1">
        <v>10560</v>
      </c>
      <c r="J68" s="1">
        <v>2</v>
      </c>
      <c r="K68" s="1">
        <f t="shared" si="0"/>
        <v>1584</v>
      </c>
      <c r="L68" s="6">
        <v>3590</v>
      </c>
      <c r="M68" s="6">
        <f t="shared" si="1"/>
        <v>7180</v>
      </c>
      <c r="N68" s="6">
        <f t="shared" si="2"/>
        <v>1796</v>
      </c>
      <c r="O68" s="8">
        <f t="shared" si="3"/>
        <v>0.17007575757575757</v>
      </c>
    </row>
    <row r="69" spans="1:15" ht="15.75" customHeight="1">
      <c r="A69" s="1" t="s">
        <v>224</v>
      </c>
      <c r="C69" s="1" t="s">
        <v>225</v>
      </c>
      <c r="D69" s="42" t="s">
        <v>226</v>
      </c>
      <c r="E69" t="s">
        <v>225</v>
      </c>
      <c r="G69" s="1">
        <v>10480</v>
      </c>
      <c r="H69" s="1">
        <v>1</v>
      </c>
      <c r="I69" s="1">
        <v>10480</v>
      </c>
      <c r="J69" s="1">
        <v>1</v>
      </c>
      <c r="K69" s="1">
        <f t="shared" si="0"/>
        <v>1572</v>
      </c>
      <c r="L69" s="44">
        <v>5980</v>
      </c>
      <c r="M69" s="6">
        <f t="shared" si="1"/>
        <v>5980</v>
      </c>
      <c r="N69" s="6">
        <f t="shared" si="2"/>
        <v>2928</v>
      </c>
      <c r="O69" s="8">
        <f t="shared" si="3"/>
        <v>0.27938931297709924</v>
      </c>
    </row>
    <row r="70" spans="1:15" ht="17" customHeight="1">
      <c r="A70" s="1" t="s">
        <v>227</v>
      </c>
      <c r="B70" t="s">
        <v>228</v>
      </c>
      <c r="C70" s="1" t="s">
        <v>229</v>
      </c>
      <c r="D70" s="42" t="s">
        <v>230</v>
      </c>
      <c r="E70" t="s">
        <v>231</v>
      </c>
      <c r="G70" s="1">
        <v>1280</v>
      </c>
      <c r="H70" s="1">
        <v>8</v>
      </c>
      <c r="I70" s="1">
        <v>10240</v>
      </c>
      <c r="J70" s="1">
        <v>7</v>
      </c>
      <c r="K70" s="1">
        <f t="shared" si="0"/>
        <v>1536</v>
      </c>
      <c r="L70" s="6">
        <v>504</v>
      </c>
      <c r="M70" s="6">
        <f t="shared" si="1"/>
        <v>4032</v>
      </c>
      <c r="N70" s="6">
        <f t="shared" si="2"/>
        <v>4672</v>
      </c>
      <c r="O70" s="8">
        <f t="shared" si="3"/>
        <v>0.45624999999999999</v>
      </c>
    </row>
    <row r="71" spans="1:15" ht="17" customHeight="1">
      <c r="A71" s="1" t="s">
        <v>232</v>
      </c>
      <c r="B71" t="s">
        <v>233</v>
      </c>
      <c r="C71" s="1" t="s">
        <v>234</v>
      </c>
      <c r="D71" s="42">
        <v>7480</v>
      </c>
      <c r="E71" t="s">
        <v>235</v>
      </c>
      <c r="G71" s="1">
        <v>9980</v>
      </c>
      <c r="H71" s="1">
        <v>1</v>
      </c>
      <c r="I71" s="1">
        <v>9980</v>
      </c>
      <c r="J71" s="1">
        <v>1</v>
      </c>
      <c r="K71" s="1">
        <f t="shared" si="0"/>
        <v>1497</v>
      </c>
      <c r="L71" s="6">
        <v>7480</v>
      </c>
      <c r="M71" s="6">
        <f t="shared" si="1"/>
        <v>7480</v>
      </c>
      <c r="N71" s="6">
        <f t="shared" si="2"/>
        <v>1003</v>
      </c>
      <c r="O71" s="8">
        <f t="shared" si="3"/>
        <v>0.10050100200400802</v>
      </c>
    </row>
    <row r="72" spans="1:15" ht="17" customHeight="1">
      <c r="A72" s="1" t="s">
        <v>81</v>
      </c>
      <c r="B72" t="s">
        <v>236</v>
      </c>
      <c r="C72" s="1" t="s">
        <v>83</v>
      </c>
      <c r="D72" s="42" t="s">
        <v>84</v>
      </c>
      <c r="E72" t="s">
        <v>237</v>
      </c>
      <c r="G72" s="1">
        <v>9980</v>
      </c>
      <c r="H72" s="1">
        <v>1</v>
      </c>
      <c r="I72" s="1">
        <v>9980</v>
      </c>
      <c r="J72" s="1">
        <v>1</v>
      </c>
      <c r="K72" s="1">
        <f t="shared" ref="K72:K135" si="4">SUM(I72*0.15)</f>
        <v>1497</v>
      </c>
      <c r="L72" s="6">
        <v>6490</v>
      </c>
      <c r="M72" s="6">
        <f t="shared" ref="M72:M135" si="5">SUM(H72*L72)</f>
        <v>6490</v>
      </c>
      <c r="N72" s="6">
        <f t="shared" ref="N72:N135" si="6">SUM(I72-K72-M72)</f>
        <v>1993</v>
      </c>
      <c r="O72" s="8">
        <f t="shared" ref="O72:O135" si="7">IF(I72=0,"",N72/I72)</f>
        <v>0.19969939879759518</v>
      </c>
    </row>
    <row r="73" spans="1:15" ht="17" customHeight="1">
      <c r="A73" s="1" t="s">
        <v>81</v>
      </c>
      <c r="B73" t="s">
        <v>212</v>
      </c>
      <c r="C73" s="1" t="s">
        <v>83</v>
      </c>
      <c r="D73" s="42" t="s">
        <v>84</v>
      </c>
      <c r="E73" t="s">
        <v>238</v>
      </c>
      <c r="G73" s="1">
        <v>9980</v>
      </c>
      <c r="H73" s="1">
        <v>1</v>
      </c>
      <c r="I73" s="1">
        <v>9980</v>
      </c>
      <c r="J73" s="1">
        <v>1</v>
      </c>
      <c r="K73" s="1">
        <f t="shared" si="4"/>
        <v>1497</v>
      </c>
      <c r="L73" s="6">
        <v>6490</v>
      </c>
      <c r="M73" s="6">
        <f t="shared" si="5"/>
        <v>6490</v>
      </c>
      <c r="N73" s="6">
        <f t="shared" si="6"/>
        <v>1993</v>
      </c>
      <c r="O73" s="8">
        <f t="shared" si="7"/>
        <v>0.19969939879759518</v>
      </c>
    </row>
    <row r="74" spans="1:15" ht="17" customHeight="1">
      <c r="A74" s="1" t="s">
        <v>239</v>
      </c>
      <c r="C74" s="1" t="s">
        <v>240</v>
      </c>
      <c r="D74" s="42" t="s">
        <v>241</v>
      </c>
      <c r="E74" t="s">
        <v>240</v>
      </c>
      <c r="G74" s="1">
        <v>9980</v>
      </c>
      <c r="H74" s="1">
        <v>1</v>
      </c>
      <c r="I74" s="1">
        <v>9980</v>
      </c>
      <c r="J74" s="1">
        <v>1</v>
      </c>
      <c r="K74" s="1">
        <f t="shared" si="4"/>
        <v>1497</v>
      </c>
      <c r="L74" s="6">
        <v>6752</v>
      </c>
      <c r="M74" s="6">
        <f t="shared" si="5"/>
        <v>6752</v>
      </c>
      <c r="N74" s="6">
        <f t="shared" si="6"/>
        <v>1731</v>
      </c>
      <c r="O74" s="8">
        <f t="shared" si="7"/>
        <v>0.17344689378757516</v>
      </c>
    </row>
    <row r="75" spans="1:15" ht="17" customHeight="1">
      <c r="A75" s="1" t="s">
        <v>242</v>
      </c>
      <c r="B75" t="s">
        <v>133</v>
      </c>
      <c r="C75" s="1" t="s">
        <v>243</v>
      </c>
      <c r="D75" s="42" t="s">
        <v>244</v>
      </c>
      <c r="E75" t="s">
        <v>245</v>
      </c>
      <c r="G75" s="1">
        <v>9980</v>
      </c>
      <c r="H75" s="1">
        <v>1</v>
      </c>
      <c r="I75" s="1">
        <v>9980</v>
      </c>
      <c r="J75" s="1">
        <v>1</v>
      </c>
      <c r="K75" s="1">
        <f t="shared" si="4"/>
        <v>1497</v>
      </c>
      <c r="L75" s="6">
        <v>5990</v>
      </c>
      <c r="M75" s="6">
        <f t="shared" si="5"/>
        <v>5990</v>
      </c>
      <c r="N75" s="6">
        <f t="shared" si="6"/>
        <v>2493</v>
      </c>
      <c r="O75" s="8">
        <f t="shared" si="7"/>
        <v>0.24979959919839678</v>
      </c>
    </row>
    <row r="76" spans="1:15" ht="17" customHeight="1">
      <c r="A76" s="1" t="s">
        <v>246</v>
      </c>
      <c r="C76" s="1" t="s">
        <v>247</v>
      </c>
      <c r="D76" s="42" t="s">
        <v>248</v>
      </c>
      <c r="E76" t="s">
        <v>249</v>
      </c>
      <c r="G76" s="1">
        <v>4980</v>
      </c>
      <c r="H76" s="1">
        <v>2</v>
      </c>
      <c r="I76" s="1">
        <v>9960</v>
      </c>
      <c r="J76" s="1">
        <v>2</v>
      </c>
      <c r="K76" s="1">
        <f t="shared" si="4"/>
        <v>1494</v>
      </c>
      <c r="L76" s="6">
        <v>2728</v>
      </c>
      <c r="M76" s="6">
        <f t="shared" si="5"/>
        <v>5456</v>
      </c>
      <c r="N76" s="6">
        <f t="shared" si="6"/>
        <v>3010</v>
      </c>
      <c r="O76" s="8">
        <f t="shared" si="7"/>
        <v>0.30220883534136544</v>
      </c>
    </row>
    <row r="77" spans="1:15" ht="17" customHeight="1">
      <c r="A77" s="1" t="s">
        <v>250</v>
      </c>
      <c r="B77" s="1"/>
      <c r="C77" s="1" t="s">
        <v>251</v>
      </c>
      <c r="D77" s="42" t="s">
        <v>252</v>
      </c>
      <c r="E77" s="1" t="s">
        <v>251</v>
      </c>
      <c r="G77" s="1">
        <v>4980</v>
      </c>
      <c r="H77" s="1">
        <v>2</v>
      </c>
      <c r="I77" s="1">
        <v>9960</v>
      </c>
      <c r="J77" s="1">
        <v>1</v>
      </c>
      <c r="K77" s="1">
        <f t="shared" si="4"/>
        <v>1494</v>
      </c>
      <c r="L77" s="6">
        <v>1650</v>
      </c>
      <c r="M77" s="6">
        <f t="shared" si="5"/>
        <v>3300</v>
      </c>
      <c r="N77" s="6">
        <f t="shared" si="6"/>
        <v>5166</v>
      </c>
      <c r="O77" s="8">
        <f t="shared" si="7"/>
        <v>0.51867469879518069</v>
      </c>
    </row>
    <row r="78" spans="1:15" ht="17" customHeight="1">
      <c r="A78" s="1" t="s">
        <v>253</v>
      </c>
      <c r="C78" s="1" t="s">
        <v>254</v>
      </c>
      <c r="D78" s="42" t="s">
        <v>255</v>
      </c>
      <c r="E78" t="s">
        <v>256</v>
      </c>
      <c r="G78" s="1">
        <v>4980</v>
      </c>
      <c r="H78" s="1">
        <v>2</v>
      </c>
      <c r="I78" s="1">
        <v>9960</v>
      </c>
      <c r="J78" s="1">
        <v>1</v>
      </c>
      <c r="K78" s="1">
        <f t="shared" si="4"/>
        <v>1494</v>
      </c>
      <c r="L78" s="6">
        <v>2790</v>
      </c>
      <c r="M78" s="6">
        <f t="shared" si="5"/>
        <v>5580</v>
      </c>
      <c r="N78" s="6">
        <f t="shared" si="6"/>
        <v>2886</v>
      </c>
      <c r="O78" s="8">
        <f t="shared" si="7"/>
        <v>0.28975903614457832</v>
      </c>
    </row>
    <row r="79" spans="1:15" ht="17" customHeight="1">
      <c r="A79" s="1" t="s">
        <v>257</v>
      </c>
      <c r="B79" t="s">
        <v>258</v>
      </c>
      <c r="C79" s="1">
        <v>4550391046508</v>
      </c>
      <c r="D79" s="42" t="s">
        <v>259</v>
      </c>
      <c r="E79" t="s">
        <v>260</v>
      </c>
      <c r="G79" s="1">
        <v>2480</v>
      </c>
      <c r="H79" s="1">
        <v>4</v>
      </c>
      <c r="I79" s="1">
        <v>9920</v>
      </c>
      <c r="J79" s="1">
        <v>4</v>
      </c>
      <c r="K79" s="1">
        <f t="shared" si="4"/>
        <v>1488</v>
      </c>
      <c r="L79" s="6">
        <v>1130</v>
      </c>
      <c r="M79" s="6">
        <f t="shared" si="5"/>
        <v>4520</v>
      </c>
      <c r="N79" s="6">
        <f t="shared" si="6"/>
        <v>3912</v>
      </c>
      <c r="O79" s="8">
        <f t="shared" si="7"/>
        <v>0.39435483870967741</v>
      </c>
    </row>
    <row r="80" spans="1:15" ht="17" customHeight="1">
      <c r="A80" s="1" t="s">
        <v>261</v>
      </c>
      <c r="C80" s="1" t="s">
        <v>262</v>
      </c>
      <c r="D80" s="42">
        <v>1980</v>
      </c>
      <c r="E80" t="s">
        <v>262</v>
      </c>
      <c r="G80" s="1">
        <v>3280</v>
      </c>
      <c r="H80" s="1">
        <v>3</v>
      </c>
      <c r="I80" s="1">
        <v>9840</v>
      </c>
      <c r="J80" s="1">
        <v>3</v>
      </c>
      <c r="K80" s="1">
        <f t="shared" si="4"/>
        <v>1476</v>
      </c>
      <c r="L80" s="6">
        <v>1980</v>
      </c>
      <c r="M80" s="6">
        <f t="shared" si="5"/>
        <v>5940</v>
      </c>
      <c r="N80" s="6">
        <f t="shared" si="6"/>
        <v>2424</v>
      </c>
      <c r="O80" s="8">
        <f t="shared" si="7"/>
        <v>0.24634146341463414</v>
      </c>
    </row>
    <row r="81" spans="1:16" ht="17" customHeight="1">
      <c r="A81" s="1" t="s">
        <v>263</v>
      </c>
      <c r="B81" s="1"/>
      <c r="C81" s="1" t="s">
        <v>264</v>
      </c>
      <c r="D81" s="42" t="s">
        <v>265</v>
      </c>
      <c r="E81" s="1" t="s">
        <v>264</v>
      </c>
      <c r="G81" s="1">
        <v>4780</v>
      </c>
      <c r="H81" s="1">
        <v>2</v>
      </c>
      <c r="I81" s="1">
        <v>9560</v>
      </c>
      <c r="J81" s="1">
        <v>2</v>
      </c>
      <c r="K81" s="1">
        <f t="shared" si="4"/>
        <v>1434</v>
      </c>
      <c r="L81" s="6">
        <v>2126</v>
      </c>
      <c r="M81" s="6">
        <f t="shared" si="5"/>
        <v>4252</v>
      </c>
      <c r="N81" s="6">
        <f t="shared" si="6"/>
        <v>3874</v>
      </c>
      <c r="O81" s="8">
        <f t="shared" si="7"/>
        <v>0.40523012552301257</v>
      </c>
    </row>
    <row r="82" spans="1:16" ht="17" customHeight="1">
      <c r="A82" s="1" t="s">
        <v>52</v>
      </c>
      <c r="B82" t="s">
        <v>212</v>
      </c>
      <c r="C82" s="1" t="s">
        <v>54</v>
      </c>
      <c r="D82" s="42" t="s">
        <v>55</v>
      </c>
      <c r="E82" t="s">
        <v>266</v>
      </c>
      <c r="G82" s="1">
        <v>9480</v>
      </c>
      <c r="H82" s="1">
        <v>1</v>
      </c>
      <c r="I82" s="1">
        <v>9480</v>
      </c>
      <c r="J82" s="1">
        <v>1</v>
      </c>
      <c r="K82" s="1">
        <f t="shared" si="4"/>
        <v>1422</v>
      </c>
      <c r="L82" s="6">
        <v>6390</v>
      </c>
      <c r="M82" s="6">
        <f t="shared" si="5"/>
        <v>6390</v>
      </c>
      <c r="N82" s="6">
        <f t="shared" si="6"/>
        <v>1668</v>
      </c>
      <c r="O82" s="8">
        <f t="shared" si="7"/>
        <v>0.17594936708860759</v>
      </c>
    </row>
    <row r="83" spans="1:16" ht="17" customHeight="1">
      <c r="A83" s="1" t="s">
        <v>267</v>
      </c>
      <c r="C83" s="1" t="s">
        <v>268</v>
      </c>
      <c r="D83" s="42" t="s">
        <v>269</v>
      </c>
      <c r="E83" t="s">
        <v>268</v>
      </c>
      <c r="G83" s="1">
        <v>9480</v>
      </c>
      <c r="H83" s="1">
        <v>1</v>
      </c>
      <c r="I83" s="1">
        <v>9480</v>
      </c>
      <c r="J83" s="1">
        <v>1</v>
      </c>
      <c r="K83" s="1">
        <f t="shared" si="4"/>
        <v>1422</v>
      </c>
      <c r="L83" s="6">
        <v>6630</v>
      </c>
      <c r="M83" s="6">
        <f t="shared" si="5"/>
        <v>6630</v>
      </c>
      <c r="N83" s="6">
        <f t="shared" si="6"/>
        <v>1428</v>
      </c>
      <c r="O83" s="8">
        <f t="shared" si="7"/>
        <v>0.15063291139240506</v>
      </c>
    </row>
    <row r="84" spans="1:16" ht="17" customHeight="1">
      <c r="A84" s="1" t="s">
        <v>270</v>
      </c>
      <c r="C84" s="1" t="s">
        <v>271</v>
      </c>
      <c r="D84" s="42" t="s">
        <v>272</v>
      </c>
      <c r="E84" t="s">
        <v>271</v>
      </c>
      <c r="G84" s="1">
        <v>1580</v>
      </c>
      <c r="H84" s="1">
        <v>6</v>
      </c>
      <c r="I84" s="1">
        <v>9480</v>
      </c>
      <c r="J84" s="1">
        <v>3</v>
      </c>
      <c r="K84" s="1">
        <f t="shared" si="4"/>
        <v>1422</v>
      </c>
      <c r="L84" s="6">
        <v>785</v>
      </c>
      <c r="M84" s="6">
        <f t="shared" si="5"/>
        <v>4710</v>
      </c>
      <c r="N84" s="6">
        <f t="shared" si="6"/>
        <v>3348</v>
      </c>
      <c r="O84" s="8">
        <f t="shared" si="7"/>
        <v>0.35316455696202531</v>
      </c>
    </row>
    <row r="85" spans="1:16" ht="17" customHeight="1">
      <c r="A85" s="1" t="s">
        <v>273</v>
      </c>
      <c r="C85" s="1" t="s">
        <v>274</v>
      </c>
      <c r="D85" s="42">
        <v>4979750819926</v>
      </c>
      <c r="E85" t="s">
        <v>274</v>
      </c>
      <c r="G85" s="1">
        <v>9290</v>
      </c>
      <c r="H85" s="1">
        <v>1</v>
      </c>
      <c r="I85" s="1">
        <v>9290</v>
      </c>
      <c r="J85" s="1">
        <v>1</v>
      </c>
      <c r="K85" s="1">
        <f t="shared" si="4"/>
        <v>1393.5</v>
      </c>
      <c r="L85" s="44">
        <v>5580</v>
      </c>
      <c r="M85" s="6">
        <f t="shared" si="5"/>
        <v>5580</v>
      </c>
      <c r="N85" s="6">
        <f t="shared" si="6"/>
        <v>2316.5</v>
      </c>
      <c r="O85" s="8">
        <f t="shared" si="7"/>
        <v>0.24935414424111949</v>
      </c>
    </row>
    <row r="86" spans="1:16" ht="17" customHeight="1">
      <c r="A86" s="1" t="s">
        <v>275</v>
      </c>
      <c r="C86" s="1" t="s">
        <v>276</v>
      </c>
      <c r="D86" s="42" t="s">
        <v>277</v>
      </c>
      <c r="E86" t="s">
        <v>276</v>
      </c>
      <c r="G86" s="1">
        <v>4580</v>
      </c>
      <c r="H86" s="1">
        <v>2</v>
      </c>
      <c r="I86" s="1">
        <v>9160</v>
      </c>
      <c r="J86" s="1">
        <v>2</v>
      </c>
      <c r="K86" s="1">
        <f t="shared" si="4"/>
        <v>1374</v>
      </c>
      <c r="L86" s="48">
        <v>3376</v>
      </c>
      <c r="M86" s="6">
        <f t="shared" si="5"/>
        <v>6752</v>
      </c>
      <c r="N86" s="6">
        <f t="shared" si="6"/>
        <v>1034</v>
      </c>
      <c r="O86" s="8">
        <f t="shared" si="7"/>
        <v>0.112882096069869</v>
      </c>
      <c r="P86" t="s">
        <v>278</v>
      </c>
    </row>
    <row r="87" spans="1:16" ht="17" customHeight="1">
      <c r="A87" s="1" t="s">
        <v>279</v>
      </c>
      <c r="C87" s="1" t="s">
        <v>280</v>
      </c>
      <c r="D87" s="42" t="s">
        <v>281</v>
      </c>
      <c r="E87" s="47" t="s">
        <v>280</v>
      </c>
      <c r="G87" s="1">
        <v>4580</v>
      </c>
      <c r="H87" s="1">
        <v>2</v>
      </c>
      <c r="I87" s="1">
        <v>9160</v>
      </c>
      <c r="J87" s="1">
        <v>2</v>
      </c>
      <c r="K87" s="1">
        <f t="shared" si="4"/>
        <v>1374</v>
      </c>
      <c r="L87" s="48">
        <v>3376</v>
      </c>
      <c r="M87" s="6">
        <f t="shared" si="5"/>
        <v>6752</v>
      </c>
      <c r="N87" s="6">
        <f t="shared" si="6"/>
        <v>1034</v>
      </c>
      <c r="O87" s="8">
        <f t="shared" si="7"/>
        <v>0.112882096069869</v>
      </c>
      <c r="P87" t="s">
        <v>282</v>
      </c>
    </row>
    <row r="88" spans="1:16" ht="17" customHeight="1">
      <c r="A88" s="1" t="s">
        <v>64</v>
      </c>
      <c r="B88" t="s">
        <v>283</v>
      </c>
      <c r="C88" s="1" t="s">
        <v>65</v>
      </c>
      <c r="D88" s="42" t="s">
        <v>66</v>
      </c>
      <c r="E88" t="s">
        <v>284</v>
      </c>
      <c r="G88" s="1">
        <v>8980</v>
      </c>
      <c r="H88" s="1">
        <v>1</v>
      </c>
      <c r="I88" s="1">
        <v>8980</v>
      </c>
      <c r="J88" s="1">
        <v>1</v>
      </c>
      <c r="K88" s="1">
        <f t="shared" si="4"/>
        <v>1347</v>
      </c>
      <c r="L88" s="6">
        <v>5890</v>
      </c>
      <c r="M88" s="6">
        <f t="shared" si="5"/>
        <v>5890</v>
      </c>
      <c r="N88" s="6">
        <f t="shared" si="6"/>
        <v>1743</v>
      </c>
      <c r="O88" s="8">
        <f t="shared" si="7"/>
        <v>0.19409799554565701</v>
      </c>
    </row>
    <row r="89" spans="1:16" ht="17" customHeight="1">
      <c r="A89" s="1" t="s">
        <v>64</v>
      </c>
      <c r="B89" t="s">
        <v>212</v>
      </c>
      <c r="C89" s="1" t="s">
        <v>65</v>
      </c>
      <c r="D89" s="42" t="s">
        <v>66</v>
      </c>
      <c r="E89" t="s">
        <v>285</v>
      </c>
      <c r="G89" s="1">
        <v>8980</v>
      </c>
      <c r="H89" s="1">
        <v>1</v>
      </c>
      <c r="I89" s="1">
        <v>8980</v>
      </c>
      <c r="J89" s="1">
        <v>1</v>
      </c>
      <c r="K89" s="1">
        <f t="shared" si="4"/>
        <v>1347</v>
      </c>
      <c r="L89" s="6">
        <v>5890</v>
      </c>
      <c r="M89" s="6">
        <f t="shared" si="5"/>
        <v>5890</v>
      </c>
      <c r="N89" s="6">
        <f t="shared" si="6"/>
        <v>1743</v>
      </c>
      <c r="O89" s="8">
        <f t="shared" si="7"/>
        <v>0.19409799554565701</v>
      </c>
    </row>
    <row r="90" spans="1:16" ht="17" customHeight="1">
      <c r="A90" s="1" t="s">
        <v>286</v>
      </c>
      <c r="B90" s="1" t="s">
        <v>212</v>
      </c>
      <c r="C90" s="1" t="s">
        <v>287</v>
      </c>
      <c r="D90" s="42" t="s">
        <v>288</v>
      </c>
      <c r="E90" s="1" t="s">
        <v>289</v>
      </c>
      <c r="G90" s="1">
        <v>8980</v>
      </c>
      <c r="H90" s="1">
        <v>1</v>
      </c>
      <c r="I90" s="1">
        <v>8980</v>
      </c>
      <c r="J90" s="1">
        <v>1</v>
      </c>
      <c r="K90" s="1">
        <f t="shared" si="4"/>
        <v>1347</v>
      </c>
      <c r="L90" s="6">
        <v>5490</v>
      </c>
      <c r="M90" s="6">
        <f t="shared" si="5"/>
        <v>5490</v>
      </c>
      <c r="N90" s="6">
        <f t="shared" si="6"/>
        <v>2143</v>
      </c>
      <c r="O90" s="8">
        <f t="shared" si="7"/>
        <v>0.23864142538975502</v>
      </c>
    </row>
    <row r="91" spans="1:16" ht="17" customHeight="1">
      <c r="A91" s="1" t="s">
        <v>290</v>
      </c>
      <c r="C91" s="1" t="s">
        <v>291</v>
      </c>
      <c r="D91" s="42">
        <v>5980</v>
      </c>
      <c r="E91" t="s">
        <v>292</v>
      </c>
      <c r="G91" s="1">
        <v>8980</v>
      </c>
      <c r="H91" s="1">
        <v>1</v>
      </c>
      <c r="I91" s="1">
        <v>8980</v>
      </c>
      <c r="J91" s="1">
        <v>1</v>
      </c>
      <c r="K91" s="1">
        <f t="shared" si="4"/>
        <v>1347</v>
      </c>
      <c r="L91" s="6">
        <v>5980</v>
      </c>
      <c r="M91" s="6">
        <f t="shared" si="5"/>
        <v>5980</v>
      </c>
      <c r="N91" s="6">
        <f t="shared" si="6"/>
        <v>1653</v>
      </c>
      <c r="O91" s="8">
        <f t="shared" si="7"/>
        <v>0.18407572383073498</v>
      </c>
    </row>
    <row r="92" spans="1:16" ht="17" customHeight="1">
      <c r="A92" s="1" t="s">
        <v>64</v>
      </c>
      <c r="B92" s="1" t="s">
        <v>133</v>
      </c>
      <c r="C92" s="1" t="s">
        <v>65</v>
      </c>
      <c r="D92" s="42" t="s">
        <v>66</v>
      </c>
      <c r="E92" s="1" t="s">
        <v>66</v>
      </c>
      <c r="G92" s="1">
        <v>8980</v>
      </c>
      <c r="H92" s="1">
        <v>1</v>
      </c>
      <c r="I92" s="1">
        <v>8980</v>
      </c>
      <c r="J92" s="1">
        <v>1</v>
      </c>
      <c r="K92" s="1">
        <f t="shared" si="4"/>
        <v>1347</v>
      </c>
      <c r="L92" s="6">
        <v>5890</v>
      </c>
      <c r="M92" s="6">
        <f t="shared" si="5"/>
        <v>5890</v>
      </c>
      <c r="N92" s="6">
        <f t="shared" si="6"/>
        <v>1743</v>
      </c>
      <c r="O92" s="8">
        <f t="shared" si="7"/>
        <v>0.19409799554565701</v>
      </c>
    </row>
    <row r="93" spans="1:16" ht="17" customHeight="1">
      <c r="A93" s="1" t="s">
        <v>293</v>
      </c>
      <c r="C93" s="1" t="s">
        <v>294</v>
      </c>
      <c r="D93" s="42" t="s">
        <v>295</v>
      </c>
      <c r="E93" t="s">
        <v>294</v>
      </c>
      <c r="G93" s="1">
        <v>2980</v>
      </c>
      <c r="H93" s="1">
        <v>3</v>
      </c>
      <c r="I93" s="1">
        <v>8940</v>
      </c>
      <c r="J93" s="1">
        <v>3</v>
      </c>
      <c r="K93" s="1">
        <f t="shared" si="4"/>
        <v>1341</v>
      </c>
      <c r="L93" s="6">
        <v>1316</v>
      </c>
      <c r="M93" s="6">
        <f t="shared" si="5"/>
        <v>3948</v>
      </c>
      <c r="N93" s="6">
        <f t="shared" si="6"/>
        <v>3651</v>
      </c>
      <c r="O93" s="8">
        <f t="shared" si="7"/>
        <v>0.40838926174496643</v>
      </c>
    </row>
    <row r="94" spans="1:16" ht="17" customHeight="1">
      <c r="A94" s="1" t="s">
        <v>296</v>
      </c>
      <c r="C94" s="1" t="s">
        <v>297</v>
      </c>
      <c r="D94" s="42" t="s">
        <v>298</v>
      </c>
      <c r="E94" t="s">
        <v>297</v>
      </c>
      <c r="G94" s="1">
        <v>2980</v>
      </c>
      <c r="H94" s="1">
        <v>3</v>
      </c>
      <c r="I94" s="1">
        <v>8940</v>
      </c>
      <c r="J94" s="1">
        <v>3</v>
      </c>
      <c r="K94" s="1">
        <f t="shared" si="4"/>
        <v>1341</v>
      </c>
      <c r="L94" s="6">
        <v>1270</v>
      </c>
      <c r="M94" s="6">
        <f t="shared" si="5"/>
        <v>3810</v>
      </c>
      <c r="N94" s="6">
        <f t="shared" si="6"/>
        <v>3789</v>
      </c>
      <c r="O94" s="8">
        <f t="shared" si="7"/>
        <v>0.42382550335570468</v>
      </c>
    </row>
    <row r="95" spans="1:16" ht="17" customHeight="1">
      <c r="A95" s="1" t="s">
        <v>299</v>
      </c>
      <c r="C95" s="1" t="s">
        <v>300</v>
      </c>
      <c r="D95" s="42" t="s">
        <v>301</v>
      </c>
      <c r="E95" t="s">
        <v>300</v>
      </c>
      <c r="G95" s="1">
        <v>1780</v>
      </c>
      <c r="H95" s="1">
        <v>5</v>
      </c>
      <c r="I95" s="1">
        <v>8900</v>
      </c>
      <c r="J95" s="1">
        <v>1</v>
      </c>
      <c r="K95" s="1">
        <f t="shared" si="4"/>
        <v>1335</v>
      </c>
      <c r="L95" s="6">
        <v>860</v>
      </c>
      <c r="M95" s="6">
        <f t="shared" si="5"/>
        <v>4300</v>
      </c>
      <c r="N95" s="6">
        <f t="shared" si="6"/>
        <v>3265</v>
      </c>
      <c r="O95" s="8">
        <f t="shared" si="7"/>
        <v>0.36685393258426968</v>
      </c>
    </row>
    <row r="96" spans="1:16" ht="17" customHeight="1">
      <c r="A96" s="1" t="s">
        <v>302</v>
      </c>
      <c r="C96" s="1" t="s">
        <v>303</v>
      </c>
      <c r="D96" s="42" t="s">
        <v>304</v>
      </c>
      <c r="E96" t="s">
        <v>303</v>
      </c>
      <c r="G96" s="1">
        <v>2780</v>
      </c>
      <c r="H96" s="1">
        <v>3</v>
      </c>
      <c r="I96" s="1">
        <v>8340</v>
      </c>
      <c r="J96" s="1">
        <v>3</v>
      </c>
      <c r="K96" s="1">
        <f t="shared" si="4"/>
        <v>1251</v>
      </c>
      <c r="L96" s="6">
        <v>1690</v>
      </c>
      <c r="M96" s="6">
        <f t="shared" si="5"/>
        <v>5070</v>
      </c>
      <c r="N96" s="6">
        <f t="shared" si="6"/>
        <v>2019</v>
      </c>
      <c r="O96" s="8">
        <f t="shared" si="7"/>
        <v>0.24208633093525181</v>
      </c>
    </row>
    <row r="97" spans="1:16" ht="17" customHeight="1">
      <c r="A97" s="1" t="s">
        <v>305</v>
      </c>
      <c r="B97" t="s">
        <v>283</v>
      </c>
      <c r="C97" s="1" t="s">
        <v>306</v>
      </c>
      <c r="D97" s="41" t="s">
        <v>307</v>
      </c>
      <c r="E97" t="s">
        <v>308</v>
      </c>
      <c r="G97" s="1">
        <v>7980</v>
      </c>
      <c r="H97" s="1">
        <v>1</v>
      </c>
      <c r="I97" s="1">
        <v>7980</v>
      </c>
      <c r="J97" s="1">
        <v>1</v>
      </c>
      <c r="K97" s="1">
        <f t="shared" si="4"/>
        <v>1197</v>
      </c>
      <c r="L97" s="6">
        <v>4990</v>
      </c>
      <c r="M97" s="6">
        <f t="shared" si="5"/>
        <v>4990</v>
      </c>
      <c r="N97" s="6">
        <f t="shared" si="6"/>
        <v>1793</v>
      </c>
      <c r="O97" s="8">
        <f t="shared" si="7"/>
        <v>0.22468671679197996</v>
      </c>
    </row>
    <row r="98" spans="1:16" ht="17" customHeight="1">
      <c r="A98" s="1" t="s">
        <v>305</v>
      </c>
      <c r="B98" s="1" t="s">
        <v>212</v>
      </c>
      <c r="C98" s="1" t="s">
        <v>306</v>
      </c>
      <c r="D98" s="42" t="s">
        <v>307</v>
      </c>
      <c r="E98" s="1" t="s">
        <v>309</v>
      </c>
      <c r="G98" s="1">
        <v>7980</v>
      </c>
      <c r="H98" s="1">
        <v>1</v>
      </c>
      <c r="I98" s="1">
        <v>7980</v>
      </c>
      <c r="J98" s="1">
        <v>1</v>
      </c>
      <c r="K98" s="1">
        <f t="shared" si="4"/>
        <v>1197</v>
      </c>
      <c r="L98" s="6">
        <v>4990</v>
      </c>
      <c r="M98" s="6">
        <f t="shared" si="5"/>
        <v>4990</v>
      </c>
      <c r="N98" s="6">
        <f t="shared" si="6"/>
        <v>1793</v>
      </c>
      <c r="O98" s="8">
        <f t="shared" si="7"/>
        <v>0.22468671679197996</v>
      </c>
    </row>
    <row r="99" spans="1:16" ht="17" customHeight="1">
      <c r="A99" s="1" t="s">
        <v>310</v>
      </c>
      <c r="C99" s="1" t="s">
        <v>311</v>
      </c>
      <c r="D99" s="42" t="s">
        <v>312</v>
      </c>
      <c r="E99" t="s">
        <v>313</v>
      </c>
      <c r="G99" s="1">
        <v>3980</v>
      </c>
      <c r="H99" s="1">
        <v>2</v>
      </c>
      <c r="I99" s="1">
        <v>7960</v>
      </c>
      <c r="J99" s="1">
        <v>1</v>
      </c>
      <c r="K99" s="1">
        <f t="shared" si="4"/>
        <v>1194</v>
      </c>
      <c r="L99" s="6">
        <v>1998</v>
      </c>
      <c r="M99" s="6">
        <f t="shared" si="5"/>
        <v>3996</v>
      </c>
      <c r="N99" s="6">
        <f t="shared" si="6"/>
        <v>2770</v>
      </c>
      <c r="O99" s="8">
        <f t="shared" si="7"/>
        <v>0.3479899497487437</v>
      </c>
    </row>
    <row r="100" spans="1:16" ht="17" customHeight="1">
      <c r="A100" s="1" t="s">
        <v>314</v>
      </c>
      <c r="C100" s="1" t="s">
        <v>315</v>
      </c>
      <c r="D100" s="42" t="s">
        <v>316</v>
      </c>
      <c r="E100" t="s">
        <v>315</v>
      </c>
      <c r="G100" s="1">
        <v>3980</v>
      </c>
      <c r="H100" s="1">
        <v>2</v>
      </c>
      <c r="I100" s="1">
        <v>7960</v>
      </c>
      <c r="J100" s="1">
        <v>2</v>
      </c>
      <c r="K100" s="1">
        <f t="shared" si="4"/>
        <v>1194</v>
      </c>
      <c r="L100" s="6">
        <v>3179</v>
      </c>
      <c r="M100" s="6">
        <f t="shared" si="5"/>
        <v>6358</v>
      </c>
      <c r="N100" s="6">
        <f t="shared" si="6"/>
        <v>408</v>
      </c>
      <c r="O100" s="8">
        <f t="shared" si="7"/>
        <v>5.1256281407035177E-2</v>
      </c>
    </row>
    <row r="101" spans="1:16" ht="17" customHeight="1">
      <c r="A101" s="1" t="s">
        <v>317</v>
      </c>
      <c r="C101" s="1" t="s">
        <v>318</v>
      </c>
      <c r="D101" s="42" t="s">
        <v>319</v>
      </c>
      <c r="E101" t="s">
        <v>318</v>
      </c>
      <c r="G101" s="1">
        <v>2580</v>
      </c>
      <c r="H101" s="1">
        <v>3</v>
      </c>
      <c r="I101" s="1">
        <v>7740</v>
      </c>
      <c r="J101" s="1">
        <v>2</v>
      </c>
      <c r="K101" s="1">
        <f t="shared" si="4"/>
        <v>1161</v>
      </c>
      <c r="L101" s="6">
        <v>1612</v>
      </c>
      <c r="M101" s="6">
        <f t="shared" si="5"/>
        <v>4836</v>
      </c>
      <c r="N101" s="6">
        <f t="shared" si="6"/>
        <v>1743</v>
      </c>
      <c r="O101" s="8">
        <f t="shared" si="7"/>
        <v>0.2251937984496124</v>
      </c>
    </row>
    <row r="102" spans="1:16" ht="17" customHeight="1">
      <c r="A102" s="1" t="s">
        <v>320</v>
      </c>
      <c r="C102" s="1" t="s">
        <v>321</v>
      </c>
      <c r="D102" s="42" t="s">
        <v>322</v>
      </c>
      <c r="E102" t="s">
        <v>323</v>
      </c>
      <c r="G102" s="1">
        <v>2580</v>
      </c>
      <c r="H102" s="1">
        <v>3</v>
      </c>
      <c r="I102" s="1">
        <v>7740</v>
      </c>
      <c r="J102" s="1">
        <v>3</v>
      </c>
      <c r="K102" s="1">
        <f t="shared" si="4"/>
        <v>1161</v>
      </c>
      <c r="L102" s="6">
        <v>1296</v>
      </c>
      <c r="M102" s="6">
        <f t="shared" si="5"/>
        <v>3888</v>
      </c>
      <c r="N102" s="6">
        <f t="shared" si="6"/>
        <v>2691</v>
      </c>
      <c r="O102" s="8">
        <f t="shared" si="7"/>
        <v>0.34767441860465115</v>
      </c>
    </row>
    <row r="103" spans="1:16" ht="17" customHeight="1">
      <c r="A103" s="1" t="s">
        <v>324</v>
      </c>
      <c r="C103" s="1" t="s">
        <v>325</v>
      </c>
      <c r="D103" s="42" t="s">
        <v>326</v>
      </c>
      <c r="E103" t="s">
        <v>325</v>
      </c>
      <c r="G103" s="1">
        <v>1898</v>
      </c>
      <c r="H103" s="1">
        <v>4</v>
      </c>
      <c r="I103" s="1">
        <v>7592</v>
      </c>
      <c r="J103" s="1">
        <v>2</v>
      </c>
      <c r="K103" s="1">
        <f t="shared" si="4"/>
        <v>1138.8</v>
      </c>
      <c r="L103" s="6">
        <v>1242</v>
      </c>
      <c r="M103" s="6">
        <f t="shared" si="5"/>
        <v>4968</v>
      </c>
      <c r="N103" s="6">
        <f t="shared" si="6"/>
        <v>1485.1999999999998</v>
      </c>
      <c r="O103" s="8">
        <f t="shared" si="7"/>
        <v>0.19562697576396204</v>
      </c>
    </row>
    <row r="104" spans="1:16" ht="17" customHeight="1">
      <c r="A104" s="1" t="s">
        <v>327</v>
      </c>
      <c r="C104" s="1" t="s">
        <v>328</v>
      </c>
      <c r="D104" s="42" t="s">
        <v>329</v>
      </c>
      <c r="E104" t="s">
        <v>328</v>
      </c>
      <c r="G104" s="1">
        <v>3780</v>
      </c>
      <c r="H104" s="1">
        <v>2</v>
      </c>
      <c r="I104" s="1">
        <v>7560</v>
      </c>
      <c r="J104" s="1">
        <v>2</v>
      </c>
      <c r="K104" s="1">
        <f t="shared" si="4"/>
        <v>1134</v>
      </c>
      <c r="L104" s="44">
        <v>2766</v>
      </c>
      <c r="M104" s="6">
        <f t="shared" si="5"/>
        <v>5532</v>
      </c>
      <c r="N104" s="6">
        <f t="shared" si="6"/>
        <v>894</v>
      </c>
      <c r="O104" s="8">
        <f t="shared" si="7"/>
        <v>0.11825396825396825</v>
      </c>
    </row>
    <row r="105" spans="1:16" ht="17" customHeight="1">
      <c r="A105" s="1" t="s">
        <v>330</v>
      </c>
      <c r="C105" s="1" t="s">
        <v>331</v>
      </c>
      <c r="D105" s="42" t="s">
        <v>332</v>
      </c>
      <c r="E105" t="s">
        <v>331</v>
      </c>
      <c r="G105" s="1">
        <v>1500</v>
      </c>
      <c r="H105" s="1">
        <v>5</v>
      </c>
      <c r="I105" s="1">
        <v>7500</v>
      </c>
      <c r="J105" s="1">
        <v>4</v>
      </c>
      <c r="K105" s="1">
        <f t="shared" si="4"/>
        <v>1125</v>
      </c>
      <c r="L105" s="6">
        <v>830</v>
      </c>
      <c r="M105" s="6">
        <f t="shared" si="5"/>
        <v>4150</v>
      </c>
      <c r="N105" s="6">
        <f t="shared" si="6"/>
        <v>2225</v>
      </c>
      <c r="O105" s="8">
        <f t="shared" si="7"/>
        <v>0.29666666666666669</v>
      </c>
    </row>
    <row r="106" spans="1:16" ht="17" customHeight="1">
      <c r="A106" s="1" t="s">
        <v>333</v>
      </c>
      <c r="B106" s="1" t="s">
        <v>133</v>
      </c>
      <c r="C106" s="1" t="s">
        <v>334</v>
      </c>
      <c r="D106" s="42" t="s">
        <v>335</v>
      </c>
      <c r="E106" s="1" t="s">
        <v>336</v>
      </c>
      <c r="G106" s="1">
        <v>7480</v>
      </c>
      <c r="H106" s="1">
        <v>1</v>
      </c>
      <c r="I106" s="1">
        <v>7480</v>
      </c>
      <c r="J106" s="1">
        <v>1</v>
      </c>
      <c r="K106" s="1">
        <f t="shared" si="4"/>
        <v>1122</v>
      </c>
      <c r="L106" s="6">
        <v>4990</v>
      </c>
      <c r="M106" s="6">
        <f t="shared" si="5"/>
        <v>4990</v>
      </c>
      <c r="N106" s="6">
        <f t="shared" si="6"/>
        <v>1368</v>
      </c>
      <c r="O106" s="8">
        <f t="shared" si="7"/>
        <v>0.18288770053475936</v>
      </c>
    </row>
    <row r="107" spans="1:16" ht="17" customHeight="1">
      <c r="A107" s="1" t="s">
        <v>337</v>
      </c>
      <c r="B107" t="s">
        <v>212</v>
      </c>
      <c r="C107" s="1" t="s">
        <v>338</v>
      </c>
      <c r="D107" s="42" t="s">
        <v>339</v>
      </c>
      <c r="E107" t="s">
        <v>340</v>
      </c>
      <c r="G107" s="1">
        <v>7480</v>
      </c>
      <c r="H107" s="1">
        <v>1</v>
      </c>
      <c r="I107" s="1">
        <v>7480</v>
      </c>
      <c r="J107" s="1">
        <v>1</v>
      </c>
      <c r="K107" s="1">
        <f t="shared" si="4"/>
        <v>1122</v>
      </c>
      <c r="L107" s="6">
        <v>4490</v>
      </c>
      <c r="M107" s="6">
        <f t="shared" si="5"/>
        <v>4490</v>
      </c>
      <c r="N107" s="6">
        <f t="shared" si="6"/>
        <v>1868</v>
      </c>
      <c r="O107" s="8">
        <f t="shared" si="7"/>
        <v>0.24973262032085561</v>
      </c>
    </row>
    <row r="108" spans="1:16" ht="17" customHeight="1">
      <c r="A108" s="1" t="s">
        <v>341</v>
      </c>
      <c r="C108" s="1" t="s">
        <v>342</v>
      </c>
      <c r="D108" s="42" t="s">
        <v>343</v>
      </c>
      <c r="E108" t="s">
        <v>344</v>
      </c>
      <c r="G108" s="1">
        <v>2480</v>
      </c>
      <c r="H108" s="1">
        <v>3</v>
      </c>
      <c r="I108" s="1">
        <v>7440</v>
      </c>
      <c r="J108" s="1">
        <v>3</v>
      </c>
      <c r="K108" s="1">
        <f t="shared" si="4"/>
        <v>1116</v>
      </c>
      <c r="L108" s="6">
        <v>1116</v>
      </c>
      <c r="M108" s="6">
        <f t="shared" si="5"/>
        <v>3348</v>
      </c>
      <c r="N108" s="6">
        <f t="shared" si="6"/>
        <v>2976</v>
      </c>
      <c r="O108" s="8">
        <f t="shared" si="7"/>
        <v>0.4</v>
      </c>
    </row>
    <row r="109" spans="1:16" ht="17" customHeight="1">
      <c r="A109" s="1" t="s">
        <v>345</v>
      </c>
      <c r="B109" s="1"/>
      <c r="C109" s="1" t="s">
        <v>346</v>
      </c>
      <c r="D109" s="42" t="s">
        <v>347</v>
      </c>
      <c r="E109" s="1" t="s">
        <v>346</v>
      </c>
      <c r="G109" s="1">
        <v>2480</v>
      </c>
      <c r="H109" s="1">
        <v>3</v>
      </c>
      <c r="I109" s="1">
        <v>7440</v>
      </c>
      <c r="J109" s="1">
        <v>3</v>
      </c>
      <c r="K109" s="1">
        <f t="shared" si="4"/>
        <v>1116</v>
      </c>
      <c r="L109" s="48">
        <v>1316</v>
      </c>
      <c r="M109" s="6">
        <f t="shared" si="5"/>
        <v>3948</v>
      </c>
      <c r="N109" s="6">
        <f t="shared" si="6"/>
        <v>2376</v>
      </c>
      <c r="O109" s="8">
        <f t="shared" si="7"/>
        <v>0.3193548387096774</v>
      </c>
      <c r="P109" t="s">
        <v>348</v>
      </c>
    </row>
    <row r="110" spans="1:16" ht="17" customHeight="1">
      <c r="A110" s="1" t="s">
        <v>349</v>
      </c>
      <c r="B110" s="1" t="s">
        <v>350</v>
      </c>
      <c r="C110" s="1" t="s">
        <v>351</v>
      </c>
      <c r="D110" s="42" t="s">
        <v>352</v>
      </c>
      <c r="E110" s="1" t="s">
        <v>353</v>
      </c>
      <c r="G110" s="1">
        <v>2480</v>
      </c>
      <c r="H110" s="1">
        <v>3</v>
      </c>
      <c r="I110" s="1">
        <v>7440</v>
      </c>
      <c r="J110" s="1">
        <v>3</v>
      </c>
      <c r="K110" s="1">
        <f t="shared" si="4"/>
        <v>1116</v>
      </c>
      <c r="L110" s="6">
        <v>1188</v>
      </c>
      <c r="M110" s="6">
        <f t="shared" si="5"/>
        <v>3564</v>
      </c>
      <c r="N110" s="6">
        <f t="shared" si="6"/>
        <v>2760</v>
      </c>
      <c r="O110" s="8">
        <f t="shared" si="7"/>
        <v>0.37096774193548387</v>
      </c>
    </row>
    <row r="111" spans="1:16" ht="17" customHeight="1">
      <c r="A111" s="1" t="s">
        <v>354</v>
      </c>
      <c r="C111" s="1" t="s">
        <v>355</v>
      </c>
      <c r="D111" s="42" t="s">
        <v>356</v>
      </c>
      <c r="E111" t="s">
        <v>357</v>
      </c>
      <c r="G111" s="1">
        <v>2480</v>
      </c>
      <c r="H111" s="1">
        <v>3</v>
      </c>
      <c r="I111" s="1">
        <v>7440</v>
      </c>
      <c r="J111" s="1">
        <v>3</v>
      </c>
      <c r="K111" s="1">
        <f t="shared" si="4"/>
        <v>1116</v>
      </c>
      <c r="L111" s="6">
        <v>358</v>
      </c>
      <c r="M111" s="6">
        <f t="shared" si="5"/>
        <v>1074</v>
      </c>
      <c r="N111" s="6">
        <f t="shared" si="6"/>
        <v>5250</v>
      </c>
      <c r="O111" s="8">
        <f t="shared" si="7"/>
        <v>0.70564516129032262</v>
      </c>
    </row>
    <row r="112" spans="1:16" ht="17" customHeight="1">
      <c r="A112" s="1" t="s">
        <v>358</v>
      </c>
      <c r="C112" s="1" t="s">
        <v>359</v>
      </c>
      <c r="D112" s="42" t="s">
        <v>360</v>
      </c>
      <c r="E112" t="s">
        <v>361</v>
      </c>
      <c r="G112" s="1">
        <v>2480</v>
      </c>
      <c r="H112" s="1">
        <v>3</v>
      </c>
      <c r="I112" s="1">
        <v>7440</v>
      </c>
      <c r="J112" s="1">
        <v>3</v>
      </c>
      <c r="K112" s="1">
        <f t="shared" si="4"/>
        <v>1116</v>
      </c>
      <c r="L112" s="6">
        <v>1273</v>
      </c>
      <c r="M112" s="6">
        <f t="shared" si="5"/>
        <v>3819</v>
      </c>
      <c r="N112" s="6">
        <f t="shared" si="6"/>
        <v>2505</v>
      </c>
      <c r="O112" s="8">
        <f t="shared" si="7"/>
        <v>0.33669354838709675</v>
      </c>
    </row>
    <row r="113" spans="1:16" ht="17" customHeight="1">
      <c r="A113" s="1" t="s">
        <v>362</v>
      </c>
      <c r="C113" s="1" t="s">
        <v>363</v>
      </c>
      <c r="D113" s="42" t="s">
        <v>364</v>
      </c>
      <c r="E113" t="s">
        <v>365</v>
      </c>
      <c r="G113" s="1">
        <v>3580</v>
      </c>
      <c r="H113" s="1">
        <v>2</v>
      </c>
      <c r="I113" s="1">
        <v>7160</v>
      </c>
      <c r="J113" s="1">
        <v>2</v>
      </c>
      <c r="K113" s="1">
        <f t="shared" si="4"/>
        <v>1074</v>
      </c>
      <c r="L113" s="6">
        <v>1380</v>
      </c>
      <c r="M113" s="6">
        <f t="shared" si="5"/>
        <v>2760</v>
      </c>
      <c r="N113" s="6">
        <f t="shared" si="6"/>
        <v>3326</v>
      </c>
      <c r="O113" s="8">
        <f t="shared" si="7"/>
        <v>0.46452513966480447</v>
      </c>
    </row>
    <row r="114" spans="1:16" ht="17" customHeight="1">
      <c r="A114" s="1" t="s">
        <v>366</v>
      </c>
      <c r="C114" s="1" t="s">
        <v>367</v>
      </c>
      <c r="D114" s="42" t="s">
        <v>368</v>
      </c>
      <c r="E114" t="s">
        <v>369</v>
      </c>
      <c r="G114" s="1">
        <v>1180</v>
      </c>
      <c r="H114" s="1">
        <v>6</v>
      </c>
      <c r="I114" s="1">
        <v>7080</v>
      </c>
      <c r="J114" s="1">
        <v>4</v>
      </c>
      <c r="K114" s="1">
        <f t="shared" si="4"/>
        <v>1062</v>
      </c>
      <c r="L114" s="6">
        <v>396</v>
      </c>
      <c r="M114" s="6">
        <f t="shared" si="5"/>
        <v>2376</v>
      </c>
      <c r="N114" s="6">
        <f t="shared" si="6"/>
        <v>3642</v>
      </c>
      <c r="O114" s="8">
        <f t="shared" si="7"/>
        <v>0.514406779661017</v>
      </c>
    </row>
    <row r="115" spans="1:16" ht="17" customHeight="1">
      <c r="A115" s="1" t="s">
        <v>370</v>
      </c>
      <c r="C115" s="1" t="s">
        <v>371</v>
      </c>
      <c r="D115" s="42" t="s">
        <v>372</v>
      </c>
      <c r="E115" t="s">
        <v>371</v>
      </c>
      <c r="G115" s="1">
        <v>3280</v>
      </c>
      <c r="H115" s="1">
        <v>2</v>
      </c>
      <c r="I115" s="1">
        <v>6560</v>
      </c>
      <c r="J115" s="1">
        <v>2</v>
      </c>
      <c r="K115" s="1">
        <f t="shared" si="4"/>
        <v>984</v>
      </c>
      <c r="L115" s="6">
        <v>1988</v>
      </c>
      <c r="M115" s="6">
        <f t="shared" si="5"/>
        <v>3976</v>
      </c>
      <c r="N115" s="6">
        <f t="shared" si="6"/>
        <v>1600</v>
      </c>
      <c r="O115" s="8">
        <f t="shared" si="7"/>
        <v>0.24390243902439024</v>
      </c>
    </row>
    <row r="116" spans="1:16" ht="17" customHeight="1">
      <c r="A116" s="1" t="s">
        <v>373</v>
      </c>
      <c r="C116" s="1" t="s">
        <v>374</v>
      </c>
      <c r="D116" s="42" t="s">
        <v>375</v>
      </c>
      <c r="E116" t="s">
        <v>374</v>
      </c>
      <c r="G116" s="1">
        <v>2180</v>
      </c>
      <c r="H116" s="1">
        <v>3</v>
      </c>
      <c r="I116" s="1">
        <v>6540</v>
      </c>
      <c r="J116" s="1">
        <v>3</v>
      </c>
      <c r="K116" s="1">
        <f t="shared" si="4"/>
        <v>981</v>
      </c>
      <c r="L116" s="6">
        <v>1152</v>
      </c>
      <c r="M116" s="6">
        <f t="shared" si="5"/>
        <v>3456</v>
      </c>
      <c r="N116" s="6">
        <f t="shared" si="6"/>
        <v>2103</v>
      </c>
      <c r="O116" s="8">
        <f t="shared" si="7"/>
        <v>0.32155963302752294</v>
      </c>
    </row>
    <row r="117" spans="1:16" ht="17" customHeight="1">
      <c r="A117" s="1" t="s">
        <v>376</v>
      </c>
      <c r="B117" s="1"/>
      <c r="C117" s="1" t="s">
        <v>377</v>
      </c>
      <c r="D117" s="42" t="s">
        <v>378</v>
      </c>
      <c r="E117" s="1" t="s">
        <v>377</v>
      </c>
      <c r="G117" s="1">
        <v>6480</v>
      </c>
      <c r="H117" s="1">
        <v>1</v>
      </c>
      <c r="I117" s="1">
        <v>6480</v>
      </c>
      <c r="J117" s="1">
        <v>1</v>
      </c>
      <c r="K117" s="1">
        <f t="shared" si="4"/>
        <v>972</v>
      </c>
      <c r="L117" s="6">
        <v>2499</v>
      </c>
      <c r="M117" s="6">
        <f t="shared" si="5"/>
        <v>2499</v>
      </c>
      <c r="N117" s="6">
        <f t="shared" si="6"/>
        <v>3009</v>
      </c>
      <c r="O117" s="8">
        <f t="shared" si="7"/>
        <v>0.46435185185185185</v>
      </c>
    </row>
    <row r="118" spans="1:16" ht="17" customHeight="1">
      <c r="A118" s="1" t="s">
        <v>379</v>
      </c>
      <c r="C118" s="1" t="s">
        <v>380</v>
      </c>
      <c r="D118" s="42" t="s">
        <v>381</v>
      </c>
      <c r="E118" t="s">
        <v>380</v>
      </c>
      <c r="G118" s="1">
        <v>5980</v>
      </c>
      <c r="H118" s="1">
        <v>1</v>
      </c>
      <c r="I118" s="1">
        <v>5980</v>
      </c>
      <c r="J118" s="1">
        <v>1</v>
      </c>
      <c r="K118" s="1">
        <f t="shared" si="4"/>
        <v>897</v>
      </c>
      <c r="L118" s="6">
        <v>2211</v>
      </c>
      <c r="M118" s="6">
        <f t="shared" si="5"/>
        <v>2211</v>
      </c>
      <c r="N118" s="6">
        <f t="shared" si="6"/>
        <v>2872</v>
      </c>
      <c r="O118" s="8">
        <f t="shared" si="7"/>
        <v>0.48026755852842812</v>
      </c>
    </row>
    <row r="119" spans="1:16" ht="17" customHeight="1">
      <c r="A119" s="1" t="s">
        <v>382</v>
      </c>
      <c r="C119" s="1" t="s">
        <v>383</v>
      </c>
      <c r="D119" s="42" t="s">
        <v>384</v>
      </c>
      <c r="E119" t="s">
        <v>383</v>
      </c>
      <c r="G119" s="1">
        <v>2980</v>
      </c>
      <c r="H119" s="1">
        <v>2</v>
      </c>
      <c r="I119" s="1">
        <v>5960</v>
      </c>
      <c r="J119" s="1">
        <v>2</v>
      </c>
      <c r="K119" s="1">
        <f t="shared" si="4"/>
        <v>894</v>
      </c>
      <c r="L119" s="6">
        <v>2067</v>
      </c>
      <c r="M119" s="6">
        <f t="shared" si="5"/>
        <v>4134</v>
      </c>
      <c r="N119" s="6">
        <f t="shared" si="6"/>
        <v>932</v>
      </c>
      <c r="O119" s="8">
        <f t="shared" si="7"/>
        <v>0.15637583892617449</v>
      </c>
    </row>
    <row r="120" spans="1:16" ht="17" customHeight="1">
      <c r="A120" s="1" t="s">
        <v>385</v>
      </c>
      <c r="C120" s="1">
        <v>4965858009567</v>
      </c>
      <c r="D120" s="42" t="s">
        <v>386</v>
      </c>
      <c r="E120">
        <v>4965858009567</v>
      </c>
      <c r="G120" s="1">
        <v>2980</v>
      </c>
      <c r="H120" s="1">
        <v>2</v>
      </c>
      <c r="I120" s="1">
        <v>5960</v>
      </c>
      <c r="J120" s="1">
        <v>2</v>
      </c>
      <c r="K120" s="1">
        <f t="shared" si="4"/>
        <v>894</v>
      </c>
      <c r="L120" s="6">
        <v>770</v>
      </c>
      <c r="M120" s="6">
        <f t="shared" si="5"/>
        <v>1540</v>
      </c>
      <c r="N120" s="6">
        <f t="shared" si="6"/>
        <v>3526</v>
      </c>
      <c r="O120" s="8">
        <f t="shared" si="7"/>
        <v>0.59161073825503352</v>
      </c>
    </row>
    <row r="121" spans="1:16" ht="17" customHeight="1">
      <c r="A121" s="1" t="s">
        <v>387</v>
      </c>
      <c r="C121" s="1" t="s">
        <v>388</v>
      </c>
      <c r="D121" s="42" t="s">
        <v>389</v>
      </c>
      <c r="E121" t="s">
        <v>388</v>
      </c>
      <c r="G121" s="1">
        <v>2980</v>
      </c>
      <c r="H121" s="1">
        <v>2</v>
      </c>
      <c r="I121" s="1">
        <v>5960</v>
      </c>
      <c r="J121" s="1">
        <v>1</v>
      </c>
      <c r="K121" s="1">
        <f t="shared" si="4"/>
        <v>894</v>
      </c>
      <c r="L121" s="48">
        <v>1856</v>
      </c>
      <c r="M121" s="6">
        <f t="shared" si="5"/>
        <v>3712</v>
      </c>
      <c r="N121" s="6">
        <f t="shared" si="6"/>
        <v>1354</v>
      </c>
      <c r="O121" s="8">
        <f t="shared" si="7"/>
        <v>0.22718120805369127</v>
      </c>
      <c r="P121" t="s">
        <v>390</v>
      </c>
    </row>
    <row r="122" spans="1:16" ht="17" customHeight="1">
      <c r="A122" s="1" t="s">
        <v>391</v>
      </c>
      <c r="C122" s="1" t="s">
        <v>392</v>
      </c>
      <c r="D122" s="42" t="s">
        <v>393</v>
      </c>
      <c r="E122" t="s">
        <v>392</v>
      </c>
      <c r="G122" s="1">
        <v>2980</v>
      </c>
      <c r="H122" s="1">
        <v>2</v>
      </c>
      <c r="I122" s="1">
        <v>5960</v>
      </c>
      <c r="J122" s="1">
        <v>2</v>
      </c>
      <c r="K122" s="1">
        <f t="shared" si="4"/>
        <v>894</v>
      </c>
      <c r="L122" s="6">
        <v>1641</v>
      </c>
      <c r="M122" s="6">
        <f t="shared" si="5"/>
        <v>3282</v>
      </c>
      <c r="N122" s="6">
        <f t="shared" si="6"/>
        <v>1784</v>
      </c>
      <c r="O122" s="8">
        <f t="shared" si="7"/>
        <v>0.29932885906040269</v>
      </c>
    </row>
    <row r="123" spans="1:16" ht="17" customHeight="1">
      <c r="A123" s="1" t="s">
        <v>394</v>
      </c>
      <c r="B123" t="s">
        <v>395</v>
      </c>
      <c r="C123" s="1" t="s">
        <v>396</v>
      </c>
      <c r="D123" s="42" t="s">
        <v>397</v>
      </c>
      <c r="E123" t="s">
        <v>398</v>
      </c>
      <c r="G123" s="1">
        <v>2980</v>
      </c>
      <c r="H123" s="1">
        <v>2</v>
      </c>
      <c r="I123" s="1">
        <v>5960</v>
      </c>
      <c r="J123" s="1">
        <v>1</v>
      </c>
      <c r="K123" s="1">
        <f t="shared" si="4"/>
        <v>894</v>
      </c>
      <c r="L123" s="6">
        <v>1390</v>
      </c>
      <c r="M123" s="6">
        <f t="shared" si="5"/>
        <v>2780</v>
      </c>
      <c r="N123" s="6">
        <f t="shared" si="6"/>
        <v>2286</v>
      </c>
      <c r="O123" s="8">
        <f t="shared" si="7"/>
        <v>0.38355704697986576</v>
      </c>
    </row>
    <row r="124" spans="1:16" ht="17" customHeight="1">
      <c r="A124" s="1" t="s">
        <v>399</v>
      </c>
      <c r="C124" s="1" t="s">
        <v>400</v>
      </c>
      <c r="D124" s="42" t="s">
        <v>401</v>
      </c>
      <c r="E124" t="s">
        <v>400</v>
      </c>
      <c r="G124" s="1">
        <v>2980</v>
      </c>
      <c r="H124" s="1">
        <v>2</v>
      </c>
      <c r="I124" s="1">
        <v>5960</v>
      </c>
      <c r="J124" s="1">
        <v>2</v>
      </c>
      <c r="K124" s="1">
        <f t="shared" si="4"/>
        <v>894</v>
      </c>
      <c r="L124" s="6">
        <v>850</v>
      </c>
      <c r="M124" s="6">
        <f t="shared" si="5"/>
        <v>1700</v>
      </c>
      <c r="N124" s="6">
        <f t="shared" si="6"/>
        <v>3366</v>
      </c>
      <c r="O124" s="8">
        <f t="shared" si="7"/>
        <v>0.56476510067114094</v>
      </c>
    </row>
    <row r="125" spans="1:16" ht="17" customHeight="1">
      <c r="A125" s="1" t="s">
        <v>402</v>
      </c>
      <c r="C125" s="1" t="s">
        <v>403</v>
      </c>
      <c r="D125" s="42" t="s">
        <v>404</v>
      </c>
      <c r="E125" t="s">
        <v>405</v>
      </c>
      <c r="G125" s="1">
        <v>2980</v>
      </c>
      <c r="H125" s="1">
        <v>2</v>
      </c>
      <c r="I125" s="1">
        <v>5960</v>
      </c>
      <c r="J125" s="1">
        <v>2</v>
      </c>
      <c r="K125" s="1">
        <f t="shared" si="4"/>
        <v>894</v>
      </c>
      <c r="L125" s="6">
        <v>2172</v>
      </c>
      <c r="M125" s="6">
        <f t="shared" si="5"/>
        <v>4344</v>
      </c>
      <c r="N125" s="6">
        <f t="shared" si="6"/>
        <v>722</v>
      </c>
      <c r="O125" s="8">
        <f t="shared" si="7"/>
        <v>0.12114093959731544</v>
      </c>
    </row>
    <row r="126" spans="1:16" ht="17" customHeight="1">
      <c r="A126" s="1" t="s">
        <v>406</v>
      </c>
      <c r="C126" s="1" t="s">
        <v>407</v>
      </c>
      <c r="D126" s="42" t="s">
        <v>408</v>
      </c>
      <c r="E126" t="s">
        <v>407</v>
      </c>
      <c r="G126" s="1">
        <v>1980</v>
      </c>
      <c r="H126" s="1">
        <v>3</v>
      </c>
      <c r="I126" s="1">
        <v>5940</v>
      </c>
      <c r="J126" s="1">
        <v>3</v>
      </c>
      <c r="K126" s="1">
        <f t="shared" si="4"/>
        <v>891</v>
      </c>
      <c r="L126" s="6">
        <v>844</v>
      </c>
      <c r="M126" s="6">
        <f t="shared" si="5"/>
        <v>2532</v>
      </c>
      <c r="N126" s="6">
        <f t="shared" si="6"/>
        <v>2517</v>
      </c>
      <c r="O126" s="8">
        <f t="shared" si="7"/>
        <v>0.42373737373737375</v>
      </c>
    </row>
    <row r="127" spans="1:16" ht="17" customHeight="1">
      <c r="A127" s="1" t="s">
        <v>409</v>
      </c>
      <c r="C127" s="1" t="s">
        <v>410</v>
      </c>
      <c r="D127" s="42" t="s">
        <v>411</v>
      </c>
      <c r="E127" t="s">
        <v>410</v>
      </c>
      <c r="G127" s="1">
        <v>5780</v>
      </c>
      <c r="H127" s="1">
        <v>1</v>
      </c>
      <c r="I127" s="1">
        <v>5780</v>
      </c>
      <c r="J127" s="1">
        <v>1</v>
      </c>
      <c r="K127" s="1">
        <f t="shared" si="4"/>
        <v>867</v>
      </c>
      <c r="L127" s="6">
        <v>5293</v>
      </c>
      <c r="M127" s="6">
        <f t="shared" si="5"/>
        <v>5293</v>
      </c>
      <c r="N127" s="6">
        <f t="shared" si="6"/>
        <v>-380</v>
      </c>
      <c r="O127" s="8">
        <f t="shared" si="7"/>
        <v>-6.5743944636678195E-2</v>
      </c>
    </row>
    <row r="128" spans="1:16" ht="17" customHeight="1">
      <c r="A128" s="1" t="s">
        <v>412</v>
      </c>
      <c r="C128" s="1" t="s">
        <v>413</v>
      </c>
      <c r="D128" s="42" t="s">
        <v>414</v>
      </c>
      <c r="E128" t="s">
        <v>415</v>
      </c>
      <c r="G128" s="1">
        <v>2780</v>
      </c>
      <c r="H128" s="1">
        <v>2</v>
      </c>
      <c r="I128" s="1">
        <v>5560</v>
      </c>
      <c r="J128" s="1">
        <v>2</v>
      </c>
      <c r="K128" s="1">
        <f t="shared" si="4"/>
        <v>834</v>
      </c>
      <c r="L128" s="6">
        <v>1300</v>
      </c>
      <c r="M128" s="6">
        <f t="shared" si="5"/>
        <v>2600</v>
      </c>
      <c r="N128" s="6">
        <f t="shared" si="6"/>
        <v>2126</v>
      </c>
      <c r="O128" s="8">
        <f t="shared" si="7"/>
        <v>0.38237410071942446</v>
      </c>
    </row>
    <row r="129" spans="1:16" ht="17" customHeight="1">
      <c r="A129" s="1" t="s">
        <v>416</v>
      </c>
      <c r="C129" s="1" t="s">
        <v>417</v>
      </c>
      <c r="D129" s="42" t="s">
        <v>418</v>
      </c>
      <c r="E129" t="s">
        <v>417</v>
      </c>
      <c r="G129" s="1">
        <v>2780</v>
      </c>
      <c r="H129" s="1">
        <v>2</v>
      </c>
      <c r="I129" s="1">
        <v>5560</v>
      </c>
      <c r="J129" s="1">
        <v>2</v>
      </c>
      <c r="K129" s="1">
        <f t="shared" si="4"/>
        <v>834</v>
      </c>
      <c r="L129" s="6">
        <v>1494</v>
      </c>
      <c r="M129" s="6">
        <f t="shared" si="5"/>
        <v>2988</v>
      </c>
      <c r="N129" s="6">
        <f t="shared" si="6"/>
        <v>1738</v>
      </c>
      <c r="O129" s="8">
        <f t="shared" si="7"/>
        <v>0.31258992805755398</v>
      </c>
    </row>
    <row r="130" spans="1:16" ht="17" customHeight="1">
      <c r="A130" s="1" t="s">
        <v>419</v>
      </c>
      <c r="C130" s="1" t="s">
        <v>420</v>
      </c>
      <c r="D130" s="42" t="s">
        <v>421</v>
      </c>
      <c r="E130" t="s">
        <v>420</v>
      </c>
      <c r="G130" s="1">
        <v>2780</v>
      </c>
      <c r="H130" s="1">
        <v>2</v>
      </c>
      <c r="I130" s="1">
        <v>5560</v>
      </c>
      <c r="J130" s="1">
        <v>2</v>
      </c>
      <c r="K130" s="1">
        <f t="shared" si="4"/>
        <v>834</v>
      </c>
      <c r="L130" s="6">
        <v>1654</v>
      </c>
      <c r="M130" s="6">
        <f t="shared" si="5"/>
        <v>3308</v>
      </c>
      <c r="N130" s="6">
        <f t="shared" si="6"/>
        <v>1418</v>
      </c>
      <c r="O130" s="8">
        <f t="shared" si="7"/>
        <v>0.25503597122302157</v>
      </c>
    </row>
    <row r="131" spans="1:16" ht="17" customHeight="1">
      <c r="A131" s="1" t="s">
        <v>422</v>
      </c>
      <c r="B131" t="s">
        <v>233</v>
      </c>
      <c r="C131" s="1" t="s">
        <v>423</v>
      </c>
      <c r="D131" s="42" t="s">
        <v>424</v>
      </c>
      <c r="E131" t="s">
        <v>425</v>
      </c>
      <c r="G131" s="1">
        <v>5480</v>
      </c>
      <c r="H131" s="1">
        <v>1</v>
      </c>
      <c r="I131" s="1">
        <v>5480</v>
      </c>
      <c r="J131" s="1">
        <v>1</v>
      </c>
      <c r="K131" s="1">
        <f t="shared" si="4"/>
        <v>822</v>
      </c>
      <c r="L131" s="6">
        <v>2980</v>
      </c>
      <c r="M131" s="6">
        <f t="shared" si="5"/>
        <v>2980</v>
      </c>
      <c r="N131" s="6">
        <f t="shared" si="6"/>
        <v>1678</v>
      </c>
      <c r="O131" s="8">
        <f t="shared" si="7"/>
        <v>0.30620437956204377</v>
      </c>
    </row>
    <row r="132" spans="1:16" ht="17" customHeight="1">
      <c r="A132" s="1" t="s">
        <v>426</v>
      </c>
      <c r="B132" s="1"/>
      <c r="C132" s="1" t="s">
        <v>427</v>
      </c>
      <c r="D132" s="42" t="s">
        <v>428</v>
      </c>
      <c r="E132" s="1" t="s">
        <v>429</v>
      </c>
      <c r="G132" s="1">
        <v>5480</v>
      </c>
      <c r="H132" s="1">
        <v>1</v>
      </c>
      <c r="I132" s="1">
        <v>5480</v>
      </c>
      <c r="J132" s="1">
        <v>1</v>
      </c>
      <c r="K132" s="1">
        <f t="shared" si="4"/>
        <v>822</v>
      </c>
      <c r="L132" s="44">
        <v>3044</v>
      </c>
      <c r="M132" s="6">
        <f t="shared" si="5"/>
        <v>3044</v>
      </c>
      <c r="N132" s="6">
        <f t="shared" si="6"/>
        <v>1614</v>
      </c>
      <c r="O132" s="8">
        <f t="shared" si="7"/>
        <v>0.2945255474452555</v>
      </c>
    </row>
    <row r="133" spans="1:16" ht="17" customHeight="1">
      <c r="A133" s="1" t="s">
        <v>430</v>
      </c>
      <c r="B133" s="1"/>
      <c r="C133" s="1" t="s">
        <v>431</v>
      </c>
      <c r="D133" s="42" t="s">
        <v>432</v>
      </c>
      <c r="E133" s="1" t="s">
        <v>431</v>
      </c>
      <c r="G133" s="1">
        <v>5480</v>
      </c>
      <c r="H133" s="1">
        <v>1</v>
      </c>
      <c r="I133" s="1">
        <v>5480</v>
      </c>
      <c r="J133" s="1">
        <v>1</v>
      </c>
      <c r="K133" s="1">
        <f t="shared" si="4"/>
        <v>822</v>
      </c>
      <c r="L133" s="6">
        <v>2691</v>
      </c>
      <c r="M133" s="6">
        <f t="shared" si="5"/>
        <v>2691</v>
      </c>
      <c r="N133" s="6">
        <f t="shared" si="6"/>
        <v>1967</v>
      </c>
      <c r="O133" s="8">
        <f t="shared" si="7"/>
        <v>0.35894160583941603</v>
      </c>
    </row>
    <row r="134" spans="1:16" ht="17" customHeight="1">
      <c r="A134" s="1" t="s">
        <v>433</v>
      </c>
      <c r="C134" s="1" t="s">
        <v>434</v>
      </c>
      <c r="D134" s="42" t="s">
        <v>435</v>
      </c>
      <c r="E134" t="s">
        <v>434</v>
      </c>
      <c r="G134" s="1">
        <v>2680</v>
      </c>
      <c r="H134" s="1">
        <v>2</v>
      </c>
      <c r="I134" s="1">
        <v>5360</v>
      </c>
      <c r="J134" s="1">
        <v>2</v>
      </c>
      <c r="K134" s="1">
        <f t="shared" si="4"/>
        <v>804</v>
      </c>
      <c r="L134" s="44">
        <v>1882</v>
      </c>
      <c r="M134" s="6">
        <f t="shared" si="5"/>
        <v>3764</v>
      </c>
      <c r="N134" s="6">
        <f t="shared" si="6"/>
        <v>792</v>
      </c>
      <c r="O134" s="8">
        <f t="shared" si="7"/>
        <v>0.14776119402985075</v>
      </c>
    </row>
    <row r="135" spans="1:16" ht="17" customHeight="1">
      <c r="A135" s="1" t="s">
        <v>436</v>
      </c>
      <c r="C135" s="1" t="s">
        <v>437</v>
      </c>
      <c r="D135" s="42" t="s">
        <v>438</v>
      </c>
      <c r="E135" t="s">
        <v>437</v>
      </c>
      <c r="G135" s="1">
        <v>1780</v>
      </c>
      <c r="H135" s="1">
        <v>3</v>
      </c>
      <c r="I135" s="1">
        <v>5340</v>
      </c>
      <c r="J135" s="1">
        <v>3</v>
      </c>
      <c r="K135" s="1">
        <f t="shared" si="4"/>
        <v>801</v>
      </c>
      <c r="L135" s="6">
        <v>730</v>
      </c>
      <c r="M135" s="6">
        <f t="shared" si="5"/>
        <v>2190</v>
      </c>
      <c r="N135" s="6">
        <f t="shared" si="6"/>
        <v>2349</v>
      </c>
      <c r="O135" s="8">
        <f t="shared" si="7"/>
        <v>0.43988764044943818</v>
      </c>
    </row>
    <row r="136" spans="1:16" ht="17" customHeight="1">
      <c r="A136" s="1" t="s">
        <v>439</v>
      </c>
      <c r="C136" s="1" t="s">
        <v>440</v>
      </c>
      <c r="D136" s="42" t="s">
        <v>441</v>
      </c>
      <c r="E136" t="s">
        <v>440</v>
      </c>
      <c r="G136" s="1">
        <v>1780</v>
      </c>
      <c r="H136" s="1">
        <v>3</v>
      </c>
      <c r="I136" s="1">
        <v>5340</v>
      </c>
      <c r="J136" s="1">
        <v>3</v>
      </c>
      <c r="K136" s="1">
        <f t="shared" ref="K136:K199" si="8">SUM(I136*0.15)</f>
        <v>801</v>
      </c>
      <c r="L136" s="6">
        <v>1596</v>
      </c>
      <c r="M136" s="6">
        <f t="shared" ref="M136:M199" si="9">SUM(H136*L136)</f>
        <v>4788</v>
      </c>
      <c r="N136" s="6">
        <f t="shared" ref="N136:N199" si="10">SUM(I136-K136-M136)</f>
        <v>-249</v>
      </c>
      <c r="O136" s="8">
        <f t="shared" ref="O136:O199" si="11">IF(I136=0,"",N136/I136)</f>
        <v>-4.6629213483146068E-2</v>
      </c>
    </row>
    <row r="137" spans="1:16" ht="17" customHeight="1">
      <c r="A137" s="1" t="s">
        <v>442</v>
      </c>
      <c r="B137" s="1"/>
      <c r="C137" s="1" t="s">
        <v>443</v>
      </c>
      <c r="D137" s="42" t="s">
        <v>444</v>
      </c>
      <c r="E137" s="1" t="s">
        <v>443</v>
      </c>
      <c r="G137" s="1">
        <v>5280</v>
      </c>
      <c r="H137" s="1">
        <v>1</v>
      </c>
      <c r="I137" s="1">
        <v>5280</v>
      </c>
      <c r="J137" s="1">
        <v>1</v>
      </c>
      <c r="K137" s="1">
        <f t="shared" si="8"/>
        <v>792</v>
      </c>
      <c r="L137" s="6">
        <v>2649</v>
      </c>
      <c r="M137" s="6">
        <f t="shared" si="9"/>
        <v>2649</v>
      </c>
      <c r="N137" s="6">
        <f t="shared" si="10"/>
        <v>1839</v>
      </c>
      <c r="O137" s="8">
        <f t="shared" si="11"/>
        <v>0.34829545454545452</v>
      </c>
    </row>
    <row r="138" spans="1:16" ht="17" customHeight="1">
      <c r="A138" s="1" t="s">
        <v>445</v>
      </c>
      <c r="C138" s="1" t="s">
        <v>446</v>
      </c>
      <c r="D138" s="42" t="s">
        <v>447</v>
      </c>
      <c r="E138" t="s">
        <v>448</v>
      </c>
      <c r="G138" s="1">
        <v>2580</v>
      </c>
      <c r="H138" s="1">
        <v>2</v>
      </c>
      <c r="I138" s="1">
        <v>5160</v>
      </c>
      <c r="J138" s="1">
        <v>2</v>
      </c>
      <c r="K138" s="1">
        <f t="shared" si="8"/>
        <v>774</v>
      </c>
      <c r="L138" s="6">
        <v>1272</v>
      </c>
      <c r="M138" s="6">
        <f t="shared" si="9"/>
        <v>2544</v>
      </c>
      <c r="N138" s="6">
        <f t="shared" si="10"/>
        <v>1842</v>
      </c>
      <c r="O138" s="8">
        <f t="shared" si="11"/>
        <v>0.35697674418604652</v>
      </c>
    </row>
    <row r="139" spans="1:16" ht="17" customHeight="1">
      <c r="A139" s="1" t="s">
        <v>227</v>
      </c>
      <c r="B139" t="s">
        <v>133</v>
      </c>
      <c r="C139" s="1" t="s">
        <v>229</v>
      </c>
      <c r="D139" s="42" t="s">
        <v>230</v>
      </c>
      <c r="E139" t="s">
        <v>449</v>
      </c>
      <c r="G139" s="1">
        <v>1280</v>
      </c>
      <c r="H139" s="1">
        <v>4</v>
      </c>
      <c r="I139" s="1">
        <v>5120</v>
      </c>
      <c r="J139" s="1">
        <v>3</v>
      </c>
      <c r="K139" s="1">
        <f t="shared" si="8"/>
        <v>768</v>
      </c>
      <c r="L139" s="6">
        <v>504</v>
      </c>
      <c r="M139" s="6">
        <f t="shared" si="9"/>
        <v>2016</v>
      </c>
      <c r="N139" s="6">
        <f t="shared" si="10"/>
        <v>2336</v>
      </c>
      <c r="O139" s="8">
        <f t="shared" si="11"/>
        <v>0.45624999999999999</v>
      </c>
    </row>
    <row r="140" spans="1:16" ht="17" customHeight="1">
      <c r="A140" s="1" t="s">
        <v>450</v>
      </c>
      <c r="C140" s="1" t="s">
        <v>451</v>
      </c>
      <c r="D140" s="42" t="s">
        <v>452</v>
      </c>
      <c r="E140" t="s">
        <v>453</v>
      </c>
      <c r="G140" s="1">
        <v>1680</v>
      </c>
      <c r="H140" s="1">
        <v>3</v>
      </c>
      <c r="I140" s="1">
        <v>5040</v>
      </c>
      <c r="J140" s="1">
        <v>3</v>
      </c>
      <c r="K140" s="1">
        <f t="shared" si="8"/>
        <v>756</v>
      </c>
      <c r="L140" s="6">
        <v>942</v>
      </c>
      <c r="M140" s="6">
        <f t="shared" si="9"/>
        <v>2826</v>
      </c>
      <c r="N140" s="6">
        <f t="shared" si="10"/>
        <v>1458</v>
      </c>
      <c r="O140" s="8">
        <f t="shared" si="11"/>
        <v>0.28928571428571431</v>
      </c>
    </row>
    <row r="141" spans="1:16" ht="17" customHeight="1">
      <c r="A141" s="1" t="s">
        <v>454</v>
      </c>
      <c r="C141" s="1" t="s">
        <v>455</v>
      </c>
      <c r="D141" s="42" t="s">
        <v>456</v>
      </c>
      <c r="E141" t="s">
        <v>455</v>
      </c>
      <c r="G141" s="1">
        <v>4980</v>
      </c>
      <c r="H141" s="1">
        <v>1</v>
      </c>
      <c r="I141" s="1">
        <v>4980</v>
      </c>
      <c r="J141" s="1">
        <v>1</v>
      </c>
      <c r="K141" s="1">
        <f t="shared" si="8"/>
        <v>747</v>
      </c>
      <c r="L141" s="48">
        <v>3264</v>
      </c>
      <c r="M141" s="6">
        <f t="shared" si="9"/>
        <v>3264</v>
      </c>
      <c r="N141" s="6">
        <f t="shared" si="10"/>
        <v>969</v>
      </c>
      <c r="O141" s="8">
        <f t="shared" si="11"/>
        <v>0.19457831325301206</v>
      </c>
      <c r="P141" t="s">
        <v>457</v>
      </c>
    </row>
    <row r="142" spans="1:16" ht="17" customHeight="1">
      <c r="A142" s="1" t="s">
        <v>458</v>
      </c>
      <c r="C142" s="1" t="s">
        <v>459</v>
      </c>
      <c r="D142" s="42" t="s">
        <v>460</v>
      </c>
      <c r="E142" t="s">
        <v>461</v>
      </c>
      <c r="G142" s="1">
        <v>2480</v>
      </c>
      <c r="H142" s="1">
        <v>2</v>
      </c>
      <c r="I142" s="1">
        <v>4960</v>
      </c>
      <c r="J142" s="1">
        <v>2</v>
      </c>
      <c r="K142" s="1">
        <f t="shared" si="8"/>
        <v>744</v>
      </c>
      <c r="L142" s="6">
        <v>1164</v>
      </c>
      <c r="M142" s="6">
        <f t="shared" si="9"/>
        <v>2328</v>
      </c>
      <c r="N142" s="6">
        <f t="shared" si="10"/>
        <v>1888</v>
      </c>
      <c r="O142" s="8">
        <f t="shared" si="11"/>
        <v>0.38064516129032255</v>
      </c>
    </row>
    <row r="143" spans="1:16" ht="17" customHeight="1">
      <c r="A143" s="1" t="s">
        <v>462</v>
      </c>
      <c r="C143" s="1" t="s">
        <v>463</v>
      </c>
      <c r="D143" s="42" t="s">
        <v>464</v>
      </c>
      <c r="E143" t="s">
        <v>463</v>
      </c>
      <c r="G143" s="1">
        <v>2480</v>
      </c>
      <c r="H143" s="1">
        <v>2</v>
      </c>
      <c r="I143" s="1">
        <v>4960</v>
      </c>
      <c r="J143" s="1">
        <v>2</v>
      </c>
      <c r="K143" s="1">
        <f t="shared" si="8"/>
        <v>744</v>
      </c>
      <c r="L143" s="6">
        <v>1356</v>
      </c>
      <c r="M143" s="6">
        <f t="shared" si="9"/>
        <v>2712</v>
      </c>
      <c r="N143" s="6">
        <f t="shared" si="10"/>
        <v>1504</v>
      </c>
      <c r="O143" s="8">
        <f t="shared" si="11"/>
        <v>0.3032258064516129</v>
      </c>
    </row>
    <row r="144" spans="1:16" ht="17" customHeight="1">
      <c r="A144" s="1" t="s">
        <v>257</v>
      </c>
      <c r="B144" s="1" t="s">
        <v>465</v>
      </c>
      <c r="C144" s="1">
        <v>4550391046508</v>
      </c>
      <c r="D144" s="42" t="s">
        <v>259</v>
      </c>
      <c r="E144" s="1" t="s">
        <v>466</v>
      </c>
      <c r="G144" s="1">
        <v>2480</v>
      </c>
      <c r="H144" s="1">
        <v>2</v>
      </c>
      <c r="I144" s="1">
        <v>4960</v>
      </c>
      <c r="J144" s="1">
        <v>2</v>
      </c>
      <c r="K144" s="1">
        <f t="shared" si="8"/>
        <v>744</v>
      </c>
      <c r="L144" s="6">
        <v>1130</v>
      </c>
      <c r="M144" s="6">
        <f t="shared" si="9"/>
        <v>2260</v>
      </c>
      <c r="N144" s="6">
        <f t="shared" si="10"/>
        <v>1956</v>
      </c>
      <c r="O144" s="8">
        <f t="shared" si="11"/>
        <v>0.39435483870967741</v>
      </c>
    </row>
    <row r="145" spans="1:16" ht="17" customHeight="1">
      <c r="A145" s="1" t="s">
        <v>467</v>
      </c>
      <c r="C145" s="1" t="s">
        <v>468</v>
      </c>
      <c r="D145" s="42" t="s">
        <v>469</v>
      </c>
      <c r="E145" t="s">
        <v>468</v>
      </c>
      <c r="G145" s="1">
        <v>2480</v>
      </c>
      <c r="H145" s="1">
        <v>2</v>
      </c>
      <c r="I145" s="1">
        <v>4960</v>
      </c>
      <c r="J145" s="1">
        <v>2</v>
      </c>
      <c r="K145" s="1">
        <f t="shared" si="8"/>
        <v>744</v>
      </c>
      <c r="L145" s="44">
        <v>1452</v>
      </c>
      <c r="M145" s="6">
        <f t="shared" si="9"/>
        <v>2904</v>
      </c>
      <c r="N145" s="6">
        <f t="shared" si="10"/>
        <v>1312</v>
      </c>
      <c r="O145" s="8">
        <f t="shared" si="11"/>
        <v>0.26451612903225807</v>
      </c>
    </row>
    <row r="146" spans="1:16" ht="17" customHeight="1">
      <c r="A146" s="1" t="s">
        <v>470</v>
      </c>
      <c r="B146" s="1"/>
      <c r="C146" s="1" t="s">
        <v>471</v>
      </c>
      <c r="D146" s="42" t="s">
        <v>472</v>
      </c>
      <c r="E146" s="1" t="s">
        <v>471</v>
      </c>
      <c r="G146" s="1">
        <v>2380</v>
      </c>
      <c r="H146" s="1">
        <v>2</v>
      </c>
      <c r="I146" s="1">
        <v>4760</v>
      </c>
      <c r="J146" s="1">
        <v>2</v>
      </c>
      <c r="K146" s="1">
        <f t="shared" si="8"/>
        <v>714</v>
      </c>
      <c r="L146" s="6">
        <v>1140</v>
      </c>
      <c r="M146" s="6">
        <f t="shared" si="9"/>
        <v>2280</v>
      </c>
      <c r="N146" s="6">
        <f t="shared" si="10"/>
        <v>1766</v>
      </c>
      <c r="O146" s="8">
        <f t="shared" si="11"/>
        <v>0.37100840336134455</v>
      </c>
    </row>
    <row r="147" spans="1:16" ht="17" customHeight="1">
      <c r="A147" s="1" t="s">
        <v>473</v>
      </c>
      <c r="C147" s="1" t="s">
        <v>474</v>
      </c>
      <c r="D147" s="42" t="s">
        <v>475</v>
      </c>
      <c r="E147" t="s">
        <v>474</v>
      </c>
      <c r="G147" s="1">
        <v>1180</v>
      </c>
      <c r="H147" s="1">
        <v>4</v>
      </c>
      <c r="I147" s="1">
        <v>4720</v>
      </c>
      <c r="J147" s="1">
        <v>4</v>
      </c>
      <c r="K147" s="1">
        <f t="shared" si="8"/>
        <v>708</v>
      </c>
      <c r="L147" s="6">
        <v>396</v>
      </c>
      <c r="M147" s="6">
        <f t="shared" si="9"/>
        <v>1584</v>
      </c>
      <c r="N147" s="6">
        <f t="shared" si="10"/>
        <v>2428</v>
      </c>
      <c r="O147" s="8">
        <f t="shared" si="11"/>
        <v>0.514406779661017</v>
      </c>
    </row>
    <row r="148" spans="1:16" ht="17" customHeight="1">
      <c r="A148" s="1" t="s">
        <v>476</v>
      </c>
      <c r="C148" s="1" t="s">
        <v>477</v>
      </c>
      <c r="D148" s="42" t="s">
        <v>478</v>
      </c>
      <c r="E148" t="s">
        <v>479</v>
      </c>
      <c r="G148" s="1">
        <v>4580</v>
      </c>
      <c r="H148" s="1">
        <v>1</v>
      </c>
      <c r="I148" s="1">
        <v>4580</v>
      </c>
      <c r="J148" s="1">
        <v>1</v>
      </c>
      <c r="K148" s="1">
        <f t="shared" si="8"/>
        <v>687</v>
      </c>
      <c r="L148" s="6">
        <v>1760</v>
      </c>
      <c r="M148" s="6">
        <f t="shared" si="9"/>
        <v>1760</v>
      </c>
      <c r="N148" s="6">
        <f t="shared" si="10"/>
        <v>2133</v>
      </c>
      <c r="O148" s="8">
        <f t="shared" si="11"/>
        <v>0.46572052401746727</v>
      </c>
    </row>
    <row r="149" spans="1:16" ht="17" customHeight="1">
      <c r="A149" s="1" t="s">
        <v>480</v>
      </c>
      <c r="C149" s="1" t="s">
        <v>481</v>
      </c>
      <c r="D149" s="42">
        <v>4987176301604</v>
      </c>
      <c r="E149" t="s">
        <v>482</v>
      </c>
      <c r="G149" s="1">
        <v>2280</v>
      </c>
      <c r="H149" s="1">
        <v>2</v>
      </c>
      <c r="I149" s="1">
        <v>4560</v>
      </c>
      <c r="J149" s="1">
        <v>2</v>
      </c>
      <c r="K149" s="1">
        <f t="shared" si="8"/>
        <v>684</v>
      </c>
      <c r="L149" s="6">
        <v>1429</v>
      </c>
      <c r="M149" s="6">
        <f t="shared" si="9"/>
        <v>2858</v>
      </c>
      <c r="N149" s="6">
        <f t="shared" si="10"/>
        <v>1018</v>
      </c>
      <c r="O149" s="8">
        <f t="shared" si="11"/>
        <v>0.22324561403508772</v>
      </c>
    </row>
    <row r="150" spans="1:16" ht="17" customHeight="1">
      <c r="A150" s="1" t="s">
        <v>483</v>
      </c>
      <c r="C150" s="1" t="s">
        <v>484</v>
      </c>
      <c r="D150" s="42" t="s">
        <v>485</v>
      </c>
      <c r="E150" t="s">
        <v>484</v>
      </c>
      <c r="G150" s="1">
        <v>2280</v>
      </c>
      <c r="H150" s="1">
        <v>2</v>
      </c>
      <c r="I150" s="1">
        <v>4560</v>
      </c>
      <c r="J150" s="1">
        <v>2</v>
      </c>
      <c r="K150" s="1">
        <f t="shared" si="8"/>
        <v>684</v>
      </c>
      <c r="L150" s="6">
        <v>1254</v>
      </c>
      <c r="M150" s="6">
        <f t="shared" si="9"/>
        <v>2508</v>
      </c>
      <c r="N150" s="6">
        <f t="shared" si="10"/>
        <v>1368</v>
      </c>
      <c r="O150" s="8">
        <f t="shared" si="11"/>
        <v>0.3</v>
      </c>
    </row>
    <row r="151" spans="1:16" ht="17" customHeight="1">
      <c r="A151" s="1" t="s">
        <v>486</v>
      </c>
      <c r="B151" s="1"/>
      <c r="C151" s="1" t="s">
        <v>487</v>
      </c>
      <c r="D151" s="42" t="s">
        <v>488</v>
      </c>
      <c r="E151" s="1" t="s">
        <v>487</v>
      </c>
      <c r="G151" s="1">
        <v>2280</v>
      </c>
      <c r="H151" s="1">
        <v>2</v>
      </c>
      <c r="I151" s="1">
        <v>4560</v>
      </c>
      <c r="J151" s="1">
        <v>2</v>
      </c>
      <c r="K151" s="1">
        <f t="shared" si="8"/>
        <v>684</v>
      </c>
      <c r="L151" s="6">
        <v>358</v>
      </c>
      <c r="M151" s="6">
        <f t="shared" si="9"/>
        <v>716</v>
      </c>
      <c r="N151" s="6">
        <f t="shared" si="10"/>
        <v>3160</v>
      </c>
      <c r="O151" s="8">
        <f t="shared" si="11"/>
        <v>0.69298245614035092</v>
      </c>
    </row>
    <row r="152" spans="1:16" ht="17" customHeight="1">
      <c r="A152" s="1" t="s">
        <v>489</v>
      </c>
      <c r="C152" s="1">
        <v>4550391012541</v>
      </c>
      <c r="D152" s="42" t="s">
        <v>490</v>
      </c>
      <c r="E152">
        <v>4550391012541</v>
      </c>
      <c r="G152" s="1">
        <v>4480</v>
      </c>
      <c r="H152" s="1">
        <v>1</v>
      </c>
      <c r="I152" s="1">
        <v>4480</v>
      </c>
      <c r="J152" s="1">
        <v>1</v>
      </c>
      <c r="K152" s="1">
        <f t="shared" si="8"/>
        <v>672</v>
      </c>
      <c r="L152" s="48">
        <v>1530</v>
      </c>
      <c r="M152" s="6">
        <f t="shared" si="9"/>
        <v>1530</v>
      </c>
      <c r="N152" s="6">
        <f t="shared" si="10"/>
        <v>2278</v>
      </c>
      <c r="O152" s="8">
        <f t="shared" si="11"/>
        <v>0.50848214285714288</v>
      </c>
      <c r="P152" t="s">
        <v>491</v>
      </c>
    </row>
    <row r="153" spans="1:16" ht="17" customHeight="1">
      <c r="A153" s="1" t="s">
        <v>492</v>
      </c>
      <c r="C153" s="1" t="s">
        <v>493</v>
      </c>
      <c r="D153" s="42" t="s">
        <v>494</v>
      </c>
      <c r="E153" t="s">
        <v>493</v>
      </c>
      <c r="G153" s="1">
        <v>1480</v>
      </c>
      <c r="H153" s="1">
        <v>3</v>
      </c>
      <c r="I153" s="1">
        <v>4440</v>
      </c>
      <c r="J153" s="1">
        <v>3</v>
      </c>
      <c r="K153" s="1">
        <f t="shared" si="8"/>
        <v>666</v>
      </c>
      <c r="L153" s="6">
        <v>624</v>
      </c>
      <c r="M153" s="6">
        <f t="shared" si="9"/>
        <v>1872</v>
      </c>
      <c r="N153" s="6">
        <f t="shared" si="10"/>
        <v>1902</v>
      </c>
      <c r="O153" s="8">
        <f t="shared" si="11"/>
        <v>0.42837837837837839</v>
      </c>
    </row>
    <row r="154" spans="1:16" ht="17" customHeight="1">
      <c r="A154" s="1" t="s">
        <v>495</v>
      </c>
      <c r="B154" s="1"/>
      <c r="C154" s="1" t="s">
        <v>496</v>
      </c>
      <c r="D154" s="42" t="s">
        <v>497</v>
      </c>
      <c r="E154" s="1" t="s">
        <v>496</v>
      </c>
      <c r="G154" s="1">
        <v>1480</v>
      </c>
      <c r="H154" s="1">
        <v>3</v>
      </c>
      <c r="I154" s="1">
        <v>4440</v>
      </c>
      <c r="J154" s="1">
        <v>3</v>
      </c>
      <c r="K154" s="1">
        <f t="shared" si="8"/>
        <v>666</v>
      </c>
      <c r="L154" s="6">
        <v>828</v>
      </c>
      <c r="M154" s="6">
        <f t="shared" si="9"/>
        <v>2484</v>
      </c>
      <c r="N154" s="6">
        <f t="shared" si="10"/>
        <v>1290</v>
      </c>
      <c r="O154" s="8">
        <f t="shared" si="11"/>
        <v>0.29054054054054052</v>
      </c>
    </row>
    <row r="155" spans="1:16" ht="17" customHeight="1">
      <c r="A155" s="1" t="s">
        <v>498</v>
      </c>
      <c r="C155" s="1" t="s">
        <v>499</v>
      </c>
      <c r="D155" s="42" t="s">
        <v>500</v>
      </c>
      <c r="E155" t="s">
        <v>499</v>
      </c>
      <c r="G155" s="1">
        <v>4380</v>
      </c>
      <c r="H155" s="1">
        <v>1</v>
      </c>
      <c r="I155" s="1">
        <v>4380</v>
      </c>
      <c r="J155" s="1">
        <v>1</v>
      </c>
      <c r="K155" s="1">
        <f t="shared" si="8"/>
        <v>657</v>
      </c>
      <c r="L155" s="44">
        <v>3026</v>
      </c>
      <c r="M155" s="6">
        <f t="shared" si="9"/>
        <v>3026</v>
      </c>
      <c r="N155" s="6">
        <f t="shared" si="10"/>
        <v>697</v>
      </c>
      <c r="O155" s="8">
        <f t="shared" si="11"/>
        <v>0.15913242009132419</v>
      </c>
    </row>
    <row r="156" spans="1:16" ht="17" customHeight="1">
      <c r="A156" s="1" t="s">
        <v>501</v>
      </c>
      <c r="C156" s="1" t="s">
        <v>502</v>
      </c>
      <c r="D156" s="42" t="s">
        <v>503</v>
      </c>
      <c r="E156" t="s">
        <v>504</v>
      </c>
      <c r="G156" s="1">
        <v>4280</v>
      </c>
      <c r="H156" s="1">
        <v>1</v>
      </c>
      <c r="I156" s="1">
        <v>4280</v>
      </c>
      <c r="J156" s="1">
        <v>1</v>
      </c>
      <c r="K156" s="1">
        <f t="shared" si="8"/>
        <v>642</v>
      </c>
      <c r="L156" s="6">
        <v>1980</v>
      </c>
      <c r="M156" s="6">
        <f t="shared" si="9"/>
        <v>1980</v>
      </c>
      <c r="N156" s="6">
        <f t="shared" si="10"/>
        <v>1658</v>
      </c>
      <c r="O156" s="8">
        <f t="shared" si="11"/>
        <v>0.38738317757009344</v>
      </c>
    </row>
    <row r="157" spans="1:16" ht="17" customHeight="1">
      <c r="A157" s="1" t="s">
        <v>505</v>
      </c>
      <c r="B157" s="1"/>
      <c r="C157" s="1" t="s">
        <v>506</v>
      </c>
      <c r="D157" s="42" t="s">
        <v>507</v>
      </c>
      <c r="E157" s="1" t="s">
        <v>508</v>
      </c>
      <c r="G157" s="1">
        <v>4280</v>
      </c>
      <c r="H157" s="1">
        <v>1</v>
      </c>
      <c r="I157" s="1">
        <v>4280</v>
      </c>
      <c r="J157" s="1">
        <v>1</v>
      </c>
      <c r="K157" s="1">
        <f t="shared" si="8"/>
        <v>642</v>
      </c>
      <c r="L157" s="6">
        <v>2600</v>
      </c>
      <c r="M157" s="6">
        <f t="shared" si="9"/>
        <v>2600</v>
      </c>
      <c r="N157" s="6">
        <f t="shared" si="10"/>
        <v>1038</v>
      </c>
      <c r="O157" s="8">
        <f t="shared" si="11"/>
        <v>0.2425233644859813</v>
      </c>
    </row>
    <row r="158" spans="1:16" ht="17" customHeight="1">
      <c r="A158" s="1" t="s">
        <v>509</v>
      </c>
      <c r="C158" s="1" t="s">
        <v>510</v>
      </c>
      <c r="D158" s="42" t="s">
        <v>511</v>
      </c>
      <c r="E158" t="s">
        <v>510</v>
      </c>
      <c r="G158" s="1">
        <v>4218</v>
      </c>
      <c r="H158" s="1">
        <v>1</v>
      </c>
      <c r="I158" s="1">
        <v>4218</v>
      </c>
      <c r="J158" s="1">
        <v>1</v>
      </c>
      <c r="K158" s="1">
        <f t="shared" si="8"/>
        <v>632.69999999999993</v>
      </c>
      <c r="L158" s="6">
        <v>3460</v>
      </c>
      <c r="M158" s="6">
        <f t="shared" si="9"/>
        <v>3460</v>
      </c>
      <c r="N158" s="6">
        <f t="shared" si="10"/>
        <v>125.30000000000018</v>
      </c>
      <c r="O158" s="8">
        <f t="shared" si="11"/>
        <v>2.9706021811285014E-2</v>
      </c>
    </row>
    <row r="159" spans="1:16" ht="17" customHeight="1">
      <c r="A159" s="1" t="s">
        <v>512</v>
      </c>
      <c r="B159" s="1"/>
      <c r="C159" s="1" t="s">
        <v>513</v>
      </c>
      <c r="D159" s="42" t="s">
        <v>514</v>
      </c>
      <c r="E159" s="1" t="s">
        <v>515</v>
      </c>
      <c r="G159" s="1">
        <v>999</v>
      </c>
      <c r="H159" s="1">
        <v>4</v>
      </c>
      <c r="I159" s="1">
        <v>3996</v>
      </c>
      <c r="J159" s="1">
        <v>3</v>
      </c>
      <c r="K159" s="1">
        <f t="shared" si="8"/>
        <v>599.4</v>
      </c>
      <c r="L159" s="6">
        <v>598</v>
      </c>
      <c r="M159" s="6">
        <f t="shared" si="9"/>
        <v>2392</v>
      </c>
      <c r="N159" s="6">
        <f t="shared" si="10"/>
        <v>1004.5999999999999</v>
      </c>
      <c r="O159" s="8">
        <f t="shared" si="11"/>
        <v>0.25140140140140138</v>
      </c>
    </row>
    <row r="160" spans="1:16" ht="17" customHeight="1">
      <c r="A160" s="1" t="s">
        <v>516</v>
      </c>
      <c r="C160" s="1" t="s">
        <v>517</v>
      </c>
      <c r="D160" s="42">
        <v>9785</v>
      </c>
      <c r="E160" t="s">
        <v>517</v>
      </c>
      <c r="G160" s="1">
        <v>3980</v>
      </c>
      <c r="H160" s="1">
        <v>1</v>
      </c>
      <c r="I160" s="1">
        <v>3980</v>
      </c>
      <c r="J160" s="1">
        <v>1</v>
      </c>
      <c r="K160" s="1">
        <f t="shared" si="8"/>
        <v>597</v>
      </c>
      <c r="L160" s="6">
        <v>9785</v>
      </c>
      <c r="M160" s="6">
        <f t="shared" si="9"/>
        <v>9785</v>
      </c>
      <c r="N160" s="6">
        <f t="shared" si="10"/>
        <v>-6402</v>
      </c>
      <c r="O160" s="8">
        <f t="shared" si="11"/>
        <v>-1.6085427135678392</v>
      </c>
    </row>
    <row r="161" spans="1:15" ht="17" customHeight="1">
      <c r="A161" s="1" t="s">
        <v>518</v>
      </c>
      <c r="C161" s="1" t="s">
        <v>519</v>
      </c>
      <c r="D161" s="42" t="s">
        <v>520</v>
      </c>
      <c r="E161" t="s">
        <v>519</v>
      </c>
      <c r="G161" s="1">
        <v>3980</v>
      </c>
      <c r="H161" s="1">
        <v>1</v>
      </c>
      <c r="I161" s="1">
        <v>3980</v>
      </c>
      <c r="J161" s="1">
        <v>1</v>
      </c>
      <c r="K161" s="1">
        <f t="shared" si="8"/>
        <v>597</v>
      </c>
      <c r="L161" s="6">
        <v>2160</v>
      </c>
      <c r="M161" s="6">
        <f t="shared" si="9"/>
        <v>2160</v>
      </c>
      <c r="N161" s="6">
        <f t="shared" si="10"/>
        <v>1223</v>
      </c>
      <c r="O161" s="8">
        <f t="shared" si="11"/>
        <v>0.30728643216080403</v>
      </c>
    </row>
    <row r="162" spans="1:15" ht="17" customHeight="1">
      <c r="A162" s="1" t="s">
        <v>521</v>
      </c>
      <c r="C162" s="1" t="s">
        <v>522</v>
      </c>
      <c r="D162" s="42" t="s">
        <v>523</v>
      </c>
      <c r="E162" t="s">
        <v>524</v>
      </c>
      <c r="G162" s="1">
        <v>3980</v>
      </c>
      <c r="H162" s="1">
        <v>1</v>
      </c>
      <c r="I162" s="1">
        <v>3980</v>
      </c>
      <c r="J162" s="1">
        <v>1</v>
      </c>
      <c r="K162" s="1">
        <f t="shared" si="8"/>
        <v>597</v>
      </c>
      <c r="L162" s="6">
        <v>2283</v>
      </c>
      <c r="M162" s="6">
        <f t="shared" si="9"/>
        <v>2283</v>
      </c>
      <c r="N162" s="6">
        <f t="shared" si="10"/>
        <v>1100</v>
      </c>
      <c r="O162" s="8">
        <f t="shared" si="11"/>
        <v>0.27638190954773867</v>
      </c>
    </row>
    <row r="163" spans="1:15" ht="17" customHeight="1">
      <c r="A163" s="1" t="s">
        <v>525</v>
      </c>
      <c r="C163" s="1" t="s">
        <v>526</v>
      </c>
      <c r="D163" s="42" t="s">
        <v>527</v>
      </c>
      <c r="E163" t="s">
        <v>526</v>
      </c>
      <c r="G163" s="1">
        <v>3980</v>
      </c>
      <c r="H163" s="1">
        <v>1</v>
      </c>
      <c r="I163" s="1">
        <v>3980</v>
      </c>
      <c r="J163" s="1">
        <v>1</v>
      </c>
      <c r="K163" s="1">
        <f t="shared" si="8"/>
        <v>597</v>
      </c>
      <c r="L163" s="6">
        <v>972</v>
      </c>
      <c r="M163" s="6">
        <f t="shared" si="9"/>
        <v>972</v>
      </c>
      <c r="N163" s="6">
        <f t="shared" si="10"/>
        <v>2411</v>
      </c>
      <c r="O163" s="8">
        <f t="shared" si="11"/>
        <v>0.60577889447236177</v>
      </c>
    </row>
    <row r="164" spans="1:15" ht="17" customHeight="1">
      <c r="A164" s="1" t="s">
        <v>528</v>
      </c>
      <c r="C164" s="1" t="s">
        <v>529</v>
      </c>
      <c r="D164" s="42" t="s">
        <v>530</v>
      </c>
      <c r="E164" t="s">
        <v>529</v>
      </c>
      <c r="G164" s="1">
        <v>3980</v>
      </c>
      <c r="H164" s="1">
        <v>1</v>
      </c>
      <c r="I164" s="1">
        <v>3980</v>
      </c>
      <c r="J164" s="1">
        <v>1</v>
      </c>
      <c r="K164" s="1">
        <f t="shared" si="8"/>
        <v>597</v>
      </c>
      <c r="L164" s="6">
        <v>1311</v>
      </c>
      <c r="M164" s="6">
        <f t="shared" si="9"/>
        <v>1311</v>
      </c>
      <c r="N164" s="6">
        <f t="shared" si="10"/>
        <v>2072</v>
      </c>
      <c r="O164" s="8">
        <f t="shared" si="11"/>
        <v>0.52060301507537687</v>
      </c>
    </row>
    <row r="165" spans="1:15" ht="17" customHeight="1">
      <c r="A165" s="1" t="s">
        <v>531</v>
      </c>
      <c r="C165" s="1" t="s">
        <v>532</v>
      </c>
      <c r="D165" s="42" t="s">
        <v>533</v>
      </c>
      <c r="E165" t="s">
        <v>532</v>
      </c>
      <c r="G165" s="1">
        <v>3980</v>
      </c>
      <c r="H165" s="1">
        <v>1</v>
      </c>
      <c r="I165" s="1">
        <v>3980</v>
      </c>
      <c r="J165" s="1">
        <v>1</v>
      </c>
      <c r="K165" s="1">
        <f t="shared" si="8"/>
        <v>597</v>
      </c>
      <c r="L165" s="6">
        <v>1534</v>
      </c>
      <c r="M165" s="6">
        <f t="shared" si="9"/>
        <v>1534</v>
      </c>
      <c r="N165" s="6">
        <f t="shared" si="10"/>
        <v>1849</v>
      </c>
      <c r="O165" s="8">
        <f t="shared" si="11"/>
        <v>0.46457286432160805</v>
      </c>
    </row>
    <row r="166" spans="1:15" ht="17" customHeight="1">
      <c r="A166" s="1" t="s">
        <v>534</v>
      </c>
      <c r="C166" s="1" t="s">
        <v>535</v>
      </c>
      <c r="D166" s="42" t="s">
        <v>536</v>
      </c>
      <c r="E166" t="s">
        <v>535</v>
      </c>
      <c r="G166" s="1">
        <v>3980</v>
      </c>
      <c r="H166" s="1">
        <v>1</v>
      </c>
      <c r="I166" s="1">
        <v>3980</v>
      </c>
      <c r="J166" s="1">
        <v>1</v>
      </c>
      <c r="K166" s="1">
        <f t="shared" si="8"/>
        <v>597</v>
      </c>
      <c r="L166" s="6">
        <v>2345</v>
      </c>
      <c r="M166" s="6">
        <f t="shared" si="9"/>
        <v>2345</v>
      </c>
      <c r="N166" s="6">
        <f t="shared" si="10"/>
        <v>1038</v>
      </c>
      <c r="O166" s="8">
        <f t="shared" si="11"/>
        <v>0.26080402010050252</v>
      </c>
    </row>
    <row r="167" spans="1:15" ht="17" customHeight="1">
      <c r="A167" s="1" t="s">
        <v>537</v>
      </c>
      <c r="C167" s="1" t="s">
        <v>538</v>
      </c>
      <c r="D167" s="42" t="s">
        <v>539</v>
      </c>
      <c r="E167" t="s">
        <v>538</v>
      </c>
      <c r="G167" s="1">
        <v>3980</v>
      </c>
      <c r="H167" s="1">
        <v>1</v>
      </c>
      <c r="I167" s="1">
        <v>3980</v>
      </c>
      <c r="J167" s="1">
        <v>1</v>
      </c>
      <c r="K167" s="1">
        <f t="shared" si="8"/>
        <v>597</v>
      </c>
      <c r="L167" s="6">
        <v>2430</v>
      </c>
      <c r="M167" s="6">
        <f t="shared" si="9"/>
        <v>2430</v>
      </c>
      <c r="N167" s="6">
        <f t="shared" si="10"/>
        <v>953</v>
      </c>
      <c r="O167" s="8">
        <f t="shared" si="11"/>
        <v>0.23944723618090452</v>
      </c>
    </row>
    <row r="168" spans="1:15" ht="17" customHeight="1">
      <c r="A168" s="1" t="s">
        <v>540</v>
      </c>
      <c r="B168" s="1"/>
      <c r="C168" s="1" t="s">
        <v>541</v>
      </c>
      <c r="D168" s="42" t="s">
        <v>542</v>
      </c>
      <c r="E168" s="1" t="s">
        <v>541</v>
      </c>
      <c r="G168" s="1">
        <v>3980</v>
      </c>
      <c r="H168" s="1">
        <v>1</v>
      </c>
      <c r="I168" s="1">
        <v>3980</v>
      </c>
      <c r="J168" s="1">
        <v>1</v>
      </c>
      <c r="K168" s="1">
        <f t="shared" si="8"/>
        <v>597</v>
      </c>
      <c r="L168" s="6">
        <v>2323</v>
      </c>
      <c r="M168" s="6">
        <f t="shared" si="9"/>
        <v>2323</v>
      </c>
      <c r="N168" s="6">
        <f t="shared" si="10"/>
        <v>1060</v>
      </c>
      <c r="O168" s="8">
        <f t="shared" si="11"/>
        <v>0.26633165829145727</v>
      </c>
    </row>
    <row r="169" spans="1:15" ht="17" customHeight="1">
      <c r="A169" s="1" t="s">
        <v>543</v>
      </c>
      <c r="B169" s="1"/>
      <c r="C169" s="1" t="s">
        <v>544</v>
      </c>
      <c r="D169" s="42" t="s">
        <v>545</v>
      </c>
      <c r="E169" s="1" t="s">
        <v>544</v>
      </c>
      <c r="G169" s="1">
        <v>3980</v>
      </c>
      <c r="H169" s="1">
        <v>1</v>
      </c>
      <c r="I169" s="1">
        <v>3980</v>
      </c>
      <c r="J169" s="1">
        <v>1</v>
      </c>
      <c r="K169" s="1">
        <f t="shared" si="8"/>
        <v>597</v>
      </c>
      <c r="L169" s="6">
        <v>2126</v>
      </c>
      <c r="M169" s="6">
        <f t="shared" si="9"/>
        <v>2126</v>
      </c>
      <c r="N169" s="6">
        <f t="shared" si="10"/>
        <v>1257</v>
      </c>
      <c r="O169" s="8">
        <f t="shared" si="11"/>
        <v>0.31582914572864323</v>
      </c>
    </row>
    <row r="170" spans="1:15" ht="17" customHeight="1">
      <c r="A170" s="1" t="s">
        <v>546</v>
      </c>
      <c r="C170" s="1" t="s">
        <v>547</v>
      </c>
      <c r="D170" s="42" t="s">
        <v>548</v>
      </c>
      <c r="E170" t="s">
        <v>549</v>
      </c>
      <c r="G170" s="1">
        <v>3980</v>
      </c>
      <c r="H170" s="1">
        <v>1</v>
      </c>
      <c r="I170" s="1">
        <v>3980</v>
      </c>
      <c r="J170" s="1">
        <v>1</v>
      </c>
      <c r="K170" s="1">
        <f t="shared" si="8"/>
        <v>597</v>
      </c>
      <c r="L170" s="6">
        <v>1542</v>
      </c>
      <c r="M170" s="6">
        <f t="shared" si="9"/>
        <v>1542</v>
      </c>
      <c r="N170" s="6">
        <f t="shared" si="10"/>
        <v>1841</v>
      </c>
      <c r="O170" s="8">
        <f t="shared" si="11"/>
        <v>0.46256281407035177</v>
      </c>
    </row>
    <row r="171" spans="1:15" ht="17" customHeight="1">
      <c r="A171" s="1" t="s">
        <v>550</v>
      </c>
      <c r="B171" s="1"/>
      <c r="C171" s="1" t="s">
        <v>551</v>
      </c>
      <c r="D171" s="42" t="s">
        <v>552</v>
      </c>
      <c r="E171" s="1" t="s">
        <v>551</v>
      </c>
      <c r="G171" s="1">
        <v>3980</v>
      </c>
      <c r="H171" s="1">
        <v>1</v>
      </c>
      <c r="I171" s="1">
        <v>3980</v>
      </c>
      <c r="J171" s="1">
        <v>1</v>
      </c>
      <c r="K171" s="1">
        <f t="shared" si="8"/>
        <v>597</v>
      </c>
      <c r="L171" s="6">
        <v>2211</v>
      </c>
      <c r="M171" s="6">
        <f t="shared" si="9"/>
        <v>2211</v>
      </c>
      <c r="N171" s="6">
        <f t="shared" si="10"/>
        <v>1172</v>
      </c>
      <c r="O171" s="8">
        <f t="shared" si="11"/>
        <v>0.29447236180904524</v>
      </c>
    </row>
    <row r="172" spans="1:15" ht="17" customHeight="1">
      <c r="A172" s="1" t="s">
        <v>553</v>
      </c>
      <c r="C172" s="1" t="s">
        <v>554</v>
      </c>
      <c r="D172" s="42">
        <v>194644121297</v>
      </c>
      <c r="E172" t="s">
        <v>554</v>
      </c>
      <c r="G172" s="1">
        <v>3980</v>
      </c>
      <c r="H172" s="1">
        <v>1</v>
      </c>
      <c r="I172" s="1">
        <v>3980</v>
      </c>
      <c r="J172" s="1">
        <v>1</v>
      </c>
      <c r="K172" s="1">
        <f t="shared" si="8"/>
        <v>597</v>
      </c>
      <c r="L172" s="6">
        <v>2190</v>
      </c>
      <c r="M172" s="6">
        <f t="shared" si="9"/>
        <v>2190</v>
      </c>
      <c r="N172" s="6">
        <f t="shared" si="10"/>
        <v>1193</v>
      </c>
      <c r="O172" s="8">
        <f t="shared" si="11"/>
        <v>0.29974874371859295</v>
      </c>
    </row>
    <row r="173" spans="1:15" ht="17" customHeight="1">
      <c r="A173" s="1" t="s">
        <v>555</v>
      </c>
      <c r="C173" s="1" t="s">
        <v>556</v>
      </c>
      <c r="D173" s="42" t="s">
        <v>557</v>
      </c>
      <c r="E173" t="s">
        <v>556</v>
      </c>
      <c r="G173" s="1">
        <v>3980</v>
      </c>
      <c r="H173" s="1">
        <v>1</v>
      </c>
      <c r="I173" s="1">
        <v>3980</v>
      </c>
      <c r="J173" s="1">
        <v>1</v>
      </c>
      <c r="K173" s="1">
        <f t="shared" si="8"/>
        <v>597</v>
      </c>
      <c r="L173" s="6">
        <v>1542</v>
      </c>
      <c r="M173" s="6">
        <f t="shared" si="9"/>
        <v>1542</v>
      </c>
      <c r="N173" s="6">
        <f t="shared" si="10"/>
        <v>1841</v>
      </c>
      <c r="O173" s="8">
        <f t="shared" si="11"/>
        <v>0.46256281407035177</v>
      </c>
    </row>
    <row r="174" spans="1:15" ht="17" customHeight="1">
      <c r="A174" s="1" t="s">
        <v>558</v>
      </c>
      <c r="C174" s="1" t="s">
        <v>559</v>
      </c>
      <c r="D174" s="42" t="s">
        <v>560</v>
      </c>
      <c r="E174" t="s">
        <v>559</v>
      </c>
      <c r="G174" s="1">
        <v>1980</v>
      </c>
      <c r="H174" s="1">
        <v>2</v>
      </c>
      <c r="I174" s="1">
        <v>3960</v>
      </c>
      <c r="J174" s="1">
        <v>2</v>
      </c>
      <c r="K174" s="1">
        <f t="shared" si="8"/>
        <v>594</v>
      </c>
      <c r="L174" s="44">
        <v>946</v>
      </c>
      <c r="M174" s="6">
        <f t="shared" si="9"/>
        <v>1892</v>
      </c>
      <c r="N174" s="6">
        <f t="shared" si="10"/>
        <v>1474</v>
      </c>
      <c r="O174" s="8">
        <f t="shared" si="11"/>
        <v>0.37222222222222223</v>
      </c>
    </row>
    <row r="175" spans="1:15" ht="17" customHeight="1">
      <c r="A175" s="1" t="s">
        <v>561</v>
      </c>
      <c r="C175" s="1" t="s">
        <v>562</v>
      </c>
      <c r="D175" s="42" t="s">
        <v>563</v>
      </c>
      <c r="E175" t="s">
        <v>562</v>
      </c>
      <c r="G175" s="1">
        <v>1980</v>
      </c>
      <c r="H175" s="1">
        <v>2</v>
      </c>
      <c r="I175" s="1">
        <v>3960</v>
      </c>
      <c r="J175" s="1">
        <v>2</v>
      </c>
      <c r="K175" s="1">
        <f t="shared" si="8"/>
        <v>594</v>
      </c>
      <c r="L175" s="44">
        <v>814</v>
      </c>
      <c r="M175" s="6">
        <f t="shared" si="9"/>
        <v>1628</v>
      </c>
      <c r="N175" s="6">
        <f t="shared" si="10"/>
        <v>1738</v>
      </c>
      <c r="O175" s="8">
        <f t="shared" si="11"/>
        <v>0.43888888888888888</v>
      </c>
    </row>
    <row r="176" spans="1:15" ht="17" customHeight="1">
      <c r="A176" s="1" t="s">
        <v>564</v>
      </c>
      <c r="C176" s="1" t="s">
        <v>565</v>
      </c>
      <c r="D176" s="42" t="s">
        <v>566</v>
      </c>
      <c r="E176" t="s">
        <v>565</v>
      </c>
      <c r="G176" s="1">
        <v>1980</v>
      </c>
      <c r="H176" s="1">
        <v>2</v>
      </c>
      <c r="I176" s="1">
        <v>3960</v>
      </c>
      <c r="J176" s="1">
        <v>2</v>
      </c>
      <c r="K176" s="1">
        <f t="shared" si="8"/>
        <v>594</v>
      </c>
      <c r="L176" s="6">
        <v>533</v>
      </c>
      <c r="M176" s="6">
        <f t="shared" si="9"/>
        <v>1066</v>
      </c>
      <c r="N176" s="6">
        <f t="shared" si="10"/>
        <v>2300</v>
      </c>
      <c r="O176" s="8">
        <f t="shared" si="11"/>
        <v>0.58080808080808077</v>
      </c>
    </row>
    <row r="177" spans="1:15" ht="17" customHeight="1">
      <c r="A177" s="1" t="s">
        <v>567</v>
      </c>
      <c r="C177" s="1" t="s">
        <v>568</v>
      </c>
      <c r="D177" s="42" t="s">
        <v>569</v>
      </c>
      <c r="E177" t="s">
        <v>568</v>
      </c>
      <c r="G177" s="1">
        <v>1980</v>
      </c>
      <c r="H177" s="1">
        <v>2</v>
      </c>
      <c r="I177" s="1">
        <v>3960</v>
      </c>
      <c r="J177" s="1">
        <v>2</v>
      </c>
      <c r="K177" s="1">
        <f t="shared" si="8"/>
        <v>594</v>
      </c>
      <c r="L177" s="6">
        <v>1086</v>
      </c>
      <c r="M177" s="6">
        <f t="shared" si="9"/>
        <v>2172</v>
      </c>
      <c r="N177" s="6">
        <f t="shared" si="10"/>
        <v>1194</v>
      </c>
      <c r="O177" s="8">
        <f t="shared" si="11"/>
        <v>0.30151515151515151</v>
      </c>
    </row>
    <row r="178" spans="1:15" ht="17" customHeight="1">
      <c r="A178" s="1" t="s">
        <v>570</v>
      </c>
      <c r="C178" s="1" t="s">
        <v>571</v>
      </c>
      <c r="D178" s="42" t="s">
        <v>572</v>
      </c>
      <c r="E178" t="s">
        <v>571</v>
      </c>
      <c r="G178" s="1">
        <v>1980</v>
      </c>
      <c r="H178" s="1">
        <v>2</v>
      </c>
      <c r="I178" s="1">
        <v>3960</v>
      </c>
      <c r="J178" s="1">
        <v>1</v>
      </c>
      <c r="K178" s="1">
        <f t="shared" si="8"/>
        <v>594</v>
      </c>
      <c r="L178" s="6">
        <v>1152</v>
      </c>
      <c r="M178" s="6">
        <f t="shared" si="9"/>
        <v>2304</v>
      </c>
      <c r="N178" s="6">
        <f t="shared" si="10"/>
        <v>1062</v>
      </c>
      <c r="O178" s="8">
        <f t="shared" si="11"/>
        <v>0.26818181818181819</v>
      </c>
    </row>
    <row r="179" spans="1:15" ht="17" customHeight="1">
      <c r="A179" s="1" t="s">
        <v>573</v>
      </c>
      <c r="B179" t="s">
        <v>574</v>
      </c>
      <c r="C179" s="1" t="s">
        <v>575</v>
      </c>
      <c r="D179" s="42" t="s">
        <v>576</v>
      </c>
      <c r="E179" t="s">
        <v>577</v>
      </c>
      <c r="G179" s="1">
        <v>3780</v>
      </c>
      <c r="H179" s="1">
        <v>1</v>
      </c>
      <c r="I179" s="1">
        <v>3780</v>
      </c>
      <c r="J179" s="1">
        <v>1</v>
      </c>
      <c r="K179" s="1">
        <f t="shared" si="8"/>
        <v>567</v>
      </c>
      <c r="L179" s="6">
        <v>2191</v>
      </c>
      <c r="M179" s="6">
        <f t="shared" si="9"/>
        <v>2191</v>
      </c>
      <c r="N179" s="6">
        <f t="shared" si="10"/>
        <v>1022</v>
      </c>
      <c r="O179" s="8">
        <f t="shared" si="11"/>
        <v>0.27037037037037037</v>
      </c>
    </row>
    <row r="180" spans="1:15" ht="17" customHeight="1">
      <c r="A180" s="1" t="s">
        <v>578</v>
      </c>
      <c r="C180" s="1" t="s">
        <v>579</v>
      </c>
      <c r="D180" s="42">
        <v>4382</v>
      </c>
      <c r="E180" t="s">
        <v>579</v>
      </c>
      <c r="G180" s="1">
        <v>3580</v>
      </c>
      <c r="H180" s="1">
        <v>1</v>
      </c>
      <c r="I180" s="1">
        <v>3580</v>
      </c>
      <c r="J180" s="1">
        <v>1</v>
      </c>
      <c r="K180" s="1">
        <f t="shared" si="8"/>
        <v>537</v>
      </c>
      <c r="L180" s="6">
        <v>4382</v>
      </c>
      <c r="M180" s="6">
        <f t="shared" si="9"/>
        <v>4382</v>
      </c>
      <c r="N180" s="6">
        <f t="shared" si="10"/>
        <v>-1339</v>
      </c>
      <c r="O180" s="8">
        <f t="shared" si="11"/>
        <v>-0.37402234636871506</v>
      </c>
    </row>
    <row r="181" spans="1:15" ht="17" customHeight="1">
      <c r="A181" s="1" t="s">
        <v>580</v>
      </c>
      <c r="C181" s="1" t="s">
        <v>581</v>
      </c>
      <c r="D181" s="42" t="s">
        <v>582</v>
      </c>
      <c r="E181" t="s">
        <v>581</v>
      </c>
      <c r="G181" s="1">
        <v>3580</v>
      </c>
      <c r="H181" s="1">
        <v>1</v>
      </c>
      <c r="I181" s="1">
        <v>3580</v>
      </c>
      <c r="J181" s="1">
        <v>1</v>
      </c>
      <c r="K181" s="1">
        <f t="shared" si="8"/>
        <v>537</v>
      </c>
      <c r="L181" s="6">
        <v>1999</v>
      </c>
      <c r="M181" s="6">
        <f t="shared" si="9"/>
        <v>1999</v>
      </c>
      <c r="N181" s="6">
        <f t="shared" si="10"/>
        <v>1044</v>
      </c>
      <c r="O181" s="8">
        <f t="shared" si="11"/>
        <v>0.2916201117318436</v>
      </c>
    </row>
    <row r="182" spans="1:15" ht="17" customHeight="1">
      <c r="A182" s="1" t="s">
        <v>583</v>
      </c>
      <c r="C182" s="1" t="s">
        <v>584</v>
      </c>
      <c r="D182" s="42" t="s">
        <v>585</v>
      </c>
      <c r="E182" t="s">
        <v>584</v>
      </c>
      <c r="G182" s="1">
        <v>1780</v>
      </c>
      <c r="H182" s="1">
        <v>2</v>
      </c>
      <c r="I182" s="1">
        <v>3560</v>
      </c>
      <c r="J182" s="1">
        <v>2</v>
      </c>
      <c r="K182" s="1">
        <f t="shared" si="8"/>
        <v>534</v>
      </c>
      <c r="L182" s="6">
        <v>874</v>
      </c>
      <c r="M182" s="6">
        <f t="shared" si="9"/>
        <v>1748</v>
      </c>
      <c r="N182" s="6">
        <f t="shared" si="10"/>
        <v>1278</v>
      </c>
      <c r="O182" s="8">
        <f t="shared" si="11"/>
        <v>0.35898876404494384</v>
      </c>
    </row>
    <row r="183" spans="1:15" ht="17" customHeight="1">
      <c r="A183" s="1" t="s">
        <v>586</v>
      </c>
      <c r="C183" s="1" t="s">
        <v>587</v>
      </c>
      <c r="D183" s="42" t="s">
        <v>587</v>
      </c>
      <c r="E183" t="s">
        <v>587</v>
      </c>
      <c r="G183" s="1">
        <v>1780</v>
      </c>
      <c r="H183" s="1">
        <v>2</v>
      </c>
      <c r="I183" s="1">
        <v>3560</v>
      </c>
      <c r="J183" s="1">
        <v>2</v>
      </c>
      <c r="K183" s="1">
        <f t="shared" si="8"/>
        <v>534</v>
      </c>
      <c r="L183" s="44">
        <v>696</v>
      </c>
      <c r="M183" s="6">
        <f t="shared" si="9"/>
        <v>1392</v>
      </c>
      <c r="N183" s="6">
        <f t="shared" si="10"/>
        <v>1634</v>
      </c>
      <c r="O183" s="8">
        <f t="shared" si="11"/>
        <v>0.45898876404494382</v>
      </c>
    </row>
    <row r="184" spans="1:15" ht="17" customHeight="1">
      <c r="A184" s="1" t="s">
        <v>588</v>
      </c>
      <c r="B184" t="s">
        <v>589</v>
      </c>
      <c r="C184" s="1" t="s">
        <v>590</v>
      </c>
      <c r="D184" s="42" t="s">
        <v>591</v>
      </c>
      <c r="E184" t="s">
        <v>592</v>
      </c>
      <c r="G184" s="1">
        <v>1780</v>
      </c>
      <c r="H184" s="1">
        <v>2</v>
      </c>
      <c r="I184" s="1">
        <v>3560</v>
      </c>
      <c r="J184" s="1">
        <v>2</v>
      </c>
      <c r="K184" s="1">
        <f t="shared" si="8"/>
        <v>534</v>
      </c>
      <c r="L184" s="6">
        <v>629</v>
      </c>
      <c r="M184" s="6">
        <f t="shared" si="9"/>
        <v>1258</v>
      </c>
      <c r="N184" s="6">
        <f t="shared" si="10"/>
        <v>1768</v>
      </c>
      <c r="O184" s="8">
        <f t="shared" si="11"/>
        <v>0.49662921348314609</v>
      </c>
    </row>
    <row r="185" spans="1:15" ht="17" customHeight="1">
      <c r="A185" s="1" t="s">
        <v>593</v>
      </c>
      <c r="C185" s="1" t="s">
        <v>594</v>
      </c>
      <c r="D185" s="42" t="s">
        <v>595</v>
      </c>
      <c r="E185" t="s">
        <v>594</v>
      </c>
      <c r="G185" s="1">
        <v>3480</v>
      </c>
      <c r="H185" s="1">
        <v>1</v>
      </c>
      <c r="I185" s="1">
        <v>3480</v>
      </c>
      <c r="J185" s="1">
        <v>1</v>
      </c>
      <c r="K185" s="1">
        <f t="shared" si="8"/>
        <v>522</v>
      </c>
      <c r="L185" s="6">
        <v>1560</v>
      </c>
      <c r="M185" s="6">
        <f t="shared" si="9"/>
        <v>1560</v>
      </c>
      <c r="N185" s="6">
        <f t="shared" si="10"/>
        <v>1398</v>
      </c>
      <c r="O185" s="8">
        <f t="shared" si="11"/>
        <v>0.40172413793103451</v>
      </c>
    </row>
    <row r="186" spans="1:15" ht="17" customHeight="1">
      <c r="A186" s="1" t="s">
        <v>596</v>
      </c>
      <c r="C186" s="1" t="s">
        <v>597</v>
      </c>
      <c r="D186" s="42" t="s">
        <v>598</v>
      </c>
      <c r="E186" t="s">
        <v>597</v>
      </c>
      <c r="G186" s="1">
        <v>3480</v>
      </c>
      <c r="H186" s="1">
        <v>1</v>
      </c>
      <c r="I186" s="1">
        <v>3480</v>
      </c>
      <c r="J186" s="1">
        <v>1</v>
      </c>
      <c r="K186" s="1">
        <f t="shared" si="8"/>
        <v>522</v>
      </c>
      <c r="L186" s="44">
        <v>2401</v>
      </c>
      <c r="M186" s="6">
        <f t="shared" si="9"/>
        <v>2401</v>
      </c>
      <c r="N186" s="6">
        <f t="shared" si="10"/>
        <v>557</v>
      </c>
      <c r="O186" s="8">
        <f t="shared" si="11"/>
        <v>0.16005747126436781</v>
      </c>
    </row>
    <row r="187" spans="1:15" ht="17" customHeight="1">
      <c r="A187" s="1" t="s">
        <v>599</v>
      </c>
      <c r="C187" s="1" t="s">
        <v>600</v>
      </c>
      <c r="D187" s="42">
        <v>9761</v>
      </c>
      <c r="E187" t="s">
        <v>600</v>
      </c>
      <c r="G187" s="1">
        <v>3480</v>
      </c>
      <c r="H187" s="1">
        <v>1</v>
      </c>
      <c r="I187" s="1">
        <v>3480</v>
      </c>
      <c r="J187" s="1">
        <v>1</v>
      </c>
      <c r="K187" s="1">
        <f t="shared" si="8"/>
        <v>522</v>
      </c>
      <c r="L187" s="6">
        <v>9761</v>
      </c>
      <c r="M187" s="6">
        <f t="shared" si="9"/>
        <v>9761</v>
      </c>
      <c r="N187" s="6">
        <f t="shared" si="10"/>
        <v>-6803</v>
      </c>
      <c r="O187" s="8">
        <f t="shared" si="11"/>
        <v>-1.9548850574712644</v>
      </c>
    </row>
    <row r="188" spans="1:15" ht="17" customHeight="1">
      <c r="A188" s="1" t="s">
        <v>601</v>
      </c>
      <c r="C188" s="1" t="s">
        <v>602</v>
      </c>
      <c r="D188" s="42" t="s">
        <v>603</v>
      </c>
      <c r="E188" t="s">
        <v>604</v>
      </c>
      <c r="G188" s="1">
        <v>1680</v>
      </c>
      <c r="H188" s="1">
        <v>2</v>
      </c>
      <c r="I188" s="1">
        <v>3360</v>
      </c>
      <c r="J188" s="1">
        <v>1</v>
      </c>
      <c r="K188" s="1">
        <f t="shared" si="8"/>
        <v>504</v>
      </c>
      <c r="L188" s="6">
        <v>980</v>
      </c>
      <c r="M188" s="6">
        <f t="shared" si="9"/>
        <v>1960</v>
      </c>
      <c r="N188" s="6">
        <f t="shared" si="10"/>
        <v>896</v>
      </c>
      <c r="O188" s="8">
        <f t="shared" si="11"/>
        <v>0.26666666666666666</v>
      </c>
    </row>
    <row r="189" spans="1:15" ht="17" customHeight="1">
      <c r="A189" s="1" t="s">
        <v>605</v>
      </c>
      <c r="B189" s="1"/>
      <c r="C189" s="1" t="s">
        <v>606</v>
      </c>
      <c r="D189" s="42" t="s">
        <v>607</v>
      </c>
      <c r="E189" s="1" t="s">
        <v>606</v>
      </c>
      <c r="G189" s="1">
        <v>3280</v>
      </c>
      <c r="H189" s="1">
        <v>1</v>
      </c>
      <c r="I189" s="1">
        <v>3280</v>
      </c>
      <c r="J189" s="1">
        <v>1</v>
      </c>
      <c r="K189" s="1">
        <f t="shared" si="8"/>
        <v>492</v>
      </c>
      <c r="L189" s="6">
        <v>330</v>
      </c>
      <c r="M189" s="6">
        <f t="shared" si="9"/>
        <v>330</v>
      </c>
      <c r="N189" s="6">
        <f t="shared" si="10"/>
        <v>2458</v>
      </c>
      <c r="O189" s="8">
        <f t="shared" si="11"/>
        <v>0.74939024390243902</v>
      </c>
    </row>
    <row r="190" spans="1:15" ht="17" customHeight="1">
      <c r="A190" s="1" t="s">
        <v>608</v>
      </c>
      <c r="C190" s="1" t="s">
        <v>609</v>
      </c>
      <c r="D190" s="42" t="s">
        <v>610</v>
      </c>
      <c r="E190" t="s">
        <v>609</v>
      </c>
      <c r="G190" s="1">
        <v>1630</v>
      </c>
      <c r="H190" s="1">
        <v>2</v>
      </c>
      <c r="I190" s="1">
        <v>3260</v>
      </c>
      <c r="J190" s="1">
        <v>2</v>
      </c>
      <c r="K190" s="1">
        <f t="shared" si="8"/>
        <v>489</v>
      </c>
      <c r="L190" s="6">
        <v>768</v>
      </c>
      <c r="M190" s="6">
        <f t="shared" si="9"/>
        <v>1536</v>
      </c>
      <c r="N190" s="6">
        <f t="shared" si="10"/>
        <v>1235</v>
      </c>
      <c r="O190" s="8">
        <f t="shared" si="11"/>
        <v>0.37883435582822084</v>
      </c>
    </row>
    <row r="191" spans="1:15" ht="17" customHeight="1">
      <c r="A191" s="1" t="s">
        <v>611</v>
      </c>
      <c r="C191" s="1" t="s">
        <v>344</v>
      </c>
      <c r="D191" s="42">
        <v>720</v>
      </c>
      <c r="E191" t="s">
        <v>344</v>
      </c>
      <c r="G191" s="1">
        <v>1580</v>
      </c>
      <c r="H191" s="1">
        <v>2</v>
      </c>
      <c r="I191" s="1">
        <v>3160</v>
      </c>
      <c r="J191" s="1">
        <v>1</v>
      </c>
      <c r="K191" s="1">
        <f t="shared" si="8"/>
        <v>474</v>
      </c>
      <c r="L191" s="6">
        <v>720</v>
      </c>
      <c r="M191" s="6">
        <f t="shared" si="9"/>
        <v>1440</v>
      </c>
      <c r="N191" s="6">
        <f t="shared" si="10"/>
        <v>1246</v>
      </c>
      <c r="O191" s="8">
        <f t="shared" si="11"/>
        <v>0.39430379746835442</v>
      </c>
    </row>
    <row r="192" spans="1:15" ht="17" customHeight="1">
      <c r="A192" s="1" t="s">
        <v>612</v>
      </c>
      <c r="C192" s="1" t="s">
        <v>613</v>
      </c>
      <c r="D192" s="42" t="s">
        <v>614</v>
      </c>
      <c r="E192" t="s">
        <v>613</v>
      </c>
      <c r="G192" s="1">
        <v>1580</v>
      </c>
      <c r="H192" s="1">
        <v>2</v>
      </c>
      <c r="I192" s="1">
        <v>3160</v>
      </c>
      <c r="J192" s="1">
        <v>2</v>
      </c>
      <c r="K192" s="1">
        <f t="shared" si="8"/>
        <v>474</v>
      </c>
      <c r="L192" s="6">
        <v>1011</v>
      </c>
      <c r="M192" s="6">
        <f t="shared" si="9"/>
        <v>2022</v>
      </c>
      <c r="N192" s="6">
        <f t="shared" si="10"/>
        <v>664</v>
      </c>
      <c r="O192" s="8">
        <f t="shared" si="11"/>
        <v>0.21012658227848102</v>
      </c>
    </row>
    <row r="193" spans="1:15" ht="17" customHeight="1">
      <c r="A193" s="1" t="s">
        <v>615</v>
      </c>
      <c r="C193" s="1" t="s">
        <v>616</v>
      </c>
      <c r="D193" s="42" t="s">
        <v>617</v>
      </c>
      <c r="E193" t="s">
        <v>618</v>
      </c>
      <c r="G193" s="1">
        <v>2980</v>
      </c>
      <c r="H193" s="1">
        <v>1</v>
      </c>
      <c r="I193" s="1">
        <v>2980</v>
      </c>
      <c r="J193" s="1">
        <v>1</v>
      </c>
      <c r="K193" s="1">
        <f t="shared" si="8"/>
        <v>447</v>
      </c>
      <c r="L193" s="44">
        <v>1980</v>
      </c>
      <c r="M193" s="6">
        <f t="shared" si="9"/>
        <v>1980</v>
      </c>
      <c r="N193" s="6">
        <f t="shared" si="10"/>
        <v>553</v>
      </c>
      <c r="O193" s="8">
        <f t="shared" si="11"/>
        <v>0.18557046979865771</v>
      </c>
    </row>
    <row r="194" spans="1:15" ht="17" customHeight="1">
      <c r="A194" s="1" t="s">
        <v>619</v>
      </c>
      <c r="C194" s="1" t="s">
        <v>620</v>
      </c>
      <c r="D194" s="42" t="s">
        <v>621</v>
      </c>
      <c r="E194" t="s">
        <v>622</v>
      </c>
      <c r="G194" s="1">
        <v>2980</v>
      </c>
      <c r="H194" s="1">
        <v>1</v>
      </c>
      <c r="I194" s="1">
        <v>2980</v>
      </c>
      <c r="J194" s="1">
        <v>1</v>
      </c>
      <c r="K194" s="1">
        <f t="shared" si="8"/>
        <v>447</v>
      </c>
      <c r="L194" s="6">
        <v>1736</v>
      </c>
      <c r="M194" s="6">
        <f t="shared" si="9"/>
        <v>1736</v>
      </c>
      <c r="N194" s="6">
        <f t="shared" si="10"/>
        <v>797</v>
      </c>
      <c r="O194" s="8">
        <f t="shared" si="11"/>
        <v>0.26744966442953022</v>
      </c>
    </row>
    <row r="195" spans="1:15" ht="17" customHeight="1">
      <c r="A195" s="1" t="s">
        <v>623</v>
      </c>
      <c r="B195" s="1"/>
      <c r="C195" s="1" t="s">
        <v>624</v>
      </c>
      <c r="D195" s="42" t="s">
        <v>625</v>
      </c>
      <c r="E195" s="1" t="s">
        <v>624</v>
      </c>
      <c r="G195" s="1">
        <v>2980</v>
      </c>
      <c r="H195" s="1">
        <v>1</v>
      </c>
      <c r="I195" s="1">
        <v>2980</v>
      </c>
      <c r="J195" s="1">
        <v>1</v>
      </c>
      <c r="K195" s="1">
        <f t="shared" si="8"/>
        <v>447</v>
      </c>
      <c r="L195" s="6">
        <v>935</v>
      </c>
      <c r="M195" s="6">
        <f t="shared" si="9"/>
        <v>935</v>
      </c>
      <c r="N195" s="6">
        <f t="shared" si="10"/>
        <v>1598</v>
      </c>
      <c r="O195" s="8">
        <f t="shared" si="11"/>
        <v>0.53624161073825505</v>
      </c>
    </row>
    <row r="196" spans="1:15" ht="17" customHeight="1">
      <c r="A196" s="1" t="s">
        <v>626</v>
      </c>
      <c r="C196" s="1" t="s">
        <v>627</v>
      </c>
      <c r="D196" s="42" t="s">
        <v>628</v>
      </c>
      <c r="E196" t="s">
        <v>629</v>
      </c>
      <c r="G196" s="1">
        <v>2980</v>
      </c>
      <c r="H196" s="1">
        <v>1</v>
      </c>
      <c r="I196" s="1">
        <v>2980</v>
      </c>
      <c r="J196" s="1">
        <v>1</v>
      </c>
      <c r="K196" s="1">
        <f t="shared" si="8"/>
        <v>447</v>
      </c>
      <c r="L196" s="6">
        <v>1736</v>
      </c>
      <c r="M196" s="6">
        <f t="shared" si="9"/>
        <v>1736</v>
      </c>
      <c r="N196" s="6">
        <f t="shared" si="10"/>
        <v>797</v>
      </c>
      <c r="O196" s="8">
        <f t="shared" si="11"/>
        <v>0.26744966442953022</v>
      </c>
    </row>
    <row r="197" spans="1:15" ht="17" customHeight="1">
      <c r="A197" s="1" t="s">
        <v>630</v>
      </c>
      <c r="C197" s="1" t="s">
        <v>631</v>
      </c>
      <c r="D197" s="42">
        <v>4571263111773</v>
      </c>
      <c r="E197" t="s">
        <v>631</v>
      </c>
      <c r="G197" s="1">
        <v>2980</v>
      </c>
      <c r="H197" s="1">
        <v>1</v>
      </c>
      <c r="I197" s="1">
        <v>2980</v>
      </c>
      <c r="J197" s="1">
        <v>1</v>
      </c>
      <c r="K197" s="1">
        <f t="shared" si="8"/>
        <v>447</v>
      </c>
      <c r="L197" s="6">
        <v>1738</v>
      </c>
      <c r="M197" s="6">
        <f t="shared" si="9"/>
        <v>1738</v>
      </c>
      <c r="N197" s="6">
        <f t="shared" si="10"/>
        <v>795</v>
      </c>
      <c r="O197" s="8">
        <f t="shared" si="11"/>
        <v>0.26677852348993286</v>
      </c>
    </row>
    <row r="198" spans="1:15" ht="17" customHeight="1">
      <c r="A198" s="1" t="s">
        <v>632</v>
      </c>
      <c r="B198" t="s">
        <v>633</v>
      </c>
      <c r="C198" s="1">
        <v>4550391062164</v>
      </c>
      <c r="D198" s="42" t="s">
        <v>634</v>
      </c>
      <c r="E198">
        <v>4550391062218</v>
      </c>
      <c r="G198" s="1">
        <v>2980</v>
      </c>
      <c r="H198" s="1">
        <v>1</v>
      </c>
      <c r="I198" s="1">
        <v>2980</v>
      </c>
      <c r="J198" s="1">
        <v>1</v>
      </c>
      <c r="K198" s="1">
        <f t="shared" si="8"/>
        <v>447</v>
      </c>
      <c r="L198" s="6">
        <v>1072</v>
      </c>
      <c r="M198" s="6">
        <f t="shared" si="9"/>
        <v>1072</v>
      </c>
      <c r="N198" s="6">
        <f t="shared" si="10"/>
        <v>1461</v>
      </c>
      <c r="O198" s="8">
        <f t="shared" si="11"/>
        <v>0.49026845637583893</v>
      </c>
    </row>
    <row r="199" spans="1:15" ht="17" customHeight="1">
      <c r="A199" s="1" t="s">
        <v>635</v>
      </c>
      <c r="B199" s="1" t="s">
        <v>636</v>
      </c>
      <c r="C199" s="1" t="s">
        <v>637</v>
      </c>
      <c r="D199" s="42" t="s">
        <v>638</v>
      </c>
      <c r="E199" s="1" t="s">
        <v>639</v>
      </c>
      <c r="G199" s="1">
        <v>2980</v>
      </c>
      <c r="H199" s="1">
        <v>1</v>
      </c>
      <c r="I199" s="1">
        <v>2980</v>
      </c>
      <c r="J199" s="1">
        <v>1</v>
      </c>
      <c r="K199" s="1">
        <f t="shared" si="8"/>
        <v>447</v>
      </c>
      <c r="L199" s="6">
        <v>1014</v>
      </c>
      <c r="M199" s="6">
        <f t="shared" si="9"/>
        <v>1014</v>
      </c>
      <c r="N199" s="6">
        <f t="shared" si="10"/>
        <v>1519</v>
      </c>
      <c r="O199" s="8">
        <f t="shared" si="11"/>
        <v>0.50973154362416107</v>
      </c>
    </row>
    <row r="200" spans="1:15" ht="17" customHeight="1">
      <c r="A200" s="1" t="s">
        <v>640</v>
      </c>
      <c r="C200" s="1" t="s">
        <v>641</v>
      </c>
      <c r="D200" s="42" t="s">
        <v>642</v>
      </c>
      <c r="E200" t="s">
        <v>641</v>
      </c>
      <c r="G200" s="1">
        <v>2980</v>
      </c>
      <c r="H200" s="1">
        <v>1</v>
      </c>
      <c r="I200" s="1">
        <v>2980</v>
      </c>
      <c r="J200" s="1">
        <v>1</v>
      </c>
      <c r="K200" s="1">
        <f t="shared" ref="K200:K263" si="12">SUM(I200*0.15)</f>
        <v>447</v>
      </c>
      <c r="L200" s="6">
        <v>1633</v>
      </c>
      <c r="M200" s="6">
        <f t="shared" ref="M200:M263" si="13">SUM(H200*L200)</f>
        <v>1633</v>
      </c>
      <c r="N200" s="6">
        <f t="shared" ref="N200:N263" si="14">SUM(I200-K200-M200)</f>
        <v>900</v>
      </c>
      <c r="O200" s="8">
        <f t="shared" ref="O200:O263" si="15">IF(I200=0,"",N200/I200)</f>
        <v>0.30201342281879195</v>
      </c>
    </row>
    <row r="201" spans="1:15" ht="17" customHeight="1">
      <c r="A201" s="1" t="s">
        <v>643</v>
      </c>
      <c r="C201" s="1" t="s">
        <v>644</v>
      </c>
      <c r="D201" s="42" t="s">
        <v>645</v>
      </c>
      <c r="E201" t="s">
        <v>644</v>
      </c>
      <c r="G201" s="1">
        <v>2980</v>
      </c>
      <c r="H201" s="1">
        <v>1</v>
      </c>
      <c r="I201" s="1">
        <v>2980</v>
      </c>
      <c r="J201" s="1">
        <v>1</v>
      </c>
      <c r="K201" s="1">
        <f t="shared" si="12"/>
        <v>447</v>
      </c>
      <c r="L201" s="6">
        <v>1167</v>
      </c>
      <c r="M201" s="6">
        <f t="shared" si="13"/>
        <v>1167</v>
      </c>
      <c r="N201" s="6">
        <f t="shared" si="14"/>
        <v>1366</v>
      </c>
      <c r="O201" s="8">
        <f t="shared" si="15"/>
        <v>0.45838926174496647</v>
      </c>
    </row>
    <row r="202" spans="1:15" ht="17" customHeight="1">
      <c r="A202" s="1" t="s">
        <v>646</v>
      </c>
      <c r="C202" s="1" t="s">
        <v>647</v>
      </c>
      <c r="D202" s="42" t="s">
        <v>648</v>
      </c>
      <c r="E202" t="s">
        <v>647</v>
      </c>
      <c r="G202" s="1">
        <v>2980</v>
      </c>
      <c r="H202" s="1">
        <v>1</v>
      </c>
      <c r="I202" s="1">
        <v>2980</v>
      </c>
      <c r="J202" s="1">
        <v>1</v>
      </c>
      <c r="K202" s="1">
        <f t="shared" si="12"/>
        <v>447</v>
      </c>
      <c r="L202" s="6">
        <v>2090</v>
      </c>
      <c r="M202" s="6">
        <f t="shared" si="13"/>
        <v>2090</v>
      </c>
      <c r="N202" s="6">
        <f t="shared" si="14"/>
        <v>443</v>
      </c>
      <c r="O202" s="8">
        <f t="shared" si="15"/>
        <v>0.14865771812080536</v>
      </c>
    </row>
    <row r="203" spans="1:15" ht="17" customHeight="1">
      <c r="A203" s="1" t="s">
        <v>394</v>
      </c>
      <c r="B203" t="s">
        <v>649</v>
      </c>
      <c r="C203" s="1" t="s">
        <v>396</v>
      </c>
      <c r="D203" s="42" t="s">
        <v>397</v>
      </c>
      <c r="E203" t="s">
        <v>650</v>
      </c>
      <c r="G203" s="1">
        <v>2980</v>
      </c>
      <c r="H203" s="1">
        <v>1</v>
      </c>
      <c r="I203" s="1">
        <v>2980</v>
      </c>
      <c r="J203" s="1">
        <v>1</v>
      </c>
      <c r="K203" s="1">
        <f t="shared" si="12"/>
        <v>447</v>
      </c>
      <c r="L203" s="6">
        <v>1390</v>
      </c>
      <c r="M203" s="6">
        <f t="shared" si="13"/>
        <v>1390</v>
      </c>
      <c r="N203" s="6">
        <f t="shared" si="14"/>
        <v>1143</v>
      </c>
      <c r="O203" s="8">
        <f t="shared" si="15"/>
        <v>0.38355704697986576</v>
      </c>
    </row>
    <row r="204" spans="1:15" ht="17" customHeight="1">
      <c r="A204" s="1" t="s">
        <v>651</v>
      </c>
      <c r="B204" s="1" t="s">
        <v>652</v>
      </c>
      <c r="C204" s="1" t="s">
        <v>653</v>
      </c>
      <c r="D204" s="42" t="s">
        <v>654</v>
      </c>
      <c r="E204" s="1" t="s">
        <v>655</v>
      </c>
      <c r="G204" s="1">
        <v>1480</v>
      </c>
      <c r="H204" s="1">
        <v>2</v>
      </c>
      <c r="I204" s="1">
        <v>2960</v>
      </c>
      <c r="J204" s="1">
        <v>2</v>
      </c>
      <c r="K204" s="1">
        <f t="shared" si="12"/>
        <v>444</v>
      </c>
      <c r="L204" s="6">
        <v>1148</v>
      </c>
      <c r="M204" s="6">
        <f t="shared" si="13"/>
        <v>2296</v>
      </c>
      <c r="N204" s="6">
        <f t="shared" si="14"/>
        <v>220</v>
      </c>
      <c r="O204" s="8">
        <f t="shared" si="15"/>
        <v>7.4324324324324328E-2</v>
      </c>
    </row>
    <row r="205" spans="1:15" ht="17" customHeight="1">
      <c r="A205" s="1" t="s">
        <v>656</v>
      </c>
      <c r="C205" s="1" t="s">
        <v>657</v>
      </c>
      <c r="D205" s="42" t="s">
        <v>658</v>
      </c>
      <c r="E205" t="s">
        <v>657</v>
      </c>
      <c r="G205" s="1">
        <v>1480</v>
      </c>
      <c r="H205" s="1">
        <v>2</v>
      </c>
      <c r="I205" s="1">
        <v>2960</v>
      </c>
      <c r="J205" s="1">
        <v>1</v>
      </c>
      <c r="K205" s="1">
        <f t="shared" si="12"/>
        <v>444</v>
      </c>
      <c r="L205" s="6">
        <v>584</v>
      </c>
      <c r="M205" s="6">
        <f t="shared" si="13"/>
        <v>1168</v>
      </c>
      <c r="N205" s="6">
        <f t="shared" si="14"/>
        <v>1348</v>
      </c>
      <c r="O205" s="8">
        <f t="shared" si="15"/>
        <v>0.45540540540540542</v>
      </c>
    </row>
    <row r="206" spans="1:15" ht="17" customHeight="1">
      <c r="A206" s="1" t="s">
        <v>659</v>
      </c>
      <c r="C206" s="1" t="s">
        <v>660</v>
      </c>
      <c r="D206" s="42" t="s">
        <v>661</v>
      </c>
      <c r="E206" t="s">
        <v>662</v>
      </c>
      <c r="G206" s="1">
        <v>2780</v>
      </c>
      <c r="H206" s="1">
        <v>1</v>
      </c>
      <c r="I206" s="1">
        <v>2780</v>
      </c>
      <c r="J206" s="1">
        <v>1</v>
      </c>
      <c r="K206" s="1">
        <f t="shared" si="12"/>
        <v>417</v>
      </c>
      <c r="L206" s="6">
        <v>1112</v>
      </c>
      <c r="M206" s="6">
        <f t="shared" si="13"/>
        <v>1112</v>
      </c>
      <c r="N206" s="6">
        <f t="shared" si="14"/>
        <v>1251</v>
      </c>
      <c r="O206" s="8">
        <f t="shared" si="15"/>
        <v>0.45</v>
      </c>
    </row>
    <row r="207" spans="1:15" ht="17" customHeight="1">
      <c r="A207" s="1" t="s">
        <v>663</v>
      </c>
      <c r="C207" s="1" t="s">
        <v>664</v>
      </c>
      <c r="D207" s="42" t="s">
        <v>665</v>
      </c>
      <c r="E207" t="s">
        <v>664</v>
      </c>
      <c r="G207" s="1">
        <v>2580</v>
      </c>
      <c r="H207" s="1">
        <v>1</v>
      </c>
      <c r="I207" s="1">
        <v>2580</v>
      </c>
      <c r="J207" s="1">
        <v>1</v>
      </c>
      <c r="K207" s="1">
        <f t="shared" si="12"/>
        <v>387</v>
      </c>
      <c r="L207" s="6">
        <v>1287</v>
      </c>
      <c r="M207" s="6">
        <f t="shared" si="13"/>
        <v>1287</v>
      </c>
      <c r="N207" s="6">
        <f t="shared" si="14"/>
        <v>906</v>
      </c>
      <c r="O207" s="8">
        <f t="shared" si="15"/>
        <v>0.35116279069767442</v>
      </c>
    </row>
    <row r="208" spans="1:15" ht="17" customHeight="1">
      <c r="A208" s="1" t="s">
        <v>666</v>
      </c>
      <c r="C208" s="1" t="s">
        <v>667</v>
      </c>
      <c r="D208" s="42" t="s">
        <v>668</v>
      </c>
      <c r="E208" t="s">
        <v>667</v>
      </c>
      <c r="G208" s="1">
        <v>2580</v>
      </c>
      <c r="H208" s="1">
        <v>1</v>
      </c>
      <c r="I208" s="1">
        <v>2580</v>
      </c>
      <c r="J208" s="1">
        <v>1</v>
      </c>
      <c r="K208" s="1">
        <f t="shared" si="12"/>
        <v>387</v>
      </c>
      <c r="L208" s="6">
        <v>1584</v>
      </c>
      <c r="M208" s="6">
        <f t="shared" si="13"/>
        <v>1584</v>
      </c>
      <c r="N208" s="6">
        <f t="shared" si="14"/>
        <v>609</v>
      </c>
      <c r="O208" s="8">
        <f t="shared" si="15"/>
        <v>0.23604651162790696</v>
      </c>
    </row>
    <row r="209" spans="1:15" ht="17" customHeight="1">
      <c r="A209" s="1" t="s">
        <v>669</v>
      </c>
      <c r="C209" s="1" t="s">
        <v>670</v>
      </c>
      <c r="D209" s="42" t="s">
        <v>671</v>
      </c>
      <c r="E209" t="s">
        <v>670</v>
      </c>
      <c r="G209" s="1">
        <v>2580</v>
      </c>
      <c r="H209" s="1">
        <v>1</v>
      </c>
      <c r="I209" s="1">
        <v>2580</v>
      </c>
      <c r="J209" s="1">
        <v>1</v>
      </c>
      <c r="K209" s="1">
        <f t="shared" si="12"/>
        <v>387</v>
      </c>
      <c r="L209" s="6">
        <v>1584</v>
      </c>
      <c r="M209" s="6">
        <f t="shared" si="13"/>
        <v>1584</v>
      </c>
      <c r="N209" s="6">
        <f t="shared" si="14"/>
        <v>609</v>
      </c>
      <c r="O209" s="8">
        <f t="shared" si="15"/>
        <v>0.23604651162790696</v>
      </c>
    </row>
    <row r="210" spans="1:15" ht="17" customHeight="1">
      <c r="A210" s="1" t="s">
        <v>672</v>
      </c>
      <c r="C210" s="1" t="s">
        <v>673</v>
      </c>
      <c r="D210" s="42" t="s">
        <v>674</v>
      </c>
      <c r="E210" t="s">
        <v>673</v>
      </c>
      <c r="G210" s="1">
        <v>1280</v>
      </c>
      <c r="H210" s="1">
        <v>2</v>
      </c>
      <c r="I210" s="1">
        <v>2560</v>
      </c>
      <c r="J210" s="1">
        <v>2</v>
      </c>
      <c r="K210" s="1">
        <f t="shared" si="12"/>
        <v>384</v>
      </c>
      <c r="L210" s="6">
        <v>780</v>
      </c>
      <c r="M210" s="6">
        <f t="shared" si="13"/>
        <v>1560</v>
      </c>
      <c r="N210" s="6">
        <f t="shared" si="14"/>
        <v>616</v>
      </c>
      <c r="O210" s="8">
        <f t="shared" si="15"/>
        <v>0.24062500000000001</v>
      </c>
    </row>
    <row r="211" spans="1:15" ht="17" customHeight="1">
      <c r="A211" s="1" t="s">
        <v>675</v>
      </c>
      <c r="C211" s="1" t="s">
        <v>676</v>
      </c>
      <c r="D211" s="42" t="s">
        <v>677</v>
      </c>
      <c r="E211" t="s">
        <v>676</v>
      </c>
      <c r="G211" s="1">
        <v>1280</v>
      </c>
      <c r="H211" s="1">
        <v>2</v>
      </c>
      <c r="I211" s="1">
        <v>2560</v>
      </c>
      <c r="J211" s="1">
        <v>2</v>
      </c>
      <c r="K211" s="1">
        <f t="shared" si="12"/>
        <v>384</v>
      </c>
      <c r="L211" s="6">
        <v>460</v>
      </c>
      <c r="M211" s="6">
        <f t="shared" si="13"/>
        <v>920</v>
      </c>
      <c r="N211" s="6">
        <f t="shared" si="14"/>
        <v>1256</v>
      </c>
      <c r="O211" s="8">
        <f t="shared" si="15"/>
        <v>0.49062499999999998</v>
      </c>
    </row>
    <row r="212" spans="1:15" ht="17" customHeight="1">
      <c r="A212" s="1" t="s">
        <v>678</v>
      </c>
      <c r="C212" s="1" t="s">
        <v>679</v>
      </c>
      <c r="D212" s="42" t="s">
        <v>680</v>
      </c>
      <c r="E212" t="s">
        <v>679</v>
      </c>
      <c r="G212" s="1">
        <v>1280</v>
      </c>
      <c r="H212" s="1">
        <v>2</v>
      </c>
      <c r="I212" s="1">
        <v>2560</v>
      </c>
      <c r="J212" s="1">
        <v>2</v>
      </c>
      <c r="K212" s="1">
        <f t="shared" si="12"/>
        <v>384</v>
      </c>
      <c r="L212" s="6">
        <v>522</v>
      </c>
      <c r="M212" s="6">
        <f t="shared" si="13"/>
        <v>1044</v>
      </c>
      <c r="N212" s="6">
        <f t="shared" si="14"/>
        <v>1132</v>
      </c>
      <c r="O212" s="8">
        <f t="shared" si="15"/>
        <v>0.44218750000000001</v>
      </c>
    </row>
    <row r="213" spans="1:15" ht="17" customHeight="1">
      <c r="A213" s="1" t="s">
        <v>681</v>
      </c>
      <c r="B213" t="s">
        <v>682</v>
      </c>
      <c r="C213" s="1" t="s">
        <v>683</v>
      </c>
      <c r="D213" s="42" t="s">
        <v>684</v>
      </c>
      <c r="E213" t="s">
        <v>685</v>
      </c>
      <c r="G213" s="1">
        <v>1280</v>
      </c>
      <c r="H213" s="1">
        <v>2</v>
      </c>
      <c r="I213" s="1">
        <v>2560</v>
      </c>
      <c r="J213" s="1">
        <v>2</v>
      </c>
      <c r="K213" s="1">
        <f t="shared" si="12"/>
        <v>384</v>
      </c>
      <c r="L213" s="6">
        <v>165</v>
      </c>
      <c r="M213" s="6">
        <f t="shared" si="13"/>
        <v>330</v>
      </c>
      <c r="N213" s="6">
        <f t="shared" si="14"/>
        <v>1846</v>
      </c>
      <c r="O213" s="8">
        <f t="shared" si="15"/>
        <v>0.72109374999999998</v>
      </c>
    </row>
    <row r="214" spans="1:15" ht="17" customHeight="1">
      <c r="A214" s="1" t="s">
        <v>686</v>
      </c>
      <c r="C214" s="1" t="s">
        <v>687</v>
      </c>
      <c r="D214" s="42">
        <v>4901133718984</v>
      </c>
      <c r="E214" t="s">
        <v>688</v>
      </c>
      <c r="G214" s="1">
        <v>1280</v>
      </c>
      <c r="H214" s="1">
        <v>2</v>
      </c>
      <c r="I214" s="1">
        <v>2560</v>
      </c>
      <c r="J214" s="1">
        <v>1</v>
      </c>
      <c r="K214" s="1">
        <f t="shared" si="12"/>
        <v>384</v>
      </c>
      <c r="L214" s="6">
        <v>806</v>
      </c>
      <c r="M214" s="6">
        <f t="shared" si="13"/>
        <v>1612</v>
      </c>
      <c r="N214" s="6">
        <f t="shared" si="14"/>
        <v>564</v>
      </c>
      <c r="O214" s="8">
        <f t="shared" si="15"/>
        <v>0.22031249999999999</v>
      </c>
    </row>
    <row r="215" spans="1:15" ht="17" customHeight="1">
      <c r="A215" s="1" t="s">
        <v>689</v>
      </c>
      <c r="C215" s="1" t="s">
        <v>690</v>
      </c>
      <c r="D215" s="42" t="s">
        <v>691</v>
      </c>
      <c r="E215" t="s">
        <v>690</v>
      </c>
      <c r="G215" s="1">
        <v>2520</v>
      </c>
      <c r="H215" s="1">
        <v>1</v>
      </c>
      <c r="I215" s="1">
        <v>2520</v>
      </c>
      <c r="J215" s="1">
        <v>1</v>
      </c>
      <c r="K215" s="1">
        <f t="shared" si="12"/>
        <v>378</v>
      </c>
      <c r="L215" s="6">
        <v>1100</v>
      </c>
      <c r="M215" s="6">
        <f t="shared" si="13"/>
        <v>1100</v>
      </c>
      <c r="N215" s="6">
        <f t="shared" si="14"/>
        <v>1042</v>
      </c>
      <c r="O215" s="8">
        <f t="shared" si="15"/>
        <v>0.41349206349206347</v>
      </c>
    </row>
    <row r="216" spans="1:15" ht="17" customHeight="1">
      <c r="A216" s="1" t="s">
        <v>692</v>
      </c>
      <c r="B216" t="s">
        <v>693</v>
      </c>
      <c r="C216" s="1" t="s">
        <v>694</v>
      </c>
      <c r="D216" s="42" t="s">
        <v>695</v>
      </c>
      <c r="E216" t="s">
        <v>696</v>
      </c>
      <c r="G216" s="1">
        <v>2480</v>
      </c>
      <c r="H216" s="1">
        <v>1</v>
      </c>
      <c r="I216" s="1">
        <v>2480</v>
      </c>
      <c r="J216" s="1">
        <v>1</v>
      </c>
      <c r="K216" s="1">
        <f t="shared" si="12"/>
        <v>372</v>
      </c>
      <c r="L216" s="6">
        <v>803</v>
      </c>
      <c r="M216" s="6">
        <f t="shared" si="13"/>
        <v>803</v>
      </c>
      <c r="N216" s="6">
        <f t="shared" si="14"/>
        <v>1305</v>
      </c>
      <c r="O216" s="8">
        <f t="shared" si="15"/>
        <v>0.52620967741935487</v>
      </c>
    </row>
    <row r="217" spans="1:15" ht="17" customHeight="1">
      <c r="A217" s="1" t="s">
        <v>257</v>
      </c>
      <c r="B217" t="s">
        <v>697</v>
      </c>
      <c r="C217" s="1">
        <v>4550391046508</v>
      </c>
      <c r="D217" s="42" t="s">
        <v>259</v>
      </c>
      <c r="E217" t="s">
        <v>698</v>
      </c>
      <c r="G217" s="1">
        <v>2480</v>
      </c>
      <c r="H217" s="1">
        <v>1</v>
      </c>
      <c r="I217" s="1">
        <v>2480</v>
      </c>
      <c r="J217" s="1">
        <v>1</v>
      </c>
      <c r="K217" s="1">
        <f t="shared" si="12"/>
        <v>372</v>
      </c>
      <c r="L217" s="6">
        <v>1130</v>
      </c>
      <c r="M217" s="6">
        <f t="shared" si="13"/>
        <v>1130</v>
      </c>
      <c r="N217" s="6">
        <f t="shared" si="14"/>
        <v>978</v>
      </c>
      <c r="O217" s="8">
        <f t="shared" si="15"/>
        <v>0.39435483870967741</v>
      </c>
    </row>
    <row r="218" spans="1:15" ht="17" customHeight="1">
      <c r="A218" s="43" t="s">
        <v>699</v>
      </c>
      <c r="C218" s="1" t="s">
        <v>700</v>
      </c>
      <c r="D218" s="42" t="s">
        <v>701</v>
      </c>
      <c r="E218" t="s">
        <v>700</v>
      </c>
      <c r="G218" s="1">
        <v>2480</v>
      </c>
      <c r="H218" s="1">
        <v>1</v>
      </c>
      <c r="I218" s="1">
        <v>2480</v>
      </c>
      <c r="J218" s="1">
        <v>1</v>
      </c>
      <c r="K218" s="1">
        <f t="shared" si="12"/>
        <v>372</v>
      </c>
      <c r="L218" s="6">
        <v>612</v>
      </c>
      <c r="M218" s="6">
        <f t="shared" si="13"/>
        <v>612</v>
      </c>
      <c r="N218" s="6">
        <f t="shared" si="14"/>
        <v>1496</v>
      </c>
      <c r="O218" s="8">
        <f t="shared" si="15"/>
        <v>0.60322580645161294</v>
      </c>
    </row>
    <row r="219" spans="1:15" ht="17" customHeight="1">
      <c r="A219" s="1" t="s">
        <v>702</v>
      </c>
      <c r="C219" s="1" t="s">
        <v>703</v>
      </c>
      <c r="D219" s="42" t="s">
        <v>704</v>
      </c>
      <c r="E219" t="s">
        <v>705</v>
      </c>
      <c r="G219" s="1">
        <v>2480</v>
      </c>
      <c r="H219" s="1">
        <v>1</v>
      </c>
      <c r="I219" s="1">
        <v>2480</v>
      </c>
      <c r="J219" s="1">
        <v>1</v>
      </c>
      <c r="K219" s="1">
        <f t="shared" si="12"/>
        <v>372</v>
      </c>
      <c r="L219" s="6">
        <v>1314</v>
      </c>
      <c r="M219" s="6">
        <f t="shared" si="13"/>
        <v>1314</v>
      </c>
      <c r="N219" s="6">
        <f t="shared" si="14"/>
        <v>794</v>
      </c>
      <c r="O219" s="8">
        <f t="shared" si="15"/>
        <v>0.32016129032258067</v>
      </c>
    </row>
    <row r="220" spans="1:15" ht="17" customHeight="1">
      <c r="A220" s="1" t="s">
        <v>706</v>
      </c>
      <c r="C220" s="1" t="s">
        <v>707</v>
      </c>
      <c r="D220" s="42" t="s">
        <v>708</v>
      </c>
      <c r="E220" t="s">
        <v>707</v>
      </c>
      <c r="G220" s="1">
        <v>2480</v>
      </c>
      <c r="H220" s="1">
        <v>1</v>
      </c>
      <c r="I220" s="1">
        <v>2480</v>
      </c>
      <c r="J220" s="1">
        <v>1</v>
      </c>
      <c r="K220" s="1">
        <f t="shared" si="12"/>
        <v>372</v>
      </c>
      <c r="L220" s="6">
        <v>1292</v>
      </c>
      <c r="M220" s="6">
        <f t="shared" si="13"/>
        <v>1292</v>
      </c>
      <c r="N220" s="6">
        <f t="shared" si="14"/>
        <v>816</v>
      </c>
      <c r="O220" s="8">
        <f t="shared" si="15"/>
        <v>0.32903225806451614</v>
      </c>
    </row>
    <row r="221" spans="1:15" ht="17" customHeight="1">
      <c r="A221" s="1" t="s">
        <v>709</v>
      </c>
      <c r="C221" s="1" t="s">
        <v>710</v>
      </c>
      <c r="D221" s="42" t="s">
        <v>711</v>
      </c>
      <c r="E221" t="s">
        <v>710</v>
      </c>
      <c r="G221" s="1">
        <v>2480</v>
      </c>
      <c r="H221" s="1">
        <v>1</v>
      </c>
      <c r="I221" s="1">
        <v>2480</v>
      </c>
      <c r="J221" s="1">
        <v>1</v>
      </c>
      <c r="K221" s="1">
        <f t="shared" si="12"/>
        <v>372</v>
      </c>
      <c r="L221" s="6">
        <v>876</v>
      </c>
      <c r="M221" s="6">
        <f t="shared" si="13"/>
        <v>876</v>
      </c>
      <c r="N221" s="6">
        <f t="shared" si="14"/>
        <v>1232</v>
      </c>
      <c r="O221" s="8">
        <f t="shared" si="15"/>
        <v>0.49677419354838709</v>
      </c>
    </row>
    <row r="222" spans="1:15" ht="17" customHeight="1">
      <c r="A222" s="1" t="s">
        <v>712</v>
      </c>
      <c r="B222" s="1"/>
      <c r="C222" s="1" t="s">
        <v>713</v>
      </c>
      <c r="D222" s="42" t="s">
        <v>714</v>
      </c>
      <c r="E222" s="1" t="s">
        <v>713</v>
      </c>
      <c r="G222" s="1">
        <v>2480</v>
      </c>
      <c r="H222" s="1">
        <v>1</v>
      </c>
      <c r="I222" s="1">
        <v>2480</v>
      </c>
      <c r="J222" s="1">
        <v>1</v>
      </c>
      <c r="K222" s="1">
        <f t="shared" si="12"/>
        <v>372</v>
      </c>
      <c r="L222" s="6">
        <v>1116</v>
      </c>
      <c r="M222" s="6">
        <f t="shared" si="13"/>
        <v>1116</v>
      </c>
      <c r="N222" s="6">
        <f t="shared" si="14"/>
        <v>992</v>
      </c>
      <c r="O222" s="8">
        <f t="shared" si="15"/>
        <v>0.4</v>
      </c>
    </row>
    <row r="223" spans="1:15" ht="17" customHeight="1">
      <c r="A223" s="1" t="s">
        <v>715</v>
      </c>
      <c r="C223" s="1" t="s">
        <v>716</v>
      </c>
      <c r="D223" s="42" t="s">
        <v>717</v>
      </c>
      <c r="E223" t="s">
        <v>716</v>
      </c>
      <c r="G223" s="1">
        <v>2480</v>
      </c>
      <c r="H223" s="1">
        <v>1</v>
      </c>
      <c r="I223" s="1">
        <v>2480</v>
      </c>
      <c r="J223" s="1">
        <v>1</v>
      </c>
      <c r="K223" s="1">
        <f t="shared" si="12"/>
        <v>372</v>
      </c>
      <c r="L223" s="6">
        <v>1094</v>
      </c>
      <c r="M223" s="6">
        <f t="shared" si="13"/>
        <v>1094</v>
      </c>
      <c r="N223" s="6">
        <f t="shared" si="14"/>
        <v>1014</v>
      </c>
      <c r="O223" s="8">
        <f t="shared" si="15"/>
        <v>0.40887096774193549</v>
      </c>
    </row>
    <row r="224" spans="1:15" ht="17" customHeight="1">
      <c r="A224" s="1" t="s">
        <v>718</v>
      </c>
      <c r="C224" s="1" t="s">
        <v>719</v>
      </c>
      <c r="D224" s="42" t="s">
        <v>720</v>
      </c>
      <c r="E224" t="s">
        <v>721</v>
      </c>
      <c r="G224" s="1">
        <v>2480</v>
      </c>
      <c r="H224" s="1">
        <v>1</v>
      </c>
      <c r="I224" s="1">
        <v>2480</v>
      </c>
      <c r="J224" s="1">
        <v>1</v>
      </c>
      <c r="K224" s="1">
        <f t="shared" si="12"/>
        <v>372</v>
      </c>
      <c r="L224" s="6">
        <v>1116</v>
      </c>
      <c r="M224" s="6">
        <f t="shared" si="13"/>
        <v>1116</v>
      </c>
      <c r="N224" s="6">
        <f t="shared" si="14"/>
        <v>992</v>
      </c>
      <c r="O224" s="8">
        <f t="shared" si="15"/>
        <v>0.4</v>
      </c>
    </row>
    <row r="225" spans="1:15" ht="17" customHeight="1">
      <c r="A225" s="1" t="s">
        <v>722</v>
      </c>
      <c r="C225" s="1" t="s">
        <v>723</v>
      </c>
      <c r="D225" s="42" t="s">
        <v>724</v>
      </c>
      <c r="E225" t="s">
        <v>723</v>
      </c>
      <c r="G225" s="1">
        <v>2480</v>
      </c>
      <c r="H225" s="1">
        <v>1</v>
      </c>
      <c r="I225" s="1">
        <v>2480</v>
      </c>
      <c r="J225" s="1">
        <v>1</v>
      </c>
      <c r="K225" s="1">
        <f t="shared" si="12"/>
        <v>372</v>
      </c>
      <c r="L225" s="6">
        <v>895</v>
      </c>
      <c r="M225" s="6">
        <f t="shared" si="13"/>
        <v>895</v>
      </c>
      <c r="N225" s="6">
        <f t="shared" si="14"/>
        <v>1213</v>
      </c>
      <c r="O225" s="8">
        <f t="shared" si="15"/>
        <v>0.48911290322580647</v>
      </c>
    </row>
    <row r="226" spans="1:15" ht="17" customHeight="1">
      <c r="A226" s="1" t="s">
        <v>725</v>
      </c>
      <c r="C226" s="1" t="s">
        <v>726</v>
      </c>
      <c r="D226" s="42" t="s">
        <v>727</v>
      </c>
      <c r="E226" t="s">
        <v>728</v>
      </c>
      <c r="G226" s="1">
        <v>2380</v>
      </c>
      <c r="H226" s="1">
        <v>1</v>
      </c>
      <c r="I226" s="1">
        <v>2380</v>
      </c>
      <c r="J226" s="1">
        <v>1</v>
      </c>
      <c r="K226" s="1">
        <f t="shared" si="12"/>
        <v>357</v>
      </c>
      <c r="L226" s="6">
        <v>1220</v>
      </c>
      <c r="M226" s="6">
        <f t="shared" si="13"/>
        <v>1220</v>
      </c>
      <c r="N226" s="6">
        <f t="shared" si="14"/>
        <v>803</v>
      </c>
      <c r="O226" s="8">
        <f t="shared" si="15"/>
        <v>0.3373949579831933</v>
      </c>
    </row>
    <row r="227" spans="1:15" ht="17" customHeight="1">
      <c r="A227" s="1" t="s">
        <v>729</v>
      </c>
      <c r="C227" s="1" t="s">
        <v>730</v>
      </c>
      <c r="D227" s="42" t="s">
        <v>731</v>
      </c>
      <c r="E227" t="s">
        <v>730</v>
      </c>
      <c r="G227" s="1">
        <v>2198</v>
      </c>
      <c r="H227" s="1">
        <v>1</v>
      </c>
      <c r="I227" s="1">
        <v>2198</v>
      </c>
      <c r="J227" s="1">
        <v>1</v>
      </c>
      <c r="K227" s="1">
        <f t="shared" si="12"/>
        <v>329.7</v>
      </c>
      <c r="L227" s="6">
        <v>1278</v>
      </c>
      <c r="M227" s="6">
        <f t="shared" si="13"/>
        <v>1278</v>
      </c>
      <c r="N227" s="6">
        <f t="shared" si="14"/>
        <v>590.29999999999995</v>
      </c>
      <c r="O227" s="8">
        <f t="shared" si="15"/>
        <v>0.26856232939035485</v>
      </c>
    </row>
    <row r="228" spans="1:15" ht="17" customHeight="1">
      <c r="A228" s="1" t="s">
        <v>732</v>
      </c>
      <c r="C228" s="1" t="s">
        <v>733</v>
      </c>
      <c r="D228" s="42" t="s">
        <v>734</v>
      </c>
      <c r="E228" t="s">
        <v>733</v>
      </c>
      <c r="G228" s="1">
        <v>2180</v>
      </c>
      <c r="H228" s="1">
        <v>1</v>
      </c>
      <c r="I228" s="1">
        <v>2180</v>
      </c>
      <c r="J228" s="1">
        <v>1</v>
      </c>
      <c r="K228" s="1">
        <f t="shared" si="12"/>
        <v>327</v>
      </c>
      <c r="L228" s="6">
        <v>1130</v>
      </c>
      <c r="M228" s="6">
        <f t="shared" si="13"/>
        <v>1130</v>
      </c>
      <c r="N228" s="6">
        <f t="shared" si="14"/>
        <v>723</v>
      </c>
      <c r="O228" s="8">
        <f t="shared" si="15"/>
        <v>0.33165137614678897</v>
      </c>
    </row>
    <row r="229" spans="1:15" ht="17" customHeight="1">
      <c r="A229" s="1" t="s">
        <v>735</v>
      </c>
      <c r="C229" s="1" t="s">
        <v>736</v>
      </c>
      <c r="D229" s="42" t="s">
        <v>737</v>
      </c>
      <c r="E229" t="s">
        <v>736</v>
      </c>
      <c r="G229" s="1">
        <v>2180</v>
      </c>
      <c r="H229" s="1">
        <v>1</v>
      </c>
      <c r="I229" s="1">
        <v>2180</v>
      </c>
      <c r="J229" s="1">
        <v>1</v>
      </c>
      <c r="K229" s="1">
        <f t="shared" si="12"/>
        <v>327</v>
      </c>
      <c r="L229" s="6">
        <v>1099</v>
      </c>
      <c r="M229" s="6">
        <f t="shared" si="13"/>
        <v>1099</v>
      </c>
      <c r="N229" s="6">
        <f t="shared" si="14"/>
        <v>754</v>
      </c>
      <c r="O229" s="8">
        <f t="shared" si="15"/>
        <v>0.34587155963302751</v>
      </c>
    </row>
    <row r="230" spans="1:15" ht="17" customHeight="1">
      <c r="A230" s="1" t="s">
        <v>738</v>
      </c>
      <c r="C230" s="1">
        <v>4903301377597</v>
      </c>
      <c r="D230" s="42" t="s">
        <v>739</v>
      </c>
      <c r="E230">
        <v>4903301377597</v>
      </c>
      <c r="G230" s="1">
        <v>2080</v>
      </c>
      <c r="H230" s="1">
        <v>1</v>
      </c>
      <c r="I230" s="1">
        <v>2080</v>
      </c>
      <c r="J230" s="1">
        <v>1</v>
      </c>
      <c r="K230" s="1">
        <f t="shared" si="12"/>
        <v>312</v>
      </c>
      <c r="L230" s="6">
        <v>1020</v>
      </c>
      <c r="M230" s="6">
        <f t="shared" si="13"/>
        <v>1020</v>
      </c>
      <c r="N230" s="6">
        <f t="shared" si="14"/>
        <v>748</v>
      </c>
      <c r="O230" s="8">
        <f t="shared" si="15"/>
        <v>0.35961538461538461</v>
      </c>
    </row>
    <row r="231" spans="1:15" ht="17" customHeight="1">
      <c r="A231" s="1" t="s">
        <v>740</v>
      </c>
      <c r="C231" s="1" t="s">
        <v>741</v>
      </c>
      <c r="D231" s="42">
        <v>4987176301543</v>
      </c>
      <c r="E231" t="s">
        <v>741</v>
      </c>
      <c r="G231" s="1">
        <v>2080</v>
      </c>
      <c r="H231" s="1">
        <v>1</v>
      </c>
      <c r="I231" s="1">
        <v>2080</v>
      </c>
      <c r="J231" s="1">
        <v>1</v>
      </c>
      <c r="K231" s="1">
        <f t="shared" si="12"/>
        <v>312</v>
      </c>
      <c r="L231" s="6">
        <v>1319</v>
      </c>
      <c r="M231" s="6">
        <f t="shared" si="13"/>
        <v>1319</v>
      </c>
      <c r="N231" s="6">
        <f t="shared" si="14"/>
        <v>449</v>
      </c>
      <c r="O231" s="8">
        <f t="shared" si="15"/>
        <v>0.21586538461538463</v>
      </c>
    </row>
    <row r="232" spans="1:15" ht="17" customHeight="1">
      <c r="A232" s="1" t="s">
        <v>742</v>
      </c>
      <c r="C232" s="1" t="s">
        <v>743</v>
      </c>
      <c r="D232" s="42" t="s">
        <v>744</v>
      </c>
      <c r="E232" t="s">
        <v>743</v>
      </c>
      <c r="G232" s="1">
        <v>1980</v>
      </c>
      <c r="H232" s="1">
        <v>1</v>
      </c>
      <c r="I232" s="1">
        <v>1980</v>
      </c>
      <c r="J232" s="1">
        <v>1</v>
      </c>
      <c r="K232" s="1">
        <f t="shared" si="12"/>
        <v>297</v>
      </c>
      <c r="L232" s="6">
        <v>979</v>
      </c>
      <c r="M232" s="6">
        <f t="shared" si="13"/>
        <v>979</v>
      </c>
      <c r="N232" s="6">
        <f t="shared" si="14"/>
        <v>704</v>
      </c>
      <c r="O232" s="8">
        <f t="shared" si="15"/>
        <v>0.35555555555555557</v>
      </c>
    </row>
    <row r="233" spans="1:15" ht="17" customHeight="1">
      <c r="A233" s="1" t="s">
        <v>745</v>
      </c>
      <c r="C233" s="1">
        <v>4550391012053</v>
      </c>
      <c r="D233" s="42" t="s">
        <v>746</v>
      </c>
      <c r="E233">
        <v>4550391012053</v>
      </c>
      <c r="G233" s="1">
        <v>1980</v>
      </c>
      <c r="H233" s="1">
        <v>1</v>
      </c>
      <c r="I233" s="1">
        <v>1980</v>
      </c>
      <c r="J233" s="1">
        <v>1</v>
      </c>
      <c r="K233" s="1">
        <f t="shared" si="12"/>
        <v>297</v>
      </c>
      <c r="L233" s="6">
        <v>1116</v>
      </c>
      <c r="M233" s="6">
        <f t="shared" si="13"/>
        <v>1116</v>
      </c>
      <c r="N233" s="6">
        <f t="shared" si="14"/>
        <v>567</v>
      </c>
      <c r="O233" s="8">
        <f t="shared" si="15"/>
        <v>0.28636363636363638</v>
      </c>
    </row>
    <row r="234" spans="1:15" ht="17" customHeight="1">
      <c r="A234" s="1" t="s">
        <v>747</v>
      </c>
      <c r="C234" s="1" t="s">
        <v>748</v>
      </c>
      <c r="D234" s="42" t="s">
        <v>749</v>
      </c>
      <c r="E234" t="s">
        <v>748</v>
      </c>
      <c r="G234" s="1">
        <v>1980</v>
      </c>
      <c r="H234" s="1">
        <v>1</v>
      </c>
      <c r="I234" s="1">
        <v>1980</v>
      </c>
      <c r="J234" s="1">
        <v>1</v>
      </c>
      <c r="K234" s="1">
        <f t="shared" si="12"/>
        <v>297</v>
      </c>
      <c r="L234" s="6">
        <v>792</v>
      </c>
      <c r="M234" s="6">
        <f t="shared" si="13"/>
        <v>792</v>
      </c>
      <c r="N234" s="6">
        <f t="shared" si="14"/>
        <v>891</v>
      </c>
      <c r="O234" s="8">
        <f t="shared" si="15"/>
        <v>0.45</v>
      </c>
    </row>
    <row r="235" spans="1:15" ht="17" customHeight="1">
      <c r="A235" s="1" t="s">
        <v>750</v>
      </c>
      <c r="C235" s="1" t="s">
        <v>751</v>
      </c>
      <c r="D235" s="42" t="s">
        <v>752</v>
      </c>
      <c r="E235" t="s">
        <v>751</v>
      </c>
      <c r="G235" s="1">
        <v>1980</v>
      </c>
      <c r="H235" s="1">
        <v>1</v>
      </c>
      <c r="I235" s="1">
        <v>1980</v>
      </c>
      <c r="J235" s="1">
        <v>1</v>
      </c>
      <c r="K235" s="1">
        <f t="shared" si="12"/>
        <v>297</v>
      </c>
      <c r="L235" s="6">
        <v>330</v>
      </c>
      <c r="M235" s="6">
        <f t="shared" si="13"/>
        <v>330</v>
      </c>
      <c r="N235" s="6">
        <f t="shared" si="14"/>
        <v>1353</v>
      </c>
      <c r="O235" s="8">
        <f t="shared" si="15"/>
        <v>0.68333333333333335</v>
      </c>
    </row>
    <row r="236" spans="1:15" ht="17" customHeight="1">
      <c r="A236" s="1" t="s">
        <v>753</v>
      </c>
      <c r="C236" s="1" t="s">
        <v>754</v>
      </c>
      <c r="D236" s="42" t="s">
        <v>755</v>
      </c>
      <c r="E236" t="s">
        <v>754</v>
      </c>
      <c r="G236" s="1">
        <v>1980</v>
      </c>
      <c r="H236" s="1">
        <v>1</v>
      </c>
      <c r="I236" s="1">
        <v>1980</v>
      </c>
      <c r="J236" s="1">
        <v>1</v>
      </c>
      <c r="K236" s="1">
        <f t="shared" si="12"/>
        <v>297</v>
      </c>
      <c r="L236" s="6">
        <v>660</v>
      </c>
      <c r="M236" s="6">
        <f t="shared" si="13"/>
        <v>660</v>
      </c>
      <c r="N236" s="6">
        <f t="shared" si="14"/>
        <v>1023</v>
      </c>
      <c r="O236" s="8">
        <f t="shared" si="15"/>
        <v>0.51666666666666672</v>
      </c>
    </row>
    <row r="237" spans="1:15" ht="17" customHeight="1">
      <c r="A237" s="1" t="s">
        <v>756</v>
      </c>
      <c r="C237" s="1" t="s">
        <v>757</v>
      </c>
      <c r="D237" s="42" t="s">
        <v>758</v>
      </c>
      <c r="E237" t="s">
        <v>757</v>
      </c>
      <c r="G237" s="1">
        <v>1980</v>
      </c>
      <c r="H237" s="1">
        <v>1</v>
      </c>
      <c r="I237" s="1">
        <v>1980</v>
      </c>
      <c r="J237" s="1">
        <v>1</v>
      </c>
      <c r="K237" s="1">
        <f t="shared" si="12"/>
        <v>297</v>
      </c>
      <c r="L237" s="6">
        <v>1010</v>
      </c>
      <c r="M237" s="6">
        <f t="shared" si="13"/>
        <v>1010</v>
      </c>
      <c r="N237" s="6">
        <f t="shared" si="14"/>
        <v>673</v>
      </c>
      <c r="O237" s="8">
        <f t="shared" si="15"/>
        <v>0.33989898989898992</v>
      </c>
    </row>
    <row r="238" spans="1:15" ht="17" customHeight="1">
      <c r="A238" s="1" t="s">
        <v>759</v>
      </c>
      <c r="C238" s="1" t="s">
        <v>760</v>
      </c>
      <c r="D238" s="42" t="s">
        <v>761</v>
      </c>
      <c r="E238" t="s">
        <v>762</v>
      </c>
      <c r="G238" s="1">
        <v>1980</v>
      </c>
      <c r="H238" s="1">
        <v>1</v>
      </c>
      <c r="I238" s="1">
        <v>1980</v>
      </c>
      <c r="J238" s="1">
        <v>1</v>
      </c>
      <c r="K238" s="1">
        <f t="shared" si="12"/>
        <v>297</v>
      </c>
      <c r="L238" s="6">
        <v>630</v>
      </c>
      <c r="M238" s="6">
        <f t="shared" si="13"/>
        <v>630</v>
      </c>
      <c r="N238" s="6">
        <f t="shared" si="14"/>
        <v>1053</v>
      </c>
      <c r="O238" s="8">
        <f t="shared" si="15"/>
        <v>0.53181818181818186</v>
      </c>
    </row>
    <row r="239" spans="1:15" ht="17" customHeight="1">
      <c r="A239" s="1" t="s">
        <v>763</v>
      </c>
      <c r="C239" s="1" t="s">
        <v>764</v>
      </c>
      <c r="D239" s="42" t="s">
        <v>765</v>
      </c>
      <c r="E239" t="s">
        <v>766</v>
      </c>
      <c r="G239" s="1">
        <v>1980</v>
      </c>
      <c r="H239" s="1">
        <v>1</v>
      </c>
      <c r="I239" s="1">
        <v>1980</v>
      </c>
      <c r="J239" s="1">
        <v>1</v>
      </c>
      <c r="K239" s="1">
        <f t="shared" si="12"/>
        <v>297</v>
      </c>
      <c r="L239" s="6">
        <v>1160</v>
      </c>
      <c r="M239" s="6">
        <f t="shared" si="13"/>
        <v>1160</v>
      </c>
      <c r="N239" s="6">
        <f t="shared" si="14"/>
        <v>523</v>
      </c>
      <c r="O239" s="8">
        <f t="shared" si="15"/>
        <v>0.26414141414141412</v>
      </c>
    </row>
    <row r="240" spans="1:15" ht="17" customHeight="1">
      <c r="A240" s="1" t="s">
        <v>767</v>
      </c>
      <c r="C240" s="1" t="s">
        <v>768</v>
      </c>
      <c r="D240" s="42" t="s">
        <v>769</v>
      </c>
      <c r="E240" t="s">
        <v>768</v>
      </c>
      <c r="G240" s="1">
        <v>1980</v>
      </c>
      <c r="H240" s="1">
        <v>1</v>
      </c>
      <c r="I240" s="1">
        <v>1980</v>
      </c>
      <c r="J240" s="1">
        <v>1</v>
      </c>
      <c r="K240" s="1">
        <f t="shared" si="12"/>
        <v>297</v>
      </c>
      <c r="L240" s="6">
        <v>998</v>
      </c>
      <c r="M240" s="6">
        <f t="shared" si="13"/>
        <v>998</v>
      </c>
      <c r="N240" s="6">
        <f t="shared" si="14"/>
        <v>685</v>
      </c>
      <c r="O240" s="8">
        <f t="shared" si="15"/>
        <v>0.34595959595959597</v>
      </c>
    </row>
    <row r="241" spans="1:15" ht="17" customHeight="1">
      <c r="A241" s="1" t="s">
        <v>770</v>
      </c>
      <c r="C241" s="1" t="s">
        <v>771</v>
      </c>
      <c r="D241" s="42" t="s">
        <v>772</v>
      </c>
      <c r="E241" t="s">
        <v>771</v>
      </c>
      <c r="G241" s="1">
        <v>1980</v>
      </c>
      <c r="H241" s="1">
        <v>1</v>
      </c>
      <c r="I241" s="1">
        <v>1980</v>
      </c>
      <c r="J241" s="1">
        <v>1</v>
      </c>
      <c r="K241" s="1">
        <f t="shared" si="12"/>
        <v>297</v>
      </c>
      <c r="L241" s="6">
        <v>768</v>
      </c>
      <c r="M241" s="6">
        <f t="shared" si="13"/>
        <v>768</v>
      </c>
      <c r="N241" s="6">
        <f t="shared" si="14"/>
        <v>915</v>
      </c>
      <c r="O241" s="8">
        <f t="shared" si="15"/>
        <v>0.4621212121212121</v>
      </c>
    </row>
    <row r="242" spans="1:15" ht="17" customHeight="1">
      <c r="A242" s="1" t="s">
        <v>773</v>
      </c>
      <c r="C242" s="1" t="s">
        <v>774</v>
      </c>
      <c r="D242" s="42" t="s">
        <v>775</v>
      </c>
      <c r="E242" t="s">
        <v>774</v>
      </c>
      <c r="G242" s="1">
        <v>1980</v>
      </c>
      <c r="H242" s="1">
        <v>1</v>
      </c>
      <c r="I242" s="1">
        <v>1980</v>
      </c>
      <c r="J242" s="1">
        <v>1</v>
      </c>
      <c r="K242" s="1">
        <f t="shared" si="12"/>
        <v>297</v>
      </c>
      <c r="L242" s="6">
        <v>438</v>
      </c>
      <c r="M242" s="6">
        <f t="shared" si="13"/>
        <v>438</v>
      </c>
      <c r="N242" s="6">
        <f t="shared" si="14"/>
        <v>1245</v>
      </c>
      <c r="O242" s="8">
        <f t="shared" si="15"/>
        <v>0.62878787878787878</v>
      </c>
    </row>
    <row r="243" spans="1:15" ht="17" customHeight="1">
      <c r="A243" s="1" t="s">
        <v>588</v>
      </c>
      <c r="B243" t="s">
        <v>776</v>
      </c>
      <c r="C243" s="1" t="s">
        <v>590</v>
      </c>
      <c r="D243" s="42" t="s">
        <v>591</v>
      </c>
      <c r="E243" t="s">
        <v>777</v>
      </c>
      <c r="G243" s="1">
        <v>1780</v>
      </c>
      <c r="H243" s="1">
        <v>1</v>
      </c>
      <c r="I243" s="1">
        <v>1780</v>
      </c>
      <c r="J243" s="1">
        <v>1</v>
      </c>
      <c r="K243" s="1">
        <f t="shared" si="12"/>
        <v>267</v>
      </c>
      <c r="L243" s="6">
        <v>525</v>
      </c>
      <c r="M243" s="6">
        <f t="shared" si="13"/>
        <v>525</v>
      </c>
      <c r="N243" s="6">
        <f t="shared" si="14"/>
        <v>988</v>
      </c>
      <c r="O243" s="8">
        <f t="shared" si="15"/>
        <v>0.55505617977528088</v>
      </c>
    </row>
    <row r="244" spans="1:15" ht="17" customHeight="1">
      <c r="A244" s="1" t="s">
        <v>588</v>
      </c>
      <c r="B244" t="s">
        <v>778</v>
      </c>
      <c r="C244" s="1" t="s">
        <v>590</v>
      </c>
      <c r="D244" s="42" t="s">
        <v>591</v>
      </c>
      <c r="E244" t="s">
        <v>779</v>
      </c>
      <c r="G244" s="1">
        <v>1780</v>
      </c>
      <c r="H244" s="1">
        <v>1</v>
      </c>
      <c r="I244" s="1">
        <v>1780</v>
      </c>
      <c r="J244" s="1">
        <v>1</v>
      </c>
      <c r="K244" s="1">
        <f t="shared" si="12"/>
        <v>267</v>
      </c>
      <c r="L244" s="6">
        <v>629</v>
      </c>
      <c r="M244" s="6">
        <f t="shared" si="13"/>
        <v>629</v>
      </c>
      <c r="N244" s="6">
        <f t="shared" si="14"/>
        <v>884</v>
      </c>
      <c r="O244" s="8">
        <f t="shared" si="15"/>
        <v>0.49662921348314609</v>
      </c>
    </row>
    <row r="245" spans="1:15" ht="17" customHeight="1">
      <c r="A245" s="1" t="s">
        <v>780</v>
      </c>
      <c r="C245" s="1" t="s">
        <v>781</v>
      </c>
      <c r="D245" s="42" t="s">
        <v>782</v>
      </c>
      <c r="E245" t="s">
        <v>783</v>
      </c>
      <c r="G245" s="1">
        <v>1780</v>
      </c>
      <c r="H245" s="1">
        <v>1</v>
      </c>
      <c r="I245" s="1">
        <v>1780</v>
      </c>
      <c r="J245" s="1">
        <v>1</v>
      </c>
      <c r="K245" s="1">
        <f t="shared" si="12"/>
        <v>267</v>
      </c>
      <c r="L245" s="44">
        <v>549</v>
      </c>
      <c r="M245" s="6">
        <f t="shared" si="13"/>
        <v>549</v>
      </c>
      <c r="N245" s="6">
        <f t="shared" si="14"/>
        <v>964</v>
      </c>
      <c r="O245" s="8">
        <f t="shared" si="15"/>
        <v>0.54157303370786514</v>
      </c>
    </row>
    <row r="246" spans="1:15" ht="17" customHeight="1">
      <c r="A246" s="1" t="s">
        <v>784</v>
      </c>
      <c r="C246" s="1" t="s">
        <v>785</v>
      </c>
      <c r="D246" s="42" t="s">
        <v>786</v>
      </c>
      <c r="E246" t="s">
        <v>785</v>
      </c>
      <c r="G246" s="1">
        <v>1680</v>
      </c>
      <c r="H246" s="1">
        <v>1</v>
      </c>
      <c r="I246" s="1">
        <v>1680</v>
      </c>
      <c r="J246" s="1">
        <v>1</v>
      </c>
      <c r="K246" s="1">
        <f t="shared" si="12"/>
        <v>252</v>
      </c>
      <c r="L246" s="6">
        <v>1070</v>
      </c>
      <c r="M246" s="6">
        <f t="shared" si="13"/>
        <v>1070</v>
      </c>
      <c r="N246" s="6">
        <f t="shared" si="14"/>
        <v>358</v>
      </c>
      <c r="O246" s="8">
        <f t="shared" si="15"/>
        <v>0.21309523809523809</v>
      </c>
    </row>
    <row r="247" spans="1:15" ht="17" customHeight="1">
      <c r="A247" s="1" t="s">
        <v>787</v>
      </c>
      <c r="B247" s="1"/>
      <c r="C247" s="1" t="s">
        <v>788</v>
      </c>
      <c r="D247" s="42" t="s">
        <v>789</v>
      </c>
      <c r="E247" s="1" t="s">
        <v>788</v>
      </c>
      <c r="G247" s="1">
        <v>1680</v>
      </c>
      <c r="H247" s="1">
        <v>1</v>
      </c>
      <c r="I247" s="1">
        <v>1680</v>
      </c>
      <c r="J247" s="1">
        <v>1</v>
      </c>
      <c r="K247" s="1">
        <f t="shared" si="12"/>
        <v>252</v>
      </c>
      <c r="L247" s="6">
        <v>835</v>
      </c>
      <c r="M247" s="6">
        <f t="shared" si="13"/>
        <v>835</v>
      </c>
      <c r="N247" s="6">
        <f t="shared" si="14"/>
        <v>593</v>
      </c>
      <c r="O247" s="8">
        <f t="shared" si="15"/>
        <v>0.3529761904761905</v>
      </c>
    </row>
    <row r="248" spans="1:15" ht="17" customHeight="1">
      <c r="A248" s="1" t="s">
        <v>790</v>
      </c>
      <c r="C248" s="1" t="s">
        <v>791</v>
      </c>
      <c r="D248" s="42" t="s">
        <v>792</v>
      </c>
      <c r="E248" t="s">
        <v>791</v>
      </c>
      <c r="G248" s="1">
        <v>1680</v>
      </c>
      <c r="H248" s="1">
        <v>1</v>
      </c>
      <c r="I248" s="1">
        <v>1680</v>
      </c>
      <c r="J248" s="1">
        <v>1</v>
      </c>
      <c r="K248" s="1">
        <f t="shared" si="12"/>
        <v>252</v>
      </c>
      <c r="L248" s="6">
        <v>942</v>
      </c>
      <c r="M248" s="6">
        <f t="shared" si="13"/>
        <v>942</v>
      </c>
      <c r="N248" s="6">
        <f t="shared" si="14"/>
        <v>486</v>
      </c>
      <c r="O248" s="8">
        <f t="shared" si="15"/>
        <v>0.28928571428571431</v>
      </c>
    </row>
    <row r="249" spans="1:15" ht="17" customHeight="1">
      <c r="A249" s="1" t="s">
        <v>793</v>
      </c>
      <c r="C249" s="1" t="s">
        <v>794</v>
      </c>
      <c r="D249" s="42" t="s">
        <v>792</v>
      </c>
      <c r="E249" t="s">
        <v>795</v>
      </c>
      <c r="G249" s="1">
        <v>1680</v>
      </c>
      <c r="H249" s="1">
        <v>1</v>
      </c>
      <c r="I249" s="1">
        <v>1680</v>
      </c>
      <c r="J249" s="1">
        <v>1</v>
      </c>
      <c r="K249" s="1">
        <f t="shared" si="12"/>
        <v>252</v>
      </c>
      <c r="L249" s="6">
        <v>942</v>
      </c>
      <c r="M249" s="6">
        <f t="shared" si="13"/>
        <v>942</v>
      </c>
      <c r="N249" s="6">
        <f t="shared" si="14"/>
        <v>486</v>
      </c>
      <c r="O249" s="8">
        <f t="shared" si="15"/>
        <v>0.28928571428571431</v>
      </c>
    </row>
    <row r="250" spans="1:15" ht="17" customHeight="1">
      <c r="A250" s="1" t="s">
        <v>796</v>
      </c>
      <c r="C250" s="1" t="s">
        <v>797</v>
      </c>
      <c r="D250" s="42" t="s">
        <v>798</v>
      </c>
      <c r="E250" t="s">
        <v>797</v>
      </c>
      <c r="G250" s="1">
        <v>1680</v>
      </c>
      <c r="H250" s="1">
        <v>1</v>
      </c>
      <c r="I250" s="1">
        <v>1680</v>
      </c>
      <c r="J250" s="1">
        <v>1</v>
      </c>
      <c r="K250" s="1">
        <f t="shared" si="12"/>
        <v>252</v>
      </c>
      <c r="L250" s="6">
        <v>942</v>
      </c>
      <c r="M250" s="6">
        <f t="shared" si="13"/>
        <v>942</v>
      </c>
      <c r="N250" s="6">
        <f t="shared" si="14"/>
        <v>486</v>
      </c>
      <c r="O250" s="8">
        <f t="shared" si="15"/>
        <v>0.28928571428571431</v>
      </c>
    </row>
    <row r="251" spans="1:15" ht="17" customHeight="1">
      <c r="A251" s="1" t="s">
        <v>799</v>
      </c>
      <c r="C251" s="1" t="s">
        <v>800</v>
      </c>
      <c r="D251" s="42" t="s">
        <v>801</v>
      </c>
      <c r="E251" t="s">
        <v>800</v>
      </c>
      <c r="G251" s="1">
        <v>1680</v>
      </c>
      <c r="H251" s="1">
        <v>1</v>
      </c>
      <c r="I251" s="1">
        <v>1680</v>
      </c>
      <c r="J251" s="1">
        <v>1</v>
      </c>
      <c r="K251" s="1">
        <f t="shared" si="12"/>
        <v>252</v>
      </c>
      <c r="L251" s="6">
        <v>858</v>
      </c>
      <c r="M251" s="6">
        <f t="shared" si="13"/>
        <v>858</v>
      </c>
      <c r="N251" s="6">
        <f t="shared" si="14"/>
        <v>570</v>
      </c>
      <c r="O251" s="8">
        <f t="shared" si="15"/>
        <v>0.3392857142857143</v>
      </c>
    </row>
    <row r="252" spans="1:15" ht="17" customHeight="1">
      <c r="A252" s="1" t="s">
        <v>802</v>
      </c>
      <c r="C252" s="1" t="s">
        <v>803</v>
      </c>
      <c r="D252" s="42" t="s">
        <v>804</v>
      </c>
      <c r="E252" t="s">
        <v>803</v>
      </c>
      <c r="G252" s="1">
        <v>1580</v>
      </c>
      <c r="H252" s="1">
        <v>1</v>
      </c>
      <c r="I252" s="1">
        <v>1580</v>
      </c>
      <c r="J252" s="1">
        <v>1</v>
      </c>
      <c r="K252" s="1">
        <f t="shared" si="12"/>
        <v>237</v>
      </c>
      <c r="L252" s="44">
        <v>798</v>
      </c>
      <c r="M252" s="6">
        <f t="shared" si="13"/>
        <v>798</v>
      </c>
      <c r="N252" s="6">
        <f t="shared" si="14"/>
        <v>545</v>
      </c>
      <c r="O252" s="8">
        <f t="shared" si="15"/>
        <v>0.3449367088607595</v>
      </c>
    </row>
    <row r="253" spans="1:15" ht="17" customHeight="1">
      <c r="A253" s="1" t="s">
        <v>805</v>
      </c>
      <c r="C253" s="1">
        <v>4550391012718</v>
      </c>
      <c r="D253" s="42" t="s">
        <v>806</v>
      </c>
      <c r="E253">
        <v>4550391012718</v>
      </c>
      <c r="G253" s="1">
        <v>1480</v>
      </c>
      <c r="H253" s="1">
        <v>1</v>
      </c>
      <c r="I253" s="1">
        <v>1480</v>
      </c>
      <c r="J253" s="1">
        <v>1</v>
      </c>
      <c r="K253" s="1">
        <f t="shared" si="12"/>
        <v>222</v>
      </c>
      <c r="L253" s="44">
        <v>844</v>
      </c>
      <c r="M253" s="6">
        <f t="shared" si="13"/>
        <v>844</v>
      </c>
      <c r="N253" s="6">
        <f t="shared" si="14"/>
        <v>414</v>
      </c>
      <c r="O253" s="8">
        <f t="shared" si="15"/>
        <v>0.2797297297297297</v>
      </c>
    </row>
    <row r="254" spans="1:15" ht="17" customHeight="1">
      <c r="A254" s="1" t="s">
        <v>807</v>
      </c>
      <c r="B254" s="1" t="s">
        <v>808</v>
      </c>
      <c r="C254" s="1" t="s">
        <v>809</v>
      </c>
      <c r="D254" s="42" t="s">
        <v>810</v>
      </c>
      <c r="E254" s="1" t="s">
        <v>811</v>
      </c>
      <c r="G254" s="1">
        <v>1480</v>
      </c>
      <c r="H254" s="1">
        <v>1</v>
      </c>
      <c r="I254" s="1">
        <v>1480</v>
      </c>
      <c r="J254" s="1">
        <v>1</v>
      </c>
      <c r="K254" s="1">
        <f t="shared" si="12"/>
        <v>222</v>
      </c>
      <c r="L254" s="6">
        <v>660</v>
      </c>
      <c r="M254" s="6">
        <f t="shared" si="13"/>
        <v>660</v>
      </c>
      <c r="N254" s="6">
        <f t="shared" si="14"/>
        <v>598</v>
      </c>
      <c r="O254" s="8">
        <f t="shared" si="15"/>
        <v>0.40405405405405403</v>
      </c>
    </row>
    <row r="255" spans="1:15" ht="17" customHeight="1">
      <c r="A255" s="1" t="s">
        <v>812</v>
      </c>
      <c r="C255" s="1" t="s">
        <v>813</v>
      </c>
      <c r="D255" s="42" t="s">
        <v>814</v>
      </c>
      <c r="E255" t="s">
        <v>813</v>
      </c>
      <c r="G255" s="1">
        <v>1480</v>
      </c>
      <c r="H255" s="1">
        <v>1</v>
      </c>
      <c r="I255" s="1">
        <v>1480</v>
      </c>
      <c r="J255" s="1">
        <v>1</v>
      </c>
      <c r="K255" s="1">
        <f t="shared" si="12"/>
        <v>222</v>
      </c>
      <c r="L255" s="6">
        <v>439</v>
      </c>
      <c r="M255" s="6">
        <f t="shared" si="13"/>
        <v>439</v>
      </c>
      <c r="N255" s="6">
        <f t="shared" si="14"/>
        <v>819</v>
      </c>
      <c r="O255" s="8">
        <f t="shared" si="15"/>
        <v>0.55337837837837833</v>
      </c>
    </row>
    <row r="256" spans="1:15" ht="17" customHeight="1">
      <c r="A256" s="1" t="s">
        <v>815</v>
      </c>
      <c r="B256" s="1"/>
      <c r="C256" s="1" t="s">
        <v>816</v>
      </c>
      <c r="D256" s="42" t="s">
        <v>817</v>
      </c>
      <c r="E256" s="1" t="s">
        <v>816</v>
      </c>
      <c r="G256" s="1">
        <v>1480</v>
      </c>
      <c r="H256" s="1">
        <v>1</v>
      </c>
      <c r="I256" s="1">
        <v>1480</v>
      </c>
      <c r="J256" s="1">
        <v>1</v>
      </c>
      <c r="K256" s="1">
        <f t="shared" si="12"/>
        <v>222</v>
      </c>
      <c r="L256" s="6">
        <v>660</v>
      </c>
      <c r="M256" s="6">
        <f t="shared" si="13"/>
        <v>660</v>
      </c>
      <c r="N256" s="6">
        <f t="shared" si="14"/>
        <v>598</v>
      </c>
      <c r="O256" s="8">
        <f t="shared" si="15"/>
        <v>0.40405405405405403</v>
      </c>
    </row>
    <row r="257" spans="1:15" ht="17" customHeight="1">
      <c r="A257" s="1" t="s">
        <v>818</v>
      </c>
      <c r="C257" s="1" t="s">
        <v>819</v>
      </c>
      <c r="D257" s="42" t="s">
        <v>820</v>
      </c>
      <c r="E257" t="s">
        <v>819</v>
      </c>
      <c r="G257" s="1">
        <v>1480</v>
      </c>
      <c r="H257" s="1">
        <v>1</v>
      </c>
      <c r="I257" s="1">
        <v>1480</v>
      </c>
      <c r="J257" s="1">
        <v>1</v>
      </c>
      <c r="K257" s="1">
        <f t="shared" si="12"/>
        <v>222</v>
      </c>
      <c r="L257" s="6">
        <v>711</v>
      </c>
      <c r="M257" s="6">
        <f t="shared" si="13"/>
        <v>711</v>
      </c>
      <c r="N257" s="6">
        <f t="shared" si="14"/>
        <v>547</v>
      </c>
      <c r="O257" s="8">
        <f t="shared" si="15"/>
        <v>0.36959459459459459</v>
      </c>
    </row>
    <row r="258" spans="1:15" ht="17" customHeight="1">
      <c r="A258" s="1" t="s">
        <v>821</v>
      </c>
      <c r="C258" s="1" t="s">
        <v>822</v>
      </c>
      <c r="D258" s="42" t="s">
        <v>823</v>
      </c>
      <c r="E258" t="s">
        <v>493</v>
      </c>
      <c r="G258" s="1">
        <v>1480</v>
      </c>
      <c r="H258" s="1">
        <v>1</v>
      </c>
      <c r="I258" s="1">
        <v>1480</v>
      </c>
      <c r="J258" s="1">
        <v>1</v>
      </c>
      <c r="K258" s="1">
        <f t="shared" si="12"/>
        <v>222</v>
      </c>
      <c r="L258" s="6">
        <v>624</v>
      </c>
      <c r="M258" s="6">
        <f t="shared" si="13"/>
        <v>624</v>
      </c>
      <c r="N258" s="6">
        <f t="shared" si="14"/>
        <v>634</v>
      </c>
      <c r="O258" s="8">
        <f t="shared" si="15"/>
        <v>0.42837837837837839</v>
      </c>
    </row>
    <row r="259" spans="1:15" ht="17" customHeight="1">
      <c r="A259" s="1" t="s">
        <v>824</v>
      </c>
      <c r="B259" s="1" t="s">
        <v>682</v>
      </c>
      <c r="C259" s="1" t="s">
        <v>825</v>
      </c>
      <c r="D259" s="42" t="s">
        <v>826</v>
      </c>
      <c r="E259" s="1" t="s">
        <v>827</v>
      </c>
      <c r="G259" s="1">
        <v>1380</v>
      </c>
      <c r="H259" s="1">
        <v>1</v>
      </c>
      <c r="I259" s="1">
        <v>1380</v>
      </c>
      <c r="J259" s="1">
        <v>1</v>
      </c>
      <c r="K259" s="1">
        <f t="shared" si="12"/>
        <v>207</v>
      </c>
      <c r="L259" s="6">
        <v>695</v>
      </c>
      <c r="M259" s="6">
        <f t="shared" si="13"/>
        <v>695</v>
      </c>
      <c r="N259" s="6">
        <f t="shared" si="14"/>
        <v>478</v>
      </c>
      <c r="O259" s="8">
        <f t="shared" si="15"/>
        <v>0.34637681159420292</v>
      </c>
    </row>
    <row r="260" spans="1:15" ht="17" customHeight="1">
      <c r="A260" s="1" t="s">
        <v>828</v>
      </c>
      <c r="C260" s="1" t="s">
        <v>829</v>
      </c>
      <c r="D260" s="42" t="s">
        <v>830</v>
      </c>
      <c r="E260" t="s">
        <v>831</v>
      </c>
      <c r="G260" s="1">
        <v>1380</v>
      </c>
      <c r="H260" s="1">
        <v>1</v>
      </c>
      <c r="I260" s="1">
        <v>1380</v>
      </c>
      <c r="J260" s="1">
        <v>1</v>
      </c>
      <c r="K260" s="1">
        <f t="shared" si="12"/>
        <v>207</v>
      </c>
      <c r="L260" s="6">
        <v>358</v>
      </c>
      <c r="M260" s="6">
        <f t="shared" si="13"/>
        <v>358</v>
      </c>
      <c r="N260" s="6">
        <f t="shared" si="14"/>
        <v>815</v>
      </c>
      <c r="O260" s="8">
        <f t="shared" si="15"/>
        <v>0.59057971014492749</v>
      </c>
    </row>
    <row r="261" spans="1:15" ht="17" customHeight="1">
      <c r="A261" s="1" t="s">
        <v>832</v>
      </c>
      <c r="B261" s="1"/>
      <c r="C261" s="1" t="s">
        <v>833</v>
      </c>
      <c r="D261" s="42" t="s">
        <v>834</v>
      </c>
      <c r="E261" s="1" t="s">
        <v>833</v>
      </c>
      <c r="G261" s="1">
        <v>1280</v>
      </c>
      <c r="H261" s="1">
        <v>1</v>
      </c>
      <c r="I261" s="1">
        <v>1280</v>
      </c>
      <c r="J261" s="1">
        <v>1</v>
      </c>
      <c r="K261" s="1">
        <f t="shared" si="12"/>
        <v>192</v>
      </c>
      <c r="L261" s="6">
        <v>438</v>
      </c>
      <c r="M261" s="6">
        <f t="shared" si="13"/>
        <v>438</v>
      </c>
      <c r="N261" s="6">
        <f t="shared" si="14"/>
        <v>650</v>
      </c>
      <c r="O261" s="8">
        <f t="shared" si="15"/>
        <v>0.5078125</v>
      </c>
    </row>
    <row r="262" spans="1:15" ht="17" customHeight="1">
      <c r="A262" s="1" t="s">
        <v>835</v>
      </c>
      <c r="C262" s="1" t="s">
        <v>836</v>
      </c>
      <c r="D262" s="42" t="s">
        <v>837</v>
      </c>
      <c r="E262" t="s">
        <v>836</v>
      </c>
      <c r="G262" s="1">
        <v>1280</v>
      </c>
      <c r="H262" s="1">
        <v>1</v>
      </c>
      <c r="I262" s="1">
        <v>1280</v>
      </c>
      <c r="J262" s="1">
        <v>1</v>
      </c>
      <c r="K262" s="1">
        <f t="shared" si="12"/>
        <v>192</v>
      </c>
      <c r="L262" s="6">
        <v>446</v>
      </c>
      <c r="M262" s="6">
        <f t="shared" si="13"/>
        <v>446</v>
      </c>
      <c r="N262" s="6">
        <f t="shared" si="14"/>
        <v>642</v>
      </c>
      <c r="O262" s="8">
        <f t="shared" si="15"/>
        <v>0.50156250000000002</v>
      </c>
    </row>
    <row r="263" spans="1:15" ht="17" customHeight="1">
      <c r="A263" s="1" t="s">
        <v>838</v>
      </c>
      <c r="B263" s="1"/>
      <c r="C263" s="1" t="s">
        <v>839</v>
      </c>
      <c r="D263" s="42" t="s">
        <v>840</v>
      </c>
      <c r="E263" s="1" t="s">
        <v>839</v>
      </c>
      <c r="G263" s="1">
        <v>1280</v>
      </c>
      <c r="H263" s="1">
        <v>1</v>
      </c>
      <c r="I263" s="1">
        <v>1280</v>
      </c>
      <c r="J263" s="1">
        <v>1</v>
      </c>
      <c r="K263" s="1">
        <f t="shared" si="12"/>
        <v>192</v>
      </c>
      <c r="L263" s="6">
        <v>285</v>
      </c>
      <c r="M263" s="6">
        <f t="shared" si="13"/>
        <v>285</v>
      </c>
      <c r="N263" s="6">
        <f t="shared" si="14"/>
        <v>803</v>
      </c>
      <c r="O263" s="8">
        <f t="shared" si="15"/>
        <v>0.62734374999999998</v>
      </c>
    </row>
    <row r="264" spans="1:15" ht="17" customHeight="1">
      <c r="A264" s="1" t="s">
        <v>841</v>
      </c>
      <c r="B264" t="s">
        <v>842</v>
      </c>
      <c r="C264" s="1" t="s">
        <v>843</v>
      </c>
      <c r="D264" s="42" t="s">
        <v>844</v>
      </c>
      <c r="E264" t="s">
        <v>845</v>
      </c>
      <c r="G264" s="1">
        <v>1180</v>
      </c>
      <c r="H264" s="1">
        <v>1</v>
      </c>
      <c r="I264" s="1">
        <v>1180</v>
      </c>
      <c r="J264" s="1">
        <v>1</v>
      </c>
      <c r="K264" s="1">
        <f t="shared" ref="K264:K269" si="16">SUM(I264*0.15)</f>
        <v>177</v>
      </c>
      <c r="L264" s="6">
        <v>605</v>
      </c>
      <c r="M264" s="6">
        <f t="shared" ref="M264:M327" si="17">SUM(H264*L264)</f>
        <v>605</v>
      </c>
      <c r="N264" s="6">
        <f t="shared" ref="N264:N327" si="18">SUM(I264-K264-M264)</f>
        <v>398</v>
      </c>
      <c r="O264" s="8">
        <f t="shared" ref="O264:O327" si="19">IF(I264=0,"",N264/I264)</f>
        <v>0.33728813559322035</v>
      </c>
    </row>
    <row r="265" spans="1:15" ht="17" customHeight="1">
      <c r="A265" s="1" t="s">
        <v>846</v>
      </c>
      <c r="C265" s="1" t="s">
        <v>847</v>
      </c>
      <c r="D265" s="42" t="s">
        <v>848</v>
      </c>
      <c r="E265" t="s">
        <v>849</v>
      </c>
      <c r="G265" s="1">
        <v>1180</v>
      </c>
      <c r="H265" s="1">
        <v>1</v>
      </c>
      <c r="I265" s="1">
        <v>1180</v>
      </c>
      <c r="J265" s="1">
        <v>1</v>
      </c>
      <c r="K265" s="1">
        <f t="shared" si="16"/>
        <v>177</v>
      </c>
      <c r="L265" s="6">
        <v>612</v>
      </c>
      <c r="M265" s="6">
        <f t="shared" si="17"/>
        <v>612</v>
      </c>
      <c r="N265" s="6">
        <f t="shared" si="18"/>
        <v>391</v>
      </c>
      <c r="O265" s="8">
        <f t="shared" si="19"/>
        <v>0.33135593220338982</v>
      </c>
    </row>
    <row r="266" spans="1:15" ht="17" customHeight="1">
      <c r="A266" s="1" t="s">
        <v>850</v>
      </c>
      <c r="B266" s="1"/>
      <c r="C266" s="1" t="s">
        <v>851</v>
      </c>
      <c r="D266" s="42" t="s">
        <v>852</v>
      </c>
      <c r="E266" s="1" t="s">
        <v>851</v>
      </c>
      <c r="G266" s="1">
        <v>1180</v>
      </c>
      <c r="H266" s="1">
        <v>1</v>
      </c>
      <c r="I266" s="1">
        <v>1180</v>
      </c>
      <c r="J266" s="1">
        <v>1</v>
      </c>
      <c r="K266" s="1">
        <f t="shared" si="16"/>
        <v>177</v>
      </c>
      <c r="L266" s="6">
        <v>294</v>
      </c>
      <c r="M266" s="6">
        <f t="shared" si="17"/>
        <v>294</v>
      </c>
      <c r="N266" s="6">
        <f t="shared" si="18"/>
        <v>709</v>
      </c>
      <c r="O266" s="8">
        <f t="shared" si="19"/>
        <v>0.60084745762711866</v>
      </c>
    </row>
    <row r="267" spans="1:15" ht="17" customHeight="1">
      <c r="A267" s="1" t="s">
        <v>841</v>
      </c>
      <c r="B267" t="s">
        <v>853</v>
      </c>
      <c r="C267" s="1" t="s">
        <v>843</v>
      </c>
      <c r="D267" s="42" t="s">
        <v>844</v>
      </c>
      <c r="E267" t="s">
        <v>854</v>
      </c>
      <c r="G267" s="1">
        <v>1180</v>
      </c>
      <c r="H267" s="1">
        <v>1</v>
      </c>
      <c r="I267" s="1">
        <v>1180</v>
      </c>
      <c r="J267" s="1">
        <v>1</v>
      </c>
      <c r="K267" s="1">
        <f t="shared" si="16"/>
        <v>177</v>
      </c>
      <c r="L267" s="6">
        <v>638</v>
      </c>
      <c r="M267" s="6">
        <f t="shared" si="17"/>
        <v>638</v>
      </c>
      <c r="N267" s="6">
        <f t="shared" si="18"/>
        <v>365</v>
      </c>
      <c r="O267" s="8">
        <f t="shared" si="19"/>
        <v>0.30932203389830509</v>
      </c>
    </row>
    <row r="268" spans="1:15" ht="17" customHeight="1">
      <c r="A268" s="1" t="s">
        <v>855</v>
      </c>
      <c r="C268" s="1" t="s">
        <v>856</v>
      </c>
      <c r="D268" s="42" t="s">
        <v>857</v>
      </c>
      <c r="E268" t="s">
        <v>856</v>
      </c>
      <c r="G268" s="1">
        <v>999</v>
      </c>
      <c r="H268" s="1">
        <v>1</v>
      </c>
      <c r="I268" s="1">
        <v>999</v>
      </c>
      <c r="J268" s="1">
        <v>1</v>
      </c>
      <c r="K268" s="1">
        <f t="shared" si="16"/>
        <v>149.85</v>
      </c>
      <c r="L268" s="6">
        <v>328</v>
      </c>
      <c r="M268" s="6">
        <f t="shared" si="17"/>
        <v>328</v>
      </c>
      <c r="N268" s="6">
        <f t="shared" si="18"/>
        <v>521.15</v>
      </c>
      <c r="O268" s="8">
        <f t="shared" si="19"/>
        <v>0.52167167167167161</v>
      </c>
    </row>
    <row r="269" spans="1:15" ht="17" customHeight="1">
      <c r="A269" s="1" t="s">
        <v>858</v>
      </c>
      <c r="C269" s="1" t="s">
        <v>859</v>
      </c>
      <c r="D269" s="42" t="s">
        <v>860</v>
      </c>
      <c r="E269" t="s">
        <v>859</v>
      </c>
      <c r="G269" s="1">
        <v>0</v>
      </c>
      <c r="H269" s="1">
        <v>1</v>
      </c>
      <c r="I269" s="1">
        <v>0</v>
      </c>
      <c r="J269" s="1">
        <v>1</v>
      </c>
      <c r="K269" s="1">
        <f t="shared" si="16"/>
        <v>0</v>
      </c>
      <c r="L269" s="6">
        <v>1200</v>
      </c>
      <c r="M269" s="6">
        <f t="shared" si="17"/>
        <v>1200</v>
      </c>
      <c r="N269" s="6">
        <f t="shared" si="18"/>
        <v>-1200</v>
      </c>
      <c r="O269" s="8" t="str">
        <f t="shared" si="19"/>
        <v/>
      </c>
    </row>
    <row r="270" spans="1:15" ht="17" customHeight="1">
      <c r="H270" s="1">
        <f>SUM(H7:H269)</f>
        <v>659</v>
      </c>
      <c r="I270" s="1">
        <f>SUM(I7:I269)</f>
        <v>2579795</v>
      </c>
      <c r="J270" s="1">
        <f>SUM(J7:J269)</f>
        <v>564</v>
      </c>
      <c r="K270" s="1">
        <f>SUM(K7:K269)</f>
        <v>386969.25000000006</v>
      </c>
      <c r="M270" s="1">
        <f>SUM(M7:M269)</f>
        <v>1486449</v>
      </c>
      <c r="N270" s="1">
        <f>SUM(N7:N269)</f>
        <v>706376.75000000012</v>
      </c>
      <c r="O270" s="8">
        <f t="shared" si="19"/>
        <v>0.27381119430032236</v>
      </c>
    </row>
    <row r="271" spans="1:15" ht="17" customHeight="1"/>
    <row r="272" spans="1:15" ht="17" customHeight="1">
      <c r="M272" s="30" t="s">
        <v>861</v>
      </c>
      <c r="N272" s="31">
        <v>58405</v>
      </c>
      <c r="O272" s="32">
        <f>SUM(N272/I270)</f>
        <v>2.2639395765942642E-2</v>
      </c>
    </row>
    <row r="273" spans="13:16" ht="17" customHeight="1">
      <c r="M273" s="33" t="s">
        <v>862</v>
      </c>
      <c r="N273" s="45">
        <v>64626</v>
      </c>
      <c r="O273" s="34">
        <f>SUM(N273/I270)</f>
        <v>2.5050827682044502E-2</v>
      </c>
    </row>
    <row r="274" spans="13:16" ht="17" customHeight="1">
      <c r="M274" s="33" t="s">
        <v>863</v>
      </c>
      <c r="N274" s="45">
        <v>9000</v>
      </c>
      <c r="O274" s="34">
        <f>SUM(N274/I270)</f>
        <v>3.4886492919011009E-3</v>
      </c>
    </row>
    <row r="275" spans="13:16" ht="17" customHeight="1">
      <c r="M275" s="33" t="s">
        <v>864</v>
      </c>
      <c r="N275" s="28">
        <v>0</v>
      </c>
      <c r="O275" s="35"/>
      <c r="P275" t="s">
        <v>865</v>
      </c>
    </row>
    <row r="276" spans="13:16" ht="17" customHeight="1">
      <c r="M276" s="33" t="s">
        <v>866</v>
      </c>
      <c r="N276" s="28">
        <f>SUM(N272:N275)</f>
        <v>132031</v>
      </c>
      <c r="O276" s="34">
        <f>SUM(N276/I270)</f>
        <v>5.1178872739888248E-2</v>
      </c>
    </row>
    <row r="277" spans="13:16" ht="17" customHeight="1">
      <c r="M277" s="33"/>
      <c r="N277" s="28"/>
      <c r="O277" s="34"/>
    </row>
    <row r="278" spans="13:16" ht="17" customHeight="1">
      <c r="M278" s="33" t="s">
        <v>867</v>
      </c>
      <c r="N278" s="45">
        <v>196515</v>
      </c>
      <c r="O278" s="34">
        <f>SUM(N278/I270)</f>
        <v>7.6174657288660533E-2</v>
      </c>
    </row>
    <row r="279" spans="13:16" ht="17" customHeight="1">
      <c r="M279" s="36" t="s">
        <v>868</v>
      </c>
      <c r="N279" s="46">
        <v>23936</v>
      </c>
      <c r="O279" s="34">
        <f>SUM(N279/I270)</f>
        <v>9.2782566056605273E-3</v>
      </c>
    </row>
    <row r="280" spans="13:16" ht="17" customHeight="1">
      <c r="M280" s="36" t="s">
        <v>866</v>
      </c>
      <c r="N280" s="1">
        <f>SUM(N278:N279)</f>
        <v>220451</v>
      </c>
      <c r="O280" s="34">
        <f>SUM(O278:O279)</f>
        <v>8.5452913894321053E-2</v>
      </c>
    </row>
    <row r="281" spans="13:16" ht="17" customHeight="1">
      <c r="M281" s="33"/>
      <c r="N281" s="28"/>
      <c r="O281" s="35"/>
    </row>
    <row r="282" spans="13:16" ht="17" customHeight="1">
      <c r="M282" s="33" t="s">
        <v>869</v>
      </c>
      <c r="N282" s="28">
        <f>IF(COUNTBLANK(N272:N275)+COUNTBLANK(N278:N279)&gt;0,"未確定",N270-N276-N280)</f>
        <v>353894.75000000012</v>
      </c>
      <c r="O282" s="35"/>
    </row>
    <row r="283" spans="13:16" ht="17" customHeight="1">
      <c r="M283" s="37" t="s">
        <v>870</v>
      </c>
      <c r="N283" s="38">
        <f>IF(ISTEXT(N282),"未確定",IF(I270=0,"",N282/I270))</f>
        <v>0.13717940766611306</v>
      </c>
      <c r="O283" s="39"/>
    </row>
    <row r="284" spans="13:16" ht="17" customHeight="1"/>
    <row r="285" spans="13:16" ht="17" customHeight="1"/>
    <row r="286" spans="13:16" ht="17" customHeight="1"/>
    <row r="287" spans="13:16" ht="17" customHeight="1"/>
    <row r="288" spans="13:16" ht="17" customHeight="1"/>
    <row r="289" ht="17" customHeight="1"/>
    <row r="290" ht="17" customHeight="1"/>
    <row r="291" ht="17" customHeight="1"/>
    <row r="292" ht="17" customHeight="1"/>
    <row r="293" ht="17" customHeight="1"/>
    <row r="294" ht="17" customHeight="1"/>
    <row r="295" ht="17" customHeight="1"/>
    <row r="296" ht="17" customHeight="1"/>
    <row r="297" ht="17" customHeight="1"/>
    <row r="298" ht="17" customHeight="1"/>
    <row r="299" ht="17" customHeight="1"/>
    <row r="300" ht="17" customHeight="1"/>
    <row r="301" ht="17" customHeight="1"/>
    <row r="302" ht="17" customHeight="1"/>
    <row r="303" ht="17" customHeight="1"/>
    <row r="304" ht="17" customHeight="1"/>
    <row r="305" ht="17" customHeight="1"/>
    <row r="306" ht="17" customHeight="1"/>
    <row r="307" ht="17" customHeight="1"/>
    <row r="308" ht="17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</sheetData>
  <phoneticPr fontId="15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4月</vt:lpstr>
      <vt:lpstr>5月</vt:lpstr>
      <vt:lpstr>6月</vt:lpstr>
      <vt:lpstr>7月</vt:lpstr>
      <vt:lpstr>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英樹 海老名</cp:lastModifiedBy>
  <dcterms:created xsi:type="dcterms:W3CDTF">2026-08-03T06:53:46Z</dcterms:created>
  <dcterms:modified xsi:type="dcterms:W3CDTF">2026-09-20T14:07:12Z</dcterms:modified>
</cp:coreProperties>
</file>