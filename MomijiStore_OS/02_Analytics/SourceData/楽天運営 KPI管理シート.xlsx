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3_ncr:1_{1F49CE9C-E2FD-2347-874D-E962278C2C55}" xr6:coauthVersionLast="47" xr6:coauthVersionMax="47" xr10:uidLastSave="{00000000-0000-0000-0000-000000000000}"/>
  <bookViews>
    <workbookView xWindow="8300" yWindow="600" windowWidth="38400" windowHeight="21000" activeTab="3" xr2:uid="{00000000-000D-0000-FFFF-FFFF00000000}"/>
  </bookViews>
  <sheets>
    <sheet name="4月" sheetId="1" r:id="rId1"/>
    <sheet name="5月" sheetId="2" r:id="rId2"/>
    <sheet name="6月" sheetId="3" r:id="rId3"/>
    <sheet name="7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1" i="4" l="1"/>
  <c r="N319" i="3"/>
  <c r="O318" i="3"/>
  <c r="O317" i="3"/>
  <c r="O319" i="3" s="1"/>
  <c r="N315" i="3"/>
  <c r="O315" i="3" s="1"/>
  <c r="O313" i="3"/>
  <c r="O312" i="3"/>
  <c r="J309" i="3"/>
  <c r="I309" i="3"/>
  <c r="H309" i="3"/>
  <c r="O308" i="3"/>
  <c r="N308" i="3"/>
  <c r="M308" i="3"/>
  <c r="K308" i="3"/>
  <c r="M307" i="3"/>
  <c r="N307" i="3" s="1"/>
  <c r="O307" i="3" s="1"/>
  <c r="K307" i="3"/>
  <c r="M306" i="3"/>
  <c r="K306" i="3"/>
  <c r="N306" i="3" s="1"/>
  <c r="O306" i="3" s="1"/>
  <c r="M305" i="3"/>
  <c r="K305" i="3"/>
  <c r="M304" i="3"/>
  <c r="K304" i="3"/>
  <c r="N304" i="3" s="1"/>
  <c r="O304" i="3" s="1"/>
  <c r="N303" i="3"/>
  <c r="O303" i="3" s="1"/>
  <c r="M303" i="3"/>
  <c r="K303" i="3"/>
  <c r="M302" i="3"/>
  <c r="K302" i="3"/>
  <c r="N302" i="3" s="1"/>
  <c r="O302" i="3" s="1"/>
  <c r="N301" i="3"/>
  <c r="O301" i="3" s="1"/>
  <c r="M301" i="3"/>
  <c r="K301" i="3"/>
  <c r="M300" i="3"/>
  <c r="K300" i="3"/>
  <c r="N300" i="3" s="1"/>
  <c r="O300" i="3" s="1"/>
  <c r="O299" i="3"/>
  <c r="N299" i="3"/>
  <c r="M299" i="3"/>
  <c r="K299" i="3"/>
  <c r="N298" i="3"/>
  <c r="O298" i="3" s="1"/>
  <c r="M298" i="3"/>
  <c r="K298" i="3"/>
  <c r="N297" i="3"/>
  <c r="O297" i="3" s="1"/>
  <c r="M297" i="3"/>
  <c r="K297" i="3"/>
  <c r="M296" i="3"/>
  <c r="K296" i="3"/>
  <c r="N296" i="3" s="1"/>
  <c r="O296" i="3" s="1"/>
  <c r="M295" i="3"/>
  <c r="K295" i="3"/>
  <c r="N295" i="3" s="1"/>
  <c r="O295" i="3" s="1"/>
  <c r="M294" i="3"/>
  <c r="K294" i="3"/>
  <c r="N294" i="3" s="1"/>
  <c r="O294" i="3" s="1"/>
  <c r="O293" i="3"/>
  <c r="N293" i="3"/>
  <c r="M293" i="3"/>
  <c r="K293" i="3"/>
  <c r="O292" i="3"/>
  <c r="N292" i="3"/>
  <c r="M292" i="3"/>
  <c r="K292" i="3"/>
  <c r="M291" i="3"/>
  <c r="K291" i="3"/>
  <c r="N291" i="3" s="1"/>
  <c r="O291" i="3" s="1"/>
  <c r="M290" i="3"/>
  <c r="K290" i="3"/>
  <c r="N290" i="3" s="1"/>
  <c r="O290" i="3" s="1"/>
  <c r="N289" i="3"/>
  <c r="O289" i="3" s="1"/>
  <c r="M289" i="3"/>
  <c r="K289" i="3"/>
  <c r="O288" i="3"/>
  <c r="N288" i="3"/>
  <c r="M288" i="3"/>
  <c r="K288" i="3"/>
  <c r="M287" i="3"/>
  <c r="K287" i="3"/>
  <c r="M286" i="3"/>
  <c r="K286" i="3"/>
  <c r="N286" i="3" s="1"/>
  <c r="O286" i="3" s="1"/>
  <c r="M285" i="3"/>
  <c r="K285" i="3"/>
  <c r="M284" i="3"/>
  <c r="K284" i="3"/>
  <c r="N284" i="3" s="1"/>
  <c r="O284" i="3" s="1"/>
  <c r="O283" i="3"/>
  <c r="N283" i="3"/>
  <c r="M283" i="3"/>
  <c r="K283" i="3"/>
  <c r="N282" i="3"/>
  <c r="O282" i="3" s="1"/>
  <c r="M282" i="3"/>
  <c r="K282" i="3"/>
  <c r="M281" i="3"/>
  <c r="K281" i="3"/>
  <c r="N281" i="3" s="1"/>
  <c r="O281" i="3" s="1"/>
  <c r="M280" i="3"/>
  <c r="K280" i="3"/>
  <c r="M279" i="3"/>
  <c r="K279" i="3"/>
  <c r="N279" i="3" s="1"/>
  <c r="O279" i="3" s="1"/>
  <c r="N278" i="3"/>
  <c r="O278" i="3" s="1"/>
  <c r="M278" i="3"/>
  <c r="K278" i="3"/>
  <c r="M277" i="3"/>
  <c r="K277" i="3"/>
  <c r="M276" i="3"/>
  <c r="N276" i="3" s="1"/>
  <c r="O276" i="3" s="1"/>
  <c r="K276" i="3"/>
  <c r="M275" i="3"/>
  <c r="K275" i="3"/>
  <c r="N275" i="3" s="1"/>
  <c r="O275" i="3" s="1"/>
  <c r="M274" i="3"/>
  <c r="K274" i="3"/>
  <c r="N274" i="3" s="1"/>
  <c r="O274" i="3" s="1"/>
  <c r="N273" i="3"/>
  <c r="O273" i="3" s="1"/>
  <c r="M273" i="3"/>
  <c r="K273" i="3"/>
  <c r="N272" i="3"/>
  <c r="O272" i="3" s="1"/>
  <c r="M272" i="3"/>
  <c r="K272" i="3"/>
  <c r="M271" i="3"/>
  <c r="K271" i="3"/>
  <c r="N271" i="3" s="1"/>
  <c r="O271" i="3" s="1"/>
  <c r="M270" i="3"/>
  <c r="K270" i="3"/>
  <c r="M269" i="3"/>
  <c r="K269" i="3"/>
  <c r="N269" i="3" s="1"/>
  <c r="O269" i="3" s="1"/>
  <c r="O268" i="3"/>
  <c r="N268" i="3"/>
  <c r="M268" i="3"/>
  <c r="K268" i="3"/>
  <c r="N267" i="3"/>
  <c r="O267" i="3" s="1"/>
  <c r="M267" i="3"/>
  <c r="K267" i="3"/>
  <c r="M266" i="3"/>
  <c r="K266" i="3"/>
  <c r="N266" i="3" s="1"/>
  <c r="O266" i="3" s="1"/>
  <c r="M265" i="3"/>
  <c r="K265" i="3"/>
  <c r="N265" i="3" s="1"/>
  <c r="O265" i="3" s="1"/>
  <c r="N264" i="3"/>
  <c r="O264" i="3" s="1"/>
  <c r="M264" i="3"/>
  <c r="K264" i="3"/>
  <c r="N263" i="3"/>
  <c r="O263" i="3" s="1"/>
  <c r="M263" i="3"/>
  <c r="K263" i="3"/>
  <c r="M262" i="3"/>
  <c r="K262" i="3"/>
  <c r="N261" i="3"/>
  <c r="O261" i="3" s="1"/>
  <c r="M261" i="3"/>
  <c r="K261" i="3"/>
  <c r="M260" i="3"/>
  <c r="K260" i="3"/>
  <c r="M259" i="3"/>
  <c r="K259" i="3"/>
  <c r="N259" i="3" s="1"/>
  <c r="O259" i="3" s="1"/>
  <c r="O258" i="3"/>
  <c r="N258" i="3"/>
  <c r="M258" i="3"/>
  <c r="K258" i="3"/>
  <c r="N257" i="3"/>
  <c r="O257" i="3" s="1"/>
  <c r="M257" i="3"/>
  <c r="K257" i="3"/>
  <c r="M256" i="3"/>
  <c r="K256" i="3"/>
  <c r="N256" i="3" s="1"/>
  <c r="O256" i="3" s="1"/>
  <c r="M255" i="3"/>
  <c r="K255" i="3"/>
  <c r="M254" i="3"/>
  <c r="K254" i="3"/>
  <c r="N254" i="3" s="1"/>
  <c r="O254" i="3" s="1"/>
  <c r="N253" i="3"/>
  <c r="O253" i="3" s="1"/>
  <c r="M253" i="3"/>
  <c r="K253" i="3"/>
  <c r="M252" i="3"/>
  <c r="K252" i="3"/>
  <c r="N252" i="3" s="1"/>
  <c r="O252" i="3" s="1"/>
  <c r="M251" i="3"/>
  <c r="N251" i="3" s="1"/>
  <c r="O251" i="3" s="1"/>
  <c r="K251" i="3"/>
  <c r="M250" i="3"/>
  <c r="K250" i="3"/>
  <c r="N249" i="3"/>
  <c r="O249" i="3" s="1"/>
  <c r="M249" i="3"/>
  <c r="K249" i="3"/>
  <c r="O248" i="3"/>
  <c r="N248" i="3"/>
  <c r="M248" i="3"/>
  <c r="K248" i="3"/>
  <c r="O247" i="3"/>
  <c r="M247" i="3"/>
  <c r="K247" i="3"/>
  <c r="N247" i="3" s="1"/>
  <c r="M246" i="3"/>
  <c r="K246" i="3"/>
  <c r="N246" i="3" s="1"/>
  <c r="O246" i="3" s="1"/>
  <c r="M245" i="3"/>
  <c r="K245" i="3"/>
  <c r="M244" i="3"/>
  <c r="K244" i="3"/>
  <c r="N244" i="3" s="1"/>
  <c r="O244" i="3" s="1"/>
  <c r="O243" i="3"/>
  <c r="N243" i="3"/>
  <c r="M243" i="3"/>
  <c r="K243" i="3"/>
  <c r="M242" i="3"/>
  <c r="K242" i="3"/>
  <c r="N242" i="3" s="1"/>
  <c r="O242" i="3" s="1"/>
  <c r="M241" i="3"/>
  <c r="N241" i="3" s="1"/>
  <c r="O241" i="3" s="1"/>
  <c r="K241" i="3"/>
  <c r="M240" i="3"/>
  <c r="K240" i="3"/>
  <c r="N240" i="3" s="1"/>
  <c r="O240" i="3" s="1"/>
  <c r="N239" i="3"/>
  <c r="O239" i="3" s="1"/>
  <c r="M239" i="3"/>
  <c r="K239" i="3"/>
  <c r="N238" i="3"/>
  <c r="O238" i="3" s="1"/>
  <c r="M238" i="3"/>
  <c r="K238" i="3"/>
  <c r="M237" i="3"/>
  <c r="K237" i="3"/>
  <c r="N237" i="3" s="1"/>
  <c r="O237" i="3" s="1"/>
  <c r="M236" i="3"/>
  <c r="K236" i="3"/>
  <c r="N236" i="3" s="1"/>
  <c r="O236" i="3" s="1"/>
  <c r="M235" i="3"/>
  <c r="K235" i="3"/>
  <c r="N235" i="3" s="1"/>
  <c r="O235" i="3" s="1"/>
  <c r="O234" i="3"/>
  <c r="M234" i="3"/>
  <c r="K234" i="3"/>
  <c r="N234" i="3" s="1"/>
  <c r="N233" i="3"/>
  <c r="O233" i="3" s="1"/>
  <c r="M233" i="3"/>
  <c r="K233" i="3"/>
  <c r="M232" i="3"/>
  <c r="N232" i="3" s="1"/>
  <c r="O232" i="3" s="1"/>
  <c r="K232" i="3"/>
  <c r="M231" i="3"/>
  <c r="K231" i="3"/>
  <c r="M230" i="3"/>
  <c r="K230" i="3"/>
  <c r="N229" i="3"/>
  <c r="O229" i="3" s="1"/>
  <c r="M229" i="3"/>
  <c r="K229" i="3"/>
  <c r="N228" i="3"/>
  <c r="O228" i="3" s="1"/>
  <c r="M228" i="3"/>
  <c r="K228" i="3"/>
  <c r="M227" i="3"/>
  <c r="K227" i="3"/>
  <c r="N227" i="3" s="1"/>
  <c r="O227" i="3" s="1"/>
  <c r="M226" i="3"/>
  <c r="N226" i="3" s="1"/>
  <c r="O226" i="3" s="1"/>
  <c r="K226" i="3"/>
  <c r="M225" i="3"/>
  <c r="K225" i="3"/>
  <c r="N225" i="3" s="1"/>
  <c r="O225" i="3" s="1"/>
  <c r="O224" i="3"/>
  <c r="N224" i="3"/>
  <c r="M224" i="3"/>
  <c r="K224" i="3"/>
  <c r="O223" i="3"/>
  <c r="N223" i="3"/>
  <c r="M223" i="3"/>
  <c r="K223" i="3"/>
  <c r="M222" i="3"/>
  <c r="K222" i="3"/>
  <c r="N222" i="3" s="1"/>
  <c r="O222" i="3" s="1"/>
  <c r="M221" i="3"/>
  <c r="K221" i="3"/>
  <c r="M220" i="3"/>
  <c r="K220" i="3"/>
  <c r="N220" i="3" s="1"/>
  <c r="O220" i="3" s="1"/>
  <c r="M219" i="3"/>
  <c r="K219" i="3"/>
  <c r="N219" i="3" s="1"/>
  <c r="O219" i="3" s="1"/>
  <c r="O218" i="3"/>
  <c r="N218" i="3"/>
  <c r="M218" i="3"/>
  <c r="K218" i="3"/>
  <c r="O217" i="3"/>
  <c r="N217" i="3"/>
  <c r="M217" i="3"/>
  <c r="K217" i="3"/>
  <c r="M216" i="3"/>
  <c r="K216" i="3"/>
  <c r="M215" i="3"/>
  <c r="K215" i="3"/>
  <c r="N215" i="3" s="1"/>
  <c r="O215" i="3" s="1"/>
  <c r="O214" i="3"/>
  <c r="N214" i="3"/>
  <c r="M214" i="3"/>
  <c r="K214" i="3"/>
  <c r="N213" i="3"/>
  <c r="O213" i="3" s="1"/>
  <c r="M213" i="3"/>
  <c r="K213" i="3"/>
  <c r="M212" i="3"/>
  <c r="K212" i="3"/>
  <c r="N212" i="3" s="1"/>
  <c r="O212" i="3" s="1"/>
  <c r="N211" i="3"/>
  <c r="O211" i="3" s="1"/>
  <c r="M211" i="3"/>
  <c r="K211" i="3"/>
  <c r="M210" i="3"/>
  <c r="K210" i="3"/>
  <c r="N210" i="3" s="1"/>
  <c r="O210" i="3" s="1"/>
  <c r="M209" i="3"/>
  <c r="K209" i="3"/>
  <c r="N209" i="3" s="1"/>
  <c r="O209" i="3" s="1"/>
  <c r="N208" i="3"/>
  <c r="O208" i="3" s="1"/>
  <c r="M208" i="3"/>
  <c r="K208" i="3"/>
  <c r="M207" i="3"/>
  <c r="N207" i="3" s="1"/>
  <c r="O207" i="3" s="1"/>
  <c r="K207" i="3"/>
  <c r="N206" i="3"/>
  <c r="O206" i="3" s="1"/>
  <c r="M206" i="3"/>
  <c r="K206" i="3"/>
  <c r="M205" i="3"/>
  <c r="K205" i="3"/>
  <c r="N204" i="3"/>
  <c r="O204" i="3" s="1"/>
  <c r="M204" i="3"/>
  <c r="K204" i="3"/>
  <c r="N203" i="3"/>
  <c r="O203" i="3" s="1"/>
  <c r="M203" i="3"/>
  <c r="K203" i="3"/>
  <c r="M202" i="3"/>
  <c r="K202" i="3"/>
  <c r="N202" i="3" s="1"/>
  <c r="O202" i="3" s="1"/>
  <c r="M201" i="3"/>
  <c r="N201" i="3" s="1"/>
  <c r="O201" i="3" s="1"/>
  <c r="K201" i="3"/>
  <c r="M200" i="3"/>
  <c r="K200" i="3"/>
  <c r="N200" i="3" s="1"/>
  <c r="O200" i="3" s="1"/>
  <c r="N199" i="3"/>
  <c r="O199" i="3" s="1"/>
  <c r="M199" i="3"/>
  <c r="K199" i="3"/>
  <c r="N198" i="3"/>
  <c r="O198" i="3" s="1"/>
  <c r="M198" i="3"/>
  <c r="K198" i="3"/>
  <c r="M197" i="3"/>
  <c r="K197" i="3"/>
  <c r="N197" i="3" s="1"/>
  <c r="O197" i="3" s="1"/>
  <c r="M196" i="3"/>
  <c r="K196" i="3"/>
  <c r="N196" i="3" s="1"/>
  <c r="O196" i="3" s="1"/>
  <c r="M195" i="3"/>
  <c r="K195" i="3"/>
  <c r="N195" i="3" s="1"/>
  <c r="O195" i="3" s="1"/>
  <c r="N194" i="3"/>
  <c r="O194" i="3" s="1"/>
  <c r="M194" i="3"/>
  <c r="K194" i="3"/>
  <c r="O193" i="3"/>
  <c r="N193" i="3"/>
  <c r="M193" i="3"/>
  <c r="K193" i="3"/>
  <c r="M192" i="3"/>
  <c r="K192" i="3"/>
  <c r="N192" i="3" s="1"/>
  <c r="O192" i="3" s="1"/>
  <c r="M191" i="3"/>
  <c r="K191" i="3"/>
  <c r="N191" i="3" s="1"/>
  <c r="O191" i="3" s="1"/>
  <c r="M190" i="3"/>
  <c r="K190" i="3"/>
  <c r="N190" i="3" s="1"/>
  <c r="O190" i="3" s="1"/>
  <c r="O189" i="3"/>
  <c r="N189" i="3"/>
  <c r="M189" i="3"/>
  <c r="K189" i="3"/>
  <c r="O188" i="3"/>
  <c r="N188" i="3"/>
  <c r="M188" i="3"/>
  <c r="K188" i="3"/>
  <c r="M187" i="3"/>
  <c r="K187" i="3"/>
  <c r="N187" i="3" s="1"/>
  <c r="O187" i="3" s="1"/>
  <c r="M186" i="3"/>
  <c r="K186" i="3"/>
  <c r="N186" i="3" s="1"/>
  <c r="O186" i="3" s="1"/>
  <c r="M185" i="3"/>
  <c r="K185" i="3"/>
  <c r="M184" i="3"/>
  <c r="K184" i="3"/>
  <c r="N184" i="3" s="1"/>
  <c r="O184" i="3" s="1"/>
  <c r="N183" i="3"/>
  <c r="O183" i="3" s="1"/>
  <c r="M183" i="3"/>
  <c r="K183" i="3"/>
  <c r="M182" i="3"/>
  <c r="N182" i="3" s="1"/>
  <c r="O182" i="3" s="1"/>
  <c r="K182" i="3"/>
  <c r="M181" i="3"/>
  <c r="K181" i="3"/>
  <c r="N181" i="3" s="1"/>
  <c r="O181" i="3" s="1"/>
  <c r="M180" i="3"/>
  <c r="K180" i="3"/>
  <c r="M179" i="3"/>
  <c r="K179" i="3"/>
  <c r="N179" i="3" s="1"/>
  <c r="O179" i="3" s="1"/>
  <c r="N178" i="3"/>
  <c r="O178" i="3" s="1"/>
  <c r="M178" i="3"/>
  <c r="K178" i="3"/>
  <c r="O177" i="3"/>
  <c r="M177" i="3"/>
  <c r="K177" i="3"/>
  <c r="N177" i="3" s="1"/>
  <c r="N176" i="3"/>
  <c r="O176" i="3" s="1"/>
  <c r="M176" i="3"/>
  <c r="K176" i="3"/>
  <c r="M175" i="3"/>
  <c r="K175" i="3"/>
  <c r="N175" i="3" s="1"/>
  <c r="O175" i="3" s="1"/>
  <c r="M174" i="3"/>
  <c r="K174" i="3"/>
  <c r="N174" i="3" s="1"/>
  <c r="O174" i="3" s="1"/>
  <c r="O173" i="3"/>
  <c r="N173" i="3"/>
  <c r="M173" i="3"/>
  <c r="K173" i="3"/>
  <c r="M172" i="3"/>
  <c r="N172" i="3" s="1"/>
  <c r="O172" i="3" s="1"/>
  <c r="K172" i="3"/>
  <c r="M171" i="3"/>
  <c r="K171" i="3"/>
  <c r="N171" i="3" s="1"/>
  <c r="O171" i="3" s="1"/>
  <c r="M170" i="3"/>
  <c r="K170" i="3"/>
  <c r="N170" i="3" s="1"/>
  <c r="O170" i="3" s="1"/>
  <c r="M169" i="3"/>
  <c r="K169" i="3"/>
  <c r="N169" i="3" s="1"/>
  <c r="O169" i="3" s="1"/>
  <c r="O168" i="3"/>
  <c r="N168" i="3"/>
  <c r="M168" i="3"/>
  <c r="K168" i="3"/>
  <c r="N167" i="3"/>
  <c r="O167" i="3" s="1"/>
  <c r="M167" i="3"/>
  <c r="K167" i="3"/>
  <c r="M166" i="3"/>
  <c r="K166" i="3"/>
  <c r="N166" i="3" s="1"/>
  <c r="O166" i="3" s="1"/>
  <c r="M165" i="3"/>
  <c r="K165" i="3"/>
  <c r="N165" i="3" s="1"/>
  <c r="O165" i="3" s="1"/>
  <c r="N164" i="3"/>
  <c r="O164" i="3" s="1"/>
  <c r="M164" i="3"/>
  <c r="K164" i="3"/>
  <c r="N163" i="3"/>
  <c r="O163" i="3" s="1"/>
  <c r="M163" i="3"/>
  <c r="K163" i="3"/>
  <c r="M162" i="3"/>
  <c r="K162" i="3"/>
  <c r="N162" i="3" s="1"/>
  <c r="O162" i="3" s="1"/>
  <c r="N161" i="3"/>
  <c r="O161" i="3" s="1"/>
  <c r="M161" i="3"/>
  <c r="K161" i="3"/>
  <c r="M160" i="3"/>
  <c r="K160" i="3"/>
  <c r="N160" i="3" s="1"/>
  <c r="O160" i="3" s="1"/>
  <c r="M159" i="3"/>
  <c r="K159" i="3"/>
  <c r="N159" i="3" s="1"/>
  <c r="O159" i="3" s="1"/>
  <c r="N158" i="3"/>
  <c r="O158" i="3" s="1"/>
  <c r="M158" i="3"/>
  <c r="K158" i="3"/>
  <c r="M157" i="3"/>
  <c r="N157" i="3" s="1"/>
  <c r="O157" i="3" s="1"/>
  <c r="K157" i="3"/>
  <c r="M156" i="3"/>
  <c r="K156" i="3"/>
  <c r="M155" i="3"/>
  <c r="K155" i="3"/>
  <c r="M154" i="3"/>
  <c r="K154" i="3"/>
  <c r="N154" i="3" s="1"/>
  <c r="O154" i="3" s="1"/>
  <c r="N153" i="3"/>
  <c r="O153" i="3" s="1"/>
  <c r="M153" i="3"/>
  <c r="K153" i="3"/>
  <c r="M152" i="3"/>
  <c r="K152" i="3"/>
  <c r="N152" i="3" s="1"/>
  <c r="O152" i="3" s="1"/>
  <c r="M151" i="3"/>
  <c r="N151" i="3" s="1"/>
  <c r="O151" i="3" s="1"/>
  <c r="K151" i="3"/>
  <c r="M150" i="3"/>
  <c r="K150" i="3"/>
  <c r="N150" i="3" s="1"/>
  <c r="O150" i="3" s="1"/>
  <c r="O149" i="3"/>
  <c r="N149" i="3"/>
  <c r="M149" i="3"/>
  <c r="K149" i="3"/>
  <c r="O148" i="3"/>
  <c r="N148" i="3"/>
  <c r="M148" i="3"/>
  <c r="K148" i="3"/>
  <c r="N147" i="3"/>
  <c r="O147" i="3" s="1"/>
  <c r="M147" i="3"/>
  <c r="K147" i="3"/>
  <c r="M146" i="3"/>
  <c r="K146" i="3"/>
  <c r="N146" i="3" s="1"/>
  <c r="O146" i="3" s="1"/>
  <c r="M145" i="3"/>
  <c r="K145" i="3"/>
  <c r="M144" i="3"/>
  <c r="K144" i="3"/>
  <c r="N144" i="3" s="1"/>
  <c r="O144" i="3" s="1"/>
  <c r="O143" i="3"/>
  <c r="N143" i="3"/>
  <c r="M143" i="3"/>
  <c r="K143" i="3"/>
  <c r="N142" i="3"/>
  <c r="O142" i="3" s="1"/>
  <c r="M142" i="3"/>
  <c r="K142" i="3"/>
  <c r="N141" i="3"/>
  <c r="O141" i="3" s="1"/>
  <c r="M141" i="3"/>
  <c r="K141" i="3"/>
  <c r="M140" i="3"/>
  <c r="K140" i="3"/>
  <c r="N140" i="3" s="1"/>
  <c r="O140" i="3" s="1"/>
  <c r="N139" i="3"/>
  <c r="O139" i="3" s="1"/>
  <c r="M139" i="3"/>
  <c r="K139" i="3"/>
  <c r="N138" i="3"/>
  <c r="O138" i="3" s="1"/>
  <c r="M138" i="3"/>
  <c r="K138" i="3"/>
  <c r="M137" i="3"/>
  <c r="K137" i="3"/>
  <c r="N136" i="3"/>
  <c r="O136" i="3" s="1"/>
  <c r="M136" i="3"/>
  <c r="K136" i="3"/>
  <c r="M135" i="3"/>
  <c r="K135" i="3"/>
  <c r="N135" i="3" s="1"/>
  <c r="O135" i="3" s="1"/>
  <c r="O134" i="3"/>
  <c r="M134" i="3"/>
  <c r="K134" i="3"/>
  <c r="N134" i="3" s="1"/>
  <c r="O133" i="3"/>
  <c r="N133" i="3"/>
  <c r="M133" i="3"/>
  <c r="K133" i="3"/>
  <c r="M132" i="3"/>
  <c r="N132" i="3" s="1"/>
  <c r="O132" i="3" s="1"/>
  <c r="K132" i="3"/>
  <c r="M131" i="3"/>
  <c r="K131" i="3"/>
  <c r="N131" i="3" s="1"/>
  <c r="O131" i="3" s="1"/>
  <c r="M130" i="3"/>
  <c r="K130" i="3"/>
  <c r="O129" i="3"/>
  <c r="N129" i="3"/>
  <c r="M129" i="3"/>
  <c r="K129" i="3"/>
  <c r="N128" i="3"/>
  <c r="O128" i="3" s="1"/>
  <c r="M128" i="3"/>
  <c r="K128" i="3"/>
  <c r="M127" i="3"/>
  <c r="K127" i="3"/>
  <c r="N126" i="3"/>
  <c r="O126" i="3" s="1"/>
  <c r="M126" i="3"/>
  <c r="K126" i="3"/>
  <c r="M125" i="3"/>
  <c r="K125" i="3"/>
  <c r="N125" i="3" s="1"/>
  <c r="O125" i="3" s="1"/>
  <c r="M124" i="3"/>
  <c r="K124" i="3"/>
  <c r="N124" i="3" s="1"/>
  <c r="O124" i="3" s="1"/>
  <c r="N123" i="3"/>
  <c r="O123" i="3" s="1"/>
  <c r="M123" i="3"/>
  <c r="K123" i="3"/>
  <c r="M122" i="3"/>
  <c r="K122" i="3"/>
  <c r="N122" i="3" s="1"/>
  <c r="O122" i="3" s="1"/>
  <c r="M121" i="3"/>
  <c r="K121" i="3"/>
  <c r="N121" i="3" s="1"/>
  <c r="O121" i="3" s="1"/>
  <c r="M120" i="3"/>
  <c r="K120" i="3"/>
  <c r="M119" i="3"/>
  <c r="K119" i="3"/>
  <c r="N119" i="3" s="1"/>
  <c r="O119" i="3" s="1"/>
  <c r="O118" i="3"/>
  <c r="N118" i="3"/>
  <c r="M118" i="3"/>
  <c r="K118" i="3"/>
  <c r="N117" i="3"/>
  <c r="O117" i="3" s="1"/>
  <c r="M117" i="3"/>
  <c r="K117" i="3"/>
  <c r="M116" i="3"/>
  <c r="N116" i="3" s="1"/>
  <c r="O116" i="3" s="1"/>
  <c r="K116" i="3"/>
  <c r="M115" i="3"/>
  <c r="K115" i="3"/>
  <c r="N115" i="3" s="1"/>
  <c r="O115" i="3" s="1"/>
  <c r="O114" i="3"/>
  <c r="N114" i="3"/>
  <c r="M114" i="3"/>
  <c r="K114" i="3"/>
  <c r="N113" i="3"/>
  <c r="O113" i="3" s="1"/>
  <c r="M113" i="3"/>
  <c r="K113" i="3"/>
  <c r="N112" i="3"/>
  <c r="O112" i="3" s="1"/>
  <c r="M112" i="3"/>
  <c r="K112" i="3"/>
  <c r="N111" i="3"/>
  <c r="O111" i="3" s="1"/>
  <c r="M111" i="3"/>
  <c r="K111" i="3"/>
  <c r="M110" i="3"/>
  <c r="K110" i="3"/>
  <c r="O109" i="3"/>
  <c r="M109" i="3"/>
  <c r="K109" i="3"/>
  <c r="N109" i="3" s="1"/>
  <c r="N108" i="3"/>
  <c r="O108" i="3" s="1"/>
  <c r="M108" i="3"/>
  <c r="K108" i="3"/>
  <c r="O107" i="3"/>
  <c r="N107" i="3"/>
  <c r="M107" i="3"/>
  <c r="K107" i="3"/>
  <c r="M106" i="3"/>
  <c r="N106" i="3" s="1"/>
  <c r="O106" i="3" s="1"/>
  <c r="K106" i="3"/>
  <c r="M105" i="3"/>
  <c r="K105" i="3"/>
  <c r="M104" i="3"/>
  <c r="K104" i="3"/>
  <c r="N104" i="3" s="1"/>
  <c r="O104" i="3" s="1"/>
  <c r="N103" i="3"/>
  <c r="O103" i="3" s="1"/>
  <c r="M103" i="3"/>
  <c r="K103" i="3"/>
  <c r="O102" i="3"/>
  <c r="M102" i="3"/>
  <c r="K102" i="3"/>
  <c r="N102" i="3" s="1"/>
  <c r="N101" i="3"/>
  <c r="O101" i="3" s="1"/>
  <c r="M101" i="3"/>
  <c r="K101" i="3"/>
  <c r="M100" i="3"/>
  <c r="K100" i="3"/>
  <c r="N99" i="3"/>
  <c r="O99" i="3" s="1"/>
  <c r="M99" i="3"/>
  <c r="K99" i="3"/>
  <c r="N98" i="3"/>
  <c r="O98" i="3" s="1"/>
  <c r="M98" i="3"/>
  <c r="K98" i="3"/>
  <c r="M97" i="3"/>
  <c r="K97" i="3"/>
  <c r="M96" i="3"/>
  <c r="K96" i="3"/>
  <c r="N96" i="3" s="1"/>
  <c r="O96" i="3" s="1"/>
  <c r="M95" i="3"/>
  <c r="K95" i="3"/>
  <c r="N95" i="3" s="1"/>
  <c r="O95" i="3" s="1"/>
  <c r="M94" i="3"/>
  <c r="K94" i="3"/>
  <c r="N94" i="3" s="1"/>
  <c r="O94" i="3" s="1"/>
  <c r="O93" i="3"/>
  <c r="N93" i="3"/>
  <c r="M93" i="3"/>
  <c r="K93" i="3"/>
  <c r="M92" i="3"/>
  <c r="K92" i="3"/>
  <c r="N92" i="3" s="1"/>
  <c r="O92" i="3" s="1"/>
  <c r="N91" i="3"/>
  <c r="O91" i="3" s="1"/>
  <c r="M91" i="3"/>
  <c r="K91" i="3"/>
  <c r="M90" i="3"/>
  <c r="K90" i="3"/>
  <c r="N90" i="3" s="1"/>
  <c r="O90" i="3" s="1"/>
  <c r="O89" i="3"/>
  <c r="N89" i="3"/>
  <c r="M89" i="3"/>
  <c r="K89" i="3"/>
  <c r="N88" i="3"/>
  <c r="O88" i="3" s="1"/>
  <c r="M88" i="3"/>
  <c r="K88" i="3"/>
  <c r="M87" i="3"/>
  <c r="K87" i="3"/>
  <c r="N86" i="3"/>
  <c r="O86" i="3" s="1"/>
  <c r="M86" i="3"/>
  <c r="K86" i="3"/>
  <c r="M85" i="3"/>
  <c r="K85" i="3"/>
  <c r="O84" i="3"/>
  <c r="M84" i="3"/>
  <c r="K84" i="3"/>
  <c r="N84" i="3" s="1"/>
  <c r="O83" i="3"/>
  <c r="N83" i="3"/>
  <c r="M83" i="3"/>
  <c r="K83" i="3"/>
  <c r="N82" i="3"/>
  <c r="O82" i="3" s="1"/>
  <c r="M82" i="3"/>
  <c r="K82" i="3"/>
  <c r="M81" i="3"/>
  <c r="K81" i="3"/>
  <c r="M80" i="3"/>
  <c r="K80" i="3"/>
  <c r="M79" i="3"/>
  <c r="K79" i="3"/>
  <c r="N79" i="3" s="1"/>
  <c r="O79" i="3" s="1"/>
  <c r="N78" i="3"/>
  <c r="O78" i="3" s="1"/>
  <c r="M78" i="3"/>
  <c r="K78" i="3"/>
  <c r="M77" i="3"/>
  <c r="K77" i="3"/>
  <c r="N77" i="3" s="1"/>
  <c r="O77" i="3" s="1"/>
  <c r="N76" i="3"/>
  <c r="O76" i="3" s="1"/>
  <c r="M76" i="3"/>
  <c r="K76" i="3"/>
  <c r="M75" i="3"/>
  <c r="K75" i="3"/>
  <c r="N75" i="3" s="1"/>
  <c r="O75" i="3" s="1"/>
  <c r="O74" i="3"/>
  <c r="M74" i="3"/>
  <c r="K74" i="3"/>
  <c r="N74" i="3" s="1"/>
  <c r="N73" i="3"/>
  <c r="O73" i="3" s="1"/>
  <c r="M73" i="3"/>
  <c r="K73" i="3"/>
  <c r="M72" i="3"/>
  <c r="K72" i="3"/>
  <c r="N72" i="3" s="1"/>
  <c r="O72" i="3" s="1"/>
  <c r="M71" i="3"/>
  <c r="K71" i="3"/>
  <c r="M70" i="3"/>
  <c r="K70" i="3"/>
  <c r="N70" i="3" s="1"/>
  <c r="O70" i="3" s="1"/>
  <c r="M69" i="3"/>
  <c r="K69" i="3"/>
  <c r="N69" i="3" s="1"/>
  <c r="O69" i="3" s="1"/>
  <c r="O68" i="3"/>
  <c r="N68" i="3"/>
  <c r="M68" i="3"/>
  <c r="K68" i="3"/>
  <c r="O67" i="3"/>
  <c r="N67" i="3"/>
  <c r="M67" i="3"/>
  <c r="K67" i="3"/>
  <c r="N66" i="3"/>
  <c r="O66" i="3" s="1"/>
  <c r="M66" i="3"/>
  <c r="K66" i="3"/>
  <c r="M65" i="3"/>
  <c r="K65" i="3"/>
  <c r="N65" i="3" s="1"/>
  <c r="O65" i="3" s="1"/>
  <c r="N64" i="3"/>
  <c r="O64" i="3" s="1"/>
  <c r="M64" i="3"/>
  <c r="K64" i="3"/>
  <c r="N63" i="3"/>
  <c r="O63" i="3" s="1"/>
  <c r="M63" i="3"/>
  <c r="K63" i="3"/>
  <c r="M62" i="3"/>
  <c r="K62" i="3"/>
  <c r="N61" i="3"/>
  <c r="O61" i="3" s="1"/>
  <c r="M61" i="3"/>
  <c r="K61" i="3"/>
  <c r="M60" i="3"/>
  <c r="K60" i="3"/>
  <c r="N60" i="3" s="1"/>
  <c r="O60" i="3" s="1"/>
  <c r="O59" i="3"/>
  <c r="M59" i="3"/>
  <c r="K59" i="3"/>
  <c r="N59" i="3" s="1"/>
  <c r="O58" i="3"/>
  <c r="N58" i="3"/>
  <c r="M58" i="3"/>
  <c r="K58" i="3"/>
  <c r="N57" i="3"/>
  <c r="O57" i="3" s="1"/>
  <c r="M57" i="3"/>
  <c r="K57" i="3"/>
  <c r="M56" i="3"/>
  <c r="K56" i="3"/>
  <c r="N56" i="3" s="1"/>
  <c r="O56" i="3" s="1"/>
  <c r="M55" i="3"/>
  <c r="K55" i="3"/>
  <c r="M54" i="3"/>
  <c r="K54" i="3"/>
  <c r="N54" i="3" s="1"/>
  <c r="O54" i="3" s="1"/>
  <c r="N53" i="3"/>
  <c r="O53" i="3" s="1"/>
  <c r="M53" i="3"/>
  <c r="K53" i="3"/>
  <c r="M52" i="3"/>
  <c r="K52" i="3"/>
  <c r="N52" i="3" s="1"/>
  <c r="O52" i="3" s="1"/>
  <c r="N51" i="3"/>
  <c r="O51" i="3" s="1"/>
  <c r="M51" i="3"/>
  <c r="K51" i="3"/>
  <c r="M50" i="3"/>
  <c r="K50" i="3"/>
  <c r="N50" i="3" s="1"/>
  <c r="O50" i="3" s="1"/>
  <c r="O49" i="3"/>
  <c r="N49" i="3"/>
  <c r="M49" i="3"/>
  <c r="K49" i="3"/>
  <c r="O48" i="3"/>
  <c r="N48" i="3"/>
  <c r="M48" i="3"/>
  <c r="K48" i="3"/>
  <c r="N47" i="3"/>
  <c r="O47" i="3" s="1"/>
  <c r="M47" i="3"/>
  <c r="K47" i="3"/>
  <c r="M46" i="3"/>
  <c r="K46" i="3"/>
  <c r="N46" i="3" s="1"/>
  <c r="O46" i="3" s="1"/>
  <c r="M45" i="3"/>
  <c r="K45" i="3"/>
  <c r="M44" i="3"/>
  <c r="K44" i="3"/>
  <c r="N44" i="3" s="1"/>
  <c r="O44" i="3" s="1"/>
  <c r="O43" i="3"/>
  <c r="N43" i="3"/>
  <c r="M43" i="3"/>
  <c r="K43" i="3"/>
  <c r="M42" i="3"/>
  <c r="K42" i="3"/>
  <c r="N42" i="3" s="1"/>
  <c r="O42" i="3" s="1"/>
  <c r="M41" i="3"/>
  <c r="K41" i="3"/>
  <c r="N41" i="3" s="1"/>
  <c r="O41" i="3" s="1"/>
  <c r="M40" i="3"/>
  <c r="K40" i="3"/>
  <c r="N40" i="3" s="1"/>
  <c r="O40" i="3" s="1"/>
  <c r="N39" i="3"/>
  <c r="O39" i="3" s="1"/>
  <c r="M39" i="3"/>
  <c r="K39" i="3"/>
  <c r="O38" i="3"/>
  <c r="N38" i="3"/>
  <c r="M38" i="3"/>
  <c r="K38" i="3"/>
  <c r="M37" i="3"/>
  <c r="K37" i="3"/>
  <c r="M36" i="3"/>
  <c r="K36" i="3"/>
  <c r="N36" i="3" s="1"/>
  <c r="O36" i="3" s="1"/>
  <c r="M35" i="3"/>
  <c r="K35" i="3"/>
  <c r="N35" i="3" s="1"/>
  <c r="O35" i="3" s="1"/>
  <c r="M34" i="3"/>
  <c r="K34" i="3"/>
  <c r="N34" i="3" s="1"/>
  <c r="O34" i="3" s="1"/>
  <c r="O33" i="3"/>
  <c r="N33" i="3"/>
  <c r="M33" i="3"/>
  <c r="K33" i="3"/>
  <c r="M32" i="3"/>
  <c r="N32" i="3" s="1"/>
  <c r="O32" i="3" s="1"/>
  <c r="K32" i="3"/>
  <c r="M31" i="3"/>
  <c r="K31" i="3"/>
  <c r="N31" i="3" s="1"/>
  <c r="O31" i="3" s="1"/>
  <c r="M30" i="3"/>
  <c r="K30" i="3"/>
  <c r="M29" i="3"/>
  <c r="K29" i="3"/>
  <c r="N29" i="3" s="1"/>
  <c r="O29" i="3" s="1"/>
  <c r="N28" i="3"/>
  <c r="O28" i="3" s="1"/>
  <c r="M28" i="3"/>
  <c r="K28" i="3"/>
  <c r="M27" i="3"/>
  <c r="K27" i="3"/>
  <c r="M26" i="3"/>
  <c r="N26" i="3" s="1"/>
  <c r="O26" i="3" s="1"/>
  <c r="K26" i="3"/>
  <c r="M25" i="3"/>
  <c r="K25" i="3"/>
  <c r="N25" i="3" s="1"/>
  <c r="O25" i="3" s="1"/>
  <c r="M24" i="3"/>
  <c r="K24" i="3"/>
  <c r="N24" i="3" s="1"/>
  <c r="O24" i="3" s="1"/>
  <c r="N23" i="3"/>
  <c r="O23" i="3" s="1"/>
  <c r="M23" i="3"/>
  <c r="K23" i="3"/>
  <c r="M22" i="3"/>
  <c r="N22" i="3" s="1"/>
  <c r="O22" i="3" s="1"/>
  <c r="K22" i="3"/>
  <c r="M21" i="3"/>
  <c r="K21" i="3"/>
  <c r="M20" i="3"/>
  <c r="K20" i="3"/>
  <c r="M19" i="3"/>
  <c r="K19" i="3"/>
  <c r="N19" i="3" s="1"/>
  <c r="O19" i="3" s="1"/>
  <c r="O18" i="3"/>
  <c r="N18" i="3"/>
  <c r="M18" i="3"/>
  <c r="K18" i="3"/>
  <c r="O17" i="3"/>
  <c r="N17" i="3"/>
  <c r="M17" i="3"/>
  <c r="K17" i="3"/>
  <c r="M16" i="3"/>
  <c r="K16" i="3"/>
  <c r="N16" i="3" s="1"/>
  <c r="O16" i="3" s="1"/>
  <c r="M15" i="3"/>
  <c r="K15" i="3"/>
  <c r="N15" i="3" s="1"/>
  <c r="O15" i="3" s="1"/>
  <c r="N14" i="3"/>
  <c r="O14" i="3" s="1"/>
  <c r="M14" i="3"/>
  <c r="K14" i="3"/>
  <c r="N13" i="3"/>
  <c r="O13" i="3" s="1"/>
  <c r="M13" i="3"/>
  <c r="K13" i="3"/>
  <c r="M12" i="3"/>
  <c r="N12" i="3" s="1"/>
  <c r="O12" i="3" s="1"/>
  <c r="K12" i="3"/>
  <c r="N11" i="3"/>
  <c r="O11" i="3" s="1"/>
  <c r="M11" i="3"/>
  <c r="K11" i="3"/>
  <c r="M10" i="3"/>
  <c r="K10" i="3"/>
  <c r="M9" i="3"/>
  <c r="K9" i="3"/>
  <c r="N8" i="3"/>
  <c r="M8" i="3"/>
  <c r="K8" i="3"/>
  <c r="O1000" i="2"/>
  <c r="N1000" i="2"/>
  <c r="M1000" i="2"/>
  <c r="K1000" i="2"/>
  <c r="O999" i="2"/>
  <c r="M999" i="2"/>
  <c r="K999" i="2"/>
  <c r="N999" i="2" s="1"/>
  <c r="O998" i="2"/>
  <c r="M998" i="2"/>
  <c r="K998" i="2"/>
  <c r="N998" i="2" s="1"/>
  <c r="O997" i="2"/>
  <c r="M997" i="2"/>
  <c r="K997" i="2"/>
  <c r="N997" i="2" s="1"/>
  <c r="O996" i="2"/>
  <c r="N996" i="2"/>
  <c r="M996" i="2"/>
  <c r="K996" i="2"/>
  <c r="O995" i="2"/>
  <c r="M995" i="2"/>
  <c r="N995" i="2" s="1"/>
  <c r="K995" i="2"/>
  <c r="O994" i="2"/>
  <c r="M994" i="2"/>
  <c r="K994" i="2"/>
  <c r="N994" i="2" s="1"/>
  <c r="O993" i="2"/>
  <c r="M993" i="2"/>
  <c r="K993" i="2"/>
  <c r="N993" i="2" s="1"/>
  <c r="O992" i="2"/>
  <c r="N992" i="2"/>
  <c r="M992" i="2"/>
  <c r="K992" i="2"/>
  <c r="O991" i="2"/>
  <c r="N991" i="2"/>
  <c r="M991" i="2"/>
  <c r="K991" i="2"/>
  <c r="O990" i="2"/>
  <c r="M990" i="2"/>
  <c r="K990" i="2"/>
  <c r="O989" i="2"/>
  <c r="M989" i="2"/>
  <c r="K989" i="2"/>
  <c r="N989" i="2" s="1"/>
  <c r="O988" i="2"/>
  <c r="M988" i="2"/>
  <c r="K988" i="2"/>
  <c r="O987" i="2"/>
  <c r="M987" i="2"/>
  <c r="K987" i="2"/>
  <c r="N987" i="2" s="1"/>
  <c r="O986" i="2"/>
  <c r="N986" i="2"/>
  <c r="M986" i="2"/>
  <c r="K986" i="2"/>
  <c r="O985" i="2"/>
  <c r="M985" i="2"/>
  <c r="K985" i="2"/>
  <c r="N985" i="2" s="1"/>
  <c r="O984" i="2"/>
  <c r="N984" i="2"/>
  <c r="M984" i="2"/>
  <c r="K984" i="2"/>
  <c r="O983" i="2"/>
  <c r="M983" i="2"/>
  <c r="K983" i="2"/>
  <c r="N983" i="2" s="1"/>
  <c r="O982" i="2"/>
  <c r="M982" i="2"/>
  <c r="K982" i="2"/>
  <c r="N982" i="2" s="1"/>
  <c r="O981" i="2"/>
  <c r="N981" i="2"/>
  <c r="M981" i="2"/>
  <c r="K981" i="2"/>
  <c r="O980" i="2"/>
  <c r="N980" i="2"/>
  <c r="M980" i="2"/>
  <c r="K980" i="2"/>
  <c r="O979" i="2"/>
  <c r="N979" i="2"/>
  <c r="M979" i="2"/>
  <c r="K979" i="2"/>
  <c r="O978" i="2"/>
  <c r="M978" i="2"/>
  <c r="K978" i="2"/>
  <c r="O977" i="2"/>
  <c r="M977" i="2"/>
  <c r="K977" i="2"/>
  <c r="N977" i="2" s="1"/>
  <c r="O976" i="2"/>
  <c r="N976" i="2"/>
  <c r="M976" i="2"/>
  <c r="K976" i="2"/>
  <c r="O975" i="2"/>
  <c r="N975" i="2"/>
  <c r="M975" i="2"/>
  <c r="K975" i="2"/>
  <c r="O974" i="2"/>
  <c r="M974" i="2"/>
  <c r="K974" i="2"/>
  <c r="N974" i="2" s="1"/>
  <c r="O973" i="2"/>
  <c r="M973" i="2"/>
  <c r="K973" i="2"/>
  <c r="N973" i="2" s="1"/>
  <c r="O972" i="2"/>
  <c r="N972" i="2"/>
  <c r="M972" i="2"/>
  <c r="K972" i="2"/>
  <c r="O971" i="2"/>
  <c r="N971" i="2"/>
  <c r="M971" i="2"/>
  <c r="K971" i="2"/>
  <c r="O970" i="2"/>
  <c r="N970" i="2"/>
  <c r="M970" i="2"/>
  <c r="K970" i="2"/>
  <c r="O969" i="2"/>
  <c r="M969" i="2"/>
  <c r="K969" i="2"/>
  <c r="O968" i="2"/>
  <c r="M968" i="2"/>
  <c r="K968" i="2"/>
  <c r="N968" i="2" s="1"/>
  <c r="O967" i="2"/>
  <c r="N967" i="2"/>
  <c r="M967" i="2"/>
  <c r="K967" i="2"/>
  <c r="O966" i="2"/>
  <c r="N966" i="2"/>
  <c r="M966" i="2"/>
  <c r="K966" i="2"/>
  <c r="O965" i="2"/>
  <c r="M965" i="2"/>
  <c r="K965" i="2"/>
  <c r="N965" i="2" s="1"/>
  <c r="O964" i="2"/>
  <c r="M964" i="2"/>
  <c r="K964" i="2"/>
  <c r="N964" i="2" s="1"/>
  <c r="O963" i="2"/>
  <c r="M963" i="2"/>
  <c r="K963" i="2"/>
  <c r="O962" i="2"/>
  <c r="M962" i="2"/>
  <c r="K962" i="2"/>
  <c r="N962" i="2" s="1"/>
  <c r="O961" i="2"/>
  <c r="N961" i="2"/>
  <c r="M961" i="2"/>
  <c r="K961" i="2"/>
  <c r="O960" i="2"/>
  <c r="M960" i="2"/>
  <c r="K960" i="2"/>
  <c r="O959" i="2"/>
  <c r="N959" i="2"/>
  <c r="M959" i="2"/>
  <c r="K959" i="2"/>
  <c r="O958" i="2"/>
  <c r="M958" i="2"/>
  <c r="K958" i="2"/>
  <c r="N958" i="2" s="1"/>
  <c r="O957" i="2"/>
  <c r="N957" i="2"/>
  <c r="M957" i="2"/>
  <c r="K957" i="2"/>
  <c r="O956" i="2"/>
  <c r="N956" i="2"/>
  <c r="M956" i="2"/>
  <c r="K956" i="2"/>
  <c r="O955" i="2"/>
  <c r="N955" i="2"/>
  <c r="M955" i="2"/>
  <c r="K955" i="2"/>
  <c r="O954" i="2"/>
  <c r="M954" i="2"/>
  <c r="N954" i="2" s="1"/>
  <c r="K954" i="2"/>
  <c r="O953" i="2"/>
  <c r="M953" i="2"/>
  <c r="K953" i="2"/>
  <c r="N953" i="2" s="1"/>
  <c r="O952" i="2"/>
  <c r="M952" i="2"/>
  <c r="K952" i="2"/>
  <c r="O951" i="2"/>
  <c r="N951" i="2"/>
  <c r="M951" i="2"/>
  <c r="K951" i="2"/>
  <c r="O950" i="2"/>
  <c r="M950" i="2"/>
  <c r="N950" i="2" s="1"/>
  <c r="K950" i="2"/>
  <c r="O949" i="2"/>
  <c r="N949" i="2"/>
  <c r="M949" i="2"/>
  <c r="K949" i="2"/>
  <c r="O948" i="2"/>
  <c r="M948" i="2"/>
  <c r="K948" i="2"/>
  <c r="N948" i="2" s="1"/>
  <c r="O947" i="2"/>
  <c r="M947" i="2"/>
  <c r="K947" i="2"/>
  <c r="N947" i="2" s="1"/>
  <c r="O946" i="2"/>
  <c r="N946" i="2"/>
  <c r="M946" i="2"/>
  <c r="K946" i="2"/>
  <c r="O945" i="2"/>
  <c r="N945" i="2"/>
  <c r="M945" i="2"/>
  <c r="K945" i="2"/>
  <c r="O944" i="2"/>
  <c r="M944" i="2"/>
  <c r="K944" i="2"/>
  <c r="N944" i="2" s="1"/>
  <c r="O943" i="2"/>
  <c r="M943" i="2"/>
  <c r="K943" i="2"/>
  <c r="N943" i="2" s="1"/>
  <c r="O942" i="2"/>
  <c r="M942" i="2"/>
  <c r="N942" i="2" s="1"/>
  <c r="K942" i="2"/>
  <c r="O941" i="2"/>
  <c r="N941" i="2"/>
  <c r="M941" i="2"/>
  <c r="K941" i="2"/>
  <c r="O940" i="2"/>
  <c r="M940" i="2"/>
  <c r="K940" i="2"/>
  <c r="O939" i="2"/>
  <c r="M939" i="2"/>
  <c r="K939" i="2"/>
  <c r="N939" i="2" s="1"/>
  <c r="O938" i="2"/>
  <c r="M938" i="2"/>
  <c r="K938" i="2"/>
  <c r="O937" i="2"/>
  <c r="M937" i="2"/>
  <c r="N937" i="2" s="1"/>
  <c r="K937" i="2"/>
  <c r="O936" i="2"/>
  <c r="M936" i="2"/>
  <c r="N936" i="2" s="1"/>
  <c r="K936" i="2"/>
  <c r="O935" i="2"/>
  <c r="M935" i="2"/>
  <c r="K935" i="2"/>
  <c r="N935" i="2" s="1"/>
  <c r="O934" i="2"/>
  <c r="N934" i="2"/>
  <c r="M934" i="2"/>
  <c r="K934" i="2"/>
  <c r="O933" i="2"/>
  <c r="M933" i="2"/>
  <c r="K933" i="2"/>
  <c r="N933" i="2" s="1"/>
  <c r="O932" i="2"/>
  <c r="M932" i="2"/>
  <c r="K932" i="2"/>
  <c r="O931" i="2"/>
  <c r="M931" i="2"/>
  <c r="N931" i="2" s="1"/>
  <c r="K931" i="2"/>
  <c r="O930" i="2"/>
  <c r="N930" i="2"/>
  <c r="M930" i="2"/>
  <c r="K930" i="2"/>
  <c r="O929" i="2"/>
  <c r="N929" i="2"/>
  <c r="M929" i="2"/>
  <c r="K929" i="2"/>
  <c r="O928" i="2"/>
  <c r="M928" i="2"/>
  <c r="K928" i="2"/>
  <c r="O927" i="2"/>
  <c r="M927" i="2"/>
  <c r="K927" i="2"/>
  <c r="N927" i="2" s="1"/>
  <c r="O926" i="2"/>
  <c r="N926" i="2"/>
  <c r="M926" i="2"/>
  <c r="K926" i="2"/>
  <c r="O925" i="2"/>
  <c r="N925" i="2"/>
  <c r="M925" i="2"/>
  <c r="K925" i="2"/>
  <c r="O924" i="2"/>
  <c r="M924" i="2"/>
  <c r="K924" i="2"/>
  <c r="N924" i="2" s="1"/>
  <c r="O923" i="2"/>
  <c r="M923" i="2"/>
  <c r="K923" i="2"/>
  <c r="O922" i="2"/>
  <c r="N922" i="2"/>
  <c r="M922" i="2"/>
  <c r="K922" i="2"/>
  <c r="O921" i="2"/>
  <c r="M921" i="2"/>
  <c r="N921" i="2" s="1"/>
  <c r="K921" i="2"/>
  <c r="O920" i="2"/>
  <c r="M920" i="2"/>
  <c r="N920" i="2" s="1"/>
  <c r="K920" i="2"/>
  <c r="O919" i="2"/>
  <c r="M919" i="2"/>
  <c r="K919" i="2"/>
  <c r="N919" i="2" s="1"/>
  <c r="O918" i="2"/>
  <c r="M918" i="2"/>
  <c r="K918" i="2"/>
  <c r="N918" i="2" s="1"/>
  <c r="O917" i="2"/>
  <c r="M917" i="2"/>
  <c r="N917" i="2" s="1"/>
  <c r="K917" i="2"/>
  <c r="O916" i="2"/>
  <c r="M916" i="2"/>
  <c r="N916" i="2" s="1"/>
  <c r="K916" i="2"/>
  <c r="O915" i="2"/>
  <c r="M915" i="2"/>
  <c r="K915" i="2"/>
  <c r="N915" i="2" s="1"/>
  <c r="O914" i="2"/>
  <c r="M914" i="2"/>
  <c r="K914" i="2"/>
  <c r="N914" i="2" s="1"/>
  <c r="O913" i="2"/>
  <c r="M913" i="2"/>
  <c r="K913" i="2"/>
  <c r="O912" i="2"/>
  <c r="M912" i="2"/>
  <c r="K912" i="2"/>
  <c r="O911" i="2"/>
  <c r="M911" i="2"/>
  <c r="N911" i="2" s="1"/>
  <c r="K911" i="2"/>
  <c r="O910" i="2"/>
  <c r="M910" i="2"/>
  <c r="K910" i="2"/>
  <c r="N910" i="2" s="1"/>
  <c r="O909" i="2"/>
  <c r="N909" i="2"/>
  <c r="M909" i="2"/>
  <c r="K909" i="2"/>
  <c r="O908" i="2"/>
  <c r="M908" i="2"/>
  <c r="K908" i="2"/>
  <c r="N908" i="2" s="1"/>
  <c r="O907" i="2"/>
  <c r="M907" i="2"/>
  <c r="K907" i="2"/>
  <c r="O906" i="2"/>
  <c r="M906" i="2"/>
  <c r="N906" i="2" s="1"/>
  <c r="K906" i="2"/>
  <c r="O905" i="2"/>
  <c r="M905" i="2"/>
  <c r="K905" i="2"/>
  <c r="N905" i="2" s="1"/>
  <c r="O904" i="2"/>
  <c r="M904" i="2"/>
  <c r="N904" i="2" s="1"/>
  <c r="K904" i="2"/>
  <c r="O903" i="2"/>
  <c r="M903" i="2"/>
  <c r="K903" i="2"/>
  <c r="O902" i="2"/>
  <c r="M902" i="2"/>
  <c r="K902" i="2"/>
  <c r="N902" i="2" s="1"/>
  <c r="O901" i="2"/>
  <c r="N901" i="2"/>
  <c r="M901" i="2"/>
  <c r="K901" i="2"/>
  <c r="O900" i="2"/>
  <c r="N900" i="2"/>
  <c r="M900" i="2"/>
  <c r="K900" i="2"/>
  <c r="O899" i="2"/>
  <c r="N899" i="2"/>
  <c r="M899" i="2"/>
  <c r="K899" i="2"/>
  <c r="O898" i="2"/>
  <c r="M898" i="2"/>
  <c r="K898" i="2"/>
  <c r="N898" i="2" s="1"/>
  <c r="O897" i="2"/>
  <c r="N897" i="2"/>
  <c r="M897" i="2"/>
  <c r="K897" i="2"/>
  <c r="O896" i="2"/>
  <c r="M896" i="2"/>
  <c r="N896" i="2" s="1"/>
  <c r="K896" i="2"/>
  <c r="O895" i="2"/>
  <c r="N895" i="2"/>
  <c r="M895" i="2"/>
  <c r="K895" i="2"/>
  <c r="O894" i="2"/>
  <c r="M894" i="2"/>
  <c r="K894" i="2"/>
  <c r="O893" i="2"/>
  <c r="M893" i="2"/>
  <c r="K893" i="2"/>
  <c r="N893" i="2" s="1"/>
  <c r="O892" i="2"/>
  <c r="N892" i="2"/>
  <c r="M892" i="2"/>
  <c r="K892" i="2"/>
  <c r="O891" i="2"/>
  <c r="N891" i="2"/>
  <c r="M891" i="2"/>
  <c r="K891" i="2"/>
  <c r="O890" i="2"/>
  <c r="M890" i="2"/>
  <c r="K890" i="2"/>
  <c r="N890" i="2" s="1"/>
  <c r="O889" i="2"/>
  <c r="M889" i="2"/>
  <c r="K889" i="2"/>
  <c r="N889" i="2" s="1"/>
  <c r="O888" i="2"/>
  <c r="M888" i="2"/>
  <c r="K888" i="2"/>
  <c r="O887" i="2"/>
  <c r="M887" i="2"/>
  <c r="K887" i="2"/>
  <c r="N887" i="2" s="1"/>
  <c r="O886" i="2"/>
  <c r="M886" i="2"/>
  <c r="K886" i="2"/>
  <c r="N886" i="2" s="1"/>
  <c r="O885" i="2"/>
  <c r="M885" i="2"/>
  <c r="K885" i="2"/>
  <c r="N885" i="2" s="1"/>
  <c r="O884" i="2"/>
  <c r="M884" i="2"/>
  <c r="K884" i="2"/>
  <c r="N884" i="2" s="1"/>
  <c r="O883" i="2"/>
  <c r="M883" i="2"/>
  <c r="N883" i="2" s="1"/>
  <c r="K883" i="2"/>
  <c r="O882" i="2"/>
  <c r="M882" i="2"/>
  <c r="K882" i="2"/>
  <c r="N882" i="2" s="1"/>
  <c r="O881" i="2"/>
  <c r="N881" i="2"/>
  <c r="M881" i="2"/>
  <c r="K881" i="2"/>
  <c r="O880" i="2"/>
  <c r="M880" i="2"/>
  <c r="K880" i="2"/>
  <c r="O879" i="2"/>
  <c r="M879" i="2"/>
  <c r="K879" i="2"/>
  <c r="N879" i="2" s="1"/>
  <c r="O878" i="2"/>
  <c r="M878" i="2"/>
  <c r="N878" i="2" s="1"/>
  <c r="K878" i="2"/>
  <c r="O877" i="2"/>
  <c r="M877" i="2"/>
  <c r="N877" i="2" s="1"/>
  <c r="K877" i="2"/>
  <c r="O876" i="2"/>
  <c r="M876" i="2"/>
  <c r="N876" i="2" s="1"/>
  <c r="K876" i="2"/>
  <c r="O875" i="2"/>
  <c r="M875" i="2"/>
  <c r="K875" i="2"/>
  <c r="N875" i="2" s="1"/>
  <c r="O874" i="2"/>
  <c r="N874" i="2"/>
  <c r="M874" i="2"/>
  <c r="K874" i="2"/>
  <c r="O873" i="2"/>
  <c r="N873" i="2"/>
  <c r="M873" i="2"/>
  <c r="K873" i="2"/>
  <c r="O872" i="2"/>
  <c r="M872" i="2"/>
  <c r="K872" i="2"/>
  <c r="N872" i="2" s="1"/>
  <c r="O871" i="2"/>
  <c r="M871" i="2"/>
  <c r="K871" i="2"/>
  <c r="N871" i="2" s="1"/>
  <c r="O870" i="2"/>
  <c r="M870" i="2"/>
  <c r="K870" i="2"/>
  <c r="N870" i="2" s="1"/>
  <c r="O869" i="2"/>
  <c r="N869" i="2"/>
  <c r="M869" i="2"/>
  <c r="K869" i="2"/>
  <c r="O868" i="2"/>
  <c r="M868" i="2"/>
  <c r="N868" i="2" s="1"/>
  <c r="K868" i="2"/>
  <c r="O867" i="2"/>
  <c r="M867" i="2"/>
  <c r="K867" i="2"/>
  <c r="O866" i="2"/>
  <c r="M866" i="2"/>
  <c r="K866" i="2"/>
  <c r="N866" i="2" s="1"/>
  <c r="O865" i="2"/>
  <c r="M865" i="2"/>
  <c r="K865" i="2"/>
  <c r="N865" i="2" s="1"/>
  <c r="O864" i="2"/>
  <c r="M864" i="2"/>
  <c r="K864" i="2"/>
  <c r="N864" i="2" s="1"/>
  <c r="O863" i="2"/>
  <c r="M863" i="2"/>
  <c r="N863" i="2" s="1"/>
  <c r="K863" i="2"/>
  <c r="O862" i="2"/>
  <c r="M862" i="2"/>
  <c r="K862" i="2"/>
  <c r="N862" i="2" s="1"/>
  <c r="O861" i="2"/>
  <c r="M861" i="2"/>
  <c r="K861" i="2"/>
  <c r="N861" i="2" s="1"/>
  <c r="O860" i="2"/>
  <c r="M860" i="2"/>
  <c r="K860" i="2"/>
  <c r="O859" i="2"/>
  <c r="M859" i="2"/>
  <c r="K859" i="2"/>
  <c r="N859" i="2" s="1"/>
  <c r="O858" i="2"/>
  <c r="M858" i="2"/>
  <c r="N858" i="2" s="1"/>
  <c r="K858" i="2"/>
  <c r="O857" i="2"/>
  <c r="M857" i="2"/>
  <c r="K857" i="2"/>
  <c r="N857" i="2" s="1"/>
  <c r="O856" i="2"/>
  <c r="M856" i="2"/>
  <c r="N856" i="2" s="1"/>
  <c r="K856" i="2"/>
  <c r="O855" i="2"/>
  <c r="M855" i="2"/>
  <c r="K855" i="2"/>
  <c r="O854" i="2"/>
  <c r="M854" i="2"/>
  <c r="K854" i="2"/>
  <c r="N854" i="2" s="1"/>
  <c r="O853" i="2"/>
  <c r="N853" i="2"/>
  <c r="M853" i="2"/>
  <c r="K853" i="2"/>
  <c r="O852" i="2"/>
  <c r="N852" i="2"/>
  <c r="M852" i="2"/>
  <c r="K852" i="2"/>
  <c r="O851" i="2"/>
  <c r="N851" i="2"/>
  <c r="M851" i="2"/>
  <c r="K851" i="2"/>
  <c r="O850" i="2"/>
  <c r="M850" i="2"/>
  <c r="K850" i="2"/>
  <c r="N850" i="2" s="1"/>
  <c r="O849" i="2"/>
  <c r="M849" i="2"/>
  <c r="K849" i="2"/>
  <c r="N849" i="2" s="1"/>
  <c r="O848" i="2"/>
  <c r="N848" i="2"/>
  <c r="M848" i="2"/>
  <c r="K848" i="2"/>
  <c r="O847" i="2"/>
  <c r="M847" i="2"/>
  <c r="N847" i="2" s="1"/>
  <c r="K847" i="2"/>
  <c r="O846" i="2"/>
  <c r="M846" i="2"/>
  <c r="K846" i="2"/>
  <c r="N846" i="2" s="1"/>
  <c r="O845" i="2"/>
  <c r="M845" i="2"/>
  <c r="K845" i="2"/>
  <c r="N845" i="2" s="1"/>
  <c r="O844" i="2"/>
  <c r="N844" i="2"/>
  <c r="M844" i="2"/>
  <c r="K844" i="2"/>
  <c r="O843" i="2"/>
  <c r="M843" i="2"/>
  <c r="N843" i="2" s="1"/>
  <c r="K843" i="2"/>
  <c r="O842" i="2"/>
  <c r="M842" i="2"/>
  <c r="K842" i="2"/>
  <c r="N842" i="2" s="1"/>
  <c r="O841" i="2"/>
  <c r="M841" i="2"/>
  <c r="K841" i="2"/>
  <c r="O840" i="2"/>
  <c r="M840" i="2"/>
  <c r="K840" i="2"/>
  <c r="O839" i="2"/>
  <c r="N839" i="2"/>
  <c r="M839" i="2"/>
  <c r="K839" i="2"/>
  <c r="O838" i="2"/>
  <c r="N838" i="2"/>
  <c r="M838" i="2"/>
  <c r="K838" i="2"/>
  <c r="O837" i="2"/>
  <c r="M837" i="2"/>
  <c r="K837" i="2"/>
  <c r="O836" i="2"/>
  <c r="M836" i="2"/>
  <c r="K836" i="2"/>
  <c r="N836" i="2" s="1"/>
  <c r="O835" i="2"/>
  <c r="M835" i="2"/>
  <c r="K835" i="2"/>
  <c r="O834" i="2"/>
  <c r="N834" i="2"/>
  <c r="M834" i="2"/>
  <c r="K834" i="2"/>
  <c r="O833" i="2"/>
  <c r="M833" i="2"/>
  <c r="N833" i="2" s="1"/>
  <c r="K833" i="2"/>
  <c r="O832" i="2"/>
  <c r="N832" i="2"/>
  <c r="M832" i="2"/>
  <c r="K832" i="2"/>
  <c r="O831" i="2"/>
  <c r="N831" i="2"/>
  <c r="M831" i="2"/>
  <c r="K831" i="2"/>
  <c r="O830" i="2"/>
  <c r="M830" i="2"/>
  <c r="K830" i="2"/>
  <c r="N830" i="2" s="1"/>
  <c r="O829" i="2"/>
  <c r="M829" i="2"/>
  <c r="K829" i="2"/>
  <c r="N829" i="2" s="1"/>
  <c r="O828" i="2"/>
  <c r="M828" i="2"/>
  <c r="N828" i="2" s="1"/>
  <c r="K828" i="2"/>
  <c r="O827" i="2"/>
  <c r="M827" i="2"/>
  <c r="N827" i="2" s="1"/>
  <c r="K827" i="2"/>
  <c r="O826" i="2"/>
  <c r="M826" i="2"/>
  <c r="N826" i="2" s="1"/>
  <c r="K826" i="2"/>
  <c r="O825" i="2"/>
  <c r="M825" i="2"/>
  <c r="K825" i="2"/>
  <c r="N825" i="2" s="1"/>
  <c r="O824" i="2"/>
  <c r="M824" i="2"/>
  <c r="K824" i="2"/>
  <c r="N824" i="2" s="1"/>
  <c r="O823" i="2"/>
  <c r="N823" i="2"/>
  <c r="M823" i="2"/>
  <c r="K823" i="2"/>
  <c r="O822" i="2"/>
  <c r="M822" i="2"/>
  <c r="K822" i="2"/>
  <c r="O821" i="2"/>
  <c r="M821" i="2"/>
  <c r="K821" i="2"/>
  <c r="N821" i="2" s="1"/>
  <c r="O820" i="2"/>
  <c r="M820" i="2"/>
  <c r="K820" i="2"/>
  <c r="N820" i="2" s="1"/>
  <c r="O819" i="2"/>
  <c r="N819" i="2"/>
  <c r="M819" i="2"/>
  <c r="K819" i="2"/>
  <c r="O818" i="2"/>
  <c r="M818" i="2"/>
  <c r="N818" i="2" s="1"/>
  <c r="K818" i="2"/>
  <c r="O817" i="2"/>
  <c r="M817" i="2"/>
  <c r="K817" i="2"/>
  <c r="N817" i="2" s="1"/>
  <c r="O816" i="2"/>
  <c r="M816" i="2"/>
  <c r="K816" i="2"/>
  <c r="O815" i="2"/>
  <c r="M815" i="2"/>
  <c r="K815" i="2"/>
  <c r="N815" i="2" s="1"/>
  <c r="O814" i="2"/>
  <c r="M814" i="2"/>
  <c r="K814" i="2"/>
  <c r="N814" i="2" s="1"/>
  <c r="O813" i="2"/>
  <c r="N813" i="2"/>
  <c r="M813" i="2"/>
  <c r="K813" i="2"/>
  <c r="O812" i="2"/>
  <c r="M812" i="2"/>
  <c r="K812" i="2"/>
  <c r="N812" i="2" s="1"/>
  <c r="O811" i="2"/>
  <c r="M811" i="2"/>
  <c r="K811" i="2"/>
  <c r="N811" i="2" s="1"/>
  <c r="O810" i="2"/>
  <c r="M810" i="2"/>
  <c r="K810" i="2"/>
  <c r="O809" i="2"/>
  <c r="N809" i="2"/>
  <c r="M809" i="2"/>
  <c r="K809" i="2"/>
  <c r="O808" i="2"/>
  <c r="M808" i="2"/>
  <c r="N808" i="2" s="1"/>
  <c r="K808" i="2"/>
  <c r="O807" i="2"/>
  <c r="M807" i="2"/>
  <c r="K807" i="2"/>
  <c r="N807" i="2" s="1"/>
  <c r="O806" i="2"/>
  <c r="M806" i="2"/>
  <c r="N806" i="2" s="1"/>
  <c r="K806" i="2"/>
  <c r="O805" i="2"/>
  <c r="M805" i="2"/>
  <c r="K805" i="2"/>
  <c r="O804" i="2"/>
  <c r="M804" i="2"/>
  <c r="K804" i="2"/>
  <c r="N804" i="2" s="1"/>
  <c r="O803" i="2"/>
  <c r="N803" i="2"/>
  <c r="M803" i="2"/>
  <c r="K803" i="2"/>
  <c r="O802" i="2"/>
  <c r="N802" i="2"/>
  <c r="M802" i="2"/>
  <c r="K802" i="2"/>
  <c r="O801" i="2"/>
  <c r="M801" i="2"/>
  <c r="K801" i="2"/>
  <c r="O800" i="2"/>
  <c r="M800" i="2"/>
  <c r="K800" i="2"/>
  <c r="N800" i="2" s="1"/>
  <c r="O799" i="2"/>
  <c r="M799" i="2"/>
  <c r="K799" i="2"/>
  <c r="N799" i="2" s="1"/>
  <c r="O798" i="2"/>
  <c r="M798" i="2"/>
  <c r="N798" i="2" s="1"/>
  <c r="K798" i="2"/>
  <c r="O797" i="2"/>
  <c r="M797" i="2"/>
  <c r="N797" i="2" s="1"/>
  <c r="K797" i="2"/>
  <c r="O796" i="2"/>
  <c r="N796" i="2"/>
  <c r="M796" i="2"/>
  <c r="K796" i="2"/>
  <c r="O795" i="2"/>
  <c r="M795" i="2"/>
  <c r="K795" i="2"/>
  <c r="N795" i="2" s="1"/>
  <c r="O794" i="2"/>
  <c r="N794" i="2"/>
  <c r="M794" i="2"/>
  <c r="K794" i="2"/>
  <c r="O793" i="2"/>
  <c r="N793" i="2"/>
  <c r="M793" i="2"/>
  <c r="K793" i="2"/>
  <c r="O792" i="2"/>
  <c r="N792" i="2"/>
  <c r="M792" i="2"/>
  <c r="K792" i="2"/>
  <c r="O791" i="2"/>
  <c r="M791" i="2"/>
  <c r="K791" i="2"/>
  <c r="O790" i="2"/>
  <c r="M790" i="2"/>
  <c r="K790" i="2"/>
  <c r="O789" i="2"/>
  <c r="N789" i="2"/>
  <c r="M789" i="2"/>
  <c r="K789" i="2"/>
  <c r="O788" i="2"/>
  <c r="N788" i="2"/>
  <c r="M788" i="2"/>
  <c r="K788" i="2"/>
  <c r="O787" i="2"/>
  <c r="M787" i="2"/>
  <c r="K787" i="2"/>
  <c r="N787" i="2" s="1"/>
  <c r="O786" i="2"/>
  <c r="M786" i="2"/>
  <c r="K786" i="2"/>
  <c r="N786" i="2" s="1"/>
  <c r="O785" i="2"/>
  <c r="M785" i="2"/>
  <c r="K785" i="2"/>
  <c r="O784" i="2"/>
  <c r="M784" i="2"/>
  <c r="K784" i="2"/>
  <c r="N784" i="2" s="1"/>
  <c r="O783" i="2"/>
  <c r="M783" i="2"/>
  <c r="N783" i="2" s="1"/>
  <c r="K783" i="2"/>
  <c r="O782" i="2"/>
  <c r="N782" i="2"/>
  <c r="M782" i="2"/>
  <c r="K782" i="2"/>
  <c r="O781" i="2"/>
  <c r="N781" i="2"/>
  <c r="M781" i="2"/>
  <c r="K781" i="2"/>
  <c r="O780" i="2"/>
  <c r="M780" i="2"/>
  <c r="K780" i="2"/>
  <c r="N780" i="2" s="1"/>
  <c r="O779" i="2"/>
  <c r="M779" i="2"/>
  <c r="K779" i="2"/>
  <c r="N779" i="2" s="1"/>
  <c r="O778" i="2"/>
  <c r="M778" i="2"/>
  <c r="N778" i="2" s="1"/>
  <c r="K778" i="2"/>
  <c r="O777" i="2"/>
  <c r="M777" i="2"/>
  <c r="N777" i="2" s="1"/>
  <c r="K777" i="2"/>
  <c r="O776" i="2"/>
  <c r="M776" i="2"/>
  <c r="N776" i="2" s="1"/>
  <c r="K776" i="2"/>
  <c r="O775" i="2"/>
  <c r="M775" i="2"/>
  <c r="K775" i="2"/>
  <c r="N775" i="2" s="1"/>
  <c r="O774" i="2"/>
  <c r="M774" i="2"/>
  <c r="K774" i="2"/>
  <c r="N774" i="2" s="1"/>
  <c r="O773" i="2"/>
  <c r="N773" i="2"/>
  <c r="M773" i="2"/>
  <c r="K773" i="2"/>
  <c r="O772" i="2"/>
  <c r="N772" i="2"/>
  <c r="M772" i="2"/>
  <c r="K772" i="2"/>
  <c r="O771" i="2"/>
  <c r="M771" i="2"/>
  <c r="K771" i="2"/>
  <c r="N771" i="2" s="1"/>
  <c r="O770" i="2"/>
  <c r="M770" i="2"/>
  <c r="K770" i="2"/>
  <c r="N770" i="2" s="1"/>
  <c r="O769" i="2"/>
  <c r="N769" i="2"/>
  <c r="M769" i="2"/>
  <c r="K769" i="2"/>
  <c r="O768" i="2"/>
  <c r="M768" i="2"/>
  <c r="N768" i="2" s="1"/>
  <c r="K768" i="2"/>
  <c r="O767" i="2"/>
  <c r="N767" i="2"/>
  <c r="M767" i="2"/>
  <c r="K767" i="2"/>
  <c r="O766" i="2"/>
  <c r="M766" i="2"/>
  <c r="K766" i="2"/>
  <c r="O765" i="2"/>
  <c r="M765" i="2"/>
  <c r="K765" i="2"/>
  <c r="N765" i="2" s="1"/>
  <c r="O764" i="2"/>
  <c r="N764" i="2"/>
  <c r="M764" i="2"/>
  <c r="K764" i="2"/>
  <c r="O763" i="2"/>
  <c r="N763" i="2"/>
  <c r="M763" i="2"/>
  <c r="K763" i="2"/>
  <c r="O762" i="2"/>
  <c r="M762" i="2"/>
  <c r="K762" i="2"/>
  <c r="N762" i="2" s="1"/>
  <c r="O761" i="2"/>
  <c r="N761" i="2"/>
  <c r="M761" i="2"/>
  <c r="K761" i="2"/>
  <c r="O760" i="2"/>
  <c r="M760" i="2"/>
  <c r="K760" i="2"/>
  <c r="O759" i="2"/>
  <c r="M759" i="2"/>
  <c r="K759" i="2"/>
  <c r="N759" i="2" s="1"/>
  <c r="O758" i="2"/>
  <c r="M758" i="2"/>
  <c r="N758" i="2" s="1"/>
  <c r="K758" i="2"/>
  <c r="O757" i="2"/>
  <c r="M757" i="2"/>
  <c r="K757" i="2"/>
  <c r="N757" i="2" s="1"/>
  <c r="O756" i="2"/>
  <c r="M756" i="2"/>
  <c r="N756" i="2" s="1"/>
  <c r="K756" i="2"/>
  <c r="O755" i="2"/>
  <c r="M755" i="2"/>
  <c r="K755" i="2"/>
  <c r="N755" i="2" s="1"/>
  <c r="O754" i="2"/>
  <c r="M754" i="2"/>
  <c r="K754" i="2"/>
  <c r="N754" i="2" s="1"/>
  <c r="O753" i="2"/>
  <c r="N753" i="2"/>
  <c r="M753" i="2"/>
  <c r="K753" i="2"/>
  <c r="O752" i="2"/>
  <c r="N752" i="2"/>
  <c r="M752" i="2"/>
  <c r="K752" i="2"/>
  <c r="O751" i="2"/>
  <c r="N751" i="2"/>
  <c r="M751" i="2"/>
  <c r="K751" i="2"/>
  <c r="O750" i="2"/>
  <c r="M750" i="2"/>
  <c r="K750" i="2"/>
  <c r="N750" i="2" s="1"/>
  <c r="O749" i="2"/>
  <c r="M749" i="2"/>
  <c r="K749" i="2"/>
  <c r="N749" i="2" s="1"/>
  <c r="O748" i="2"/>
  <c r="N748" i="2"/>
  <c r="M748" i="2"/>
  <c r="K748" i="2"/>
  <c r="O747" i="2"/>
  <c r="M747" i="2"/>
  <c r="N747" i="2" s="1"/>
  <c r="K747" i="2"/>
  <c r="O746" i="2"/>
  <c r="M746" i="2"/>
  <c r="K746" i="2"/>
  <c r="N746" i="2" s="1"/>
  <c r="O745" i="2"/>
  <c r="M745" i="2"/>
  <c r="K745" i="2"/>
  <c r="N745" i="2" s="1"/>
  <c r="O744" i="2"/>
  <c r="N744" i="2"/>
  <c r="M744" i="2"/>
  <c r="K744" i="2"/>
  <c r="O743" i="2"/>
  <c r="M743" i="2"/>
  <c r="N743" i="2" s="1"/>
  <c r="K743" i="2"/>
  <c r="O742" i="2"/>
  <c r="M742" i="2"/>
  <c r="K742" i="2"/>
  <c r="N742" i="2" s="1"/>
  <c r="O741" i="2"/>
  <c r="M741" i="2"/>
  <c r="K741" i="2"/>
  <c r="N741" i="2" s="1"/>
  <c r="O740" i="2"/>
  <c r="M740" i="2"/>
  <c r="K740" i="2"/>
  <c r="O739" i="2"/>
  <c r="N739" i="2"/>
  <c r="M739" i="2"/>
  <c r="K739" i="2"/>
  <c r="O738" i="2"/>
  <c r="M738" i="2"/>
  <c r="N738" i="2" s="1"/>
  <c r="K738" i="2"/>
  <c r="O737" i="2"/>
  <c r="M737" i="2"/>
  <c r="K737" i="2"/>
  <c r="O736" i="2"/>
  <c r="M736" i="2"/>
  <c r="K736" i="2"/>
  <c r="N736" i="2" s="1"/>
  <c r="O735" i="2"/>
  <c r="M735" i="2"/>
  <c r="K735" i="2"/>
  <c r="N735" i="2" s="1"/>
  <c r="O734" i="2"/>
  <c r="N734" i="2"/>
  <c r="M734" i="2"/>
  <c r="K734" i="2"/>
  <c r="O733" i="2"/>
  <c r="M733" i="2"/>
  <c r="N733" i="2" s="1"/>
  <c r="K733" i="2"/>
  <c r="O732" i="2"/>
  <c r="M732" i="2"/>
  <c r="K732" i="2"/>
  <c r="N732" i="2" s="1"/>
  <c r="O731" i="2"/>
  <c r="N731" i="2"/>
  <c r="M731" i="2"/>
  <c r="K731" i="2"/>
  <c r="O730" i="2"/>
  <c r="M730" i="2"/>
  <c r="K730" i="2"/>
  <c r="O729" i="2"/>
  <c r="M729" i="2"/>
  <c r="K729" i="2"/>
  <c r="N729" i="2" s="1"/>
  <c r="O728" i="2"/>
  <c r="M728" i="2"/>
  <c r="N728" i="2" s="1"/>
  <c r="K728" i="2"/>
  <c r="O727" i="2"/>
  <c r="M727" i="2"/>
  <c r="N727" i="2" s="1"/>
  <c r="K727" i="2"/>
  <c r="O726" i="2"/>
  <c r="N726" i="2"/>
  <c r="M726" i="2"/>
  <c r="K726" i="2"/>
  <c r="O725" i="2"/>
  <c r="M725" i="2"/>
  <c r="K725" i="2"/>
  <c r="N725" i="2" s="1"/>
  <c r="O724" i="2"/>
  <c r="N724" i="2"/>
  <c r="M724" i="2"/>
  <c r="K724" i="2"/>
  <c r="O723" i="2"/>
  <c r="N723" i="2"/>
  <c r="M723" i="2"/>
  <c r="K723" i="2"/>
  <c r="O722" i="2"/>
  <c r="M722" i="2"/>
  <c r="K722" i="2"/>
  <c r="N722" i="2" s="1"/>
  <c r="O721" i="2"/>
  <c r="M721" i="2"/>
  <c r="K721" i="2"/>
  <c r="N721" i="2" s="1"/>
  <c r="O720" i="2"/>
  <c r="M720" i="2"/>
  <c r="K720" i="2"/>
  <c r="O719" i="2"/>
  <c r="N719" i="2"/>
  <c r="M719" i="2"/>
  <c r="K719" i="2"/>
  <c r="O718" i="2"/>
  <c r="N718" i="2"/>
  <c r="M718" i="2"/>
  <c r="K718" i="2"/>
  <c r="O717" i="2"/>
  <c r="M717" i="2"/>
  <c r="K717" i="2"/>
  <c r="O716" i="2"/>
  <c r="M716" i="2"/>
  <c r="K716" i="2"/>
  <c r="N716" i="2" s="1"/>
  <c r="O715" i="2"/>
  <c r="M715" i="2"/>
  <c r="K715" i="2"/>
  <c r="N715" i="2" s="1"/>
  <c r="O714" i="2"/>
  <c r="N714" i="2"/>
  <c r="M714" i="2"/>
  <c r="K714" i="2"/>
  <c r="O713" i="2"/>
  <c r="N713" i="2"/>
  <c r="M713" i="2"/>
  <c r="K713" i="2"/>
  <c r="O712" i="2"/>
  <c r="M712" i="2"/>
  <c r="K712" i="2"/>
  <c r="N712" i="2" s="1"/>
  <c r="O711" i="2"/>
  <c r="N711" i="2"/>
  <c r="M711" i="2"/>
  <c r="K711" i="2"/>
  <c r="O710" i="2"/>
  <c r="M710" i="2"/>
  <c r="K710" i="2"/>
  <c r="O709" i="2"/>
  <c r="M709" i="2"/>
  <c r="K709" i="2"/>
  <c r="N709" i="2" s="1"/>
  <c r="O708" i="2"/>
  <c r="N708" i="2"/>
  <c r="M708" i="2"/>
  <c r="K708" i="2"/>
  <c r="O707" i="2"/>
  <c r="N707" i="2"/>
  <c r="M707" i="2"/>
  <c r="K707" i="2"/>
  <c r="O706" i="2"/>
  <c r="N706" i="2"/>
  <c r="M706" i="2"/>
  <c r="K706" i="2"/>
  <c r="O705" i="2"/>
  <c r="M705" i="2"/>
  <c r="K705" i="2"/>
  <c r="N705" i="2" s="1"/>
  <c r="O704" i="2"/>
  <c r="N704" i="2"/>
  <c r="M704" i="2"/>
  <c r="K704" i="2"/>
  <c r="O703" i="2"/>
  <c r="N703" i="2"/>
  <c r="M703" i="2"/>
  <c r="K703" i="2"/>
  <c r="O702" i="2"/>
  <c r="N702" i="2"/>
  <c r="M702" i="2"/>
  <c r="K702" i="2"/>
  <c r="O701" i="2"/>
  <c r="M701" i="2"/>
  <c r="K701" i="2"/>
  <c r="N701" i="2" s="1"/>
  <c r="O700" i="2"/>
  <c r="M700" i="2"/>
  <c r="K700" i="2"/>
  <c r="N700" i="2" s="1"/>
  <c r="O699" i="2"/>
  <c r="N699" i="2"/>
  <c r="M699" i="2"/>
  <c r="K699" i="2"/>
  <c r="O698" i="2"/>
  <c r="N698" i="2"/>
  <c r="M698" i="2"/>
  <c r="K698" i="2"/>
  <c r="O697" i="2"/>
  <c r="M697" i="2"/>
  <c r="K697" i="2"/>
  <c r="N697" i="2" s="1"/>
  <c r="O696" i="2"/>
  <c r="M696" i="2"/>
  <c r="K696" i="2"/>
  <c r="O695" i="2"/>
  <c r="M695" i="2"/>
  <c r="K695" i="2"/>
  <c r="N695" i="2" s="1"/>
  <c r="O694" i="2"/>
  <c r="M694" i="2"/>
  <c r="K694" i="2"/>
  <c r="N694" i="2" s="1"/>
  <c r="O693" i="2"/>
  <c r="N693" i="2"/>
  <c r="M693" i="2"/>
  <c r="K693" i="2"/>
  <c r="O692" i="2"/>
  <c r="M692" i="2"/>
  <c r="K692" i="2"/>
  <c r="O691" i="2"/>
  <c r="M691" i="2"/>
  <c r="K691" i="2"/>
  <c r="N691" i="2" s="1"/>
  <c r="O690" i="2"/>
  <c r="M690" i="2"/>
  <c r="K690" i="2"/>
  <c r="O689" i="2"/>
  <c r="N689" i="2"/>
  <c r="M689" i="2"/>
  <c r="K689" i="2"/>
  <c r="O688" i="2"/>
  <c r="N688" i="2"/>
  <c r="M688" i="2"/>
  <c r="K688" i="2"/>
  <c r="O687" i="2"/>
  <c r="M687" i="2"/>
  <c r="K687" i="2"/>
  <c r="N687" i="2" s="1"/>
  <c r="O686" i="2"/>
  <c r="N686" i="2"/>
  <c r="M686" i="2"/>
  <c r="K686" i="2"/>
  <c r="O685" i="2"/>
  <c r="M685" i="2"/>
  <c r="K685" i="2"/>
  <c r="N685" i="2" s="1"/>
  <c r="O684" i="2"/>
  <c r="M684" i="2"/>
  <c r="K684" i="2"/>
  <c r="N684" i="2" s="1"/>
  <c r="O683" i="2"/>
  <c r="N683" i="2"/>
  <c r="M683" i="2"/>
  <c r="K683" i="2"/>
  <c r="O682" i="2"/>
  <c r="N682" i="2"/>
  <c r="M682" i="2"/>
  <c r="K682" i="2"/>
  <c r="O681" i="2"/>
  <c r="M681" i="2"/>
  <c r="N681" i="2" s="1"/>
  <c r="K681" i="2"/>
  <c r="O680" i="2"/>
  <c r="M680" i="2"/>
  <c r="K680" i="2"/>
  <c r="N680" i="2" s="1"/>
  <c r="O679" i="2"/>
  <c r="M679" i="2"/>
  <c r="K679" i="2"/>
  <c r="N679" i="2" s="1"/>
  <c r="O678" i="2"/>
  <c r="N678" i="2"/>
  <c r="M678" i="2"/>
  <c r="K678" i="2"/>
  <c r="O677" i="2"/>
  <c r="M677" i="2"/>
  <c r="N677" i="2" s="1"/>
  <c r="K677" i="2"/>
  <c r="O676" i="2"/>
  <c r="M676" i="2"/>
  <c r="K676" i="2"/>
  <c r="O675" i="2"/>
  <c r="M675" i="2"/>
  <c r="K675" i="2"/>
  <c r="N675" i="2" s="1"/>
  <c r="O674" i="2"/>
  <c r="N674" i="2"/>
  <c r="M674" i="2"/>
  <c r="K674" i="2"/>
  <c r="O673" i="2"/>
  <c r="N673" i="2"/>
  <c r="M673" i="2"/>
  <c r="K673" i="2"/>
  <c r="O672" i="2"/>
  <c r="M672" i="2"/>
  <c r="K672" i="2"/>
  <c r="O671" i="2"/>
  <c r="M671" i="2"/>
  <c r="K671" i="2"/>
  <c r="O670" i="2"/>
  <c r="M670" i="2"/>
  <c r="K670" i="2"/>
  <c r="O669" i="2"/>
  <c r="N669" i="2"/>
  <c r="M669" i="2"/>
  <c r="K669" i="2"/>
  <c r="O668" i="2"/>
  <c r="N668" i="2"/>
  <c r="M668" i="2"/>
  <c r="K668" i="2"/>
  <c r="O667" i="2"/>
  <c r="M667" i="2"/>
  <c r="K667" i="2"/>
  <c r="O666" i="2"/>
  <c r="M666" i="2"/>
  <c r="K666" i="2"/>
  <c r="N666" i="2" s="1"/>
  <c r="O665" i="2"/>
  <c r="M665" i="2"/>
  <c r="K665" i="2"/>
  <c r="O664" i="2"/>
  <c r="N664" i="2"/>
  <c r="M664" i="2"/>
  <c r="K664" i="2"/>
  <c r="O663" i="2"/>
  <c r="N663" i="2"/>
  <c r="M663" i="2"/>
  <c r="K663" i="2"/>
  <c r="O662" i="2"/>
  <c r="M662" i="2"/>
  <c r="K662" i="2"/>
  <c r="N662" i="2" s="1"/>
  <c r="O661" i="2"/>
  <c r="N661" i="2"/>
  <c r="M661" i="2"/>
  <c r="K661" i="2"/>
  <c r="O660" i="2"/>
  <c r="M660" i="2"/>
  <c r="K660" i="2"/>
  <c r="O659" i="2"/>
  <c r="M659" i="2"/>
  <c r="K659" i="2"/>
  <c r="N659" i="2" s="1"/>
  <c r="O658" i="2"/>
  <c r="N658" i="2"/>
  <c r="M658" i="2"/>
  <c r="K658" i="2"/>
  <c r="O657" i="2"/>
  <c r="N657" i="2"/>
  <c r="M657" i="2"/>
  <c r="K657" i="2"/>
  <c r="O656" i="2"/>
  <c r="N656" i="2"/>
  <c r="M656" i="2"/>
  <c r="K656" i="2"/>
  <c r="O655" i="2"/>
  <c r="M655" i="2"/>
  <c r="K655" i="2"/>
  <c r="N655" i="2" s="1"/>
  <c r="O654" i="2"/>
  <c r="M654" i="2"/>
  <c r="K654" i="2"/>
  <c r="N654" i="2" s="1"/>
  <c r="O653" i="2"/>
  <c r="N653" i="2"/>
  <c r="M653" i="2"/>
  <c r="K653" i="2"/>
  <c r="O652" i="2"/>
  <c r="N652" i="2"/>
  <c r="M652" i="2"/>
  <c r="K652" i="2"/>
  <c r="O651" i="2"/>
  <c r="M651" i="2"/>
  <c r="K651" i="2"/>
  <c r="N651" i="2" s="1"/>
  <c r="O650" i="2"/>
  <c r="M650" i="2"/>
  <c r="K650" i="2"/>
  <c r="N650" i="2" s="1"/>
  <c r="O649" i="2"/>
  <c r="N649" i="2"/>
  <c r="M649" i="2"/>
  <c r="K649" i="2"/>
  <c r="O648" i="2"/>
  <c r="N648" i="2"/>
  <c r="M648" i="2"/>
  <c r="K648" i="2"/>
  <c r="O647" i="2"/>
  <c r="M647" i="2"/>
  <c r="N647" i="2" s="1"/>
  <c r="K647" i="2"/>
  <c r="O646" i="2"/>
  <c r="M646" i="2"/>
  <c r="K646" i="2"/>
  <c r="N646" i="2" s="1"/>
  <c r="O645" i="2"/>
  <c r="M645" i="2"/>
  <c r="K645" i="2"/>
  <c r="N645" i="2" s="1"/>
  <c r="O644" i="2"/>
  <c r="N644" i="2"/>
  <c r="M644" i="2"/>
  <c r="K644" i="2"/>
  <c r="O643" i="2"/>
  <c r="N643" i="2"/>
  <c r="M643" i="2"/>
  <c r="K643" i="2"/>
  <c r="O642" i="2"/>
  <c r="M642" i="2"/>
  <c r="K642" i="2"/>
  <c r="O641" i="2"/>
  <c r="N641" i="2"/>
  <c r="M641" i="2"/>
  <c r="K641" i="2"/>
  <c r="O640" i="2"/>
  <c r="M640" i="2"/>
  <c r="K640" i="2"/>
  <c r="O639" i="2"/>
  <c r="M639" i="2"/>
  <c r="K639" i="2"/>
  <c r="N639" i="2" s="1"/>
  <c r="O638" i="2"/>
  <c r="N638" i="2"/>
  <c r="M638" i="2"/>
  <c r="K638" i="2"/>
  <c r="O637" i="2"/>
  <c r="M637" i="2"/>
  <c r="K637" i="2"/>
  <c r="N637" i="2" s="1"/>
  <c r="O636" i="2"/>
  <c r="M636" i="2"/>
  <c r="N636" i="2" s="1"/>
  <c r="K636" i="2"/>
  <c r="O635" i="2"/>
  <c r="M635" i="2"/>
  <c r="K635" i="2"/>
  <c r="O634" i="2"/>
  <c r="M634" i="2"/>
  <c r="K634" i="2"/>
  <c r="N634" i="2" s="1"/>
  <c r="O633" i="2"/>
  <c r="N633" i="2"/>
  <c r="M633" i="2"/>
  <c r="K633" i="2"/>
  <c r="O632" i="2"/>
  <c r="N632" i="2"/>
  <c r="M632" i="2"/>
  <c r="K632" i="2"/>
  <c r="O631" i="2"/>
  <c r="N631" i="2"/>
  <c r="M631" i="2"/>
  <c r="K631" i="2"/>
  <c r="O630" i="2"/>
  <c r="M630" i="2"/>
  <c r="K630" i="2"/>
  <c r="N630" i="2" s="1"/>
  <c r="O629" i="2"/>
  <c r="M629" i="2"/>
  <c r="K629" i="2"/>
  <c r="N629" i="2" s="1"/>
  <c r="O628" i="2"/>
  <c r="N628" i="2"/>
  <c r="M628" i="2"/>
  <c r="K628" i="2"/>
  <c r="O627" i="2"/>
  <c r="M627" i="2"/>
  <c r="N627" i="2" s="1"/>
  <c r="K627" i="2"/>
  <c r="O626" i="2"/>
  <c r="M626" i="2"/>
  <c r="K626" i="2"/>
  <c r="N626" i="2" s="1"/>
  <c r="O625" i="2"/>
  <c r="M625" i="2"/>
  <c r="K625" i="2"/>
  <c r="N625" i="2" s="1"/>
  <c r="O624" i="2"/>
  <c r="N624" i="2"/>
  <c r="M624" i="2"/>
  <c r="K624" i="2"/>
  <c r="O623" i="2"/>
  <c r="N623" i="2"/>
  <c r="M623" i="2"/>
  <c r="K623" i="2"/>
  <c r="O622" i="2"/>
  <c r="M622" i="2"/>
  <c r="K622" i="2"/>
  <c r="N622" i="2" s="1"/>
  <c r="O621" i="2"/>
  <c r="M621" i="2"/>
  <c r="K621" i="2"/>
  <c r="N621" i="2" s="1"/>
  <c r="O620" i="2"/>
  <c r="M620" i="2"/>
  <c r="K620" i="2"/>
  <c r="O619" i="2"/>
  <c r="N619" i="2"/>
  <c r="M619" i="2"/>
  <c r="K619" i="2"/>
  <c r="O618" i="2"/>
  <c r="N618" i="2"/>
  <c r="M618" i="2"/>
  <c r="K618" i="2"/>
  <c r="O617" i="2"/>
  <c r="M617" i="2"/>
  <c r="K617" i="2"/>
  <c r="O616" i="2"/>
  <c r="M616" i="2"/>
  <c r="K616" i="2"/>
  <c r="N616" i="2" s="1"/>
  <c r="O615" i="2"/>
  <c r="M615" i="2"/>
  <c r="K615" i="2"/>
  <c r="N615" i="2" s="1"/>
  <c r="O614" i="2"/>
  <c r="N614" i="2"/>
  <c r="M614" i="2"/>
  <c r="K614" i="2"/>
  <c r="O613" i="2"/>
  <c r="N613" i="2"/>
  <c r="M613" i="2"/>
  <c r="K613" i="2"/>
  <c r="O612" i="2"/>
  <c r="M612" i="2"/>
  <c r="K612" i="2"/>
  <c r="N612" i="2" s="1"/>
  <c r="O611" i="2"/>
  <c r="N611" i="2"/>
  <c r="M611" i="2"/>
  <c r="K611" i="2"/>
  <c r="O610" i="2"/>
  <c r="M610" i="2"/>
  <c r="K610" i="2"/>
  <c r="O609" i="2"/>
  <c r="M609" i="2"/>
  <c r="K609" i="2"/>
  <c r="N609" i="2" s="1"/>
  <c r="O608" i="2"/>
  <c r="N608" i="2"/>
  <c r="M608" i="2"/>
  <c r="K608" i="2"/>
  <c r="O607" i="2"/>
  <c r="N607" i="2"/>
  <c r="M607" i="2"/>
  <c r="K607" i="2"/>
  <c r="O606" i="2"/>
  <c r="N606" i="2"/>
  <c r="M606" i="2"/>
  <c r="K606" i="2"/>
  <c r="O605" i="2"/>
  <c r="M605" i="2"/>
  <c r="K605" i="2"/>
  <c r="N605" i="2" s="1"/>
  <c r="O604" i="2"/>
  <c r="M604" i="2"/>
  <c r="K604" i="2"/>
  <c r="N604" i="2" s="1"/>
  <c r="O603" i="2"/>
  <c r="N603" i="2"/>
  <c r="M603" i="2"/>
  <c r="K603" i="2"/>
  <c r="O602" i="2"/>
  <c r="M602" i="2"/>
  <c r="N602" i="2" s="1"/>
  <c r="K602" i="2"/>
  <c r="O601" i="2"/>
  <c r="M601" i="2"/>
  <c r="N601" i="2" s="1"/>
  <c r="K601" i="2"/>
  <c r="O600" i="2"/>
  <c r="M600" i="2"/>
  <c r="K600" i="2"/>
  <c r="N600" i="2" s="1"/>
  <c r="O599" i="2"/>
  <c r="N599" i="2"/>
  <c r="M599" i="2"/>
  <c r="K599" i="2"/>
  <c r="O598" i="2"/>
  <c r="N598" i="2"/>
  <c r="M598" i="2"/>
  <c r="K598" i="2"/>
  <c r="O597" i="2"/>
  <c r="M597" i="2"/>
  <c r="K597" i="2"/>
  <c r="N597" i="2" s="1"/>
  <c r="O596" i="2"/>
  <c r="M596" i="2"/>
  <c r="K596" i="2"/>
  <c r="N596" i="2" s="1"/>
  <c r="O595" i="2"/>
  <c r="M595" i="2"/>
  <c r="K595" i="2"/>
  <c r="N595" i="2" s="1"/>
  <c r="O594" i="2"/>
  <c r="M594" i="2"/>
  <c r="K594" i="2"/>
  <c r="N594" i="2" s="1"/>
  <c r="O593" i="2"/>
  <c r="N593" i="2"/>
  <c r="M593" i="2"/>
  <c r="K593" i="2"/>
  <c r="O592" i="2"/>
  <c r="M592" i="2"/>
  <c r="K592" i="2"/>
  <c r="N592" i="2" s="1"/>
  <c r="O591" i="2"/>
  <c r="N591" i="2"/>
  <c r="M591" i="2"/>
  <c r="K591" i="2"/>
  <c r="O590" i="2"/>
  <c r="M590" i="2"/>
  <c r="K590" i="2"/>
  <c r="O589" i="2"/>
  <c r="M589" i="2"/>
  <c r="K589" i="2"/>
  <c r="N589" i="2" s="1"/>
  <c r="O588" i="2"/>
  <c r="N588" i="2"/>
  <c r="M588" i="2"/>
  <c r="K588" i="2"/>
  <c r="O587" i="2"/>
  <c r="M587" i="2"/>
  <c r="K587" i="2"/>
  <c r="N587" i="2" s="1"/>
  <c r="O586" i="2"/>
  <c r="N586" i="2"/>
  <c r="M586" i="2"/>
  <c r="K586" i="2"/>
  <c r="O585" i="2"/>
  <c r="M585" i="2"/>
  <c r="K585" i="2"/>
  <c r="N585" i="2" s="1"/>
  <c r="O584" i="2"/>
  <c r="M584" i="2"/>
  <c r="K584" i="2"/>
  <c r="N584" i="2" s="1"/>
  <c r="O583" i="2"/>
  <c r="N583" i="2"/>
  <c r="M583" i="2"/>
  <c r="K583" i="2"/>
  <c r="O582" i="2"/>
  <c r="N582" i="2"/>
  <c r="M582" i="2"/>
  <c r="K582" i="2"/>
  <c r="O581" i="2"/>
  <c r="M581" i="2"/>
  <c r="K581" i="2"/>
  <c r="N581" i="2" s="1"/>
  <c r="O580" i="2"/>
  <c r="M580" i="2"/>
  <c r="K580" i="2"/>
  <c r="O579" i="2"/>
  <c r="M579" i="2"/>
  <c r="K579" i="2"/>
  <c r="N579" i="2" s="1"/>
  <c r="O578" i="2"/>
  <c r="N578" i="2"/>
  <c r="M578" i="2"/>
  <c r="K578" i="2"/>
  <c r="O577" i="2"/>
  <c r="N577" i="2"/>
  <c r="M577" i="2"/>
  <c r="K577" i="2"/>
  <c r="O576" i="2"/>
  <c r="N576" i="2"/>
  <c r="M576" i="2"/>
  <c r="K576" i="2"/>
  <c r="O575" i="2"/>
  <c r="M575" i="2"/>
  <c r="K575" i="2"/>
  <c r="N575" i="2" s="1"/>
  <c r="O574" i="2"/>
  <c r="N574" i="2"/>
  <c r="M574" i="2"/>
  <c r="K574" i="2"/>
  <c r="O573" i="2"/>
  <c r="N573" i="2"/>
  <c r="M573" i="2"/>
  <c r="K573" i="2"/>
  <c r="O572" i="2"/>
  <c r="N572" i="2"/>
  <c r="M572" i="2"/>
  <c r="K572" i="2"/>
  <c r="O571" i="2"/>
  <c r="M571" i="2"/>
  <c r="K571" i="2"/>
  <c r="N571" i="2" s="1"/>
  <c r="O570" i="2"/>
  <c r="M570" i="2"/>
  <c r="K570" i="2"/>
  <c r="O569" i="2"/>
  <c r="N569" i="2"/>
  <c r="M569" i="2"/>
  <c r="K569" i="2"/>
  <c r="O568" i="2"/>
  <c r="N568" i="2"/>
  <c r="M568" i="2"/>
  <c r="K568" i="2"/>
  <c r="O567" i="2"/>
  <c r="M567" i="2"/>
  <c r="K567" i="2"/>
  <c r="N567" i="2" s="1"/>
  <c r="O566" i="2"/>
  <c r="M566" i="2"/>
  <c r="K566" i="2"/>
  <c r="N566" i="2" s="1"/>
  <c r="O565" i="2"/>
  <c r="M565" i="2"/>
  <c r="K565" i="2"/>
  <c r="N565" i="2" s="1"/>
  <c r="O564" i="2"/>
  <c r="M564" i="2"/>
  <c r="K564" i="2"/>
  <c r="N564" i="2" s="1"/>
  <c r="O563" i="2"/>
  <c r="N563" i="2"/>
  <c r="M563" i="2"/>
  <c r="K563" i="2"/>
  <c r="O562" i="2"/>
  <c r="N562" i="2"/>
  <c r="M562" i="2"/>
  <c r="K562" i="2"/>
  <c r="O561" i="2"/>
  <c r="N561" i="2"/>
  <c r="M561" i="2"/>
  <c r="K561" i="2"/>
  <c r="O560" i="2"/>
  <c r="M560" i="2"/>
  <c r="K560" i="2"/>
  <c r="N560" i="2" s="1"/>
  <c r="O559" i="2"/>
  <c r="M559" i="2"/>
  <c r="K559" i="2"/>
  <c r="N559" i="2" s="1"/>
  <c r="O558" i="2"/>
  <c r="N558" i="2"/>
  <c r="M558" i="2"/>
  <c r="K558" i="2"/>
  <c r="O557" i="2"/>
  <c r="M557" i="2"/>
  <c r="N557" i="2" s="1"/>
  <c r="K557" i="2"/>
  <c r="O556" i="2"/>
  <c r="N556" i="2"/>
  <c r="M556" i="2"/>
  <c r="K556" i="2"/>
  <c r="O555" i="2"/>
  <c r="M555" i="2"/>
  <c r="K555" i="2"/>
  <c r="N555" i="2" s="1"/>
  <c r="O554" i="2"/>
  <c r="M554" i="2"/>
  <c r="K554" i="2"/>
  <c r="N554" i="2" s="1"/>
  <c r="O553" i="2"/>
  <c r="N553" i="2"/>
  <c r="M553" i="2"/>
  <c r="K553" i="2"/>
  <c r="O552" i="2"/>
  <c r="N552" i="2"/>
  <c r="M552" i="2"/>
  <c r="K552" i="2"/>
  <c r="O551" i="2"/>
  <c r="N551" i="2"/>
  <c r="M551" i="2"/>
  <c r="K551" i="2"/>
  <c r="O550" i="2"/>
  <c r="M550" i="2"/>
  <c r="K550" i="2"/>
  <c r="N550" i="2" s="1"/>
  <c r="O549" i="2"/>
  <c r="N549" i="2"/>
  <c r="M549" i="2"/>
  <c r="K549" i="2"/>
  <c r="O548" i="2"/>
  <c r="N548" i="2"/>
  <c r="M548" i="2"/>
  <c r="K548" i="2"/>
  <c r="O547" i="2"/>
  <c r="M547" i="2"/>
  <c r="N547" i="2" s="1"/>
  <c r="K547" i="2"/>
  <c r="O546" i="2"/>
  <c r="M546" i="2"/>
  <c r="K546" i="2"/>
  <c r="N546" i="2" s="1"/>
  <c r="O545" i="2"/>
  <c r="M545" i="2"/>
  <c r="K545" i="2"/>
  <c r="N545" i="2" s="1"/>
  <c r="O544" i="2"/>
  <c r="N544" i="2"/>
  <c r="M544" i="2"/>
  <c r="K544" i="2"/>
  <c r="O543" i="2"/>
  <c r="N543" i="2"/>
  <c r="M543" i="2"/>
  <c r="K543" i="2"/>
  <c r="O542" i="2"/>
  <c r="M542" i="2"/>
  <c r="K542" i="2"/>
  <c r="N542" i="2" s="1"/>
  <c r="O541" i="2"/>
  <c r="N541" i="2"/>
  <c r="M541" i="2"/>
  <c r="K541" i="2"/>
  <c r="O540" i="2"/>
  <c r="M540" i="2"/>
  <c r="K540" i="2"/>
  <c r="O539" i="2"/>
  <c r="M539" i="2"/>
  <c r="K539" i="2"/>
  <c r="N539" i="2" s="1"/>
  <c r="O538" i="2"/>
  <c r="N538" i="2"/>
  <c r="M538" i="2"/>
  <c r="K538" i="2"/>
  <c r="O537" i="2"/>
  <c r="M537" i="2"/>
  <c r="K537" i="2"/>
  <c r="N537" i="2" s="1"/>
  <c r="O536" i="2"/>
  <c r="M536" i="2"/>
  <c r="N536" i="2" s="1"/>
  <c r="K536" i="2"/>
  <c r="O535" i="2"/>
  <c r="M535" i="2"/>
  <c r="K535" i="2"/>
  <c r="N535" i="2" s="1"/>
  <c r="O534" i="2"/>
  <c r="M534" i="2"/>
  <c r="K534" i="2"/>
  <c r="N534" i="2" s="1"/>
  <c r="O533" i="2"/>
  <c r="N533" i="2"/>
  <c r="M533" i="2"/>
  <c r="K533" i="2"/>
  <c r="O532" i="2"/>
  <c r="N532" i="2"/>
  <c r="M532" i="2"/>
  <c r="K532" i="2"/>
  <c r="O531" i="2"/>
  <c r="M531" i="2"/>
  <c r="K531" i="2"/>
  <c r="N531" i="2" s="1"/>
  <c r="O530" i="2"/>
  <c r="M530" i="2"/>
  <c r="K530" i="2"/>
  <c r="O529" i="2"/>
  <c r="M529" i="2"/>
  <c r="K529" i="2"/>
  <c r="N529" i="2" s="1"/>
  <c r="O528" i="2"/>
  <c r="N528" i="2"/>
  <c r="M528" i="2"/>
  <c r="K528" i="2"/>
  <c r="O527" i="2"/>
  <c r="N527" i="2"/>
  <c r="M527" i="2"/>
  <c r="K527" i="2"/>
  <c r="O526" i="2"/>
  <c r="N526" i="2"/>
  <c r="M526" i="2"/>
  <c r="K526" i="2"/>
  <c r="O525" i="2"/>
  <c r="M525" i="2"/>
  <c r="K525" i="2"/>
  <c r="N525" i="2" s="1"/>
  <c r="O524" i="2"/>
  <c r="M524" i="2"/>
  <c r="K524" i="2"/>
  <c r="N524" i="2" s="1"/>
  <c r="O523" i="2"/>
  <c r="N523" i="2"/>
  <c r="M523" i="2"/>
  <c r="K523" i="2"/>
  <c r="O522" i="2"/>
  <c r="M522" i="2"/>
  <c r="N522" i="2" s="1"/>
  <c r="K522" i="2"/>
  <c r="O521" i="2"/>
  <c r="N521" i="2"/>
  <c r="M521" i="2"/>
  <c r="K521" i="2"/>
  <c r="O520" i="2"/>
  <c r="M520" i="2"/>
  <c r="K520" i="2"/>
  <c r="N520" i="2" s="1"/>
  <c r="O519" i="2"/>
  <c r="M519" i="2"/>
  <c r="K519" i="2"/>
  <c r="N519" i="2" s="1"/>
  <c r="O518" i="2"/>
  <c r="N518" i="2"/>
  <c r="M518" i="2"/>
  <c r="K518" i="2"/>
  <c r="O517" i="2"/>
  <c r="M517" i="2"/>
  <c r="N517" i="2" s="1"/>
  <c r="K517" i="2"/>
  <c r="O516" i="2"/>
  <c r="M516" i="2"/>
  <c r="K516" i="2"/>
  <c r="N516" i="2" s="1"/>
  <c r="O515" i="2"/>
  <c r="M515" i="2"/>
  <c r="K515" i="2"/>
  <c r="O514" i="2"/>
  <c r="M514" i="2"/>
  <c r="K514" i="2"/>
  <c r="N514" i="2" s="1"/>
  <c r="O513" i="2"/>
  <c r="N513" i="2"/>
  <c r="M513" i="2"/>
  <c r="K513" i="2"/>
  <c r="O512" i="2"/>
  <c r="N512" i="2"/>
  <c r="M512" i="2"/>
  <c r="K512" i="2"/>
  <c r="O511" i="2"/>
  <c r="M511" i="2"/>
  <c r="K511" i="2"/>
  <c r="N511" i="2" s="1"/>
  <c r="O510" i="2"/>
  <c r="M510" i="2"/>
  <c r="K510" i="2"/>
  <c r="N510" i="2" s="1"/>
  <c r="O509" i="2"/>
  <c r="M509" i="2"/>
  <c r="K509" i="2"/>
  <c r="N509" i="2" s="1"/>
  <c r="O508" i="2"/>
  <c r="N508" i="2"/>
  <c r="M508" i="2"/>
  <c r="K508" i="2"/>
  <c r="O507" i="2"/>
  <c r="M507" i="2"/>
  <c r="N507" i="2" s="1"/>
  <c r="K507" i="2"/>
  <c r="O506" i="2"/>
  <c r="M506" i="2"/>
  <c r="K506" i="2"/>
  <c r="N506" i="2" s="1"/>
  <c r="O505" i="2"/>
  <c r="M505" i="2"/>
  <c r="K505" i="2"/>
  <c r="O504" i="2"/>
  <c r="M504" i="2"/>
  <c r="K504" i="2"/>
  <c r="N504" i="2" s="1"/>
  <c r="O503" i="2"/>
  <c r="N503" i="2"/>
  <c r="M503" i="2"/>
  <c r="K503" i="2"/>
  <c r="O502" i="2"/>
  <c r="N502" i="2"/>
  <c r="M502" i="2"/>
  <c r="K502" i="2"/>
  <c r="O501" i="2"/>
  <c r="N501" i="2"/>
  <c r="M501" i="2"/>
  <c r="K501" i="2"/>
  <c r="O500" i="2"/>
  <c r="M500" i="2"/>
  <c r="K500" i="2"/>
  <c r="O499" i="2"/>
  <c r="M499" i="2"/>
  <c r="K499" i="2"/>
  <c r="N499" i="2" s="1"/>
  <c r="O498" i="2"/>
  <c r="N498" i="2"/>
  <c r="M498" i="2"/>
  <c r="K498" i="2"/>
  <c r="O497" i="2"/>
  <c r="N497" i="2"/>
  <c r="M497" i="2"/>
  <c r="K497" i="2"/>
  <c r="O496" i="2"/>
  <c r="M496" i="2"/>
  <c r="K496" i="2"/>
  <c r="N496" i="2" s="1"/>
  <c r="O495" i="2"/>
  <c r="M495" i="2"/>
  <c r="K495" i="2"/>
  <c r="N495" i="2" s="1"/>
  <c r="O494" i="2"/>
  <c r="M494" i="2"/>
  <c r="K494" i="2"/>
  <c r="N494" i="2" s="1"/>
  <c r="O493" i="2"/>
  <c r="N493" i="2"/>
  <c r="M493" i="2"/>
  <c r="K493" i="2"/>
  <c r="O492" i="2"/>
  <c r="M492" i="2"/>
  <c r="N492" i="2" s="1"/>
  <c r="K492" i="2"/>
  <c r="O491" i="2"/>
  <c r="M491" i="2"/>
  <c r="K491" i="2"/>
  <c r="N491" i="2" s="1"/>
  <c r="O490" i="2"/>
  <c r="M490" i="2"/>
  <c r="K490" i="2"/>
  <c r="O489" i="2"/>
  <c r="M489" i="2"/>
  <c r="K489" i="2"/>
  <c r="N489" i="2" s="1"/>
  <c r="O488" i="2"/>
  <c r="N488" i="2"/>
  <c r="M488" i="2"/>
  <c r="K488" i="2"/>
  <c r="O487" i="2"/>
  <c r="N487" i="2"/>
  <c r="M487" i="2"/>
  <c r="K487" i="2"/>
  <c r="O486" i="2"/>
  <c r="N486" i="2"/>
  <c r="M486" i="2"/>
  <c r="K486" i="2"/>
  <c r="O485" i="2"/>
  <c r="M485" i="2"/>
  <c r="K485" i="2"/>
  <c r="N485" i="2" s="1"/>
  <c r="O484" i="2"/>
  <c r="M484" i="2"/>
  <c r="K484" i="2"/>
  <c r="N484" i="2" s="1"/>
  <c r="O483" i="2"/>
  <c r="N483" i="2"/>
  <c r="M483" i="2"/>
  <c r="K483" i="2"/>
  <c r="O482" i="2"/>
  <c r="M482" i="2"/>
  <c r="N482" i="2" s="1"/>
  <c r="K482" i="2"/>
  <c r="O481" i="2"/>
  <c r="M481" i="2"/>
  <c r="K481" i="2"/>
  <c r="N481" i="2" s="1"/>
  <c r="O480" i="2"/>
  <c r="M480" i="2"/>
  <c r="K480" i="2"/>
  <c r="O479" i="2"/>
  <c r="M479" i="2"/>
  <c r="K479" i="2"/>
  <c r="N479" i="2" s="1"/>
  <c r="O478" i="2"/>
  <c r="N478" i="2"/>
  <c r="M478" i="2"/>
  <c r="K478" i="2"/>
  <c r="O477" i="2"/>
  <c r="N477" i="2"/>
  <c r="M477" i="2"/>
  <c r="K477" i="2"/>
  <c r="O476" i="2"/>
  <c r="N476" i="2"/>
  <c r="M476" i="2"/>
  <c r="K476" i="2"/>
  <c r="O475" i="2"/>
  <c r="M475" i="2"/>
  <c r="K475" i="2"/>
  <c r="N475" i="2" s="1"/>
  <c r="O474" i="2"/>
  <c r="M474" i="2"/>
  <c r="K474" i="2"/>
  <c r="N474" i="2" s="1"/>
  <c r="O473" i="2"/>
  <c r="N473" i="2"/>
  <c r="M473" i="2"/>
  <c r="K473" i="2"/>
  <c r="O472" i="2"/>
  <c r="M472" i="2"/>
  <c r="N472" i="2" s="1"/>
  <c r="K472" i="2"/>
  <c r="O471" i="2"/>
  <c r="M471" i="2"/>
  <c r="K471" i="2"/>
  <c r="N471" i="2" s="1"/>
  <c r="O470" i="2"/>
  <c r="M470" i="2"/>
  <c r="K470" i="2"/>
  <c r="N470" i="2" s="1"/>
  <c r="O469" i="2"/>
  <c r="M469" i="2"/>
  <c r="K469" i="2"/>
  <c r="N469" i="2" s="1"/>
  <c r="O468" i="2"/>
  <c r="N468" i="2"/>
  <c r="M468" i="2"/>
  <c r="K468" i="2"/>
  <c r="O467" i="2"/>
  <c r="M467" i="2"/>
  <c r="N467" i="2" s="1"/>
  <c r="K467" i="2"/>
  <c r="O466" i="2"/>
  <c r="N466" i="2"/>
  <c r="M466" i="2"/>
  <c r="K466" i="2"/>
  <c r="O465" i="2"/>
  <c r="M465" i="2"/>
  <c r="K465" i="2"/>
  <c r="O464" i="2"/>
  <c r="M464" i="2"/>
  <c r="K464" i="2"/>
  <c r="N464" i="2" s="1"/>
  <c r="O463" i="2"/>
  <c r="N463" i="2"/>
  <c r="M463" i="2"/>
  <c r="K463" i="2"/>
  <c r="O462" i="2"/>
  <c r="N462" i="2"/>
  <c r="M462" i="2"/>
  <c r="K462" i="2"/>
  <c r="O461" i="2"/>
  <c r="M461" i="2"/>
  <c r="K461" i="2"/>
  <c r="N461" i="2" s="1"/>
  <c r="O460" i="2"/>
  <c r="M460" i="2"/>
  <c r="K460" i="2"/>
  <c r="N460" i="2" s="1"/>
  <c r="O459" i="2"/>
  <c r="M459" i="2"/>
  <c r="K459" i="2"/>
  <c r="N459" i="2" s="1"/>
  <c r="O458" i="2"/>
  <c r="N458" i="2"/>
  <c r="M458" i="2"/>
  <c r="K458" i="2"/>
  <c r="O457" i="2"/>
  <c r="M457" i="2"/>
  <c r="N457" i="2" s="1"/>
  <c r="K457" i="2"/>
  <c r="O456" i="2"/>
  <c r="M456" i="2"/>
  <c r="K456" i="2"/>
  <c r="N456" i="2" s="1"/>
  <c r="O455" i="2"/>
  <c r="M455" i="2"/>
  <c r="K455" i="2"/>
  <c r="O454" i="2"/>
  <c r="M454" i="2"/>
  <c r="K454" i="2"/>
  <c r="N454" i="2" s="1"/>
  <c r="O453" i="2"/>
  <c r="N453" i="2"/>
  <c r="M453" i="2"/>
  <c r="K453" i="2"/>
  <c r="O452" i="2"/>
  <c r="N452" i="2"/>
  <c r="M452" i="2"/>
  <c r="K452" i="2"/>
  <c r="O451" i="2"/>
  <c r="N451" i="2"/>
  <c r="M451" i="2"/>
  <c r="K451" i="2"/>
  <c r="O450" i="2"/>
  <c r="M450" i="2"/>
  <c r="K450" i="2"/>
  <c r="O449" i="2"/>
  <c r="M449" i="2"/>
  <c r="K449" i="2"/>
  <c r="N449" i="2" s="1"/>
  <c r="O448" i="2"/>
  <c r="N448" i="2"/>
  <c r="M448" i="2"/>
  <c r="K448" i="2"/>
  <c r="O447" i="2"/>
  <c r="N447" i="2"/>
  <c r="M447" i="2"/>
  <c r="K447" i="2"/>
  <c r="O446" i="2"/>
  <c r="N446" i="2"/>
  <c r="M446" i="2"/>
  <c r="K446" i="2"/>
  <c r="O445" i="2"/>
  <c r="M445" i="2"/>
  <c r="K445" i="2"/>
  <c r="N445" i="2" s="1"/>
  <c r="O444" i="2"/>
  <c r="M444" i="2"/>
  <c r="K444" i="2"/>
  <c r="N444" i="2" s="1"/>
  <c r="O443" i="2"/>
  <c r="N443" i="2"/>
  <c r="M443" i="2"/>
  <c r="K443" i="2"/>
  <c r="O442" i="2"/>
  <c r="M442" i="2"/>
  <c r="N442" i="2" s="1"/>
  <c r="K442" i="2"/>
  <c r="O441" i="2"/>
  <c r="M441" i="2"/>
  <c r="K441" i="2"/>
  <c r="N441" i="2" s="1"/>
  <c r="O440" i="2"/>
  <c r="M440" i="2"/>
  <c r="K440" i="2"/>
  <c r="O439" i="2"/>
  <c r="M439" i="2"/>
  <c r="K439" i="2"/>
  <c r="N439" i="2" s="1"/>
  <c r="O438" i="2"/>
  <c r="N438" i="2"/>
  <c r="M438" i="2"/>
  <c r="K438" i="2"/>
  <c r="O437" i="2"/>
  <c r="N437" i="2"/>
  <c r="M437" i="2"/>
  <c r="K437" i="2"/>
  <c r="O436" i="2"/>
  <c r="N436" i="2"/>
  <c r="M436" i="2"/>
  <c r="K436" i="2"/>
  <c r="O435" i="2"/>
  <c r="M435" i="2"/>
  <c r="K435" i="2"/>
  <c r="O434" i="2"/>
  <c r="M434" i="2"/>
  <c r="K434" i="2"/>
  <c r="N434" i="2" s="1"/>
  <c r="O433" i="2"/>
  <c r="N433" i="2"/>
  <c r="M433" i="2"/>
  <c r="K433" i="2"/>
  <c r="O432" i="2"/>
  <c r="N432" i="2"/>
  <c r="M432" i="2"/>
  <c r="K432" i="2"/>
  <c r="O431" i="2"/>
  <c r="M431" i="2"/>
  <c r="K431" i="2"/>
  <c r="N431" i="2" s="1"/>
  <c r="O430" i="2"/>
  <c r="M430" i="2"/>
  <c r="K430" i="2"/>
  <c r="O429" i="2"/>
  <c r="M429" i="2"/>
  <c r="K429" i="2"/>
  <c r="N429" i="2" s="1"/>
  <c r="O428" i="2"/>
  <c r="N428" i="2"/>
  <c r="M428" i="2"/>
  <c r="K428" i="2"/>
  <c r="O427" i="2"/>
  <c r="N427" i="2"/>
  <c r="M427" i="2"/>
  <c r="K427" i="2"/>
  <c r="O426" i="2"/>
  <c r="N426" i="2"/>
  <c r="M426" i="2"/>
  <c r="K426" i="2"/>
  <c r="O425" i="2"/>
  <c r="M425" i="2"/>
  <c r="K425" i="2"/>
  <c r="N425" i="2" s="1"/>
  <c r="O424" i="2"/>
  <c r="M424" i="2"/>
  <c r="K424" i="2"/>
  <c r="N424" i="2" s="1"/>
  <c r="O423" i="2"/>
  <c r="N423" i="2"/>
  <c r="M423" i="2"/>
  <c r="K423" i="2"/>
  <c r="O422" i="2"/>
  <c r="M422" i="2"/>
  <c r="N422" i="2" s="1"/>
  <c r="K422" i="2"/>
  <c r="O421" i="2"/>
  <c r="M421" i="2"/>
  <c r="K421" i="2"/>
  <c r="N421" i="2" s="1"/>
  <c r="O420" i="2"/>
  <c r="M420" i="2"/>
  <c r="K420" i="2"/>
  <c r="N420" i="2" s="1"/>
  <c r="O419" i="2"/>
  <c r="M419" i="2"/>
  <c r="K419" i="2"/>
  <c r="N419" i="2" s="1"/>
  <c r="O418" i="2"/>
  <c r="N418" i="2"/>
  <c r="M418" i="2"/>
  <c r="K418" i="2"/>
  <c r="O417" i="2"/>
  <c r="M417" i="2"/>
  <c r="N417" i="2" s="1"/>
  <c r="K417" i="2"/>
  <c r="O416" i="2"/>
  <c r="N416" i="2"/>
  <c r="M416" i="2"/>
  <c r="K416" i="2"/>
  <c r="O415" i="2"/>
  <c r="M415" i="2"/>
  <c r="K415" i="2"/>
  <c r="O414" i="2"/>
  <c r="M414" i="2"/>
  <c r="K414" i="2"/>
  <c r="N414" i="2" s="1"/>
  <c r="O413" i="2"/>
  <c r="N413" i="2"/>
  <c r="M413" i="2"/>
  <c r="K413" i="2"/>
  <c r="O412" i="2"/>
  <c r="N412" i="2"/>
  <c r="M412" i="2"/>
  <c r="K412" i="2"/>
  <c r="O411" i="2"/>
  <c r="M411" i="2"/>
  <c r="K411" i="2"/>
  <c r="N411" i="2" s="1"/>
  <c r="O410" i="2"/>
  <c r="M410" i="2"/>
  <c r="K410" i="2"/>
  <c r="N410" i="2" s="1"/>
  <c r="O409" i="2"/>
  <c r="M409" i="2"/>
  <c r="K409" i="2"/>
  <c r="N409" i="2" s="1"/>
  <c r="O408" i="2"/>
  <c r="N408" i="2"/>
  <c r="M408" i="2"/>
  <c r="K408" i="2"/>
  <c r="O407" i="2"/>
  <c r="M407" i="2"/>
  <c r="N407" i="2" s="1"/>
  <c r="K407" i="2"/>
  <c r="O406" i="2"/>
  <c r="M406" i="2"/>
  <c r="K406" i="2"/>
  <c r="N406" i="2" s="1"/>
  <c r="O405" i="2"/>
  <c r="M405" i="2"/>
  <c r="K405" i="2"/>
  <c r="O404" i="2"/>
  <c r="M404" i="2"/>
  <c r="K404" i="2"/>
  <c r="N404" i="2" s="1"/>
  <c r="O403" i="2"/>
  <c r="N403" i="2"/>
  <c r="M403" i="2"/>
  <c r="K403" i="2"/>
  <c r="O402" i="2"/>
  <c r="N402" i="2"/>
  <c r="M402" i="2"/>
  <c r="K402" i="2"/>
  <c r="O401" i="2"/>
  <c r="N401" i="2"/>
  <c r="M401" i="2"/>
  <c r="K401" i="2"/>
  <c r="O400" i="2"/>
  <c r="M400" i="2"/>
  <c r="K400" i="2"/>
  <c r="N400" i="2" s="1"/>
  <c r="O399" i="2"/>
  <c r="M399" i="2"/>
  <c r="K399" i="2"/>
  <c r="N399" i="2" s="1"/>
  <c r="O398" i="2"/>
  <c r="N398" i="2"/>
  <c r="M398" i="2"/>
  <c r="K398" i="2"/>
  <c r="O397" i="2"/>
  <c r="M397" i="2"/>
  <c r="N397" i="2" s="1"/>
  <c r="K397" i="2"/>
  <c r="O396" i="2"/>
  <c r="N396" i="2"/>
  <c r="M396" i="2"/>
  <c r="K396" i="2"/>
  <c r="O395" i="2"/>
  <c r="M395" i="2"/>
  <c r="K395" i="2"/>
  <c r="N395" i="2" s="1"/>
  <c r="O394" i="2"/>
  <c r="M394" i="2"/>
  <c r="K394" i="2"/>
  <c r="N394" i="2" s="1"/>
  <c r="O393" i="2"/>
  <c r="N393" i="2"/>
  <c r="M393" i="2"/>
  <c r="K393" i="2"/>
  <c r="O392" i="2"/>
  <c r="M392" i="2"/>
  <c r="N392" i="2" s="1"/>
  <c r="K392" i="2"/>
  <c r="O391" i="2"/>
  <c r="M391" i="2"/>
  <c r="K391" i="2"/>
  <c r="N391" i="2" s="1"/>
  <c r="O390" i="2"/>
  <c r="M390" i="2"/>
  <c r="K390" i="2"/>
  <c r="O389" i="2"/>
  <c r="M389" i="2"/>
  <c r="K389" i="2"/>
  <c r="N389" i="2" s="1"/>
  <c r="O388" i="2"/>
  <c r="N388" i="2"/>
  <c r="M388" i="2"/>
  <c r="K388" i="2"/>
  <c r="O387" i="2"/>
  <c r="N387" i="2"/>
  <c r="M387" i="2"/>
  <c r="K387" i="2"/>
  <c r="O386" i="2"/>
  <c r="M386" i="2"/>
  <c r="K386" i="2"/>
  <c r="N386" i="2" s="1"/>
  <c r="O385" i="2"/>
  <c r="M385" i="2"/>
  <c r="K385" i="2"/>
  <c r="O384" i="2"/>
  <c r="M384" i="2"/>
  <c r="K384" i="2"/>
  <c r="N384" i="2" s="1"/>
  <c r="O383" i="2"/>
  <c r="N383" i="2"/>
  <c r="M383" i="2"/>
  <c r="K383" i="2"/>
  <c r="O382" i="2"/>
  <c r="N382" i="2"/>
  <c r="M382" i="2"/>
  <c r="K382" i="2"/>
  <c r="O381" i="2"/>
  <c r="M381" i="2"/>
  <c r="K381" i="2"/>
  <c r="O380" i="2"/>
  <c r="M380" i="2"/>
  <c r="K380" i="2"/>
  <c r="O379" i="2"/>
  <c r="M379" i="2"/>
  <c r="K379" i="2"/>
  <c r="N379" i="2" s="1"/>
  <c r="O378" i="2"/>
  <c r="N378" i="2"/>
  <c r="M378" i="2"/>
  <c r="K378" i="2"/>
  <c r="O377" i="2"/>
  <c r="N377" i="2"/>
  <c r="M377" i="2"/>
  <c r="K377" i="2"/>
  <c r="O376" i="2"/>
  <c r="N376" i="2"/>
  <c r="M376" i="2"/>
  <c r="K376" i="2"/>
  <c r="O375" i="2"/>
  <c r="M375" i="2"/>
  <c r="K375" i="2"/>
  <c r="O374" i="2"/>
  <c r="M374" i="2"/>
  <c r="K374" i="2"/>
  <c r="N374" i="2" s="1"/>
  <c r="O373" i="2"/>
  <c r="N373" i="2"/>
  <c r="M373" i="2"/>
  <c r="K373" i="2"/>
  <c r="O372" i="2"/>
  <c r="N372" i="2"/>
  <c r="M372" i="2"/>
  <c r="K372" i="2"/>
  <c r="O371" i="2"/>
  <c r="M371" i="2"/>
  <c r="N371" i="2" s="1"/>
  <c r="K371" i="2"/>
  <c r="O370" i="2"/>
  <c r="M370" i="2"/>
  <c r="K370" i="2"/>
  <c r="N370" i="2" s="1"/>
  <c r="O369" i="2"/>
  <c r="M369" i="2"/>
  <c r="K369" i="2"/>
  <c r="N369" i="2" s="1"/>
  <c r="O368" i="2"/>
  <c r="N368" i="2"/>
  <c r="M368" i="2"/>
  <c r="K368" i="2"/>
  <c r="O367" i="2"/>
  <c r="M367" i="2"/>
  <c r="N367" i="2" s="1"/>
  <c r="K367" i="2"/>
  <c r="O366" i="2"/>
  <c r="M366" i="2"/>
  <c r="K366" i="2"/>
  <c r="N366" i="2" s="1"/>
  <c r="O365" i="2"/>
  <c r="M365" i="2"/>
  <c r="K365" i="2"/>
  <c r="O364" i="2"/>
  <c r="M364" i="2"/>
  <c r="K364" i="2"/>
  <c r="N364" i="2" s="1"/>
  <c r="O363" i="2"/>
  <c r="N363" i="2"/>
  <c r="M363" i="2"/>
  <c r="K363" i="2"/>
  <c r="O362" i="2"/>
  <c r="N362" i="2"/>
  <c r="M362" i="2"/>
  <c r="K362" i="2"/>
  <c r="O361" i="2"/>
  <c r="M361" i="2"/>
  <c r="N361" i="2" s="1"/>
  <c r="K361" i="2"/>
  <c r="O360" i="2"/>
  <c r="M360" i="2"/>
  <c r="K360" i="2"/>
  <c r="N360" i="2" s="1"/>
  <c r="O359" i="2"/>
  <c r="M359" i="2"/>
  <c r="K359" i="2"/>
  <c r="N359" i="2" s="1"/>
  <c r="O358" i="2"/>
  <c r="N358" i="2"/>
  <c r="M358" i="2"/>
  <c r="K358" i="2"/>
  <c r="O357" i="2"/>
  <c r="M357" i="2"/>
  <c r="N357" i="2" s="1"/>
  <c r="K357" i="2"/>
  <c r="O356" i="2"/>
  <c r="M356" i="2"/>
  <c r="K356" i="2"/>
  <c r="N356" i="2" s="1"/>
  <c r="O355" i="2"/>
  <c r="M355" i="2"/>
  <c r="K355" i="2"/>
  <c r="O354" i="2"/>
  <c r="M354" i="2"/>
  <c r="K354" i="2"/>
  <c r="N354" i="2" s="1"/>
  <c r="O353" i="2"/>
  <c r="N353" i="2"/>
  <c r="M353" i="2"/>
  <c r="K353" i="2"/>
  <c r="O352" i="2"/>
  <c r="N352" i="2"/>
  <c r="M352" i="2"/>
  <c r="K352" i="2"/>
  <c r="N331" i="2"/>
  <c r="N327" i="2"/>
  <c r="O325" i="2"/>
  <c r="O322" i="2"/>
  <c r="J321" i="2"/>
  <c r="I321" i="2"/>
  <c r="H321" i="2"/>
  <c r="O320" i="2"/>
  <c r="M320" i="2"/>
  <c r="K320" i="2"/>
  <c r="N320" i="2" s="1"/>
  <c r="M319" i="2"/>
  <c r="K319" i="2"/>
  <c r="M318" i="2"/>
  <c r="N318" i="2" s="1"/>
  <c r="O318" i="2" s="1"/>
  <c r="K318" i="2"/>
  <c r="N317" i="2"/>
  <c r="O317" i="2" s="1"/>
  <c r="M317" i="2"/>
  <c r="K317" i="2"/>
  <c r="M316" i="2"/>
  <c r="K316" i="2"/>
  <c r="N316" i="2" s="1"/>
  <c r="O316" i="2" s="1"/>
  <c r="M315" i="2"/>
  <c r="K315" i="2"/>
  <c r="M314" i="2"/>
  <c r="K314" i="2"/>
  <c r="M313" i="2"/>
  <c r="N313" i="2" s="1"/>
  <c r="O313" i="2" s="1"/>
  <c r="K313" i="2"/>
  <c r="N312" i="2"/>
  <c r="O312" i="2" s="1"/>
  <c r="M312" i="2"/>
  <c r="K312" i="2"/>
  <c r="N311" i="2"/>
  <c r="O311" i="2" s="1"/>
  <c r="M311" i="2"/>
  <c r="K311" i="2"/>
  <c r="M310" i="2"/>
  <c r="K310" i="2"/>
  <c r="N310" i="2" s="1"/>
  <c r="O310" i="2" s="1"/>
  <c r="O309" i="2"/>
  <c r="M309" i="2"/>
  <c r="K309" i="2"/>
  <c r="N309" i="2" s="1"/>
  <c r="N308" i="2"/>
  <c r="O308" i="2" s="1"/>
  <c r="M308" i="2"/>
  <c r="K308" i="2"/>
  <c r="M307" i="2"/>
  <c r="N307" i="2" s="1"/>
  <c r="O307" i="2" s="1"/>
  <c r="K307" i="2"/>
  <c r="M306" i="2"/>
  <c r="K306" i="2"/>
  <c r="N306" i="2" s="1"/>
  <c r="O306" i="2" s="1"/>
  <c r="M305" i="2"/>
  <c r="K305" i="2"/>
  <c r="N305" i="2" s="1"/>
  <c r="O305" i="2" s="1"/>
  <c r="M304" i="2"/>
  <c r="K304" i="2"/>
  <c r="N304" i="2" s="1"/>
  <c r="O304" i="2" s="1"/>
  <c r="M303" i="2"/>
  <c r="N303" i="2" s="1"/>
  <c r="O303" i="2" s="1"/>
  <c r="K303" i="2"/>
  <c r="M302" i="2"/>
  <c r="N302" i="2" s="1"/>
  <c r="O302" i="2" s="1"/>
  <c r="K302" i="2"/>
  <c r="O301" i="2"/>
  <c r="N301" i="2"/>
  <c r="M301" i="2"/>
  <c r="K301" i="2"/>
  <c r="M300" i="2"/>
  <c r="K300" i="2"/>
  <c r="M299" i="2"/>
  <c r="K299" i="2"/>
  <c r="N298" i="2"/>
  <c r="O298" i="2" s="1"/>
  <c r="M298" i="2"/>
  <c r="K298" i="2"/>
  <c r="N297" i="2"/>
  <c r="O297" i="2" s="1"/>
  <c r="M297" i="2"/>
  <c r="K297" i="2"/>
  <c r="M296" i="2"/>
  <c r="K296" i="2"/>
  <c r="N296" i="2" s="1"/>
  <c r="O296" i="2" s="1"/>
  <c r="M295" i="2"/>
  <c r="K295" i="2"/>
  <c r="M294" i="2"/>
  <c r="K294" i="2"/>
  <c r="O293" i="2"/>
  <c r="N293" i="2"/>
  <c r="M293" i="2"/>
  <c r="K293" i="2"/>
  <c r="M292" i="2"/>
  <c r="N292" i="2" s="1"/>
  <c r="O292" i="2" s="1"/>
  <c r="K292" i="2"/>
  <c r="M291" i="2"/>
  <c r="K291" i="2"/>
  <c r="N291" i="2" s="1"/>
  <c r="O291" i="2" s="1"/>
  <c r="M290" i="2"/>
  <c r="K290" i="2"/>
  <c r="M289" i="2"/>
  <c r="K289" i="2"/>
  <c r="N289" i="2" s="1"/>
  <c r="O289" i="2" s="1"/>
  <c r="M288" i="2"/>
  <c r="N288" i="2" s="1"/>
  <c r="O288" i="2" s="1"/>
  <c r="K288" i="2"/>
  <c r="N287" i="2"/>
  <c r="O287" i="2" s="1"/>
  <c r="M287" i="2"/>
  <c r="K287" i="2"/>
  <c r="O286" i="2"/>
  <c r="N286" i="2"/>
  <c r="M286" i="2"/>
  <c r="K286" i="2"/>
  <c r="M285" i="2"/>
  <c r="K285" i="2"/>
  <c r="O284" i="2"/>
  <c r="M284" i="2"/>
  <c r="K284" i="2"/>
  <c r="N284" i="2" s="1"/>
  <c r="O283" i="2"/>
  <c r="N283" i="2"/>
  <c r="M283" i="2"/>
  <c r="K283" i="2"/>
  <c r="O282" i="2"/>
  <c r="N282" i="2"/>
  <c r="M282" i="2"/>
  <c r="K282" i="2"/>
  <c r="M281" i="2"/>
  <c r="K281" i="2"/>
  <c r="N281" i="2" s="1"/>
  <c r="O281" i="2" s="1"/>
  <c r="M280" i="2"/>
  <c r="K280" i="2"/>
  <c r="N280" i="2" s="1"/>
  <c r="O280" i="2" s="1"/>
  <c r="M279" i="2"/>
  <c r="K279" i="2"/>
  <c r="M278" i="2"/>
  <c r="N278" i="2" s="1"/>
  <c r="O278" i="2" s="1"/>
  <c r="K278" i="2"/>
  <c r="M277" i="2"/>
  <c r="N277" i="2" s="1"/>
  <c r="O277" i="2" s="1"/>
  <c r="K277" i="2"/>
  <c r="M276" i="2"/>
  <c r="K276" i="2"/>
  <c r="N276" i="2" s="1"/>
  <c r="O276" i="2" s="1"/>
  <c r="M275" i="2"/>
  <c r="K275" i="2"/>
  <c r="M274" i="2"/>
  <c r="K274" i="2"/>
  <c r="N274" i="2" s="1"/>
  <c r="O274" i="2" s="1"/>
  <c r="O273" i="2"/>
  <c r="N273" i="2"/>
  <c r="M273" i="2"/>
  <c r="K273" i="2"/>
  <c r="O272" i="2"/>
  <c r="N272" i="2"/>
  <c r="M272" i="2"/>
  <c r="K272" i="2"/>
  <c r="M271" i="2"/>
  <c r="N271" i="2" s="1"/>
  <c r="O271" i="2" s="1"/>
  <c r="K271" i="2"/>
  <c r="M270" i="2"/>
  <c r="K270" i="2"/>
  <c r="N270" i="2" s="1"/>
  <c r="O270" i="2" s="1"/>
  <c r="M269" i="2"/>
  <c r="K269" i="2"/>
  <c r="M268" i="2"/>
  <c r="N268" i="2" s="1"/>
  <c r="O268" i="2" s="1"/>
  <c r="K268" i="2"/>
  <c r="M267" i="2"/>
  <c r="N267" i="2" s="1"/>
  <c r="O267" i="2" s="1"/>
  <c r="K267" i="2"/>
  <c r="M266" i="2"/>
  <c r="K266" i="2"/>
  <c r="M265" i="2"/>
  <c r="K265" i="2"/>
  <c r="M264" i="2"/>
  <c r="K264" i="2"/>
  <c r="N264" i="2" s="1"/>
  <c r="O264" i="2" s="1"/>
  <c r="M263" i="2"/>
  <c r="N263" i="2" s="1"/>
  <c r="O263" i="2" s="1"/>
  <c r="K263" i="2"/>
  <c r="N262" i="2"/>
  <c r="O262" i="2" s="1"/>
  <c r="M262" i="2"/>
  <c r="K262" i="2"/>
  <c r="M261" i="2"/>
  <c r="N261" i="2" s="1"/>
  <c r="O261" i="2" s="1"/>
  <c r="K261" i="2"/>
  <c r="M260" i="2"/>
  <c r="K260" i="2"/>
  <c r="O259" i="2"/>
  <c r="M259" i="2"/>
  <c r="K259" i="2"/>
  <c r="N259" i="2" s="1"/>
  <c r="M258" i="2"/>
  <c r="N258" i="2" s="1"/>
  <c r="O258" i="2" s="1"/>
  <c r="K258" i="2"/>
  <c r="O257" i="2"/>
  <c r="N257" i="2"/>
  <c r="M257" i="2"/>
  <c r="K257" i="2"/>
  <c r="N256" i="2"/>
  <c r="O256" i="2" s="1"/>
  <c r="M256" i="2"/>
  <c r="K256" i="2"/>
  <c r="M255" i="2"/>
  <c r="K255" i="2"/>
  <c r="N255" i="2" s="1"/>
  <c r="O255" i="2" s="1"/>
  <c r="M254" i="2"/>
  <c r="K254" i="2"/>
  <c r="M253" i="2"/>
  <c r="N253" i="2" s="1"/>
  <c r="O253" i="2" s="1"/>
  <c r="K253" i="2"/>
  <c r="O252" i="2"/>
  <c r="M252" i="2"/>
  <c r="N252" i="2" s="1"/>
  <c r="K252" i="2"/>
  <c r="N251" i="2"/>
  <c r="O251" i="2" s="1"/>
  <c r="M251" i="2"/>
  <c r="K251" i="2"/>
  <c r="M250" i="2"/>
  <c r="K250" i="2"/>
  <c r="N250" i="2" s="1"/>
  <c r="O250" i="2" s="1"/>
  <c r="M249" i="2"/>
  <c r="K249" i="2"/>
  <c r="N248" i="2"/>
  <c r="O248" i="2" s="1"/>
  <c r="M248" i="2"/>
  <c r="K248" i="2"/>
  <c r="N247" i="2"/>
  <c r="O247" i="2" s="1"/>
  <c r="M247" i="2"/>
  <c r="K247" i="2"/>
  <c r="M246" i="2"/>
  <c r="K246" i="2"/>
  <c r="M245" i="2"/>
  <c r="K245" i="2"/>
  <c r="M244" i="2"/>
  <c r="K244" i="2"/>
  <c r="O243" i="2"/>
  <c r="N243" i="2"/>
  <c r="M243" i="2"/>
  <c r="K243" i="2"/>
  <c r="N242" i="2"/>
  <c r="O242" i="2" s="1"/>
  <c r="M242" i="2"/>
  <c r="K242" i="2"/>
  <c r="M241" i="2"/>
  <c r="K241" i="2"/>
  <c r="N241" i="2" s="1"/>
  <c r="O241" i="2" s="1"/>
  <c r="M240" i="2"/>
  <c r="K240" i="2"/>
  <c r="M239" i="2"/>
  <c r="K239" i="2"/>
  <c r="N239" i="2" s="1"/>
  <c r="O239" i="2" s="1"/>
  <c r="O238" i="2"/>
  <c r="M238" i="2"/>
  <c r="N238" i="2" s="1"/>
  <c r="K238" i="2"/>
  <c r="N237" i="2"/>
  <c r="O237" i="2" s="1"/>
  <c r="M237" i="2"/>
  <c r="K237" i="2"/>
  <c r="M236" i="2"/>
  <c r="N236" i="2" s="1"/>
  <c r="O236" i="2" s="1"/>
  <c r="K236" i="2"/>
  <c r="M235" i="2"/>
  <c r="K235" i="2"/>
  <c r="N235" i="2" s="1"/>
  <c r="O235" i="2" s="1"/>
  <c r="O234" i="2"/>
  <c r="M234" i="2"/>
  <c r="K234" i="2"/>
  <c r="N234" i="2" s="1"/>
  <c r="N233" i="2"/>
  <c r="O233" i="2" s="1"/>
  <c r="M233" i="2"/>
  <c r="K233" i="2"/>
  <c r="M232" i="2"/>
  <c r="N232" i="2" s="1"/>
  <c r="O232" i="2" s="1"/>
  <c r="K232" i="2"/>
  <c r="N231" i="2"/>
  <c r="O231" i="2" s="1"/>
  <c r="M231" i="2"/>
  <c r="K231" i="2"/>
  <c r="O230" i="2"/>
  <c r="M230" i="2"/>
  <c r="K230" i="2"/>
  <c r="N230" i="2" s="1"/>
  <c r="M229" i="2"/>
  <c r="K229" i="2"/>
  <c r="M228" i="2"/>
  <c r="N228" i="2" s="1"/>
  <c r="O228" i="2" s="1"/>
  <c r="K228" i="2"/>
  <c r="M227" i="2"/>
  <c r="N227" i="2" s="1"/>
  <c r="O227" i="2" s="1"/>
  <c r="K227" i="2"/>
  <c r="M226" i="2"/>
  <c r="K226" i="2"/>
  <c r="N226" i="2" s="1"/>
  <c r="O226" i="2" s="1"/>
  <c r="M225" i="2"/>
  <c r="K225" i="2"/>
  <c r="M224" i="2"/>
  <c r="K224" i="2"/>
  <c r="N224" i="2" s="1"/>
  <c r="O224" i="2" s="1"/>
  <c r="O223" i="2"/>
  <c r="N223" i="2"/>
  <c r="M223" i="2"/>
  <c r="K223" i="2"/>
  <c r="N222" i="2"/>
  <c r="O222" i="2" s="1"/>
  <c r="M222" i="2"/>
  <c r="K222" i="2"/>
  <c r="M221" i="2"/>
  <c r="N221" i="2" s="1"/>
  <c r="O221" i="2" s="1"/>
  <c r="K221" i="2"/>
  <c r="M220" i="2"/>
  <c r="K220" i="2"/>
  <c r="N220" i="2" s="1"/>
  <c r="O220" i="2" s="1"/>
  <c r="M219" i="2"/>
  <c r="K219" i="2"/>
  <c r="M218" i="2"/>
  <c r="N218" i="2" s="1"/>
  <c r="O218" i="2" s="1"/>
  <c r="K218" i="2"/>
  <c r="N217" i="2"/>
  <c r="O217" i="2" s="1"/>
  <c r="M217" i="2"/>
  <c r="K217" i="2"/>
  <c r="O216" i="2"/>
  <c r="M216" i="2"/>
  <c r="K216" i="2"/>
  <c r="N216" i="2" s="1"/>
  <c r="M215" i="2"/>
  <c r="K215" i="2"/>
  <c r="M214" i="2"/>
  <c r="K214" i="2"/>
  <c r="O213" i="2"/>
  <c r="M213" i="2"/>
  <c r="N213" i="2" s="1"/>
  <c r="K213" i="2"/>
  <c r="O212" i="2"/>
  <c r="N212" i="2"/>
  <c r="M212" i="2"/>
  <c r="K212" i="2"/>
  <c r="O211" i="2"/>
  <c r="N211" i="2"/>
  <c r="M211" i="2"/>
  <c r="K211" i="2"/>
  <c r="M210" i="2"/>
  <c r="K210" i="2"/>
  <c r="M209" i="2"/>
  <c r="K209" i="2"/>
  <c r="N209" i="2" s="1"/>
  <c r="O209" i="2" s="1"/>
  <c r="O208" i="2"/>
  <c r="N208" i="2"/>
  <c r="M208" i="2"/>
  <c r="K208" i="2"/>
  <c r="M207" i="2"/>
  <c r="N207" i="2" s="1"/>
  <c r="O207" i="2" s="1"/>
  <c r="K207" i="2"/>
  <c r="N206" i="2"/>
  <c r="O206" i="2" s="1"/>
  <c r="M206" i="2"/>
  <c r="K206" i="2"/>
  <c r="M205" i="2"/>
  <c r="K205" i="2"/>
  <c r="N205" i="2" s="1"/>
  <c r="O205" i="2" s="1"/>
  <c r="M204" i="2"/>
  <c r="K204" i="2"/>
  <c r="M203" i="2"/>
  <c r="N203" i="2" s="1"/>
  <c r="O203" i="2" s="1"/>
  <c r="K203" i="2"/>
  <c r="O202" i="2"/>
  <c r="M202" i="2"/>
  <c r="N202" i="2" s="1"/>
  <c r="K202" i="2"/>
  <c r="M201" i="2"/>
  <c r="K201" i="2"/>
  <c r="N201" i="2" s="1"/>
  <c r="O201" i="2" s="1"/>
  <c r="M200" i="2"/>
  <c r="K200" i="2"/>
  <c r="N200" i="2" s="1"/>
  <c r="O200" i="2" s="1"/>
  <c r="M199" i="2"/>
  <c r="K199" i="2"/>
  <c r="N198" i="2"/>
  <c r="O198" i="2" s="1"/>
  <c r="M198" i="2"/>
  <c r="K198" i="2"/>
  <c r="M197" i="2"/>
  <c r="N197" i="2" s="1"/>
  <c r="O197" i="2" s="1"/>
  <c r="K197" i="2"/>
  <c r="M196" i="2"/>
  <c r="K196" i="2"/>
  <c r="N196" i="2" s="1"/>
  <c r="O196" i="2" s="1"/>
  <c r="O195" i="2"/>
  <c r="M195" i="2"/>
  <c r="K195" i="2"/>
  <c r="N195" i="2" s="1"/>
  <c r="M194" i="2"/>
  <c r="K194" i="2"/>
  <c r="O193" i="2"/>
  <c r="N193" i="2"/>
  <c r="M193" i="2"/>
  <c r="K193" i="2"/>
  <c r="N192" i="2"/>
  <c r="O192" i="2" s="1"/>
  <c r="M192" i="2"/>
  <c r="K192" i="2"/>
  <c r="M191" i="2"/>
  <c r="K191" i="2"/>
  <c r="M190" i="2"/>
  <c r="K190" i="2"/>
  <c r="N190" i="2" s="1"/>
  <c r="O190" i="2" s="1"/>
  <c r="M189" i="2"/>
  <c r="K189" i="2"/>
  <c r="M188" i="2"/>
  <c r="N188" i="2" s="1"/>
  <c r="O188" i="2" s="1"/>
  <c r="K188" i="2"/>
  <c r="O187" i="2"/>
  <c r="N187" i="2"/>
  <c r="M187" i="2"/>
  <c r="K187" i="2"/>
  <c r="M186" i="2"/>
  <c r="N186" i="2" s="1"/>
  <c r="O186" i="2" s="1"/>
  <c r="K186" i="2"/>
  <c r="M185" i="2"/>
  <c r="K185" i="2"/>
  <c r="N185" i="2" s="1"/>
  <c r="O185" i="2" s="1"/>
  <c r="M184" i="2"/>
  <c r="K184" i="2"/>
  <c r="N184" i="2" s="1"/>
  <c r="O184" i="2" s="1"/>
  <c r="O183" i="2"/>
  <c r="M183" i="2"/>
  <c r="N183" i="2" s="1"/>
  <c r="K183" i="2"/>
  <c r="M182" i="2"/>
  <c r="N182" i="2" s="1"/>
  <c r="O182" i="2" s="1"/>
  <c r="K182" i="2"/>
  <c r="M181" i="2"/>
  <c r="K181" i="2"/>
  <c r="N181" i="2" s="1"/>
  <c r="O181" i="2" s="1"/>
  <c r="M180" i="2"/>
  <c r="K180" i="2"/>
  <c r="N180" i="2" s="1"/>
  <c r="O180" i="2" s="1"/>
  <c r="M179" i="2"/>
  <c r="K179" i="2"/>
  <c r="M178" i="2"/>
  <c r="K178" i="2"/>
  <c r="M177" i="2"/>
  <c r="K177" i="2"/>
  <c r="N177" i="2" s="1"/>
  <c r="O177" i="2" s="1"/>
  <c r="N176" i="2"/>
  <c r="O176" i="2" s="1"/>
  <c r="M176" i="2"/>
  <c r="K176" i="2"/>
  <c r="M175" i="2"/>
  <c r="N175" i="2" s="1"/>
  <c r="O175" i="2" s="1"/>
  <c r="K175" i="2"/>
  <c r="M174" i="2"/>
  <c r="K174" i="2"/>
  <c r="N174" i="2" s="1"/>
  <c r="O174" i="2" s="1"/>
  <c r="M173" i="2"/>
  <c r="K173" i="2"/>
  <c r="M172" i="2"/>
  <c r="K172" i="2"/>
  <c r="N171" i="2"/>
  <c r="O171" i="2" s="1"/>
  <c r="M171" i="2"/>
  <c r="K171" i="2"/>
  <c r="M170" i="2"/>
  <c r="N170" i="2" s="1"/>
  <c r="O170" i="2" s="1"/>
  <c r="K170" i="2"/>
  <c r="M169" i="2"/>
  <c r="K169" i="2"/>
  <c r="N169" i="2" s="1"/>
  <c r="O169" i="2" s="1"/>
  <c r="O168" i="2"/>
  <c r="M168" i="2"/>
  <c r="K168" i="2"/>
  <c r="N168" i="2" s="1"/>
  <c r="M167" i="2"/>
  <c r="K167" i="2"/>
  <c r="M166" i="2"/>
  <c r="K166" i="2"/>
  <c r="N166" i="2" s="1"/>
  <c r="O166" i="2" s="1"/>
  <c r="M165" i="2"/>
  <c r="N165" i="2" s="1"/>
  <c r="O165" i="2" s="1"/>
  <c r="K165" i="2"/>
  <c r="M164" i="2"/>
  <c r="K164" i="2"/>
  <c r="N164" i="2" s="1"/>
  <c r="O164" i="2" s="1"/>
  <c r="O163" i="2"/>
  <c r="N163" i="2"/>
  <c r="M163" i="2"/>
  <c r="K163" i="2"/>
  <c r="M162" i="2"/>
  <c r="K162" i="2"/>
  <c r="N162" i="2" s="1"/>
  <c r="O162" i="2" s="1"/>
  <c r="M161" i="2"/>
  <c r="K161" i="2"/>
  <c r="N161" i="2" s="1"/>
  <c r="O161" i="2" s="1"/>
  <c r="O160" i="2"/>
  <c r="N160" i="2"/>
  <c r="M160" i="2"/>
  <c r="K160" i="2"/>
  <c r="N159" i="2"/>
  <c r="O159" i="2" s="1"/>
  <c r="M159" i="2"/>
  <c r="K159" i="2"/>
  <c r="M158" i="2"/>
  <c r="N158" i="2" s="1"/>
  <c r="O158" i="2" s="1"/>
  <c r="K158" i="2"/>
  <c r="M157" i="2"/>
  <c r="K157" i="2"/>
  <c r="N157" i="2" s="1"/>
  <c r="O157" i="2" s="1"/>
  <c r="N156" i="2"/>
  <c r="O156" i="2" s="1"/>
  <c r="M156" i="2"/>
  <c r="K156" i="2"/>
  <c r="N155" i="2"/>
  <c r="O155" i="2" s="1"/>
  <c r="M155" i="2"/>
  <c r="K155" i="2"/>
  <c r="M154" i="2"/>
  <c r="K154" i="2"/>
  <c r="M153" i="2"/>
  <c r="K153" i="2"/>
  <c r="N153" i="2" s="1"/>
  <c r="O153" i="2" s="1"/>
  <c r="M152" i="2"/>
  <c r="K152" i="2"/>
  <c r="N152" i="2" s="1"/>
  <c r="O152" i="2" s="1"/>
  <c r="M151" i="2"/>
  <c r="N151" i="2" s="1"/>
  <c r="O151" i="2" s="1"/>
  <c r="K151" i="2"/>
  <c r="O150" i="2"/>
  <c r="N150" i="2"/>
  <c r="M150" i="2"/>
  <c r="K150" i="2"/>
  <c r="N149" i="2"/>
  <c r="O149" i="2" s="1"/>
  <c r="M149" i="2"/>
  <c r="K149" i="2"/>
  <c r="M148" i="2"/>
  <c r="K148" i="2"/>
  <c r="N148" i="2" s="1"/>
  <c r="O148" i="2" s="1"/>
  <c r="M147" i="2"/>
  <c r="K147" i="2"/>
  <c r="M146" i="2"/>
  <c r="N146" i="2" s="1"/>
  <c r="O146" i="2" s="1"/>
  <c r="K146" i="2"/>
  <c r="M145" i="2"/>
  <c r="N145" i="2" s="1"/>
  <c r="O145" i="2" s="1"/>
  <c r="K145" i="2"/>
  <c r="M144" i="2"/>
  <c r="K144" i="2"/>
  <c r="N144" i="2" s="1"/>
  <c r="O144" i="2" s="1"/>
  <c r="N143" i="2"/>
  <c r="O143" i="2" s="1"/>
  <c r="M143" i="2"/>
  <c r="K143" i="2"/>
  <c r="M142" i="2"/>
  <c r="K142" i="2"/>
  <c r="M141" i="2"/>
  <c r="N141" i="2" s="1"/>
  <c r="O141" i="2" s="1"/>
  <c r="K141" i="2"/>
  <c r="M140" i="2"/>
  <c r="N140" i="2" s="1"/>
  <c r="O140" i="2" s="1"/>
  <c r="K140" i="2"/>
  <c r="O139" i="2"/>
  <c r="M139" i="2"/>
  <c r="K139" i="2"/>
  <c r="N139" i="2" s="1"/>
  <c r="M138" i="2"/>
  <c r="N138" i="2" s="1"/>
  <c r="O138" i="2" s="1"/>
  <c r="K138" i="2"/>
  <c r="M137" i="2"/>
  <c r="K137" i="2"/>
  <c r="M136" i="2"/>
  <c r="K136" i="2"/>
  <c r="N135" i="2"/>
  <c r="O135" i="2" s="1"/>
  <c r="M135" i="2"/>
  <c r="K135" i="2"/>
  <c r="O134" i="2"/>
  <c r="N134" i="2"/>
  <c r="M134" i="2"/>
  <c r="K134" i="2"/>
  <c r="M133" i="2"/>
  <c r="K133" i="2"/>
  <c r="N133" i="2" s="1"/>
  <c r="O133" i="2" s="1"/>
  <c r="M132" i="2"/>
  <c r="K132" i="2"/>
  <c r="M131" i="2"/>
  <c r="K131" i="2"/>
  <c r="N131" i="2" s="1"/>
  <c r="O131" i="2" s="1"/>
  <c r="N130" i="2"/>
  <c r="O130" i="2" s="1"/>
  <c r="M130" i="2"/>
  <c r="K130" i="2"/>
  <c r="M129" i="2"/>
  <c r="N129" i="2" s="1"/>
  <c r="O129" i="2" s="1"/>
  <c r="K129" i="2"/>
  <c r="M128" i="2"/>
  <c r="K128" i="2"/>
  <c r="N128" i="2" s="1"/>
  <c r="O128" i="2" s="1"/>
  <c r="O127" i="2"/>
  <c r="M127" i="2"/>
  <c r="K127" i="2"/>
  <c r="N127" i="2" s="1"/>
  <c r="N126" i="2"/>
  <c r="O126" i="2" s="1"/>
  <c r="M126" i="2"/>
  <c r="K126" i="2"/>
  <c r="N125" i="2"/>
  <c r="O125" i="2" s="1"/>
  <c r="M125" i="2"/>
  <c r="K125" i="2"/>
  <c r="M124" i="2"/>
  <c r="K124" i="2"/>
  <c r="N124" i="2" s="1"/>
  <c r="O124" i="2" s="1"/>
  <c r="M123" i="2"/>
  <c r="K123" i="2"/>
  <c r="N123" i="2" s="1"/>
  <c r="O123" i="2" s="1"/>
  <c r="M122" i="2"/>
  <c r="K122" i="2"/>
  <c r="O121" i="2"/>
  <c r="N121" i="2"/>
  <c r="M121" i="2"/>
  <c r="K121" i="2"/>
  <c r="M120" i="2"/>
  <c r="N120" i="2" s="1"/>
  <c r="O120" i="2" s="1"/>
  <c r="K120" i="2"/>
  <c r="O119" i="2"/>
  <c r="M119" i="2"/>
  <c r="K119" i="2"/>
  <c r="N119" i="2" s="1"/>
  <c r="O118" i="2"/>
  <c r="M118" i="2"/>
  <c r="K118" i="2"/>
  <c r="N118" i="2" s="1"/>
  <c r="M117" i="2"/>
  <c r="K117" i="2"/>
  <c r="N117" i="2" s="1"/>
  <c r="O117" i="2" s="1"/>
  <c r="N116" i="2"/>
  <c r="O116" i="2" s="1"/>
  <c r="M116" i="2"/>
  <c r="K116" i="2"/>
  <c r="M115" i="2"/>
  <c r="N115" i="2" s="1"/>
  <c r="O115" i="2" s="1"/>
  <c r="K115" i="2"/>
  <c r="O114" i="2"/>
  <c r="M114" i="2"/>
  <c r="K114" i="2"/>
  <c r="N114" i="2" s="1"/>
  <c r="N113" i="2"/>
  <c r="O113" i="2" s="1"/>
  <c r="M113" i="2"/>
  <c r="K113" i="2"/>
  <c r="O112" i="2"/>
  <c r="M112" i="2"/>
  <c r="K112" i="2"/>
  <c r="N112" i="2" s="1"/>
  <c r="M111" i="2"/>
  <c r="K111" i="2"/>
  <c r="N111" i="2" s="1"/>
  <c r="O111" i="2" s="1"/>
  <c r="O110" i="2"/>
  <c r="N110" i="2"/>
  <c r="M110" i="2"/>
  <c r="K110" i="2"/>
  <c r="N109" i="2"/>
  <c r="O109" i="2" s="1"/>
  <c r="M109" i="2"/>
  <c r="K109" i="2"/>
  <c r="M108" i="2"/>
  <c r="N108" i="2" s="1"/>
  <c r="O108" i="2" s="1"/>
  <c r="K108" i="2"/>
  <c r="M107" i="2"/>
  <c r="K107" i="2"/>
  <c r="N106" i="2"/>
  <c r="O106" i="2" s="1"/>
  <c r="M106" i="2"/>
  <c r="K106" i="2"/>
  <c r="N105" i="2"/>
  <c r="O105" i="2" s="1"/>
  <c r="M105" i="2"/>
  <c r="K105" i="2"/>
  <c r="M104" i="2"/>
  <c r="K104" i="2"/>
  <c r="N103" i="2"/>
  <c r="O103" i="2" s="1"/>
  <c r="M103" i="2"/>
  <c r="K103" i="2"/>
  <c r="M102" i="2"/>
  <c r="K102" i="2"/>
  <c r="N102" i="2" s="1"/>
  <c r="O102" i="2" s="1"/>
  <c r="N101" i="2"/>
  <c r="O101" i="2" s="1"/>
  <c r="M101" i="2"/>
  <c r="K101" i="2"/>
  <c r="N100" i="2"/>
  <c r="O100" i="2" s="1"/>
  <c r="M100" i="2"/>
  <c r="K100" i="2"/>
  <c r="N99" i="2"/>
  <c r="O99" i="2" s="1"/>
  <c r="M99" i="2"/>
  <c r="K99" i="2"/>
  <c r="O98" i="2"/>
  <c r="M98" i="2"/>
  <c r="K98" i="2"/>
  <c r="N98" i="2" s="1"/>
  <c r="M97" i="2"/>
  <c r="K97" i="2"/>
  <c r="M96" i="2"/>
  <c r="N96" i="2" s="1"/>
  <c r="O96" i="2" s="1"/>
  <c r="K96" i="2"/>
  <c r="N95" i="2"/>
  <c r="O95" i="2" s="1"/>
  <c r="M95" i="2"/>
  <c r="K95" i="2"/>
  <c r="M94" i="2"/>
  <c r="K94" i="2"/>
  <c r="M93" i="2"/>
  <c r="K93" i="2"/>
  <c r="N93" i="2" s="1"/>
  <c r="O93" i="2" s="1"/>
  <c r="M92" i="2"/>
  <c r="K92" i="2"/>
  <c r="M91" i="2"/>
  <c r="K91" i="2"/>
  <c r="N91" i="2" s="1"/>
  <c r="O91" i="2" s="1"/>
  <c r="M90" i="2"/>
  <c r="N90" i="2" s="1"/>
  <c r="O90" i="2" s="1"/>
  <c r="K90" i="2"/>
  <c r="M89" i="2"/>
  <c r="K89" i="2"/>
  <c r="N89" i="2" s="1"/>
  <c r="O89" i="2" s="1"/>
  <c r="N88" i="2"/>
  <c r="O88" i="2" s="1"/>
  <c r="M88" i="2"/>
  <c r="K88" i="2"/>
  <c r="M87" i="2"/>
  <c r="K87" i="2"/>
  <c r="N87" i="2" s="1"/>
  <c r="O87" i="2" s="1"/>
  <c r="M86" i="2"/>
  <c r="K86" i="2"/>
  <c r="O85" i="2"/>
  <c r="N85" i="2"/>
  <c r="M85" i="2"/>
  <c r="K85" i="2"/>
  <c r="O84" i="2"/>
  <c r="N84" i="2"/>
  <c r="M84" i="2"/>
  <c r="K84" i="2"/>
  <c r="M83" i="2"/>
  <c r="N83" i="2" s="1"/>
  <c r="O83" i="2" s="1"/>
  <c r="K83" i="2"/>
  <c r="M82" i="2"/>
  <c r="K82" i="2"/>
  <c r="N82" i="2" s="1"/>
  <c r="O82" i="2" s="1"/>
  <c r="O81" i="2"/>
  <c r="M81" i="2"/>
  <c r="K81" i="2"/>
  <c r="N81" i="2" s="1"/>
  <c r="O80" i="2"/>
  <c r="N80" i="2"/>
  <c r="M80" i="2"/>
  <c r="K80" i="2"/>
  <c r="N79" i="2"/>
  <c r="O79" i="2" s="1"/>
  <c r="M79" i="2"/>
  <c r="K79" i="2"/>
  <c r="M78" i="2"/>
  <c r="K78" i="2"/>
  <c r="N78" i="2" s="1"/>
  <c r="O78" i="2" s="1"/>
  <c r="O77" i="2"/>
  <c r="M77" i="2"/>
  <c r="K77" i="2"/>
  <c r="N77" i="2" s="1"/>
  <c r="N76" i="2"/>
  <c r="O76" i="2" s="1"/>
  <c r="M76" i="2"/>
  <c r="K76" i="2"/>
  <c r="M75" i="2"/>
  <c r="N75" i="2" s="1"/>
  <c r="O75" i="2" s="1"/>
  <c r="K75" i="2"/>
  <c r="M74" i="2"/>
  <c r="N74" i="2" s="1"/>
  <c r="O74" i="2" s="1"/>
  <c r="K74" i="2"/>
  <c r="M73" i="2"/>
  <c r="K73" i="2"/>
  <c r="M72" i="2"/>
  <c r="K72" i="2"/>
  <c r="N71" i="2"/>
  <c r="O71" i="2" s="1"/>
  <c r="M71" i="2"/>
  <c r="K71" i="2"/>
  <c r="M70" i="2"/>
  <c r="N70" i="2" s="1"/>
  <c r="O70" i="2" s="1"/>
  <c r="K70" i="2"/>
  <c r="O69" i="2"/>
  <c r="M69" i="2"/>
  <c r="K69" i="2"/>
  <c r="N69" i="2" s="1"/>
  <c r="M68" i="2"/>
  <c r="K68" i="2"/>
  <c r="N68" i="2" s="1"/>
  <c r="O68" i="2" s="1"/>
  <c r="M67" i="2"/>
  <c r="K67" i="2"/>
  <c r="N67" i="2" s="1"/>
  <c r="O67" i="2" s="1"/>
  <c r="N66" i="2"/>
  <c r="O66" i="2" s="1"/>
  <c r="M66" i="2"/>
  <c r="K66" i="2"/>
  <c r="M65" i="2"/>
  <c r="N65" i="2" s="1"/>
  <c r="O65" i="2" s="1"/>
  <c r="K65" i="2"/>
  <c r="N64" i="2"/>
  <c r="O64" i="2" s="1"/>
  <c r="M64" i="2"/>
  <c r="K64" i="2"/>
  <c r="N63" i="2"/>
  <c r="O63" i="2" s="1"/>
  <c r="M63" i="2"/>
  <c r="K63" i="2"/>
  <c r="M62" i="2"/>
  <c r="K62" i="2"/>
  <c r="N62" i="2" s="1"/>
  <c r="O62" i="2" s="1"/>
  <c r="M61" i="2"/>
  <c r="K61" i="2"/>
  <c r="O60" i="2"/>
  <c r="N60" i="2"/>
  <c r="M60" i="2"/>
  <c r="K60" i="2"/>
  <c r="M59" i="2"/>
  <c r="N59" i="2" s="1"/>
  <c r="O59" i="2" s="1"/>
  <c r="K59" i="2"/>
  <c r="M58" i="2"/>
  <c r="N58" i="2" s="1"/>
  <c r="O58" i="2" s="1"/>
  <c r="K58" i="2"/>
  <c r="M57" i="2"/>
  <c r="K57" i="2"/>
  <c r="N56" i="2"/>
  <c r="O56" i="2" s="1"/>
  <c r="M56" i="2"/>
  <c r="K56" i="2"/>
  <c r="O55" i="2"/>
  <c r="N55" i="2"/>
  <c r="M55" i="2"/>
  <c r="K55" i="2"/>
  <c r="M54" i="2"/>
  <c r="K54" i="2"/>
  <c r="N54" i="2" s="1"/>
  <c r="O54" i="2" s="1"/>
  <c r="N53" i="2"/>
  <c r="O53" i="2" s="1"/>
  <c r="M53" i="2"/>
  <c r="K53" i="2"/>
  <c r="M52" i="2"/>
  <c r="K52" i="2"/>
  <c r="N52" i="2" s="1"/>
  <c r="O52" i="2" s="1"/>
  <c r="N51" i="2"/>
  <c r="O51" i="2" s="1"/>
  <c r="M51" i="2"/>
  <c r="K51" i="2"/>
  <c r="N50" i="2"/>
  <c r="O50" i="2" s="1"/>
  <c r="M50" i="2"/>
  <c r="K50" i="2"/>
  <c r="M49" i="2"/>
  <c r="K49" i="2"/>
  <c r="N49" i="2" s="1"/>
  <c r="O49" i="2" s="1"/>
  <c r="O48" i="2"/>
  <c r="M48" i="2"/>
  <c r="K48" i="2"/>
  <c r="N48" i="2" s="1"/>
  <c r="M47" i="2"/>
  <c r="K47" i="2"/>
  <c r="M46" i="2"/>
  <c r="K46" i="2"/>
  <c r="N46" i="2" s="1"/>
  <c r="O46" i="2" s="1"/>
  <c r="N45" i="2"/>
  <c r="O45" i="2" s="1"/>
  <c r="M45" i="2"/>
  <c r="K45" i="2"/>
  <c r="M44" i="2"/>
  <c r="K44" i="2"/>
  <c r="N44" i="2" s="1"/>
  <c r="O44" i="2" s="1"/>
  <c r="N43" i="2"/>
  <c r="O43" i="2" s="1"/>
  <c r="M43" i="2"/>
  <c r="K43" i="2"/>
  <c r="M42" i="2"/>
  <c r="K42" i="2"/>
  <c r="M41" i="2"/>
  <c r="K41" i="2"/>
  <c r="M40" i="2"/>
  <c r="N40" i="2" s="1"/>
  <c r="O40" i="2" s="1"/>
  <c r="K40" i="2"/>
  <c r="M39" i="2"/>
  <c r="K39" i="2"/>
  <c r="N39" i="2" s="1"/>
  <c r="O39" i="2" s="1"/>
  <c r="M38" i="2"/>
  <c r="N38" i="2" s="1"/>
  <c r="O38" i="2" s="1"/>
  <c r="K38" i="2"/>
  <c r="M37" i="2"/>
  <c r="K37" i="2"/>
  <c r="M36" i="2"/>
  <c r="K36" i="2"/>
  <c r="N36" i="2" s="1"/>
  <c r="O36" i="2" s="1"/>
  <c r="O35" i="2"/>
  <c r="N35" i="2"/>
  <c r="M35" i="2"/>
  <c r="K35" i="2"/>
  <c r="N34" i="2"/>
  <c r="O34" i="2" s="1"/>
  <c r="M34" i="2"/>
  <c r="K34" i="2"/>
  <c r="N33" i="2"/>
  <c r="O33" i="2" s="1"/>
  <c r="M33" i="2"/>
  <c r="K33" i="2"/>
  <c r="M32" i="2"/>
  <c r="K32" i="2"/>
  <c r="N32" i="2" s="1"/>
  <c r="O32" i="2" s="1"/>
  <c r="O31" i="2"/>
  <c r="M31" i="2"/>
  <c r="K31" i="2"/>
  <c r="N31" i="2" s="1"/>
  <c r="M30" i="2"/>
  <c r="N30" i="2" s="1"/>
  <c r="O30" i="2" s="1"/>
  <c r="K30" i="2"/>
  <c r="M29" i="2"/>
  <c r="N29" i="2" s="1"/>
  <c r="O29" i="2" s="1"/>
  <c r="K29" i="2"/>
  <c r="M28" i="2"/>
  <c r="N28" i="2" s="1"/>
  <c r="O28" i="2" s="1"/>
  <c r="K28" i="2"/>
  <c r="O27" i="2"/>
  <c r="M27" i="2"/>
  <c r="K27" i="2"/>
  <c r="N27" i="2" s="1"/>
  <c r="N26" i="2"/>
  <c r="O26" i="2" s="1"/>
  <c r="M26" i="2"/>
  <c r="K26" i="2"/>
  <c r="N25" i="2"/>
  <c r="O25" i="2" s="1"/>
  <c r="M25" i="2"/>
  <c r="K25" i="2"/>
  <c r="N24" i="2"/>
  <c r="O24" i="2" s="1"/>
  <c r="M24" i="2"/>
  <c r="K24" i="2"/>
  <c r="M23" i="2"/>
  <c r="K23" i="2"/>
  <c r="N23" i="2" s="1"/>
  <c r="O23" i="2" s="1"/>
  <c r="M22" i="2"/>
  <c r="K22" i="2"/>
  <c r="M21" i="2"/>
  <c r="N21" i="2" s="1"/>
  <c r="O21" i="2" s="1"/>
  <c r="K21" i="2"/>
  <c r="M20" i="2"/>
  <c r="N20" i="2" s="1"/>
  <c r="O20" i="2" s="1"/>
  <c r="K20" i="2"/>
  <c r="M19" i="2"/>
  <c r="K19" i="2"/>
  <c r="M18" i="2"/>
  <c r="K18" i="2"/>
  <c r="N18" i="2" s="1"/>
  <c r="O18" i="2" s="1"/>
  <c r="O17" i="2"/>
  <c r="M17" i="2"/>
  <c r="K17" i="2"/>
  <c r="N17" i="2" s="1"/>
  <c r="M16" i="2"/>
  <c r="K16" i="2"/>
  <c r="N16" i="2" s="1"/>
  <c r="O16" i="2" s="1"/>
  <c r="M15" i="2"/>
  <c r="N15" i="2" s="1"/>
  <c r="O15" i="2" s="1"/>
  <c r="K15" i="2"/>
  <c r="N14" i="2"/>
  <c r="O14" i="2" s="1"/>
  <c r="M14" i="2"/>
  <c r="K14" i="2"/>
  <c r="N13" i="2"/>
  <c r="O13" i="2" s="1"/>
  <c r="M13" i="2"/>
  <c r="K13" i="2"/>
  <c r="O12" i="2"/>
  <c r="M12" i="2"/>
  <c r="K12" i="2"/>
  <c r="N12" i="2" s="1"/>
  <c r="M11" i="2"/>
  <c r="K11" i="2"/>
  <c r="O10" i="2"/>
  <c r="N10" i="2"/>
  <c r="M10" i="2"/>
  <c r="K10" i="2"/>
  <c r="M9" i="2"/>
  <c r="N9" i="2" s="1"/>
  <c r="O9" i="2" s="1"/>
  <c r="K9" i="2"/>
  <c r="M8" i="2"/>
  <c r="K8" i="2"/>
  <c r="N304" i="1"/>
  <c r="N300" i="1"/>
  <c r="O300" i="1" s="1"/>
  <c r="O297" i="1"/>
  <c r="O296" i="1"/>
  <c r="J294" i="1"/>
  <c r="I294" i="1"/>
  <c r="O303" i="1" s="1"/>
  <c r="H294" i="1"/>
  <c r="M293" i="1"/>
  <c r="N293" i="1" s="1"/>
  <c r="O293" i="1" s="1"/>
  <c r="K293" i="1"/>
  <c r="M292" i="1"/>
  <c r="K292" i="1"/>
  <c r="N292" i="1" s="1"/>
  <c r="O292" i="1" s="1"/>
  <c r="M291" i="1"/>
  <c r="N291" i="1" s="1"/>
  <c r="O291" i="1" s="1"/>
  <c r="K291" i="1"/>
  <c r="N290" i="1"/>
  <c r="O290" i="1" s="1"/>
  <c r="M290" i="1"/>
  <c r="K290" i="1"/>
  <c r="N289" i="1"/>
  <c r="O289" i="1" s="1"/>
  <c r="M289" i="1"/>
  <c r="K289" i="1"/>
  <c r="M288" i="1"/>
  <c r="K288" i="1"/>
  <c r="N288" i="1" s="1"/>
  <c r="O288" i="1" s="1"/>
  <c r="N287" i="1"/>
  <c r="O287" i="1" s="1"/>
  <c r="M287" i="1"/>
  <c r="K287" i="1"/>
  <c r="M286" i="1"/>
  <c r="K286" i="1"/>
  <c r="N286" i="1" s="1"/>
  <c r="O286" i="1" s="1"/>
  <c r="M285" i="1"/>
  <c r="K285" i="1"/>
  <c r="N285" i="1" s="1"/>
  <c r="O285" i="1" s="1"/>
  <c r="M284" i="1"/>
  <c r="K284" i="1"/>
  <c r="N284" i="1" s="1"/>
  <c r="O284" i="1" s="1"/>
  <c r="M283" i="1"/>
  <c r="K283" i="1"/>
  <c r="N283" i="1" s="1"/>
  <c r="O283" i="1" s="1"/>
  <c r="N282" i="1"/>
  <c r="O282" i="1" s="1"/>
  <c r="M282" i="1"/>
  <c r="K282" i="1"/>
  <c r="M281" i="1"/>
  <c r="K281" i="1"/>
  <c r="N281" i="1" s="1"/>
  <c r="O281" i="1" s="1"/>
  <c r="O280" i="1"/>
  <c r="M280" i="1"/>
  <c r="K280" i="1"/>
  <c r="N280" i="1" s="1"/>
  <c r="O279" i="1"/>
  <c r="M279" i="1"/>
  <c r="K279" i="1"/>
  <c r="N279" i="1" s="1"/>
  <c r="N278" i="1"/>
  <c r="O278" i="1" s="1"/>
  <c r="M278" i="1"/>
  <c r="K278" i="1"/>
  <c r="N277" i="1"/>
  <c r="O277" i="1" s="1"/>
  <c r="M277" i="1"/>
  <c r="K277" i="1"/>
  <c r="M276" i="1"/>
  <c r="K276" i="1"/>
  <c r="N276" i="1" s="1"/>
  <c r="O276" i="1" s="1"/>
  <c r="M275" i="1"/>
  <c r="K275" i="1"/>
  <c r="N275" i="1" s="1"/>
  <c r="O275" i="1" s="1"/>
  <c r="O274" i="1"/>
  <c r="N274" i="1"/>
  <c r="M274" i="1"/>
  <c r="K274" i="1"/>
  <c r="O273" i="1"/>
  <c r="N273" i="1"/>
  <c r="M273" i="1"/>
  <c r="K273" i="1"/>
  <c r="M272" i="1"/>
  <c r="K272" i="1"/>
  <c r="O271" i="1"/>
  <c r="M271" i="1"/>
  <c r="K271" i="1"/>
  <c r="N271" i="1" s="1"/>
  <c r="N270" i="1"/>
  <c r="O270" i="1" s="1"/>
  <c r="M270" i="1"/>
  <c r="K270" i="1"/>
  <c r="M269" i="1"/>
  <c r="N269" i="1" s="1"/>
  <c r="O269" i="1" s="1"/>
  <c r="K269" i="1"/>
  <c r="N268" i="1"/>
  <c r="O268" i="1" s="1"/>
  <c r="M268" i="1"/>
  <c r="K268" i="1"/>
  <c r="N267" i="1"/>
  <c r="O267" i="1" s="1"/>
  <c r="M267" i="1"/>
  <c r="K267" i="1"/>
  <c r="N266" i="1"/>
  <c r="O266" i="1" s="1"/>
  <c r="M266" i="1"/>
  <c r="K266" i="1"/>
  <c r="O265" i="1"/>
  <c r="M265" i="1"/>
  <c r="K265" i="1"/>
  <c r="N265" i="1" s="1"/>
  <c r="N264" i="1"/>
  <c r="O264" i="1" s="1"/>
  <c r="M264" i="1"/>
  <c r="K264" i="1"/>
  <c r="M263" i="1"/>
  <c r="K263" i="1"/>
  <c r="M262" i="1"/>
  <c r="N262" i="1" s="1"/>
  <c r="O262" i="1" s="1"/>
  <c r="K262" i="1"/>
  <c r="M261" i="1"/>
  <c r="N261" i="1" s="1"/>
  <c r="O261" i="1" s="1"/>
  <c r="K261" i="1"/>
  <c r="M260" i="1"/>
  <c r="K260" i="1"/>
  <c r="N260" i="1" s="1"/>
  <c r="O260" i="1" s="1"/>
  <c r="M259" i="1"/>
  <c r="K259" i="1"/>
  <c r="O258" i="1"/>
  <c r="M258" i="1"/>
  <c r="K258" i="1"/>
  <c r="N258" i="1" s="1"/>
  <c r="M257" i="1"/>
  <c r="K257" i="1"/>
  <c r="N257" i="1" s="1"/>
  <c r="O257" i="1" s="1"/>
  <c r="N256" i="1"/>
  <c r="O256" i="1" s="1"/>
  <c r="M256" i="1"/>
  <c r="K256" i="1"/>
  <c r="M255" i="1"/>
  <c r="K255" i="1"/>
  <c r="N255" i="1" s="1"/>
  <c r="O255" i="1" s="1"/>
  <c r="N254" i="1"/>
  <c r="O254" i="1" s="1"/>
  <c r="M254" i="1"/>
  <c r="K254" i="1"/>
  <c r="N253" i="1"/>
  <c r="O253" i="1" s="1"/>
  <c r="M253" i="1"/>
  <c r="K253" i="1"/>
  <c r="M252" i="1"/>
  <c r="K252" i="1"/>
  <c r="N252" i="1" s="1"/>
  <c r="O252" i="1" s="1"/>
  <c r="O251" i="1"/>
  <c r="M251" i="1"/>
  <c r="K251" i="1"/>
  <c r="N251" i="1" s="1"/>
  <c r="M250" i="1"/>
  <c r="K250" i="1"/>
  <c r="N250" i="1" s="1"/>
  <c r="O250" i="1" s="1"/>
  <c r="O249" i="1"/>
  <c r="M249" i="1"/>
  <c r="N249" i="1" s="1"/>
  <c r="K249" i="1"/>
  <c r="M248" i="1"/>
  <c r="N248" i="1" s="1"/>
  <c r="O248" i="1" s="1"/>
  <c r="K248" i="1"/>
  <c r="M247" i="1"/>
  <c r="K247" i="1"/>
  <c r="N247" i="1" s="1"/>
  <c r="O247" i="1" s="1"/>
  <c r="O246" i="1"/>
  <c r="M246" i="1"/>
  <c r="K246" i="1"/>
  <c r="N246" i="1" s="1"/>
  <c r="O245" i="1"/>
  <c r="N245" i="1"/>
  <c r="M245" i="1"/>
  <c r="K245" i="1"/>
  <c r="M244" i="1"/>
  <c r="N244" i="1" s="1"/>
  <c r="O244" i="1" s="1"/>
  <c r="K244" i="1"/>
  <c r="N243" i="1"/>
  <c r="O243" i="1" s="1"/>
  <c r="M243" i="1"/>
  <c r="K243" i="1"/>
  <c r="M242" i="1"/>
  <c r="K242" i="1"/>
  <c r="N242" i="1" s="1"/>
  <c r="O242" i="1" s="1"/>
  <c r="N241" i="1"/>
  <c r="O241" i="1" s="1"/>
  <c r="M241" i="1"/>
  <c r="K241" i="1"/>
  <c r="N240" i="1"/>
  <c r="O240" i="1" s="1"/>
  <c r="M240" i="1"/>
  <c r="K240" i="1"/>
  <c r="M239" i="1"/>
  <c r="K239" i="1"/>
  <c r="N239" i="1" s="1"/>
  <c r="O239" i="1" s="1"/>
  <c r="M238" i="1"/>
  <c r="K238" i="1"/>
  <c r="N238" i="1" s="1"/>
  <c r="O238" i="1" s="1"/>
  <c r="N237" i="1"/>
  <c r="O237" i="1" s="1"/>
  <c r="M237" i="1"/>
  <c r="K237" i="1"/>
  <c r="O236" i="1"/>
  <c r="M236" i="1"/>
  <c r="K236" i="1"/>
  <c r="N236" i="1" s="1"/>
  <c r="M235" i="1"/>
  <c r="K235" i="1"/>
  <c r="N235" i="1" s="1"/>
  <c r="O235" i="1" s="1"/>
  <c r="M234" i="1"/>
  <c r="K234" i="1"/>
  <c r="N234" i="1" s="1"/>
  <c r="O234" i="1" s="1"/>
  <c r="N233" i="1"/>
  <c r="O233" i="1" s="1"/>
  <c r="M233" i="1"/>
  <c r="K233" i="1"/>
  <c r="M232" i="1"/>
  <c r="N232" i="1" s="1"/>
  <c r="O232" i="1" s="1"/>
  <c r="K232" i="1"/>
  <c r="N231" i="1"/>
  <c r="O231" i="1" s="1"/>
  <c r="M231" i="1"/>
  <c r="K231" i="1"/>
  <c r="O230" i="1"/>
  <c r="M230" i="1"/>
  <c r="K230" i="1"/>
  <c r="N230" i="1" s="1"/>
  <c r="M229" i="1"/>
  <c r="K229" i="1"/>
  <c r="N229" i="1" s="1"/>
  <c r="O229" i="1" s="1"/>
  <c r="N228" i="1"/>
  <c r="O228" i="1" s="1"/>
  <c r="M228" i="1"/>
  <c r="K228" i="1"/>
  <c r="M227" i="1"/>
  <c r="N227" i="1" s="1"/>
  <c r="O227" i="1" s="1"/>
  <c r="K227" i="1"/>
  <c r="M226" i="1"/>
  <c r="K226" i="1"/>
  <c r="N226" i="1" s="1"/>
  <c r="O226" i="1" s="1"/>
  <c r="N225" i="1"/>
  <c r="O225" i="1" s="1"/>
  <c r="M225" i="1"/>
  <c r="K225" i="1"/>
  <c r="O224" i="1"/>
  <c r="N224" i="1"/>
  <c r="M224" i="1"/>
  <c r="K224" i="1"/>
  <c r="N223" i="1"/>
  <c r="O223" i="1" s="1"/>
  <c r="M223" i="1"/>
  <c r="K223" i="1"/>
  <c r="M222" i="1"/>
  <c r="K222" i="1"/>
  <c r="O221" i="1"/>
  <c r="M221" i="1"/>
  <c r="K221" i="1"/>
  <c r="N221" i="1" s="1"/>
  <c r="N220" i="1"/>
  <c r="O220" i="1" s="1"/>
  <c r="M220" i="1"/>
  <c r="K220" i="1"/>
  <c r="O219" i="1"/>
  <c r="N219" i="1"/>
  <c r="M219" i="1"/>
  <c r="K219" i="1"/>
  <c r="M218" i="1"/>
  <c r="N218" i="1" s="1"/>
  <c r="O218" i="1" s="1"/>
  <c r="K218" i="1"/>
  <c r="M217" i="1"/>
  <c r="K217" i="1"/>
  <c r="N217" i="1" s="1"/>
  <c r="O217" i="1" s="1"/>
  <c r="O216" i="1"/>
  <c r="N216" i="1"/>
  <c r="M216" i="1"/>
  <c r="K216" i="1"/>
  <c r="N215" i="1"/>
  <c r="O215" i="1" s="1"/>
  <c r="M215" i="1"/>
  <c r="K215" i="1"/>
  <c r="M214" i="1"/>
  <c r="K214" i="1"/>
  <c r="N214" i="1" s="1"/>
  <c r="O214" i="1" s="1"/>
  <c r="M213" i="1"/>
  <c r="K213" i="1"/>
  <c r="M212" i="1"/>
  <c r="N212" i="1" s="1"/>
  <c r="O212" i="1" s="1"/>
  <c r="K212" i="1"/>
  <c r="M211" i="1"/>
  <c r="N211" i="1" s="1"/>
  <c r="O211" i="1" s="1"/>
  <c r="K211" i="1"/>
  <c r="N210" i="1"/>
  <c r="O210" i="1" s="1"/>
  <c r="M210" i="1"/>
  <c r="K210" i="1"/>
  <c r="M209" i="1"/>
  <c r="K209" i="1"/>
  <c r="N209" i="1" s="1"/>
  <c r="O209" i="1" s="1"/>
  <c r="M208" i="1"/>
  <c r="K208" i="1"/>
  <c r="N208" i="1" s="1"/>
  <c r="O208" i="1" s="1"/>
  <c r="N207" i="1"/>
  <c r="O207" i="1" s="1"/>
  <c r="M207" i="1"/>
  <c r="K207" i="1"/>
  <c r="M206" i="1"/>
  <c r="K206" i="1"/>
  <c r="N206" i="1" s="1"/>
  <c r="O206" i="1" s="1"/>
  <c r="M205" i="1"/>
  <c r="K205" i="1"/>
  <c r="N205" i="1" s="1"/>
  <c r="O205" i="1" s="1"/>
  <c r="M204" i="1"/>
  <c r="K204" i="1"/>
  <c r="N204" i="1" s="1"/>
  <c r="O204" i="1" s="1"/>
  <c r="O203" i="1"/>
  <c r="N203" i="1"/>
  <c r="M203" i="1"/>
  <c r="K203" i="1"/>
  <c r="N202" i="1"/>
  <c r="O202" i="1" s="1"/>
  <c r="M202" i="1"/>
  <c r="K202" i="1"/>
  <c r="M201" i="1"/>
  <c r="K201" i="1"/>
  <c r="N201" i="1" s="1"/>
  <c r="O201" i="1" s="1"/>
  <c r="O200" i="1"/>
  <c r="M200" i="1"/>
  <c r="K200" i="1"/>
  <c r="N200" i="1" s="1"/>
  <c r="N199" i="1"/>
  <c r="O199" i="1" s="1"/>
  <c r="M199" i="1"/>
  <c r="K199" i="1"/>
  <c r="M198" i="1"/>
  <c r="N198" i="1" s="1"/>
  <c r="O198" i="1" s="1"/>
  <c r="K198" i="1"/>
  <c r="M197" i="1"/>
  <c r="K197" i="1"/>
  <c r="N197" i="1" s="1"/>
  <c r="O197" i="1" s="1"/>
  <c r="O196" i="1"/>
  <c r="M196" i="1"/>
  <c r="K196" i="1"/>
  <c r="N196" i="1" s="1"/>
  <c r="M195" i="1"/>
  <c r="K195" i="1"/>
  <c r="N195" i="1" s="1"/>
  <c r="O195" i="1" s="1"/>
  <c r="M194" i="1"/>
  <c r="N194" i="1" s="1"/>
  <c r="O194" i="1" s="1"/>
  <c r="K194" i="1"/>
  <c r="M193" i="1"/>
  <c r="N193" i="1" s="1"/>
  <c r="O193" i="1" s="1"/>
  <c r="K193" i="1"/>
  <c r="M192" i="1"/>
  <c r="K192" i="1"/>
  <c r="N192" i="1" s="1"/>
  <c r="O192" i="1" s="1"/>
  <c r="M191" i="1"/>
  <c r="K191" i="1"/>
  <c r="N191" i="1" s="1"/>
  <c r="O191" i="1" s="1"/>
  <c r="O190" i="1"/>
  <c r="M190" i="1"/>
  <c r="K190" i="1"/>
  <c r="N190" i="1" s="1"/>
  <c r="N189" i="1"/>
  <c r="O189" i="1" s="1"/>
  <c r="M189" i="1"/>
  <c r="K189" i="1"/>
  <c r="M188" i="1"/>
  <c r="N188" i="1" s="1"/>
  <c r="O188" i="1" s="1"/>
  <c r="K188" i="1"/>
  <c r="M187" i="1"/>
  <c r="K187" i="1"/>
  <c r="N187" i="1" s="1"/>
  <c r="O187" i="1" s="1"/>
  <c r="M186" i="1"/>
  <c r="K186" i="1"/>
  <c r="N186" i="1" s="1"/>
  <c r="O186" i="1" s="1"/>
  <c r="M185" i="1"/>
  <c r="K185" i="1"/>
  <c r="N185" i="1" s="1"/>
  <c r="O185" i="1" s="1"/>
  <c r="M184" i="1"/>
  <c r="N184" i="1" s="1"/>
  <c r="O184" i="1" s="1"/>
  <c r="K184" i="1"/>
  <c r="M183" i="1"/>
  <c r="N183" i="1" s="1"/>
  <c r="O183" i="1" s="1"/>
  <c r="K183" i="1"/>
  <c r="N182" i="1"/>
  <c r="O182" i="1" s="1"/>
  <c r="M182" i="1"/>
  <c r="K182" i="1"/>
  <c r="M181" i="1"/>
  <c r="K181" i="1"/>
  <c r="N181" i="1" s="1"/>
  <c r="O181" i="1" s="1"/>
  <c r="O180" i="1"/>
  <c r="M180" i="1"/>
  <c r="K180" i="1"/>
  <c r="N180" i="1" s="1"/>
  <c r="M179" i="1"/>
  <c r="N179" i="1" s="1"/>
  <c r="O179" i="1" s="1"/>
  <c r="K179" i="1"/>
  <c r="M178" i="1"/>
  <c r="N178" i="1" s="1"/>
  <c r="O178" i="1" s="1"/>
  <c r="K178" i="1"/>
  <c r="M177" i="1"/>
  <c r="N177" i="1" s="1"/>
  <c r="O177" i="1" s="1"/>
  <c r="K177" i="1"/>
  <c r="O176" i="1"/>
  <c r="M176" i="1"/>
  <c r="K176" i="1"/>
  <c r="N176" i="1" s="1"/>
  <c r="M175" i="1"/>
  <c r="K175" i="1"/>
  <c r="N175" i="1" s="1"/>
  <c r="O175" i="1" s="1"/>
  <c r="M174" i="1"/>
  <c r="N174" i="1" s="1"/>
  <c r="O174" i="1" s="1"/>
  <c r="K174" i="1"/>
  <c r="N173" i="1"/>
  <c r="O173" i="1" s="1"/>
  <c r="M173" i="1"/>
  <c r="K173" i="1"/>
  <c r="M172" i="1"/>
  <c r="K172" i="1"/>
  <c r="N172" i="1" s="1"/>
  <c r="O172" i="1" s="1"/>
  <c r="M171" i="1"/>
  <c r="K171" i="1"/>
  <c r="M170" i="1"/>
  <c r="K170" i="1"/>
  <c r="N170" i="1" s="1"/>
  <c r="O170" i="1" s="1"/>
  <c r="M169" i="1"/>
  <c r="N169" i="1" s="1"/>
  <c r="O169" i="1" s="1"/>
  <c r="K169" i="1"/>
  <c r="N168" i="1"/>
  <c r="O168" i="1" s="1"/>
  <c r="M168" i="1"/>
  <c r="K168" i="1"/>
  <c r="M167" i="1"/>
  <c r="N167" i="1" s="1"/>
  <c r="O167" i="1" s="1"/>
  <c r="K167" i="1"/>
  <c r="M166" i="1"/>
  <c r="K166" i="1"/>
  <c r="O165" i="1"/>
  <c r="M165" i="1"/>
  <c r="K165" i="1"/>
  <c r="N165" i="1" s="1"/>
  <c r="M164" i="1"/>
  <c r="N164" i="1" s="1"/>
  <c r="O164" i="1" s="1"/>
  <c r="K164" i="1"/>
  <c r="M163" i="1"/>
  <c r="N163" i="1" s="1"/>
  <c r="O163" i="1" s="1"/>
  <c r="K163" i="1"/>
  <c r="M162" i="1"/>
  <c r="K162" i="1"/>
  <c r="N162" i="1" s="1"/>
  <c r="O162" i="1" s="1"/>
  <c r="M161" i="1"/>
  <c r="K161" i="1"/>
  <c r="M160" i="1"/>
  <c r="K160" i="1"/>
  <c r="N160" i="1" s="1"/>
  <c r="O160" i="1" s="1"/>
  <c r="O159" i="1"/>
  <c r="N159" i="1"/>
  <c r="M159" i="1"/>
  <c r="K159" i="1"/>
  <c r="O158" i="1"/>
  <c r="N158" i="1"/>
  <c r="M158" i="1"/>
  <c r="K158" i="1"/>
  <c r="M157" i="1"/>
  <c r="K157" i="1"/>
  <c r="N157" i="1" s="1"/>
  <c r="O157" i="1" s="1"/>
  <c r="M156" i="1"/>
  <c r="K156" i="1"/>
  <c r="N156" i="1" s="1"/>
  <c r="O156" i="1" s="1"/>
  <c r="O155" i="1"/>
  <c r="M155" i="1"/>
  <c r="K155" i="1"/>
  <c r="N155" i="1" s="1"/>
  <c r="M154" i="1"/>
  <c r="N154" i="1" s="1"/>
  <c r="O154" i="1" s="1"/>
  <c r="K154" i="1"/>
  <c r="O153" i="1"/>
  <c r="M153" i="1"/>
  <c r="N153" i="1" s="1"/>
  <c r="K153" i="1"/>
  <c r="N152" i="1"/>
  <c r="O152" i="1" s="1"/>
  <c r="M152" i="1"/>
  <c r="K152" i="1"/>
  <c r="M151" i="1"/>
  <c r="K151" i="1"/>
  <c r="N151" i="1" s="1"/>
  <c r="O151" i="1" s="1"/>
  <c r="O150" i="1"/>
  <c r="M150" i="1"/>
  <c r="K150" i="1"/>
  <c r="N150" i="1" s="1"/>
  <c r="N149" i="1"/>
  <c r="O149" i="1" s="1"/>
  <c r="M149" i="1"/>
  <c r="K149" i="1"/>
  <c r="M148" i="1"/>
  <c r="N148" i="1" s="1"/>
  <c r="O148" i="1" s="1"/>
  <c r="K148" i="1"/>
  <c r="M147" i="1"/>
  <c r="K147" i="1"/>
  <c r="O146" i="1"/>
  <c r="M146" i="1"/>
  <c r="K146" i="1"/>
  <c r="N146" i="1" s="1"/>
  <c r="M145" i="1"/>
  <c r="K145" i="1"/>
  <c r="N145" i="1" s="1"/>
  <c r="O145" i="1" s="1"/>
  <c r="M144" i="1"/>
  <c r="N144" i="1" s="1"/>
  <c r="O144" i="1" s="1"/>
  <c r="K144" i="1"/>
  <c r="M143" i="1"/>
  <c r="N143" i="1" s="1"/>
  <c r="O143" i="1" s="1"/>
  <c r="K143" i="1"/>
  <c r="N142" i="1"/>
  <c r="O142" i="1" s="1"/>
  <c r="M142" i="1"/>
  <c r="K142" i="1"/>
  <c r="M141" i="1"/>
  <c r="K141" i="1"/>
  <c r="N141" i="1" s="1"/>
  <c r="O141" i="1" s="1"/>
  <c r="O140" i="1"/>
  <c r="M140" i="1"/>
  <c r="K140" i="1"/>
  <c r="N140" i="1" s="1"/>
  <c r="M139" i="1"/>
  <c r="N139" i="1" s="1"/>
  <c r="O139" i="1" s="1"/>
  <c r="K139" i="1"/>
  <c r="M138" i="1"/>
  <c r="N138" i="1" s="1"/>
  <c r="O138" i="1" s="1"/>
  <c r="K138" i="1"/>
  <c r="M137" i="1"/>
  <c r="K137" i="1"/>
  <c r="N137" i="1" s="1"/>
  <c r="O137" i="1" s="1"/>
  <c r="M136" i="1"/>
  <c r="K136" i="1"/>
  <c r="N136" i="1" s="1"/>
  <c r="O136" i="1" s="1"/>
  <c r="M135" i="1"/>
  <c r="K135" i="1"/>
  <c r="N135" i="1" s="1"/>
  <c r="O135" i="1" s="1"/>
  <c r="M134" i="1"/>
  <c r="N134" i="1" s="1"/>
  <c r="O134" i="1" s="1"/>
  <c r="K134" i="1"/>
  <c r="N133" i="1"/>
  <c r="O133" i="1" s="1"/>
  <c r="M133" i="1"/>
  <c r="K133" i="1"/>
  <c r="M132" i="1"/>
  <c r="N132" i="1" s="1"/>
  <c r="O132" i="1" s="1"/>
  <c r="K132" i="1"/>
  <c r="M131" i="1"/>
  <c r="K131" i="1"/>
  <c r="N131" i="1" s="1"/>
  <c r="O131" i="1" s="1"/>
  <c r="M130" i="1"/>
  <c r="K130" i="1"/>
  <c r="N130" i="1" s="1"/>
  <c r="O130" i="1" s="1"/>
  <c r="M129" i="1"/>
  <c r="N129" i="1" s="1"/>
  <c r="O129" i="1" s="1"/>
  <c r="K129" i="1"/>
  <c r="M128" i="1"/>
  <c r="N128" i="1" s="1"/>
  <c r="O128" i="1" s="1"/>
  <c r="K128" i="1"/>
  <c r="M127" i="1"/>
  <c r="N127" i="1" s="1"/>
  <c r="O127" i="1" s="1"/>
  <c r="K127" i="1"/>
  <c r="M126" i="1"/>
  <c r="K126" i="1"/>
  <c r="M125" i="1"/>
  <c r="K125" i="1"/>
  <c r="N125" i="1" s="1"/>
  <c r="O125" i="1" s="1"/>
  <c r="O124" i="1"/>
  <c r="N124" i="1"/>
  <c r="M124" i="1"/>
  <c r="K124" i="1"/>
  <c r="M123" i="1"/>
  <c r="N123" i="1" s="1"/>
  <c r="O123" i="1" s="1"/>
  <c r="K123" i="1"/>
  <c r="M122" i="1"/>
  <c r="K122" i="1"/>
  <c r="N122" i="1" s="1"/>
  <c r="O122" i="1" s="1"/>
  <c r="M121" i="1"/>
  <c r="K121" i="1"/>
  <c r="M120" i="1"/>
  <c r="K120" i="1"/>
  <c r="N120" i="1" s="1"/>
  <c r="O120" i="1" s="1"/>
  <c r="M119" i="1"/>
  <c r="N119" i="1" s="1"/>
  <c r="O119" i="1" s="1"/>
  <c r="K119" i="1"/>
  <c r="N118" i="1"/>
  <c r="O118" i="1" s="1"/>
  <c r="M118" i="1"/>
  <c r="K118" i="1"/>
  <c r="M117" i="1"/>
  <c r="N117" i="1" s="1"/>
  <c r="O117" i="1" s="1"/>
  <c r="K117" i="1"/>
  <c r="M116" i="1"/>
  <c r="K116" i="1"/>
  <c r="N116" i="1" s="1"/>
  <c r="O116" i="1" s="1"/>
  <c r="O115" i="1"/>
  <c r="M115" i="1"/>
  <c r="K115" i="1"/>
  <c r="N115" i="1" s="1"/>
  <c r="O114" i="1"/>
  <c r="N114" i="1"/>
  <c r="M114" i="1"/>
  <c r="K114" i="1"/>
  <c r="M113" i="1"/>
  <c r="N113" i="1" s="1"/>
  <c r="O113" i="1" s="1"/>
  <c r="K113" i="1"/>
  <c r="M112" i="1"/>
  <c r="K112" i="1"/>
  <c r="N112" i="1" s="1"/>
  <c r="O112" i="1" s="1"/>
  <c r="M111" i="1"/>
  <c r="K111" i="1"/>
  <c r="M110" i="1"/>
  <c r="K110" i="1"/>
  <c r="N110" i="1" s="1"/>
  <c r="O110" i="1" s="1"/>
  <c r="N109" i="1"/>
  <c r="O109" i="1" s="1"/>
  <c r="M109" i="1"/>
  <c r="K109" i="1"/>
  <c r="N108" i="1"/>
  <c r="O108" i="1" s="1"/>
  <c r="M108" i="1"/>
  <c r="K108" i="1"/>
  <c r="M107" i="1"/>
  <c r="K107" i="1"/>
  <c r="N107" i="1" s="1"/>
  <c r="O107" i="1" s="1"/>
  <c r="O106" i="1"/>
  <c r="M106" i="1"/>
  <c r="K106" i="1"/>
  <c r="N106" i="1" s="1"/>
  <c r="O105" i="1"/>
  <c r="M105" i="1"/>
  <c r="K105" i="1"/>
  <c r="N105" i="1" s="1"/>
  <c r="M104" i="1"/>
  <c r="N104" i="1" s="1"/>
  <c r="O104" i="1" s="1"/>
  <c r="K104" i="1"/>
  <c r="M103" i="1"/>
  <c r="N103" i="1" s="1"/>
  <c r="O103" i="1" s="1"/>
  <c r="K103" i="1"/>
  <c r="N102" i="1"/>
  <c r="O102" i="1" s="1"/>
  <c r="M102" i="1"/>
  <c r="K102" i="1"/>
  <c r="M101" i="1"/>
  <c r="K101" i="1"/>
  <c r="N101" i="1" s="1"/>
  <c r="O101" i="1" s="1"/>
  <c r="M100" i="1"/>
  <c r="K100" i="1"/>
  <c r="N100" i="1" s="1"/>
  <c r="O100" i="1" s="1"/>
  <c r="N99" i="1"/>
  <c r="O99" i="1" s="1"/>
  <c r="M99" i="1"/>
  <c r="K99" i="1"/>
  <c r="M98" i="1"/>
  <c r="N98" i="1" s="1"/>
  <c r="O98" i="1" s="1"/>
  <c r="K98" i="1"/>
  <c r="M97" i="1"/>
  <c r="K97" i="1"/>
  <c r="N97" i="1" s="1"/>
  <c r="O97" i="1" s="1"/>
  <c r="O96" i="1"/>
  <c r="M96" i="1"/>
  <c r="K96" i="1"/>
  <c r="N96" i="1" s="1"/>
  <c r="O95" i="1"/>
  <c r="M95" i="1"/>
  <c r="K95" i="1"/>
  <c r="N95" i="1" s="1"/>
  <c r="M94" i="1"/>
  <c r="N94" i="1" s="1"/>
  <c r="O94" i="1" s="1"/>
  <c r="K94" i="1"/>
  <c r="O93" i="1"/>
  <c r="M93" i="1"/>
  <c r="N93" i="1" s="1"/>
  <c r="K93" i="1"/>
  <c r="M92" i="1"/>
  <c r="N92" i="1" s="1"/>
  <c r="O92" i="1" s="1"/>
  <c r="K92" i="1"/>
  <c r="M91" i="1"/>
  <c r="K91" i="1"/>
  <c r="N91" i="1" s="1"/>
  <c r="O91" i="1" s="1"/>
  <c r="O90" i="1"/>
  <c r="M90" i="1"/>
  <c r="K90" i="1"/>
  <c r="N90" i="1" s="1"/>
  <c r="M89" i="1"/>
  <c r="N89" i="1" s="1"/>
  <c r="O89" i="1" s="1"/>
  <c r="K89" i="1"/>
  <c r="N88" i="1"/>
  <c r="O88" i="1" s="1"/>
  <c r="M88" i="1"/>
  <c r="K88" i="1"/>
  <c r="M87" i="1"/>
  <c r="K87" i="1"/>
  <c r="N87" i="1" s="1"/>
  <c r="O87" i="1" s="1"/>
  <c r="O86" i="1"/>
  <c r="M86" i="1"/>
  <c r="K86" i="1"/>
  <c r="N86" i="1" s="1"/>
  <c r="M85" i="1"/>
  <c r="K85" i="1"/>
  <c r="N85" i="1" s="1"/>
  <c r="O85" i="1" s="1"/>
  <c r="O84" i="1"/>
  <c r="M84" i="1"/>
  <c r="N84" i="1" s="1"/>
  <c r="K84" i="1"/>
  <c r="M83" i="1"/>
  <c r="N83" i="1" s="1"/>
  <c r="O83" i="1" s="1"/>
  <c r="K83" i="1"/>
  <c r="M82" i="1"/>
  <c r="K82" i="1"/>
  <c r="N82" i="1" s="1"/>
  <c r="O82" i="1" s="1"/>
  <c r="M81" i="1"/>
  <c r="K81" i="1"/>
  <c r="N81" i="1" s="1"/>
  <c r="O81" i="1" s="1"/>
  <c r="M80" i="1"/>
  <c r="K80" i="1"/>
  <c r="N80" i="1" s="1"/>
  <c r="O80" i="1" s="1"/>
  <c r="N79" i="1"/>
  <c r="O79" i="1" s="1"/>
  <c r="M79" i="1"/>
  <c r="K79" i="1"/>
  <c r="M78" i="1"/>
  <c r="N78" i="1" s="1"/>
  <c r="O78" i="1" s="1"/>
  <c r="K78" i="1"/>
  <c r="N77" i="1"/>
  <c r="O77" i="1" s="1"/>
  <c r="M77" i="1"/>
  <c r="K77" i="1"/>
  <c r="M76" i="1"/>
  <c r="K76" i="1"/>
  <c r="N76" i="1" s="1"/>
  <c r="O76" i="1" s="1"/>
  <c r="M75" i="1"/>
  <c r="K75" i="1"/>
  <c r="N75" i="1" s="1"/>
  <c r="O75" i="1" s="1"/>
  <c r="N74" i="1"/>
  <c r="O74" i="1" s="1"/>
  <c r="M74" i="1"/>
  <c r="K74" i="1"/>
  <c r="M73" i="1"/>
  <c r="N73" i="1" s="1"/>
  <c r="O73" i="1" s="1"/>
  <c r="K73" i="1"/>
  <c r="M72" i="1"/>
  <c r="K72" i="1"/>
  <c r="N72" i="1" s="1"/>
  <c r="O72" i="1" s="1"/>
  <c r="M71" i="1"/>
  <c r="K71" i="1"/>
  <c r="M70" i="1"/>
  <c r="K70" i="1"/>
  <c r="N70" i="1" s="1"/>
  <c r="O70" i="1" s="1"/>
  <c r="M69" i="1"/>
  <c r="N69" i="1" s="1"/>
  <c r="O69" i="1" s="1"/>
  <c r="K69" i="1"/>
  <c r="N68" i="1"/>
  <c r="O68" i="1" s="1"/>
  <c r="M68" i="1"/>
  <c r="K68" i="1"/>
  <c r="N67" i="1"/>
  <c r="O67" i="1" s="1"/>
  <c r="M67" i="1"/>
  <c r="K67" i="1"/>
  <c r="M66" i="1"/>
  <c r="K66" i="1"/>
  <c r="N66" i="1" s="1"/>
  <c r="O66" i="1" s="1"/>
  <c r="O65" i="1"/>
  <c r="M65" i="1"/>
  <c r="K65" i="1"/>
  <c r="N65" i="1" s="1"/>
  <c r="N64" i="1"/>
  <c r="O64" i="1" s="1"/>
  <c r="M64" i="1"/>
  <c r="K64" i="1"/>
  <c r="M63" i="1"/>
  <c r="N63" i="1" s="1"/>
  <c r="O63" i="1" s="1"/>
  <c r="K63" i="1"/>
  <c r="O62" i="1"/>
  <c r="M62" i="1"/>
  <c r="K62" i="1"/>
  <c r="N62" i="1" s="1"/>
  <c r="O61" i="1"/>
  <c r="M61" i="1"/>
  <c r="K61" i="1"/>
  <c r="N61" i="1" s="1"/>
  <c r="M60" i="1"/>
  <c r="K60" i="1"/>
  <c r="N60" i="1" s="1"/>
  <c r="O60" i="1" s="1"/>
  <c r="M59" i="1"/>
  <c r="N59" i="1" s="1"/>
  <c r="O59" i="1" s="1"/>
  <c r="K59" i="1"/>
  <c r="M58" i="1"/>
  <c r="N58" i="1" s="1"/>
  <c r="O58" i="1" s="1"/>
  <c r="K58" i="1"/>
  <c r="M57" i="1"/>
  <c r="N57" i="1" s="1"/>
  <c r="O57" i="1" s="1"/>
  <c r="K57" i="1"/>
  <c r="M56" i="1"/>
  <c r="K56" i="1"/>
  <c r="M55" i="1"/>
  <c r="K55" i="1"/>
  <c r="N55" i="1" s="1"/>
  <c r="O55" i="1" s="1"/>
  <c r="O54" i="1"/>
  <c r="N54" i="1"/>
  <c r="M54" i="1"/>
  <c r="K54" i="1"/>
  <c r="M53" i="1"/>
  <c r="N53" i="1" s="1"/>
  <c r="O53" i="1" s="1"/>
  <c r="K53" i="1"/>
  <c r="M52" i="1"/>
  <c r="K52" i="1"/>
  <c r="N52" i="1" s="1"/>
  <c r="O52" i="1" s="1"/>
  <c r="M51" i="1"/>
  <c r="K51" i="1"/>
  <c r="N51" i="1" s="1"/>
  <c r="O51" i="1" s="1"/>
  <c r="M50" i="1"/>
  <c r="K50" i="1"/>
  <c r="M49" i="1"/>
  <c r="N49" i="1" s="1"/>
  <c r="O49" i="1" s="1"/>
  <c r="K49" i="1"/>
  <c r="O48" i="1"/>
  <c r="M48" i="1"/>
  <c r="N48" i="1" s="1"/>
  <c r="K48" i="1"/>
  <c r="M47" i="1"/>
  <c r="K47" i="1"/>
  <c r="N47" i="1" s="1"/>
  <c r="O47" i="1" s="1"/>
  <c r="O46" i="1"/>
  <c r="M46" i="1"/>
  <c r="K46" i="1"/>
  <c r="N46" i="1" s="1"/>
  <c r="M45" i="1"/>
  <c r="K45" i="1"/>
  <c r="N45" i="1" s="1"/>
  <c r="O45" i="1" s="1"/>
  <c r="O44" i="1"/>
  <c r="M44" i="1"/>
  <c r="N44" i="1" s="1"/>
  <c r="K44" i="1"/>
  <c r="M43" i="1"/>
  <c r="N43" i="1" s="1"/>
  <c r="O43" i="1" s="1"/>
  <c r="K43" i="1"/>
  <c r="M42" i="1"/>
  <c r="N42" i="1" s="1"/>
  <c r="O42" i="1" s="1"/>
  <c r="K42" i="1"/>
  <c r="M41" i="1"/>
  <c r="K41" i="1"/>
  <c r="N41" i="1" s="1"/>
  <c r="O41" i="1" s="1"/>
  <c r="M40" i="1"/>
  <c r="K40" i="1"/>
  <c r="M39" i="1"/>
  <c r="N39" i="1" s="1"/>
  <c r="O39" i="1" s="1"/>
  <c r="K39" i="1"/>
  <c r="N38" i="1"/>
  <c r="O38" i="1" s="1"/>
  <c r="M38" i="1"/>
  <c r="K38" i="1"/>
  <c r="M37" i="1"/>
  <c r="K37" i="1"/>
  <c r="N37" i="1" s="1"/>
  <c r="O37" i="1" s="1"/>
  <c r="O36" i="1"/>
  <c r="M36" i="1"/>
  <c r="K36" i="1"/>
  <c r="N36" i="1" s="1"/>
  <c r="M35" i="1"/>
  <c r="K35" i="1"/>
  <c r="M34" i="1"/>
  <c r="N34" i="1" s="1"/>
  <c r="O34" i="1" s="1"/>
  <c r="K34" i="1"/>
  <c r="O33" i="1"/>
  <c r="M33" i="1"/>
  <c r="N33" i="1" s="1"/>
  <c r="K33" i="1"/>
  <c r="N32" i="1"/>
  <c r="O32" i="1" s="1"/>
  <c r="M32" i="1"/>
  <c r="K32" i="1"/>
  <c r="M31" i="1"/>
  <c r="K31" i="1"/>
  <c r="N31" i="1" s="1"/>
  <c r="O31" i="1" s="1"/>
  <c r="M30" i="1"/>
  <c r="K30" i="1"/>
  <c r="N30" i="1" s="1"/>
  <c r="O30" i="1" s="1"/>
  <c r="M29" i="1"/>
  <c r="N29" i="1" s="1"/>
  <c r="O29" i="1" s="1"/>
  <c r="K29" i="1"/>
  <c r="M28" i="1"/>
  <c r="N28" i="1" s="1"/>
  <c r="O28" i="1" s="1"/>
  <c r="K28" i="1"/>
  <c r="N27" i="1"/>
  <c r="O27" i="1" s="1"/>
  <c r="M27" i="1"/>
  <c r="K27" i="1"/>
  <c r="O26" i="1"/>
  <c r="M26" i="1"/>
  <c r="K26" i="1"/>
  <c r="N26" i="1" s="1"/>
  <c r="M25" i="1"/>
  <c r="K25" i="1"/>
  <c r="M24" i="1"/>
  <c r="N24" i="1" s="1"/>
  <c r="O24" i="1" s="1"/>
  <c r="K24" i="1"/>
  <c r="M23" i="1"/>
  <c r="N23" i="1" s="1"/>
  <c r="O23" i="1" s="1"/>
  <c r="K23" i="1"/>
  <c r="M22" i="1"/>
  <c r="K22" i="1"/>
  <c r="N22" i="1" s="1"/>
  <c r="O22" i="1" s="1"/>
  <c r="M21" i="1"/>
  <c r="K21" i="1"/>
  <c r="N21" i="1" s="1"/>
  <c r="O21" i="1" s="1"/>
  <c r="M20" i="1"/>
  <c r="K20" i="1"/>
  <c r="N20" i="1" s="1"/>
  <c r="O20" i="1" s="1"/>
  <c r="M19" i="1"/>
  <c r="N19" i="1" s="1"/>
  <c r="O19" i="1" s="1"/>
  <c r="K19" i="1"/>
  <c r="M18" i="1"/>
  <c r="N18" i="1" s="1"/>
  <c r="O18" i="1" s="1"/>
  <c r="K18" i="1"/>
  <c r="M17" i="1"/>
  <c r="N17" i="1" s="1"/>
  <c r="O17" i="1" s="1"/>
  <c r="K17" i="1"/>
  <c r="M16" i="1"/>
  <c r="K16" i="1"/>
  <c r="M15" i="1"/>
  <c r="K15" i="1"/>
  <c r="N14" i="1"/>
  <c r="O14" i="1" s="1"/>
  <c r="M14" i="1"/>
  <c r="K14" i="1"/>
  <c r="M13" i="1"/>
  <c r="N13" i="1" s="1"/>
  <c r="O13" i="1" s="1"/>
  <c r="K13" i="1"/>
  <c r="M12" i="1"/>
  <c r="K12" i="1"/>
  <c r="N12" i="1" s="1"/>
  <c r="O12" i="1" s="1"/>
  <c r="O11" i="1"/>
  <c r="M11" i="1"/>
  <c r="K11" i="1"/>
  <c r="N11" i="1" s="1"/>
  <c r="M10" i="1"/>
  <c r="K10" i="1"/>
  <c r="O9" i="1"/>
  <c r="M9" i="1"/>
  <c r="N9" i="1" s="1"/>
  <c r="K9" i="1"/>
  <c r="M8" i="1"/>
  <c r="K8" i="1"/>
  <c r="N311" i="4"/>
  <c r="N307" i="4"/>
  <c r="O307" i="4" s="1"/>
  <c r="J301" i="4"/>
  <c r="H301" i="4"/>
  <c r="O300" i="4"/>
  <c r="M300" i="4"/>
  <c r="K300" i="4"/>
  <c r="N300" i="4" s="1"/>
  <c r="M299" i="4"/>
  <c r="N299" i="4" s="1"/>
  <c r="O299" i="4" s="1"/>
  <c r="K299" i="4"/>
  <c r="M298" i="4"/>
  <c r="N298" i="4" s="1"/>
  <c r="O298" i="4" s="1"/>
  <c r="K298" i="4"/>
  <c r="M297" i="4"/>
  <c r="K297" i="4"/>
  <c r="M296" i="4"/>
  <c r="K296" i="4"/>
  <c r="O295" i="4"/>
  <c r="M295" i="4"/>
  <c r="K295" i="4"/>
  <c r="N295" i="4" s="1"/>
  <c r="M294" i="4"/>
  <c r="N294" i="4" s="1"/>
  <c r="O294" i="4" s="1"/>
  <c r="K294" i="4"/>
  <c r="O293" i="4"/>
  <c r="N293" i="4"/>
  <c r="M293" i="4"/>
  <c r="K293" i="4"/>
  <c r="N292" i="4"/>
  <c r="O292" i="4" s="1"/>
  <c r="M292" i="4"/>
  <c r="K292" i="4"/>
  <c r="M291" i="4"/>
  <c r="K291" i="4"/>
  <c r="M290" i="4"/>
  <c r="K290" i="4"/>
  <c r="N290" i="4" s="1"/>
  <c r="O290" i="4" s="1"/>
  <c r="N289" i="4"/>
  <c r="O289" i="4" s="1"/>
  <c r="M289" i="4"/>
  <c r="K289" i="4"/>
  <c r="N288" i="4"/>
  <c r="O288" i="4" s="1"/>
  <c r="M288" i="4"/>
  <c r="K288" i="4"/>
  <c r="M287" i="4"/>
  <c r="K287" i="4"/>
  <c r="N287" i="4" s="1"/>
  <c r="O287" i="4" s="1"/>
  <c r="M286" i="4"/>
  <c r="K286" i="4"/>
  <c r="N286" i="4" s="1"/>
  <c r="O286" i="4" s="1"/>
  <c r="M285" i="4"/>
  <c r="K285" i="4"/>
  <c r="N285" i="4" s="1"/>
  <c r="O285" i="4" s="1"/>
  <c r="N284" i="4"/>
  <c r="O284" i="4" s="1"/>
  <c r="M284" i="4"/>
  <c r="K284" i="4"/>
  <c r="M283" i="4"/>
  <c r="N283" i="4" s="1"/>
  <c r="O283" i="4" s="1"/>
  <c r="K283" i="4"/>
  <c r="M282" i="4"/>
  <c r="K282" i="4"/>
  <c r="N282" i="4" s="1"/>
  <c r="O282" i="4" s="1"/>
  <c r="M281" i="4"/>
  <c r="K281" i="4"/>
  <c r="M280" i="4"/>
  <c r="K280" i="4"/>
  <c r="N280" i="4" s="1"/>
  <c r="O280" i="4" s="1"/>
  <c r="N279" i="4"/>
  <c r="O279" i="4" s="1"/>
  <c r="M279" i="4"/>
  <c r="K279" i="4"/>
  <c r="N278" i="4"/>
  <c r="O278" i="4" s="1"/>
  <c r="M278" i="4"/>
  <c r="K278" i="4"/>
  <c r="M277" i="4"/>
  <c r="K277" i="4"/>
  <c r="N277" i="4" s="1"/>
  <c r="O277" i="4" s="1"/>
  <c r="M276" i="4"/>
  <c r="K276" i="4"/>
  <c r="N276" i="4" s="1"/>
  <c r="O276" i="4" s="1"/>
  <c r="O275" i="4"/>
  <c r="M275" i="4"/>
  <c r="K275" i="4"/>
  <c r="N275" i="4" s="1"/>
  <c r="M274" i="4"/>
  <c r="N274" i="4" s="1"/>
  <c r="O274" i="4" s="1"/>
  <c r="K274" i="4"/>
  <c r="M273" i="4"/>
  <c r="N273" i="4" s="1"/>
  <c r="O273" i="4" s="1"/>
  <c r="K273" i="4"/>
  <c r="N272" i="4"/>
  <c r="O272" i="4" s="1"/>
  <c r="M272" i="4"/>
  <c r="K272" i="4"/>
  <c r="M271" i="4"/>
  <c r="K271" i="4"/>
  <c r="N271" i="4" s="1"/>
  <c r="O271" i="4" s="1"/>
  <c r="O270" i="4"/>
  <c r="N270" i="4"/>
  <c r="M270" i="4"/>
  <c r="K270" i="4"/>
  <c r="O269" i="4"/>
  <c r="N269" i="4"/>
  <c r="M269" i="4"/>
  <c r="K269" i="4"/>
  <c r="M268" i="4"/>
  <c r="K268" i="4"/>
  <c r="N268" i="4" s="1"/>
  <c r="O268" i="4" s="1"/>
  <c r="M267" i="4"/>
  <c r="K267" i="4"/>
  <c r="N267" i="4" s="1"/>
  <c r="O267" i="4" s="1"/>
  <c r="M266" i="4"/>
  <c r="K266" i="4"/>
  <c r="M265" i="4"/>
  <c r="N265" i="4" s="1"/>
  <c r="O265" i="4" s="1"/>
  <c r="K265" i="4"/>
  <c r="N264" i="4"/>
  <c r="O264" i="4" s="1"/>
  <c r="M264" i="4"/>
  <c r="K264" i="4"/>
  <c r="M263" i="4"/>
  <c r="K263" i="4"/>
  <c r="M262" i="4"/>
  <c r="K262" i="4"/>
  <c r="N262" i="4" s="1"/>
  <c r="O262" i="4" s="1"/>
  <c r="M261" i="4"/>
  <c r="K261" i="4"/>
  <c r="M260" i="4"/>
  <c r="K260" i="4"/>
  <c r="N260" i="4" s="1"/>
  <c r="O260" i="4" s="1"/>
  <c r="M259" i="4"/>
  <c r="N259" i="4" s="1"/>
  <c r="O259" i="4" s="1"/>
  <c r="K259" i="4"/>
  <c r="M258" i="4"/>
  <c r="K258" i="4"/>
  <c r="N258" i="4" s="1"/>
  <c r="O258" i="4" s="1"/>
  <c r="N257" i="4"/>
  <c r="O257" i="4" s="1"/>
  <c r="M257" i="4"/>
  <c r="K257" i="4"/>
  <c r="M256" i="4"/>
  <c r="K256" i="4"/>
  <c r="N256" i="4" s="1"/>
  <c r="O256" i="4" s="1"/>
  <c r="M255" i="4"/>
  <c r="K255" i="4"/>
  <c r="N255" i="4" s="1"/>
  <c r="O255" i="4" s="1"/>
  <c r="M254" i="4"/>
  <c r="N254" i="4" s="1"/>
  <c r="O254" i="4" s="1"/>
  <c r="K254" i="4"/>
  <c r="O253" i="4"/>
  <c r="N253" i="4"/>
  <c r="M253" i="4"/>
  <c r="K253" i="4"/>
  <c r="M252" i="4"/>
  <c r="N252" i="4" s="1"/>
  <c r="O252" i="4" s="1"/>
  <c r="K252" i="4"/>
  <c r="M251" i="4"/>
  <c r="K251" i="4"/>
  <c r="N251" i="4" s="1"/>
  <c r="O251" i="4" s="1"/>
  <c r="M250" i="4"/>
  <c r="K250" i="4"/>
  <c r="N250" i="4" s="1"/>
  <c r="O250" i="4" s="1"/>
  <c r="N249" i="4"/>
  <c r="O249" i="4" s="1"/>
  <c r="M249" i="4"/>
  <c r="K249" i="4"/>
  <c r="M248" i="4"/>
  <c r="N248" i="4" s="1"/>
  <c r="O248" i="4" s="1"/>
  <c r="K248" i="4"/>
  <c r="M247" i="4"/>
  <c r="K247" i="4"/>
  <c r="N247" i="4" s="1"/>
  <c r="O247" i="4" s="1"/>
  <c r="M246" i="4"/>
  <c r="K246" i="4"/>
  <c r="N246" i="4" s="1"/>
  <c r="O246" i="4" s="1"/>
  <c r="M245" i="4"/>
  <c r="N245" i="4" s="1"/>
  <c r="O245" i="4" s="1"/>
  <c r="K245" i="4"/>
  <c r="M244" i="4"/>
  <c r="N244" i="4" s="1"/>
  <c r="O244" i="4" s="1"/>
  <c r="K244" i="4"/>
  <c r="M243" i="4"/>
  <c r="N243" i="4" s="1"/>
  <c r="O243" i="4" s="1"/>
  <c r="K243" i="4"/>
  <c r="M242" i="4"/>
  <c r="K242" i="4"/>
  <c r="N242" i="4" s="1"/>
  <c r="O242" i="4" s="1"/>
  <c r="O241" i="4"/>
  <c r="M241" i="4"/>
  <c r="K241" i="4"/>
  <c r="N241" i="4" s="1"/>
  <c r="M240" i="4"/>
  <c r="N240" i="4" s="1"/>
  <c r="O240" i="4" s="1"/>
  <c r="K240" i="4"/>
  <c r="M239" i="4"/>
  <c r="N239" i="4" s="1"/>
  <c r="O239" i="4" s="1"/>
  <c r="K239" i="4"/>
  <c r="M238" i="4"/>
  <c r="K238" i="4"/>
  <c r="M237" i="4"/>
  <c r="K237" i="4"/>
  <c r="N237" i="4" s="1"/>
  <c r="O237" i="4" s="1"/>
  <c r="M236" i="4"/>
  <c r="K236" i="4"/>
  <c r="N235" i="4"/>
  <c r="O235" i="4" s="1"/>
  <c r="M235" i="4"/>
  <c r="K235" i="4"/>
  <c r="M234" i="4"/>
  <c r="N234" i="4" s="1"/>
  <c r="O234" i="4" s="1"/>
  <c r="K234" i="4"/>
  <c r="O233" i="4"/>
  <c r="M233" i="4"/>
  <c r="K233" i="4"/>
  <c r="N233" i="4" s="1"/>
  <c r="N232" i="4"/>
  <c r="O232" i="4" s="1"/>
  <c r="M232" i="4"/>
  <c r="K232" i="4"/>
  <c r="M231" i="4"/>
  <c r="K231" i="4"/>
  <c r="N231" i="4" s="1"/>
  <c r="O231" i="4" s="1"/>
  <c r="M230" i="4"/>
  <c r="K230" i="4"/>
  <c r="N229" i="4"/>
  <c r="O229" i="4" s="1"/>
  <c r="M229" i="4"/>
  <c r="K229" i="4"/>
  <c r="N228" i="4"/>
  <c r="O228" i="4" s="1"/>
  <c r="M228" i="4"/>
  <c r="K228" i="4"/>
  <c r="M227" i="4"/>
  <c r="K227" i="4"/>
  <c r="N227" i="4" s="1"/>
  <c r="O227" i="4" s="1"/>
  <c r="M226" i="4"/>
  <c r="K226" i="4"/>
  <c r="M225" i="4"/>
  <c r="K225" i="4"/>
  <c r="N225" i="4" s="1"/>
  <c r="O225" i="4" s="1"/>
  <c r="N224" i="4"/>
  <c r="O224" i="4" s="1"/>
  <c r="M224" i="4"/>
  <c r="K224" i="4"/>
  <c r="N223" i="4"/>
  <c r="O223" i="4" s="1"/>
  <c r="M223" i="4"/>
  <c r="K223" i="4"/>
  <c r="M222" i="4"/>
  <c r="K222" i="4"/>
  <c r="N222" i="4" s="1"/>
  <c r="O222" i="4" s="1"/>
  <c r="O221" i="4"/>
  <c r="M221" i="4"/>
  <c r="K221" i="4"/>
  <c r="N221" i="4" s="1"/>
  <c r="N220" i="4"/>
  <c r="O220" i="4" s="1"/>
  <c r="M220" i="4"/>
  <c r="K220" i="4"/>
  <c r="M219" i="4"/>
  <c r="N219" i="4" s="1"/>
  <c r="O219" i="4" s="1"/>
  <c r="K219" i="4"/>
  <c r="M218" i="4"/>
  <c r="K218" i="4"/>
  <c r="N218" i="4" s="1"/>
  <c r="O218" i="4" s="1"/>
  <c r="M217" i="4"/>
  <c r="K217" i="4"/>
  <c r="M216" i="4"/>
  <c r="K216" i="4"/>
  <c r="N215" i="4"/>
  <c r="O215" i="4" s="1"/>
  <c r="M215" i="4"/>
  <c r="K215" i="4"/>
  <c r="M214" i="4"/>
  <c r="N214" i="4" s="1"/>
  <c r="O214" i="4" s="1"/>
  <c r="K214" i="4"/>
  <c r="M213" i="4"/>
  <c r="K213" i="4"/>
  <c r="N213" i="4" s="1"/>
  <c r="O213" i="4" s="1"/>
  <c r="O212" i="4"/>
  <c r="M212" i="4"/>
  <c r="K212" i="4"/>
  <c r="N212" i="4" s="1"/>
  <c r="M211" i="4"/>
  <c r="K211" i="4"/>
  <c r="N211" i="4" s="1"/>
  <c r="O211" i="4" s="1"/>
  <c r="M210" i="4"/>
  <c r="K210" i="4"/>
  <c r="N210" i="4" s="1"/>
  <c r="O210" i="4" s="1"/>
  <c r="M209" i="4"/>
  <c r="N209" i="4" s="1"/>
  <c r="O209" i="4" s="1"/>
  <c r="K209" i="4"/>
  <c r="M208" i="4"/>
  <c r="K208" i="4"/>
  <c r="N208" i="4" s="1"/>
  <c r="O208" i="4" s="1"/>
  <c r="O207" i="4"/>
  <c r="N207" i="4"/>
  <c r="M207" i="4"/>
  <c r="K207" i="4"/>
  <c r="M206" i="4"/>
  <c r="K206" i="4"/>
  <c r="N206" i="4" s="1"/>
  <c r="O206" i="4" s="1"/>
  <c r="M205" i="4"/>
  <c r="K205" i="4"/>
  <c r="N205" i="4" s="1"/>
  <c r="O205" i="4" s="1"/>
  <c r="O204" i="4"/>
  <c r="M204" i="4"/>
  <c r="N204" i="4" s="1"/>
  <c r="K204" i="4"/>
  <c r="M203" i="4"/>
  <c r="N203" i="4" s="1"/>
  <c r="O203" i="4" s="1"/>
  <c r="K203" i="4"/>
  <c r="M202" i="4"/>
  <c r="N202" i="4" s="1"/>
  <c r="O202" i="4" s="1"/>
  <c r="K202" i="4"/>
  <c r="M201" i="4"/>
  <c r="K201" i="4"/>
  <c r="M200" i="4"/>
  <c r="K200" i="4"/>
  <c r="N200" i="4" s="1"/>
  <c r="O200" i="4" s="1"/>
  <c r="N199" i="4"/>
  <c r="O199" i="4" s="1"/>
  <c r="M199" i="4"/>
  <c r="K199" i="4"/>
  <c r="M198" i="4"/>
  <c r="K198" i="4"/>
  <c r="N198" i="4" s="1"/>
  <c r="O198" i="4" s="1"/>
  <c r="M197" i="4"/>
  <c r="N197" i="4" s="1"/>
  <c r="O197" i="4" s="1"/>
  <c r="K197" i="4"/>
  <c r="M196" i="4"/>
  <c r="K196" i="4"/>
  <c r="N196" i="4" s="1"/>
  <c r="O196" i="4" s="1"/>
  <c r="O195" i="4"/>
  <c r="N195" i="4"/>
  <c r="M195" i="4"/>
  <c r="K195" i="4"/>
  <c r="M194" i="4"/>
  <c r="N194" i="4" s="1"/>
  <c r="O194" i="4" s="1"/>
  <c r="K194" i="4"/>
  <c r="M193" i="4"/>
  <c r="K193" i="4"/>
  <c r="N193" i="4" s="1"/>
  <c r="O193" i="4" s="1"/>
  <c r="M192" i="4"/>
  <c r="K192" i="4"/>
  <c r="N192" i="4" s="1"/>
  <c r="O192" i="4" s="1"/>
  <c r="O191" i="4"/>
  <c r="M191" i="4"/>
  <c r="K191" i="4"/>
  <c r="N191" i="4" s="1"/>
  <c r="M190" i="4"/>
  <c r="K190" i="4"/>
  <c r="N190" i="4" s="1"/>
  <c r="O190" i="4" s="1"/>
  <c r="N189" i="4"/>
  <c r="O189" i="4" s="1"/>
  <c r="M189" i="4"/>
  <c r="K189" i="4"/>
  <c r="M188" i="4"/>
  <c r="K188" i="4"/>
  <c r="N188" i="4" s="1"/>
  <c r="O188" i="4" s="1"/>
  <c r="M187" i="4"/>
  <c r="K187" i="4"/>
  <c r="N187" i="4" s="1"/>
  <c r="O187" i="4" s="1"/>
  <c r="M186" i="4"/>
  <c r="K186" i="4"/>
  <c r="M185" i="4"/>
  <c r="K185" i="4"/>
  <c r="N185" i="4" s="1"/>
  <c r="O185" i="4" s="1"/>
  <c r="O184" i="4"/>
  <c r="M184" i="4"/>
  <c r="N184" i="4" s="1"/>
  <c r="K184" i="4"/>
  <c r="O183" i="4"/>
  <c r="M183" i="4"/>
  <c r="K183" i="4"/>
  <c r="N183" i="4" s="1"/>
  <c r="M182" i="4"/>
  <c r="N182" i="4" s="1"/>
  <c r="O182" i="4" s="1"/>
  <c r="K182" i="4"/>
  <c r="O181" i="4"/>
  <c r="M181" i="4"/>
  <c r="K181" i="4"/>
  <c r="N181" i="4" s="1"/>
  <c r="M180" i="4"/>
  <c r="K180" i="4"/>
  <c r="N180" i="4" s="1"/>
  <c r="O180" i="4" s="1"/>
  <c r="O179" i="4"/>
  <c r="N179" i="4"/>
  <c r="M179" i="4"/>
  <c r="K179" i="4"/>
  <c r="N178" i="4"/>
  <c r="O178" i="4" s="1"/>
  <c r="M178" i="4"/>
  <c r="K178" i="4"/>
  <c r="N177" i="4"/>
  <c r="O177" i="4" s="1"/>
  <c r="M177" i="4"/>
  <c r="K177" i="4"/>
  <c r="M176" i="4"/>
  <c r="K176" i="4"/>
  <c r="N176" i="4" s="1"/>
  <c r="O176" i="4" s="1"/>
  <c r="O175" i="4"/>
  <c r="M175" i="4"/>
  <c r="K175" i="4"/>
  <c r="N175" i="4" s="1"/>
  <c r="M174" i="4"/>
  <c r="N174" i="4" s="1"/>
  <c r="O174" i="4" s="1"/>
  <c r="K174" i="4"/>
  <c r="M173" i="4"/>
  <c r="N173" i="4" s="1"/>
  <c r="O173" i="4" s="1"/>
  <c r="K173" i="4"/>
  <c r="N172" i="4"/>
  <c r="O172" i="4" s="1"/>
  <c r="M172" i="4"/>
  <c r="K172" i="4"/>
  <c r="O171" i="4"/>
  <c r="M171" i="4"/>
  <c r="K171" i="4"/>
  <c r="N171" i="4" s="1"/>
  <c r="N170" i="4"/>
  <c r="O170" i="4" s="1"/>
  <c r="M170" i="4"/>
  <c r="K170" i="4"/>
  <c r="M169" i="4"/>
  <c r="K169" i="4"/>
  <c r="N169" i="4" s="1"/>
  <c r="O169" i="4" s="1"/>
  <c r="N168" i="4"/>
  <c r="O168" i="4" s="1"/>
  <c r="M168" i="4"/>
  <c r="K168" i="4"/>
  <c r="M167" i="4"/>
  <c r="K167" i="4"/>
  <c r="N167" i="4" s="1"/>
  <c r="O167" i="4" s="1"/>
  <c r="N166" i="4"/>
  <c r="O166" i="4" s="1"/>
  <c r="M166" i="4"/>
  <c r="K166" i="4"/>
  <c r="N165" i="4"/>
  <c r="O165" i="4" s="1"/>
  <c r="M165" i="4"/>
  <c r="K165" i="4"/>
  <c r="M164" i="4"/>
  <c r="K164" i="4"/>
  <c r="N164" i="4" s="1"/>
  <c r="O164" i="4" s="1"/>
  <c r="M163" i="4"/>
  <c r="K163" i="4"/>
  <c r="N163" i="4" s="1"/>
  <c r="O163" i="4" s="1"/>
  <c r="M162" i="4"/>
  <c r="K162" i="4"/>
  <c r="M161" i="4"/>
  <c r="K161" i="4"/>
  <c r="N161" i="4" s="1"/>
  <c r="O161" i="4" s="1"/>
  <c r="O160" i="4"/>
  <c r="N160" i="4"/>
  <c r="M160" i="4"/>
  <c r="K160" i="4"/>
  <c r="M159" i="4"/>
  <c r="K159" i="4"/>
  <c r="N159" i="4" s="1"/>
  <c r="O159" i="4" s="1"/>
  <c r="M158" i="4"/>
  <c r="K158" i="4"/>
  <c r="N158" i="4" s="1"/>
  <c r="O158" i="4" s="1"/>
  <c r="M157" i="4"/>
  <c r="K157" i="4"/>
  <c r="N157" i="4" s="1"/>
  <c r="O157" i="4" s="1"/>
  <c r="N156" i="4"/>
  <c r="O156" i="4" s="1"/>
  <c r="M156" i="4"/>
  <c r="K156" i="4"/>
  <c r="N155" i="4"/>
  <c r="O155" i="4" s="1"/>
  <c r="M155" i="4"/>
  <c r="K155" i="4"/>
  <c r="M154" i="4"/>
  <c r="K154" i="4"/>
  <c r="N154" i="4" s="1"/>
  <c r="O154" i="4" s="1"/>
  <c r="M153" i="4"/>
  <c r="K153" i="4"/>
  <c r="N153" i="4" s="1"/>
  <c r="O153" i="4" s="1"/>
  <c r="M152" i="4"/>
  <c r="K152" i="4"/>
  <c r="N152" i="4" s="1"/>
  <c r="O152" i="4" s="1"/>
  <c r="M151" i="4"/>
  <c r="K151" i="4"/>
  <c r="N151" i="4" s="1"/>
  <c r="O151" i="4" s="1"/>
  <c r="O150" i="4"/>
  <c r="N150" i="4"/>
  <c r="M150" i="4"/>
  <c r="K150" i="4"/>
  <c r="M149" i="4"/>
  <c r="N149" i="4" s="1"/>
  <c r="O149" i="4" s="1"/>
  <c r="K149" i="4"/>
  <c r="M148" i="4"/>
  <c r="K148" i="4"/>
  <c r="N148" i="4" s="1"/>
  <c r="O148" i="4" s="1"/>
  <c r="M147" i="4"/>
  <c r="K147" i="4"/>
  <c r="M146" i="4"/>
  <c r="K146" i="4"/>
  <c r="N146" i="4" s="1"/>
  <c r="O146" i="4" s="1"/>
  <c r="N145" i="4"/>
  <c r="O145" i="4" s="1"/>
  <c r="M145" i="4"/>
  <c r="K145" i="4"/>
  <c r="M144" i="4"/>
  <c r="K144" i="4"/>
  <c r="N144" i="4" s="1"/>
  <c r="O144" i="4" s="1"/>
  <c r="M143" i="4"/>
  <c r="N143" i="4" s="1"/>
  <c r="O143" i="4" s="1"/>
  <c r="K143" i="4"/>
  <c r="M142" i="4"/>
  <c r="K142" i="4"/>
  <c r="N142" i="4" s="1"/>
  <c r="O142" i="4" s="1"/>
  <c r="M141" i="4"/>
  <c r="K141" i="4"/>
  <c r="N141" i="4" s="1"/>
  <c r="O141" i="4" s="1"/>
  <c r="N140" i="4"/>
  <c r="O140" i="4" s="1"/>
  <c r="M140" i="4"/>
  <c r="K140" i="4"/>
  <c r="M139" i="4"/>
  <c r="N139" i="4" s="1"/>
  <c r="O139" i="4" s="1"/>
  <c r="K139" i="4"/>
  <c r="M138" i="4"/>
  <c r="K138" i="4"/>
  <c r="N138" i="4" s="1"/>
  <c r="O138" i="4" s="1"/>
  <c r="M137" i="4"/>
  <c r="K137" i="4"/>
  <c r="N137" i="4" s="1"/>
  <c r="O137" i="4" s="1"/>
  <c r="M136" i="4"/>
  <c r="K136" i="4"/>
  <c r="N136" i="4" s="1"/>
  <c r="O136" i="4" s="1"/>
  <c r="O135" i="4"/>
  <c r="N135" i="4"/>
  <c r="M135" i="4"/>
  <c r="K135" i="4"/>
  <c r="N134" i="4"/>
  <c r="O134" i="4" s="1"/>
  <c r="M134" i="4"/>
  <c r="K134" i="4"/>
  <c r="M133" i="4"/>
  <c r="N133" i="4" s="1"/>
  <c r="O133" i="4" s="1"/>
  <c r="K133" i="4"/>
  <c r="M132" i="4"/>
  <c r="K132" i="4"/>
  <c r="N132" i="4" s="1"/>
  <c r="O132" i="4" s="1"/>
  <c r="N131" i="4"/>
  <c r="O131" i="4" s="1"/>
  <c r="M131" i="4"/>
  <c r="K131" i="4"/>
  <c r="N130" i="4"/>
  <c r="O130" i="4" s="1"/>
  <c r="M130" i="4"/>
  <c r="K130" i="4"/>
  <c r="M129" i="4"/>
  <c r="K129" i="4"/>
  <c r="N129" i="4" s="1"/>
  <c r="O129" i="4" s="1"/>
  <c r="N128" i="4"/>
  <c r="O128" i="4" s="1"/>
  <c r="M128" i="4"/>
  <c r="K128" i="4"/>
  <c r="M127" i="4"/>
  <c r="K127" i="4"/>
  <c r="N127" i="4" s="1"/>
  <c r="O127" i="4" s="1"/>
  <c r="M126" i="4"/>
  <c r="K126" i="4"/>
  <c r="N126" i="4" s="1"/>
  <c r="O126" i="4" s="1"/>
  <c r="N125" i="4"/>
  <c r="O125" i="4" s="1"/>
  <c r="M125" i="4"/>
  <c r="K125" i="4"/>
  <c r="N124" i="4"/>
  <c r="O124" i="4" s="1"/>
  <c r="M124" i="4"/>
  <c r="K124" i="4"/>
  <c r="M123" i="4"/>
  <c r="K123" i="4"/>
  <c r="N123" i="4" s="1"/>
  <c r="O123" i="4" s="1"/>
  <c r="M122" i="4"/>
  <c r="K122" i="4"/>
  <c r="N121" i="4"/>
  <c r="O121" i="4" s="1"/>
  <c r="M121" i="4"/>
  <c r="K121" i="4"/>
  <c r="N120" i="4"/>
  <c r="O120" i="4" s="1"/>
  <c r="M120" i="4"/>
  <c r="K120" i="4"/>
  <c r="M119" i="4"/>
  <c r="K119" i="4"/>
  <c r="N119" i="4" s="1"/>
  <c r="O119" i="4" s="1"/>
  <c r="N118" i="4"/>
  <c r="O118" i="4" s="1"/>
  <c r="M118" i="4"/>
  <c r="K118" i="4"/>
  <c r="M117" i="4"/>
  <c r="K117" i="4"/>
  <c r="N117" i="4" s="1"/>
  <c r="O117" i="4" s="1"/>
  <c r="N116" i="4"/>
  <c r="O116" i="4" s="1"/>
  <c r="M116" i="4"/>
  <c r="K116" i="4"/>
  <c r="N115" i="4"/>
  <c r="O115" i="4" s="1"/>
  <c r="M115" i="4"/>
  <c r="K115" i="4"/>
  <c r="M114" i="4"/>
  <c r="K114" i="4"/>
  <c r="N114" i="4" s="1"/>
  <c r="O114" i="4" s="1"/>
  <c r="M113" i="4"/>
  <c r="K113" i="4"/>
  <c r="N113" i="4" s="1"/>
  <c r="O113" i="4" s="1"/>
  <c r="M112" i="4"/>
  <c r="K112" i="4"/>
  <c r="M111" i="4"/>
  <c r="K111" i="4"/>
  <c r="N111" i="4" s="1"/>
  <c r="O111" i="4" s="1"/>
  <c r="O110" i="4"/>
  <c r="N110" i="4"/>
  <c r="M110" i="4"/>
  <c r="K110" i="4"/>
  <c r="M109" i="4"/>
  <c r="K109" i="4"/>
  <c r="N109" i="4" s="1"/>
  <c r="O109" i="4" s="1"/>
  <c r="M108" i="4"/>
  <c r="K108" i="4"/>
  <c r="N108" i="4" s="1"/>
  <c r="O108" i="4" s="1"/>
  <c r="M107" i="4"/>
  <c r="K107" i="4"/>
  <c r="N107" i="4" s="1"/>
  <c r="O107" i="4" s="1"/>
  <c r="N106" i="4"/>
  <c r="O106" i="4" s="1"/>
  <c r="M106" i="4"/>
  <c r="K106" i="4"/>
  <c r="N105" i="4"/>
  <c r="O105" i="4" s="1"/>
  <c r="M105" i="4"/>
  <c r="K105" i="4"/>
  <c r="M104" i="4"/>
  <c r="K104" i="4"/>
  <c r="N104" i="4" s="1"/>
  <c r="O104" i="4" s="1"/>
  <c r="M103" i="4"/>
  <c r="K103" i="4"/>
  <c r="N103" i="4" s="1"/>
  <c r="O103" i="4" s="1"/>
  <c r="M102" i="4"/>
  <c r="K102" i="4"/>
  <c r="N102" i="4" s="1"/>
  <c r="O102" i="4" s="1"/>
  <c r="M101" i="4"/>
  <c r="K101" i="4"/>
  <c r="N101" i="4" s="1"/>
  <c r="O101" i="4" s="1"/>
  <c r="O100" i="4"/>
  <c r="N100" i="4"/>
  <c r="M100" i="4"/>
  <c r="K100" i="4"/>
  <c r="M99" i="4"/>
  <c r="N99" i="4" s="1"/>
  <c r="O99" i="4" s="1"/>
  <c r="K99" i="4"/>
  <c r="M98" i="4"/>
  <c r="K98" i="4"/>
  <c r="N98" i="4" s="1"/>
  <c r="O98" i="4" s="1"/>
  <c r="M97" i="4"/>
  <c r="K97" i="4"/>
  <c r="M96" i="4"/>
  <c r="K96" i="4"/>
  <c r="N96" i="4" s="1"/>
  <c r="O96" i="4" s="1"/>
  <c r="N95" i="4"/>
  <c r="O95" i="4" s="1"/>
  <c r="M95" i="4"/>
  <c r="K95" i="4"/>
  <c r="M94" i="4"/>
  <c r="K94" i="4"/>
  <c r="N94" i="4" s="1"/>
  <c r="O94" i="4" s="1"/>
  <c r="M93" i="4"/>
  <c r="N93" i="4" s="1"/>
  <c r="O93" i="4" s="1"/>
  <c r="K93" i="4"/>
  <c r="M92" i="4"/>
  <c r="K92" i="4"/>
  <c r="N92" i="4" s="1"/>
  <c r="O92" i="4" s="1"/>
  <c r="M91" i="4"/>
  <c r="K91" i="4"/>
  <c r="N91" i="4" s="1"/>
  <c r="O91" i="4" s="1"/>
  <c r="N90" i="4"/>
  <c r="O90" i="4" s="1"/>
  <c r="M90" i="4"/>
  <c r="K90" i="4"/>
  <c r="M89" i="4"/>
  <c r="N89" i="4" s="1"/>
  <c r="O89" i="4" s="1"/>
  <c r="K89" i="4"/>
  <c r="M88" i="4"/>
  <c r="K88" i="4"/>
  <c r="N88" i="4" s="1"/>
  <c r="O88" i="4" s="1"/>
  <c r="M87" i="4"/>
  <c r="K87" i="4"/>
  <c r="N87" i="4" s="1"/>
  <c r="O87" i="4" s="1"/>
  <c r="M86" i="4"/>
  <c r="K86" i="4"/>
  <c r="N86" i="4" s="1"/>
  <c r="O86" i="4" s="1"/>
  <c r="O85" i="4"/>
  <c r="N85" i="4"/>
  <c r="M85" i="4"/>
  <c r="K85" i="4"/>
  <c r="N84" i="4"/>
  <c r="O84" i="4" s="1"/>
  <c r="M84" i="4"/>
  <c r="K84" i="4"/>
  <c r="M83" i="4"/>
  <c r="N83" i="4" s="1"/>
  <c r="O83" i="4" s="1"/>
  <c r="K83" i="4"/>
  <c r="M82" i="4"/>
  <c r="K82" i="4"/>
  <c r="N82" i="4" s="1"/>
  <c r="O82" i="4" s="1"/>
  <c r="N81" i="4"/>
  <c r="O81" i="4" s="1"/>
  <c r="M81" i="4"/>
  <c r="K81" i="4"/>
  <c r="N80" i="4"/>
  <c r="O80" i="4" s="1"/>
  <c r="M80" i="4"/>
  <c r="K80" i="4"/>
  <c r="M79" i="4"/>
  <c r="K79" i="4"/>
  <c r="N79" i="4" s="1"/>
  <c r="O79" i="4" s="1"/>
  <c r="N78" i="4"/>
  <c r="O78" i="4" s="1"/>
  <c r="M78" i="4"/>
  <c r="K78" i="4"/>
  <c r="M77" i="4"/>
  <c r="K77" i="4"/>
  <c r="N77" i="4" s="1"/>
  <c r="O77" i="4" s="1"/>
  <c r="M76" i="4"/>
  <c r="K76" i="4"/>
  <c r="N76" i="4" s="1"/>
  <c r="O76" i="4" s="1"/>
  <c r="N75" i="4"/>
  <c r="O75" i="4" s="1"/>
  <c r="M75" i="4"/>
  <c r="K75" i="4"/>
  <c r="N74" i="4"/>
  <c r="O74" i="4" s="1"/>
  <c r="M74" i="4"/>
  <c r="K74" i="4"/>
  <c r="M73" i="4"/>
  <c r="K73" i="4"/>
  <c r="N73" i="4" s="1"/>
  <c r="O73" i="4" s="1"/>
  <c r="M72" i="4"/>
  <c r="K72" i="4"/>
  <c r="N71" i="4"/>
  <c r="O71" i="4" s="1"/>
  <c r="M71" i="4"/>
  <c r="K71" i="4"/>
  <c r="N70" i="4"/>
  <c r="O70" i="4" s="1"/>
  <c r="M70" i="4"/>
  <c r="K70" i="4"/>
  <c r="M69" i="4"/>
  <c r="K69" i="4"/>
  <c r="N69" i="4" s="1"/>
  <c r="O69" i="4" s="1"/>
  <c r="N68" i="4"/>
  <c r="O68" i="4" s="1"/>
  <c r="M68" i="4"/>
  <c r="K68" i="4"/>
  <c r="M67" i="4"/>
  <c r="K67" i="4"/>
  <c r="N67" i="4" s="1"/>
  <c r="O67" i="4" s="1"/>
  <c r="N66" i="4"/>
  <c r="O66" i="4" s="1"/>
  <c r="M66" i="4"/>
  <c r="K66" i="4"/>
  <c r="N65" i="4"/>
  <c r="O65" i="4" s="1"/>
  <c r="M65" i="4"/>
  <c r="K65" i="4"/>
  <c r="M64" i="4"/>
  <c r="K64" i="4"/>
  <c r="N64" i="4" s="1"/>
  <c r="O64" i="4" s="1"/>
  <c r="M63" i="4"/>
  <c r="K63" i="4"/>
  <c r="N63" i="4" s="1"/>
  <c r="O63" i="4" s="1"/>
  <c r="M62" i="4"/>
  <c r="K62" i="4"/>
  <c r="M61" i="4"/>
  <c r="K61" i="4"/>
  <c r="N61" i="4" s="1"/>
  <c r="O61" i="4" s="1"/>
  <c r="O60" i="4"/>
  <c r="N60" i="4"/>
  <c r="M60" i="4"/>
  <c r="K60" i="4"/>
  <c r="M59" i="4"/>
  <c r="K59" i="4"/>
  <c r="N59" i="4" s="1"/>
  <c r="O59" i="4" s="1"/>
  <c r="M58" i="4"/>
  <c r="K58" i="4"/>
  <c r="N58" i="4" s="1"/>
  <c r="O58" i="4" s="1"/>
  <c r="M57" i="4"/>
  <c r="K57" i="4"/>
  <c r="N57" i="4" s="1"/>
  <c r="O57" i="4" s="1"/>
  <c r="N56" i="4"/>
  <c r="O56" i="4" s="1"/>
  <c r="M56" i="4"/>
  <c r="K56" i="4"/>
  <c r="N55" i="4"/>
  <c r="O55" i="4" s="1"/>
  <c r="M55" i="4"/>
  <c r="K55" i="4"/>
  <c r="M54" i="4"/>
  <c r="K54" i="4"/>
  <c r="N54" i="4" s="1"/>
  <c r="O54" i="4" s="1"/>
  <c r="M53" i="4"/>
  <c r="K53" i="4"/>
  <c r="N53" i="4" s="1"/>
  <c r="O53" i="4" s="1"/>
  <c r="M52" i="4"/>
  <c r="K52" i="4"/>
  <c r="N52" i="4" s="1"/>
  <c r="O52" i="4" s="1"/>
  <c r="M51" i="4"/>
  <c r="K51" i="4"/>
  <c r="N51" i="4" s="1"/>
  <c r="O51" i="4" s="1"/>
  <c r="O50" i="4"/>
  <c r="N50" i="4"/>
  <c r="M50" i="4"/>
  <c r="K50" i="4"/>
  <c r="M49" i="4"/>
  <c r="N49" i="4" s="1"/>
  <c r="O49" i="4" s="1"/>
  <c r="K49" i="4"/>
  <c r="M48" i="4"/>
  <c r="K48" i="4"/>
  <c r="N48" i="4" s="1"/>
  <c r="O48" i="4" s="1"/>
  <c r="M47" i="4"/>
  <c r="K47" i="4"/>
  <c r="M46" i="4"/>
  <c r="K46" i="4"/>
  <c r="N46" i="4" s="1"/>
  <c r="O46" i="4" s="1"/>
  <c r="N45" i="4"/>
  <c r="O45" i="4" s="1"/>
  <c r="M45" i="4"/>
  <c r="K45" i="4"/>
  <c r="M44" i="4"/>
  <c r="K44" i="4"/>
  <c r="N44" i="4" s="1"/>
  <c r="O44" i="4" s="1"/>
  <c r="M43" i="4"/>
  <c r="N43" i="4" s="1"/>
  <c r="O43" i="4" s="1"/>
  <c r="K43" i="4"/>
  <c r="M42" i="4"/>
  <c r="K42" i="4"/>
  <c r="N42" i="4" s="1"/>
  <c r="O42" i="4" s="1"/>
  <c r="M41" i="4"/>
  <c r="K41" i="4"/>
  <c r="N41" i="4" s="1"/>
  <c r="O41" i="4" s="1"/>
  <c r="N40" i="4"/>
  <c r="O40" i="4" s="1"/>
  <c r="M40" i="4"/>
  <c r="K40" i="4"/>
  <c r="M39" i="4"/>
  <c r="N39" i="4" s="1"/>
  <c r="O39" i="4" s="1"/>
  <c r="K39" i="4"/>
  <c r="M38" i="4"/>
  <c r="K38" i="4"/>
  <c r="N38" i="4" s="1"/>
  <c r="O38" i="4" s="1"/>
  <c r="M37" i="4"/>
  <c r="K37" i="4"/>
  <c r="N37" i="4" s="1"/>
  <c r="O37" i="4" s="1"/>
  <c r="M36" i="4"/>
  <c r="K36" i="4"/>
  <c r="N36" i="4" s="1"/>
  <c r="O36" i="4" s="1"/>
  <c r="O35" i="4"/>
  <c r="N35" i="4"/>
  <c r="M35" i="4"/>
  <c r="K35" i="4"/>
  <c r="N34" i="4"/>
  <c r="O34" i="4" s="1"/>
  <c r="M34" i="4"/>
  <c r="K34" i="4"/>
  <c r="M33" i="4"/>
  <c r="N33" i="4" s="1"/>
  <c r="O33" i="4" s="1"/>
  <c r="K33" i="4"/>
  <c r="M32" i="4"/>
  <c r="K32" i="4"/>
  <c r="N32" i="4" s="1"/>
  <c r="O32" i="4" s="1"/>
  <c r="N31" i="4"/>
  <c r="O31" i="4" s="1"/>
  <c r="M31" i="4"/>
  <c r="K31" i="4"/>
  <c r="N30" i="4"/>
  <c r="O30" i="4" s="1"/>
  <c r="M30" i="4"/>
  <c r="K30" i="4"/>
  <c r="M29" i="4"/>
  <c r="K29" i="4"/>
  <c r="N29" i="4" s="1"/>
  <c r="O29" i="4" s="1"/>
  <c r="N28" i="4"/>
  <c r="O28" i="4" s="1"/>
  <c r="M28" i="4"/>
  <c r="K28" i="4"/>
  <c r="M27" i="4"/>
  <c r="K27" i="4"/>
  <c r="N27" i="4" s="1"/>
  <c r="O27" i="4" s="1"/>
  <c r="M26" i="4"/>
  <c r="K26" i="4"/>
  <c r="N26" i="4" s="1"/>
  <c r="O26" i="4" s="1"/>
  <c r="N25" i="4"/>
  <c r="O25" i="4" s="1"/>
  <c r="M25" i="4"/>
  <c r="K25" i="4"/>
  <c r="N24" i="4"/>
  <c r="O24" i="4" s="1"/>
  <c r="M24" i="4"/>
  <c r="K24" i="4"/>
  <c r="M23" i="4"/>
  <c r="K23" i="4"/>
  <c r="N23" i="4" s="1"/>
  <c r="O23" i="4" s="1"/>
  <c r="M22" i="4"/>
  <c r="K22" i="4"/>
  <c r="N21" i="4"/>
  <c r="O21" i="4" s="1"/>
  <c r="M21" i="4"/>
  <c r="K21" i="4"/>
  <c r="N20" i="4"/>
  <c r="O20" i="4" s="1"/>
  <c r="M20" i="4"/>
  <c r="K20" i="4"/>
  <c r="M19" i="4"/>
  <c r="K19" i="4"/>
  <c r="N19" i="4" s="1"/>
  <c r="O19" i="4" s="1"/>
  <c r="N18" i="4"/>
  <c r="O18" i="4" s="1"/>
  <c r="M18" i="4"/>
  <c r="K18" i="4"/>
  <c r="M17" i="4"/>
  <c r="K17" i="4"/>
  <c r="N17" i="4" s="1"/>
  <c r="O17" i="4" s="1"/>
  <c r="N16" i="4"/>
  <c r="O16" i="4" s="1"/>
  <c r="M16" i="4"/>
  <c r="K16" i="4"/>
  <c r="N15" i="4"/>
  <c r="O15" i="4" s="1"/>
  <c r="M15" i="4"/>
  <c r="K15" i="4"/>
  <c r="M14" i="4"/>
  <c r="K14" i="4"/>
  <c r="N14" i="4" s="1"/>
  <c r="O14" i="4" s="1"/>
  <c r="M13" i="4"/>
  <c r="K13" i="4"/>
  <c r="N13" i="4" s="1"/>
  <c r="O13" i="4" s="1"/>
  <c r="M12" i="4"/>
  <c r="K12" i="4"/>
  <c r="M11" i="4"/>
  <c r="K11" i="4"/>
  <c r="N11" i="4" s="1"/>
  <c r="O11" i="4" s="1"/>
  <c r="O10" i="4"/>
  <c r="N10" i="4"/>
  <c r="M10" i="4"/>
  <c r="K10" i="4"/>
  <c r="M9" i="4"/>
  <c r="K9" i="4"/>
  <c r="N9" i="4" s="1"/>
  <c r="O9" i="4" s="1"/>
  <c r="M8" i="4"/>
  <c r="M301" i="4" s="1"/>
  <c r="K8" i="4"/>
  <c r="N8" i="4" s="1"/>
  <c r="O8" i="4" l="1"/>
  <c r="N10" i="1"/>
  <c r="O10" i="1" s="1"/>
  <c r="K294" i="1"/>
  <c r="O304" i="4"/>
  <c r="O309" i="4"/>
  <c r="O305" i="4"/>
  <c r="O303" i="4"/>
  <c r="N22" i="4"/>
  <c r="O22" i="4" s="1"/>
  <c r="N72" i="4"/>
  <c r="O72" i="4" s="1"/>
  <c r="N122" i="4"/>
  <c r="O122" i="4" s="1"/>
  <c r="N230" i="4"/>
  <c r="O230" i="4" s="1"/>
  <c r="N261" i="4"/>
  <c r="O261" i="4" s="1"/>
  <c r="K301" i="4"/>
  <c r="N56" i="1"/>
  <c r="O56" i="1" s="1"/>
  <c r="N126" i="1"/>
  <c r="O126" i="1" s="1"/>
  <c r="N147" i="1"/>
  <c r="O147" i="1" s="1"/>
  <c r="N166" i="1"/>
  <c r="O166" i="1" s="1"/>
  <c r="N41" i="2"/>
  <c r="O41" i="2" s="1"/>
  <c r="N137" i="2"/>
  <c r="O137" i="2" s="1"/>
  <c r="N191" i="2"/>
  <c r="O191" i="2" s="1"/>
  <c r="N272" i="1"/>
  <c r="O272" i="1" s="1"/>
  <c r="N210" i="2"/>
  <c r="O210" i="2" s="1"/>
  <c r="N381" i="2"/>
  <c r="K321" i="2"/>
  <c r="N47" i="4"/>
  <c r="O47" i="4" s="1"/>
  <c r="N97" i="4"/>
  <c r="O97" i="4" s="1"/>
  <c r="N147" i="4"/>
  <c r="O147" i="4" s="1"/>
  <c r="N201" i="4"/>
  <c r="O201" i="4" s="1"/>
  <c r="N238" i="4"/>
  <c r="O238" i="4" s="1"/>
  <c r="N297" i="4"/>
  <c r="O297" i="4" s="1"/>
  <c r="N35" i="1"/>
  <c r="O35" i="1" s="1"/>
  <c r="N263" i="1"/>
  <c r="O263" i="1" s="1"/>
  <c r="O302" i="1"/>
  <c r="O304" i="1" s="1"/>
  <c r="N86" i="2"/>
  <c r="O86" i="2" s="1"/>
  <c r="N94" i="2"/>
  <c r="O94" i="2" s="1"/>
  <c r="N104" i="2"/>
  <c r="O104" i="2" s="1"/>
  <c r="N154" i="2"/>
  <c r="O154" i="2" s="1"/>
  <c r="N167" i="2"/>
  <c r="O167" i="2" s="1"/>
  <c r="N189" i="2"/>
  <c r="O189" i="2" s="1"/>
  <c r="N12" i="4"/>
  <c r="O12" i="4" s="1"/>
  <c r="N62" i="4"/>
  <c r="O62" i="4" s="1"/>
  <c r="N112" i="4"/>
  <c r="O112" i="4" s="1"/>
  <c r="N162" i="4"/>
  <c r="O162" i="4" s="1"/>
  <c r="N217" i="4"/>
  <c r="O217" i="4" s="1"/>
  <c r="N226" i="4"/>
  <c r="O226" i="4" s="1"/>
  <c r="N263" i="4"/>
  <c r="O263" i="4" s="1"/>
  <c r="N291" i="4"/>
  <c r="O291" i="4" s="1"/>
  <c r="O310" i="4"/>
  <c r="N16" i="1"/>
  <c r="O16" i="1" s="1"/>
  <c r="N19" i="2"/>
  <c r="O19" i="2" s="1"/>
  <c r="N73" i="2"/>
  <c r="O73" i="2" s="1"/>
  <c r="N132" i="2"/>
  <c r="O132" i="2" s="1"/>
  <c r="N178" i="2"/>
  <c r="O178" i="2" s="1"/>
  <c r="O330" i="2"/>
  <c r="O323" i="2"/>
  <c r="O329" i="2"/>
  <c r="O327" i="2"/>
  <c r="O324" i="2"/>
  <c r="N385" i="2"/>
  <c r="N435" i="2"/>
  <c r="O8" i="3"/>
  <c r="N216" i="4"/>
  <c r="O216" i="4" s="1"/>
  <c r="N266" i="4"/>
  <c r="O266" i="4" s="1"/>
  <c r="N296" i="4"/>
  <c r="O296" i="4" s="1"/>
  <c r="N15" i="1"/>
  <c r="O15" i="1" s="1"/>
  <c r="N40" i="1"/>
  <c r="O40" i="1" s="1"/>
  <c r="N71" i="1"/>
  <c r="O71" i="1" s="1"/>
  <c r="N121" i="1"/>
  <c r="O121" i="1" s="1"/>
  <c r="N171" i="1"/>
  <c r="O171" i="1" s="1"/>
  <c r="N213" i="1"/>
  <c r="O213" i="1" s="1"/>
  <c r="N222" i="1"/>
  <c r="O222" i="1" s="1"/>
  <c r="N259" i="1"/>
  <c r="O259" i="1" s="1"/>
  <c r="N37" i="2"/>
  <c r="O37" i="2" s="1"/>
  <c r="N61" i="2"/>
  <c r="O61" i="2" s="1"/>
  <c r="N107" i="2"/>
  <c r="O107" i="2" s="1"/>
  <c r="N204" i="2"/>
  <c r="O204" i="2" s="1"/>
  <c r="N450" i="2"/>
  <c r="N580" i="2"/>
  <c r="N676" i="2"/>
  <c r="N710" i="2"/>
  <c r="N9" i="3"/>
  <c r="O9" i="3" s="1"/>
  <c r="K309" i="3"/>
  <c r="N156" i="3"/>
  <c r="O156" i="3" s="1"/>
  <c r="N45" i="3"/>
  <c r="O45" i="3" s="1"/>
  <c r="M294" i="1"/>
  <c r="M321" i="2"/>
  <c r="N660" i="2"/>
  <c r="N717" i="2"/>
  <c r="N894" i="2"/>
  <c r="N186" i="4"/>
  <c r="O186" i="4" s="1"/>
  <c r="N236" i="4"/>
  <c r="O236" i="4" s="1"/>
  <c r="N281" i="4"/>
  <c r="O281" i="4" s="1"/>
  <c r="N8" i="1"/>
  <c r="N25" i="1"/>
  <c r="O25" i="1" s="1"/>
  <c r="N50" i="1"/>
  <c r="O50" i="1" s="1"/>
  <c r="N111" i="1"/>
  <c r="O111" i="1" s="1"/>
  <c r="N161" i="1"/>
  <c r="O161" i="1" s="1"/>
  <c r="N8" i="2"/>
  <c r="N11" i="2"/>
  <c r="O11" i="2" s="1"/>
  <c r="N57" i="2"/>
  <c r="O57" i="2" s="1"/>
  <c r="N136" i="2"/>
  <c r="O136" i="2" s="1"/>
  <c r="N173" i="2"/>
  <c r="O173" i="2" s="1"/>
  <c r="N229" i="2"/>
  <c r="O229" i="2" s="1"/>
  <c r="N246" i="2"/>
  <c r="O246" i="2" s="1"/>
  <c r="N375" i="2"/>
  <c r="N500" i="2"/>
  <c r="N672" i="2"/>
  <c r="N785" i="2"/>
  <c r="N791" i="2"/>
  <c r="N867" i="2"/>
  <c r="N22" i="2"/>
  <c r="O22" i="2" s="1"/>
  <c r="N72" i="2"/>
  <c r="O72" i="2" s="1"/>
  <c r="N122" i="2"/>
  <c r="O122" i="2" s="1"/>
  <c r="N172" i="2"/>
  <c r="O172" i="2" s="1"/>
  <c r="N225" i="2"/>
  <c r="O225" i="2" s="1"/>
  <c r="N249" i="2"/>
  <c r="O249" i="2" s="1"/>
  <c r="N299" i="2"/>
  <c r="O299" i="2" s="1"/>
  <c r="N355" i="2"/>
  <c r="N380" i="2"/>
  <c r="N405" i="2"/>
  <c r="N430" i="2"/>
  <c r="N455" i="2"/>
  <c r="N480" i="2"/>
  <c r="N505" i="2"/>
  <c r="N530" i="2"/>
  <c r="N610" i="2"/>
  <c r="N635" i="2"/>
  <c r="N665" i="2"/>
  <c r="N671" i="2"/>
  <c r="N696" i="2"/>
  <c r="N805" i="2"/>
  <c r="N855" i="2"/>
  <c r="N923" i="2"/>
  <c r="N952" i="2"/>
  <c r="N47" i="2"/>
  <c r="O47" i="2" s="1"/>
  <c r="N97" i="2"/>
  <c r="O97" i="2" s="1"/>
  <c r="N147" i="2"/>
  <c r="O147" i="2" s="1"/>
  <c r="N214" i="2"/>
  <c r="O214" i="2" s="1"/>
  <c r="N254" i="2"/>
  <c r="O254" i="2" s="1"/>
  <c r="N260" i="2"/>
  <c r="O260" i="2" s="1"/>
  <c r="N266" i="2"/>
  <c r="O266" i="2" s="1"/>
  <c r="N285" i="2"/>
  <c r="O285" i="2" s="1"/>
  <c r="N617" i="2"/>
  <c r="N642" i="2"/>
  <c r="N42" i="2"/>
  <c r="O42" i="2" s="1"/>
  <c r="N92" i="2"/>
  <c r="O92" i="2" s="1"/>
  <c r="N142" i="2"/>
  <c r="O142" i="2" s="1"/>
  <c r="N179" i="2"/>
  <c r="O179" i="2" s="1"/>
  <c r="N199" i="2"/>
  <c r="O199" i="2" s="1"/>
  <c r="N245" i="2"/>
  <c r="O245" i="2" s="1"/>
  <c r="N279" i="2"/>
  <c r="O279" i="2" s="1"/>
  <c r="N295" i="2"/>
  <c r="O295" i="2" s="1"/>
  <c r="N314" i="2"/>
  <c r="O314" i="2" s="1"/>
  <c r="N365" i="2"/>
  <c r="N390" i="2"/>
  <c r="N415" i="2"/>
  <c r="N440" i="2"/>
  <c r="N465" i="2"/>
  <c r="N490" i="2"/>
  <c r="N515" i="2"/>
  <c r="N667" i="2"/>
  <c r="N692" i="2"/>
  <c r="N766" i="2"/>
  <c r="N801" i="2"/>
  <c r="N816" i="2"/>
  <c r="N822" i="2"/>
  <c r="N907" i="2"/>
  <c r="M309" i="3"/>
  <c r="N215" i="2"/>
  <c r="O215" i="2" s="1"/>
  <c r="N240" i="2"/>
  <c r="O240" i="2" s="1"/>
  <c r="N265" i="2"/>
  <c r="O265" i="2" s="1"/>
  <c r="N290" i="2"/>
  <c r="O290" i="2" s="1"/>
  <c r="N315" i="2"/>
  <c r="O315" i="2" s="1"/>
  <c r="N570" i="2"/>
  <c r="N620" i="2"/>
  <c r="N670" i="2"/>
  <c r="N720" i="2"/>
  <c r="N737" i="2"/>
  <c r="N835" i="2"/>
  <c r="N841" i="2"/>
  <c r="N880" i="2"/>
  <c r="N903" i="2"/>
  <c r="N912" i="2"/>
  <c r="N990" i="2"/>
  <c r="N62" i="3"/>
  <c r="O62" i="3" s="1"/>
  <c r="N87" i="3"/>
  <c r="O87" i="3" s="1"/>
  <c r="N194" i="2"/>
  <c r="O194" i="2" s="1"/>
  <c r="N219" i="2"/>
  <c r="O219" i="2" s="1"/>
  <c r="N244" i="2"/>
  <c r="O244" i="2" s="1"/>
  <c r="N269" i="2"/>
  <c r="O269" i="2" s="1"/>
  <c r="N294" i="2"/>
  <c r="O294" i="2" s="1"/>
  <c r="N319" i="2"/>
  <c r="O319" i="2" s="1"/>
  <c r="N275" i="2"/>
  <c r="O275" i="2" s="1"/>
  <c r="N300" i="2"/>
  <c r="O300" i="2" s="1"/>
  <c r="N540" i="2"/>
  <c r="N590" i="2"/>
  <c r="N640" i="2"/>
  <c r="N690" i="2"/>
  <c r="N730" i="2"/>
  <c r="N837" i="2"/>
  <c r="N940" i="2"/>
  <c r="N960" i="2"/>
  <c r="N969" i="2"/>
  <c r="N21" i="3"/>
  <c r="O21" i="3" s="1"/>
  <c r="N97" i="3"/>
  <c r="O97" i="3" s="1"/>
  <c r="N185" i="3"/>
  <c r="O185" i="3" s="1"/>
  <c r="N216" i="3"/>
  <c r="O216" i="3" s="1"/>
  <c r="N262" i="3"/>
  <c r="O262" i="3" s="1"/>
  <c r="N740" i="2"/>
  <c r="N790" i="2"/>
  <c r="N840" i="2"/>
  <c r="N932" i="2"/>
  <c r="N71" i="3"/>
  <c r="O71" i="3" s="1"/>
  <c r="N81" i="3"/>
  <c r="O81" i="3" s="1"/>
  <c r="N100" i="3"/>
  <c r="O100" i="3" s="1"/>
  <c r="N110" i="3"/>
  <c r="O110" i="3" s="1"/>
  <c r="N120" i="3"/>
  <c r="O120" i="3" s="1"/>
  <c r="N127" i="3"/>
  <c r="O127" i="3" s="1"/>
  <c r="N137" i="3"/>
  <c r="O137" i="3" s="1"/>
  <c r="N245" i="3"/>
  <c r="O245" i="3" s="1"/>
  <c r="N285" i="3"/>
  <c r="O285" i="3" s="1"/>
  <c r="N85" i="3"/>
  <c r="O85" i="3" s="1"/>
  <c r="N760" i="2"/>
  <c r="N810" i="2"/>
  <c r="N860" i="2"/>
  <c r="N928" i="2"/>
  <c r="N978" i="2"/>
  <c r="N10" i="3"/>
  <c r="O10" i="3" s="1"/>
  <c r="N20" i="3"/>
  <c r="O20" i="3" s="1"/>
  <c r="N27" i="3"/>
  <c r="O27" i="3" s="1"/>
  <c r="N37" i="3"/>
  <c r="O37" i="3" s="1"/>
  <c r="N145" i="3"/>
  <c r="O145" i="3" s="1"/>
  <c r="N221" i="3"/>
  <c r="O221" i="3" s="1"/>
  <c r="N231" i="3"/>
  <c r="O231" i="3" s="1"/>
  <c r="N250" i="3"/>
  <c r="O250" i="3" s="1"/>
  <c r="N260" i="3"/>
  <c r="O260" i="3" s="1"/>
  <c r="N270" i="3"/>
  <c r="O270" i="3" s="1"/>
  <c r="N277" i="3"/>
  <c r="O277" i="3" s="1"/>
  <c r="N287" i="3"/>
  <c r="O287" i="3" s="1"/>
  <c r="N888" i="2"/>
  <c r="N938" i="2"/>
  <c r="N988" i="2"/>
  <c r="N55" i="3"/>
  <c r="O55" i="3" s="1"/>
  <c r="N105" i="3"/>
  <c r="O105" i="3" s="1"/>
  <c r="N155" i="3"/>
  <c r="O155" i="3" s="1"/>
  <c r="N205" i="3"/>
  <c r="O205" i="3" s="1"/>
  <c r="N255" i="3"/>
  <c r="O255" i="3" s="1"/>
  <c r="N305" i="3"/>
  <c r="O305" i="3" s="1"/>
  <c r="N913" i="2"/>
  <c r="N963" i="2"/>
  <c r="N30" i="3"/>
  <c r="O30" i="3" s="1"/>
  <c r="N80" i="3"/>
  <c r="O80" i="3" s="1"/>
  <c r="N130" i="3"/>
  <c r="O130" i="3" s="1"/>
  <c r="N180" i="3"/>
  <c r="O180" i="3" s="1"/>
  <c r="N230" i="3"/>
  <c r="O230" i="3" s="1"/>
  <c r="N280" i="3"/>
  <c r="O280" i="3" s="1"/>
  <c r="O311" i="3"/>
  <c r="O311" i="4" l="1"/>
  <c r="N309" i="3"/>
  <c r="N301" i="4"/>
  <c r="N321" i="2"/>
  <c r="O8" i="2"/>
  <c r="O331" i="2"/>
  <c r="N294" i="1"/>
  <c r="O8" i="1"/>
  <c r="N306" i="1" l="1"/>
  <c r="N307" i="1" s="1"/>
  <c r="O294" i="1"/>
  <c r="N313" i="4"/>
  <c r="N314" i="4" s="1"/>
  <c r="O301" i="4"/>
  <c r="N333" i="2"/>
  <c r="N334" i="2" s="1"/>
  <c r="O321" i="2"/>
  <c r="N321" i="3"/>
  <c r="N322" i="3" s="1"/>
  <c r="O309" i="3"/>
</calcChain>
</file>

<file path=xl/sharedStrings.xml><?xml version="1.0" encoding="utf-8"?>
<sst xmlns="http://schemas.openxmlformats.org/spreadsheetml/2006/main" count="4139" uniqueCount="2217">
  <si>
    <t>※この情報は店舗様および楽天市場での重要な情報となります。データの取扱には十分にご注意ください。</t>
  </si>
  <si>
    <t>SKU別売上</t>
  </si>
  <si>
    <t>表示期間</t>
  </si>
  <si>
    <t>2026年07月から2026年07月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</si>
  <si>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</si>
  <si>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</si>
  <si>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</si>
  <si>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</si>
  <si>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</si>
  <si>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</si>
  <si>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</si>
  <si>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</si>
  <si>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</si>
  <si>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</si>
  <si>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</si>
  <si>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</si>
  <si>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</si>
  <si>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</si>
  <si>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</si>
  <si>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</si>
  <si>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</si>
  <si>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</si>
  <si>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</si>
  <si>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</si>
  <si>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</si>
  <si>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</si>
  <si>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4533141407514-50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</si>
  <si>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</si>
  <si>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</si>
  <si>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4533141407514-100</t>
  </si>
  <si>
    <t>B0F6XTGTGP-1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</si>
  <si>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</si>
  <si>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b0f6xtgtgp-2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</si>
  <si>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</si>
  <si>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</si>
  <si>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</si>
  <si>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</si>
  <si>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</si>
  <si>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</si>
  <si>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4901301421401-5-a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</si>
  <si>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</si>
  <si>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AST-0008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</si>
  <si>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</si>
  <si>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</si>
  <si>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8720689027410-a</t>
  </si>
  <si>
    <t>B0D28N991R</t>
  </si>
  <si>
    <t>フィリップス ソニッケアー プロテクトクリーンプレミアム ホワイト HX6877/56 歯磨き ケア 口臭</t>
  </si>
  <si>
    <t>b0c8hbc8q7</t>
  </si>
  <si>
    <t>8710103994503-a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</si>
  <si>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</si>
  <si>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</si>
  <si>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</si>
  <si>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ブラック</t>
  </si>
  <si>
    <t>b0db1hfzlk</t>
  </si>
  <si>
    <t>7557,7588,7540,7571/6390</t>
  </si>
  <si>
    <t>B0DB17C63X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</si>
  <si>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</si>
  <si>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</si>
  <si>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4987072048986-2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</si>
  <si>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</si>
  <si>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b07kpyw849</t>
  </si>
  <si>
    <t>4901080682512-3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</si>
  <si>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</si>
  <si>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</si>
  <si>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4549980884737-2-a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</si>
  <si>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</si>
  <si>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</si>
  <si>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</si>
  <si>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</si>
  <si>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</si>
  <si>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</si>
  <si>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</si>
  <si>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</si>
  <si>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</si>
  <si>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</si>
  <si>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</si>
  <si>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</si>
  <si>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4987176171184-a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</si>
  <si>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</si>
  <si>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</si>
  <si>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4377,3070/5990</t>
  </si>
  <si>
    <t>B0CXNY69DC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</si>
  <si>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</si>
  <si>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b08l79wrhm</t>
  </si>
  <si>
    <t>ShotNavi Evolve PRO(ショットナビ) ブラック 大画面カラー液晶 最新GPSチップ「M10」 ゴルフ</t>
  </si>
  <si>
    <t>b0bls3hvdz</t>
  </si>
  <si>
    <t>1877/23979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</si>
  <si>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</si>
  <si>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</si>
  <si>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</si>
  <si>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</si>
  <si>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</si>
  <si>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</si>
  <si>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</si>
  <si>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</si>
  <si>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b0bsfhf9jq</t>
  </si>
  <si>
    <t>8720689004589-a</t>
  </si>
  <si>
    <t>B0BSFHF9JQ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</si>
  <si>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</si>
  <si>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</si>
  <si>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ブラウン シェーバー 替刃 シリーズ5 F/C52B-b ブラック 髭剃り メンズ ひげ 髭</t>
  </si>
  <si>
    <t>b08gp5xftt</t>
  </si>
  <si>
    <t>8768/3771</t>
  </si>
  <si>
    <t>パナソニック ラムダッシュPRO ES-LV5J-S メンズシェーバー 5枚刃 シルバー 充電中でも剃れる   髭そり</t>
  </si>
  <si>
    <t>b0bzxvf56j</t>
  </si>
  <si>
    <t>2870/22800-a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</si>
  <si>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</si>
  <si>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</si>
  <si>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</si>
  <si>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</si>
  <si>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AST-0002-a</t>
  </si>
  <si>
    <t>B0D9XP3W5N-1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</si>
  <si>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</si>
  <si>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</si>
  <si>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</si>
  <si>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</si>
  <si>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8806/1239-a</t>
  </si>
  <si>
    <t>L'Oreal paris ウォータートリートメント ジャンボサイズ 400ml トリートメント ヘアケア ケア</t>
  </si>
  <si>
    <t>b0c7vp75s6</t>
  </si>
  <si>
    <t>5829/1210-a</t>
  </si>
  <si>
    <t>【並行輸入品】ニュクス プロディジュー ネロリ オイル 100ml ボディケア 美容 ケア</t>
  </si>
  <si>
    <t>4993/2893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</si>
  <si>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</si>
  <si>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</si>
  <si>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SET-4916-5050-a</t>
  </si>
  <si>
    <t>ホワイト</t>
  </si>
  <si>
    <t>B0DB1HFZLK</t>
  </si>
  <si>
    <t>Echo Pop (エコーポップ) - コンパクトスマートスピーカー グレーシャーホワイト チャコール ティールグリーン with Alexa スピーカー Bluetooth接続 Bluetooth スマート端末</t>
  </si>
  <si>
    <t>チャコール</t>
  </si>
  <si>
    <t>b09zx764zl</t>
  </si>
  <si>
    <t>2034,1389,6508,7410/2980</t>
  </si>
  <si>
    <t>B09WX3PJ3X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</si>
  <si>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</si>
  <si>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b0dtpclhwh</t>
  </si>
  <si>
    <t>4901080224019-3-a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</si>
  <si>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</si>
  <si>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</si>
  <si>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8720689017534-a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</si>
  <si>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</si>
  <si>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</si>
  <si>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4902407024299-3-a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</si>
  <si>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</si>
  <si>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</si>
  <si>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</si>
  <si>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ICY ZAP アイシーザップ クーリングスクエアパック 100枚入り（50セット）×2個セット</t>
  </si>
  <si>
    <t>b0f8bcmypc</t>
  </si>
  <si>
    <t>9134/1316-a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</si>
  <si>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</si>
  <si>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</si>
  <si>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</si>
  <si>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</si>
  <si>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ディープグリーン</t>
  </si>
  <si>
    <t>b0d7zlpsjg</t>
  </si>
  <si>
    <t>4324,4693,4709,4723/13990</t>
  </si>
  <si>
    <t>B0D7YT9MB2</t>
  </si>
  <si>
    <t>スカイブルー</t>
  </si>
  <si>
    <t>B0D7YTG5V2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</si>
  <si>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</si>
  <si>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</si>
  <si>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7409/396-a</t>
  </si>
  <si>
    <t>B0F2SGDGR1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</si>
  <si>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</si>
  <si>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</si>
  <si>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785-a</t>
  </si>
  <si>
    <t>アイリスオーヤマ IRIS 真空断熱ダイレクトボトル 1L ピンク DBR-1000 運動 水分補給 水筒</t>
  </si>
  <si>
    <t>b0dq9t581y</t>
  </si>
  <si>
    <t>9122/1480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</si>
  <si>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</si>
  <si>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ピンク</t>
  </si>
  <si>
    <t>b0cx4c1tvk</t>
  </si>
  <si>
    <t>B0CX4FKYCS</t>
  </si>
  <si>
    <t>B0CX4PBCKH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</si>
  <si>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</si>
  <si>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</si>
  <si>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</si>
  <si>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チャオ (CIAO) ちゅ~るごはん まぐろバラエティ 14g×20本 猫 猫用 国産 総合栄養食 おやつ 液状  キャットフード  人気 大容量</t>
  </si>
  <si>
    <t>b0bw9d1gcl</t>
  </si>
  <si>
    <t>8095/396-a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</si>
  <si>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</si>
  <si>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</si>
  <si>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1161,1192,1178,1185/1152-a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</si>
  <si>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</si>
  <si>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</si>
  <si>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358-a</t>
  </si>
  <si>
    <t>B0BXBPLT8T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</si>
  <si>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</si>
  <si>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</si>
  <si>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8187/1630-a</t>
  </si>
  <si>
    <t>B0F2T1WVDB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</si>
  <si>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</si>
  <si>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</si>
  <si>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</si>
  <si>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NEXXUS インテンスダメージリペア トリートメント ポンプ 440g×2個セット ケア ヘアケア ネクサス うねりケア</t>
  </si>
  <si>
    <t>b0bqtwtpp8</t>
  </si>
  <si>
    <t>2448/1998</t>
  </si>
  <si>
    <t>B0BQTWTPP8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</si>
  <si>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</si>
  <si>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</si>
  <si>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3414/2190-a</t>
  </si>
  <si>
    <t>B084RVTTLR-1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</si>
  <si>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</si>
  <si>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</si>
  <si>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</si>
  <si>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B0C5JJDLTD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</si>
  <si>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</si>
  <si>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</si>
  <si>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</si>
  <si>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</si>
  <si>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</si>
  <si>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4987072089279-3-a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</si>
  <si>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</si>
  <si>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</si>
  <si>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4987072060674-2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</si>
  <si>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</si>
  <si>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</si>
  <si>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</si>
  <si>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</si>
  <si>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</si>
  <si>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4254/358-a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</si>
  <si>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</si>
  <si>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</si>
  <si>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</si>
  <si>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</si>
  <si>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</si>
  <si>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</si>
  <si>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3882-a</t>
  </si>
  <si>
    <t>いなば チャオ(CIAO)ちゅ～るごはん とりささみ 総合栄養食 14g×4P ６袋セット 猫 猫用 おやつ 国産 液状 キャットフード 人気 グレインフリー</t>
  </si>
  <si>
    <t>b0bltqq367</t>
  </si>
  <si>
    <t>4901133415722-6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</si>
  <si>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</si>
  <si>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</si>
  <si>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4905009678938-2</t>
  </si>
  <si>
    <t>B00XTZZLEI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</si>
  <si>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</si>
  <si>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0417,0526,0564/660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</si>
  <si>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</si>
  <si>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</si>
  <si>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2318,2301,2332,2325/2860</t>
  </si>
  <si>
    <t>ユニ・チャーム エルディ フィンガーレギュラー 多い日 60個 生理 用品 生理用品</t>
  </si>
  <si>
    <t>b002jthwco</t>
  </si>
  <si>
    <t>8286/1978-a</t>
  </si>
  <si>
    <t>Gillette ジレット フュージョン 電動タイプ 替刃8コ入 替刃 ひげ 髭剃り シェーバー まとめ買い 大容量</t>
  </si>
  <si>
    <t>b09dc7q6kl</t>
  </si>
  <si>
    <t>2454/3179</t>
  </si>
  <si>
    <t>【セット品】NEXXUS スムースアンドマネージャブル シャンプー＆トリートメント 各440g ２本セット ポンプ ケア ヘアケア ネクサス うねりケア</t>
  </si>
  <si>
    <t>b0bqtsq4t8</t>
  </si>
  <si>
    <t>SET-2509-2516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</si>
  <si>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</si>
  <si>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b0bqt8pr1d</t>
  </si>
  <si>
    <t>2523/1998</t>
  </si>
  <si>
    <t>B0BQT8PR1D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</si>
  <si>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</si>
  <si>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</si>
  <si>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</si>
  <si>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</si>
  <si>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</si>
  <si>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</si>
  <si>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</si>
  <si>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</si>
  <si>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</si>
  <si>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2526,2540,2533/1182-a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</si>
  <si>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</si>
  <si>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</si>
  <si>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</si>
  <si>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</si>
  <si>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</si>
  <si>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B079Z1CCM6</t>
  </si>
  <si>
    <t>いなば とろみ （とりささみ・野菜入り・牛肉入り） 80g 24缶セット 犬 犬用  缶詰 ウェット 国産 ドックフード 人気 大容量</t>
  </si>
  <si>
    <t>とりささみ野菜入り</t>
  </si>
  <si>
    <t>b00x555xya</t>
  </si>
  <si>
    <t>1420,1437/2191,2208,2208-a</t>
  </si>
  <si>
    <t>B00X555XYA</t>
  </si>
  <si>
    <t>Echo Spot（2024年発売） スマートアラームクロック with Alexa ブラック オーシャンブルー グレーシャーホワイト 目覚まし時計 時計 スマートスピーカー スピーカー</t>
  </si>
  <si>
    <t>オーシャンブルー</t>
  </si>
  <si>
    <t>b0c2s4k41g</t>
  </si>
  <si>
    <t>B0C2S4D67B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</si>
  <si>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</si>
  <si>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</si>
  <si>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</si>
  <si>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</si>
  <si>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</si>
  <si>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</si>
  <si>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いなば CIAO(チャオ) 焼かつおディナー 高齢猫用かつお節・ほたて貝柱入り 50g×16 キャットフード パウチ 高齢猫 猫 ウェット</t>
  </si>
  <si>
    <t>b00jrnm0ng</t>
  </si>
  <si>
    <t>8703/1584-a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</si>
  <si>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</si>
  <si>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b0c5cbv6l3</t>
  </si>
  <si>
    <t>B0C5CBV6L3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</si>
  <si>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</si>
  <si>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ネイビー</t>
  </si>
  <si>
    <t>b0cp4rhk7x</t>
  </si>
  <si>
    <t>7555,7562,7548,7579/6490</t>
  </si>
  <si>
    <t>B0CP4SRM8K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</si>
  <si>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</si>
  <si>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</si>
  <si>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</si>
  <si>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富士フイルム(FUJIFILM) フジカラーレンズ付フィルム 写ルンです スタンダードタイプ 3個セット 27枚撮り LF JDV1 SP FL 27SH 1 まとめ買い</t>
  </si>
  <si>
    <t>b0f1slwhqg</t>
  </si>
  <si>
    <t>4547410550955-3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</si>
  <si>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</si>
  <si>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</si>
  <si>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</si>
  <si>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B0F3D2Q8SZ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</si>
  <si>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</si>
  <si>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</si>
  <si>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</si>
  <si>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</si>
  <si>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b09tpstjlv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</si>
  <si>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</si>
  <si>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</si>
  <si>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</si>
  <si>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</si>
  <si>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B0GSQHQRV7</t>
  </si>
  <si>
    <t>B0DB1JV955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</si>
  <si>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</si>
  <si>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</si>
  <si>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</si>
  <si>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</si>
  <si>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</si>
  <si>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</si>
  <si>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</si>
  <si>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</si>
  <si>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</si>
  <si>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</si>
  <si>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</si>
  <si>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</si>
  <si>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</si>
  <si>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</si>
  <si>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</si>
  <si>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</si>
  <si>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B0F6LBDFC7</t>
  </si>
  <si>
    <t>B0CX4C1TVK</t>
  </si>
  <si>
    <t>さらふあ マスク用とりかえシート ５０枚入り×2個セット 日本製 シート 予防</t>
  </si>
  <si>
    <t>b085fy17qh</t>
  </si>
  <si>
    <t>3615/850-a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</si>
  <si>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</si>
  <si>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</si>
  <si>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3684,3707,3691,3714,3721/1338-a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</si>
  <si>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</si>
  <si>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</si>
  <si>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4901080023414-2-a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</si>
  <si>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</si>
  <si>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AST-0011-a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</si>
  <si>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</si>
  <si>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b0cvm4kzvr</t>
  </si>
  <si>
    <t>3927/1514-a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</si>
  <si>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</si>
  <si>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</si>
  <si>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</si>
  <si>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B0DMZ5Q8R7</t>
  </si>
  <si>
    <t>花王 ニベア ロイヤルブルーリップ しっとりもっちりタイプ リップクリーム 2g リップ ケア 保湿 乾燥</t>
  </si>
  <si>
    <t>b08cb7bqp9</t>
  </si>
  <si>
    <t>0860/980-a</t>
  </si>
  <si>
    <t>B08CB7BQP9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</si>
  <si>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</si>
  <si>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</si>
  <si>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</si>
  <si>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</si>
  <si>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b01lxsdhmm</t>
  </si>
  <si>
    <t>9659/1584-a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</si>
  <si>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</si>
  <si>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</si>
  <si>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</si>
  <si>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b0fnrs5wb2</t>
  </si>
  <si>
    <t>1543,1581,1574/4990</t>
  </si>
  <si>
    <t>B0FNRS5WB2-1543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</si>
  <si>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</si>
  <si>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</si>
  <si>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</si>
  <si>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</si>
  <si>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</si>
  <si>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4901301200211-6-a</t>
  </si>
  <si>
    <t>アイリスオーヤマ ぽかぽか家族 使い捨てカイロ 貼る レギュラー 10枚入り×６個セット 冬 防寒 防災 カイロ ホッカイロ まとめ買い</t>
  </si>
  <si>
    <t>b0djyp58pw</t>
  </si>
  <si>
    <t>3698/972-a</t>
  </si>
  <si>
    <t>ロート製薬 50の恵 養潤液 プレミアム 本体 230ml×2個セット しわ 肌 肌ケア ケア まとめ買い</t>
  </si>
  <si>
    <t>b09c7pdggm-1</t>
  </si>
  <si>
    <t>1484/2110-a</t>
  </si>
  <si>
    <t>B09C7PDGGM-1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</si>
  <si>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</si>
  <si>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</si>
  <si>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2530/1988</t>
  </si>
  <si>
    <t>B0BQV2X83N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</si>
  <si>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</si>
  <si>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</si>
  <si>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AST-0004-8712,9115,9118-a</t>
  </si>
  <si>
    <t>B0BWDNYSH3-1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</si>
  <si>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</si>
  <si>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</si>
  <si>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</si>
  <si>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</si>
  <si>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</si>
  <si>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</si>
  <si>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4901080068712-3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</si>
  <si>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</si>
  <si>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b0fl25cnbg</t>
  </si>
  <si>
    <t>0646,0653/504-a</t>
  </si>
  <si>
    <t>B0FL25CNBG</t>
  </si>
  <si>
    <t>B0C5JB3RJM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</si>
  <si>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</si>
  <si>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</si>
  <si>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</si>
  <si>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</si>
  <si>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</si>
  <si>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</si>
  <si>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6715/1356-a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</si>
  <si>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</si>
  <si>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</si>
  <si>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</si>
  <si>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6033,6040/803,803-a</t>
  </si>
  <si>
    <t>B0DZ2G6JDY</t>
  </si>
  <si>
    <t>ビオレu 泡ハンドソープ シトラスの香り つめかえ用 770ml×2個セット 詰め替え 手洗い 殺菌 消毒</t>
  </si>
  <si>
    <t>b0by2pjqg2</t>
  </si>
  <si>
    <t>6087/612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</si>
  <si>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</si>
  <si>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</si>
  <si>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</si>
  <si>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</si>
  <si>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エナガシロップ</t>
  </si>
  <si>
    <t>b0gsqjtck2</t>
  </si>
  <si>
    <t>2367/1014</t>
  </si>
  <si>
    <t>B0GSQCQXXY</t>
  </si>
  <si>
    <t>ニチドウ Dr.PRO. ドクター・プロ ベビーミルク スーパーIGP 幼犬用 100g ドックフード サプリメント</t>
  </si>
  <si>
    <t>b0dgqkzlc8</t>
  </si>
  <si>
    <t>3353/1254-a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</si>
  <si>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</si>
  <si>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</si>
  <si>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</si>
  <si>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</si>
  <si>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b09c7lpc7m</t>
  </si>
  <si>
    <t>1255,1286/1508-a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</si>
  <si>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</si>
  <si>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b075gk2mzw</t>
  </si>
  <si>
    <t>4514610005035-a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</si>
  <si>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</si>
  <si>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</si>
  <si>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</si>
  <si>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クレハ ダストマン抗菌スタンド 20枚×2個セット スタンド 三角コーナー 水切り ゴミ袋</t>
  </si>
  <si>
    <t>b0ckv5gbnc</t>
  </si>
  <si>
    <t>5264/332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</si>
  <si>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</si>
  <si>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</si>
  <si>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</si>
  <si>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</si>
  <si>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</si>
  <si>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b08x11gd52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</si>
  <si>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</si>
  <si>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</si>
  <si>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</si>
  <si>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</si>
  <si>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</si>
  <si>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</si>
  <si>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</si>
  <si>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</si>
  <si>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</si>
  <si>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3枚セット</t>
  </si>
  <si>
    <t>b07ppvc59y</t>
  </si>
  <si>
    <t>B07PPVC59Y-4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</si>
  <si>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</si>
  <si>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b0fdq59t55</t>
  </si>
  <si>
    <t>8924,8833/1356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</si>
  <si>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</si>
  <si>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b0ct5mt6vf</t>
  </si>
  <si>
    <t>4377/1314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</si>
  <si>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</si>
  <si>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</si>
  <si>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</si>
  <si>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</si>
  <si>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NEXXUS(ネクサス) リペアアンドカラープロテクト 洗い流さないトリートメントオイル 100ml×2個セット ２本セット ケア ヘアケア</t>
  </si>
  <si>
    <t>b0ctb5p54t</t>
  </si>
  <si>
    <t>6644/574-a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</si>
  <si>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</si>
  <si>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ミッドナイトブラック</t>
  </si>
  <si>
    <t>b093l5cmmt</t>
  </si>
  <si>
    <t>5286/1390</t>
  </si>
  <si>
    <t>B093L5CMMT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</si>
  <si>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</si>
  <si>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</si>
  <si>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</si>
  <si>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【セット品】肌ラボ 白潤プレミアム 化粧水170ml ＋ 乳液140ml ＋ クリーム50g 3点セット 化粧 ケア 肌 肌ケア 保湿</t>
  </si>
  <si>
    <t>b08wshptwz</t>
  </si>
  <si>
    <t>2691-a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</si>
  <si>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</si>
  <si>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</si>
  <si>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</si>
  <si>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</si>
  <si>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</si>
  <si>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3516,3530,3523/874-a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</si>
  <si>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</si>
  <si>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b0g2xtw9p2</t>
  </si>
  <si>
    <t>4932804366104-2-a</t>
  </si>
  <si>
    <t>いなば ちゅ～るボール とりささみ ビーフ 犬用 6袋セット 犬 おやつ ドックフード トッパー</t>
  </si>
  <si>
    <t>b0d144dgjh</t>
  </si>
  <si>
    <t>8974/942-a</t>
  </si>
  <si>
    <t>B0D144DGJH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</si>
  <si>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</si>
  <si>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</si>
  <si>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</si>
  <si>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</si>
  <si>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</si>
  <si>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</si>
  <si>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</si>
  <si>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2588-a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</si>
  <si>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</si>
  <si>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</si>
  <si>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4953103473683-a</t>
  </si>
  <si>
    <t>B016QCPNUW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</si>
  <si>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</si>
  <si>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</si>
  <si>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</si>
  <si>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</si>
  <si>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カクレモモジリ＆スモモノウチ</t>
  </si>
  <si>
    <t>AST-0012</t>
  </si>
  <si>
    <t>B0GSQBDVWX-8090</t>
  </si>
  <si>
    <t>カクレモモジリ/チラシ</t>
  </si>
  <si>
    <t>B0GSQJBZ71-8083</t>
  </si>
  <si>
    <t>集合</t>
  </si>
  <si>
    <t>B0GSQ9KN3R-8106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</si>
  <si>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</si>
  <si>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</si>
  <si>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</t>
  </si>
  <si>
    <t>ソフラン アロマリッチ 柔軟剤 金木犀の香り つめかえ用 950ml×2 特大容量 部屋干し 雨の日 部屋 かろやか 香る きれい 清潔 衣類 防臭 抗菌 金木犀  洗濯</t>
  </si>
  <si>
    <t>b0dq55rncd</t>
  </si>
  <si>
    <t>4903301366959-2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</si>
  <si>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</si>
  <si>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</si>
  <si>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</si>
  <si>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B0BXBNHLFY-1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</si>
  <si>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</si>
  <si>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</si>
  <si>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</si>
  <si>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</si>
  <si>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</si>
  <si>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7978/2126-a</t>
  </si>
  <si>
    <t>いなば チャオ ちゅ～る まぐろ＆贅沢サーモン （14g×4本）×6コ 猫 猫用 国産 おやつ 液状  水分補給 キャットフード  人気 大容量 まとめ買い 猫スナック ペースト</t>
  </si>
  <si>
    <t>b01dlx1vza</t>
  </si>
  <si>
    <t>8533/918-a</t>
  </si>
  <si>
    <t>B01DLX1VZA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</si>
  <si>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</si>
  <si>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</si>
  <si>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</si>
  <si>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マンダム ハッピーデオ 極氷冷ドライシャンプー アイスシトラス＆ミント40g ［ドライシャンプー］ シャンプー 夏 クール</t>
  </si>
  <si>
    <t>3806/140</t>
  </si>
  <si>
    <t>ペッツルート もっと虫よけ エリアスマイル 60日 120日 うさぎ コアラ 超小型犬・小型犬・中型犬・大型犬 散歩用 犬 犬用 S M 長い 蚊対策 虫刺され 防虫 簡単 かわいい</t>
  </si>
  <si>
    <t>60日 x コアラ(中型犬・大型犬)</t>
  </si>
  <si>
    <t>b0cc8ltjkm</t>
  </si>
  <si>
    <t>605,858,638,891-a</t>
  </si>
  <si>
    <t>B0D4DPY659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</si>
  <si>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</si>
  <si>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b0fdgc838r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</si>
  <si>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</si>
  <si>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</si>
  <si>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</si>
  <si>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アース・ペット 猫スタミノール 食欲 50g×2本セット 猫 猫用 おやつ ウェット キャットフード 人気</t>
  </si>
  <si>
    <t>b0dgy42sr6</t>
  </si>
  <si>
    <t>1106/1278-a</t>
  </si>
  <si>
    <t>【並行輸入品】ニュクス プロディジュー オイル リッチ 100ml ボディケア 美容 ケア</t>
  </si>
  <si>
    <t>9808/2762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</si>
  <si>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</si>
  <si>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</si>
  <si>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4987241168453-2-a</t>
  </si>
  <si>
    <t>B08WSHQWL8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</si>
  <si>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</si>
  <si>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</si>
  <si>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</si>
  <si>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</si>
  <si>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</si>
  <si>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</si>
  <si>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</si>
  <si>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</si>
  <si>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b0cvm4kzvr-1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</si>
  <si>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</si>
  <si>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</si>
  <si>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</si>
  <si>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</si>
  <si>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</si>
  <si>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</si>
  <si>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b0dh2hl1mv</t>
  </si>
  <si>
    <t>1391/1208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</si>
  <si>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</si>
  <si>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b00bes4t40</t>
  </si>
  <si>
    <t>0930/2418-a</t>
  </si>
  <si>
    <t>B00BES4T40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</si>
  <si>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</si>
  <si>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</si>
  <si>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4070/1311-a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</si>
  <si>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</si>
  <si>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</si>
  <si>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4902407025111-3-a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</si>
  <si>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</si>
  <si>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フルフルパピー</t>
  </si>
  <si>
    <t>b0frs9w3ft</t>
  </si>
  <si>
    <t>1469,1476,1360,3903,2131/1133</t>
  </si>
  <si>
    <t>B0DVSW1YS7-2094</t>
  </si>
  <si>
    <t>アトリックス ハンドミルキーローション 140g×3個セット ハンドクリーム 保湿 手荒れ ケア ポンプタイプ 花王 ハンド クリーム</t>
  </si>
  <si>
    <t>b0cjfl5j9t-1</t>
  </si>
  <si>
    <t>4051/1542-a</t>
  </si>
  <si>
    <t>B0CJFL5J9T-1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</si>
  <si>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</si>
  <si>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</si>
  <si>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</si>
  <si>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ピジョン チビオンフィット (ベビーわき下体温計) ブルー 体温計 赤ちゃん マタニティー</t>
  </si>
  <si>
    <t>3596/1453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</si>
  <si>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</si>
  <si>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</si>
  <si>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</si>
  <si>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</si>
  <si>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</si>
  <si>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</si>
  <si>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</si>
  <si>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</si>
  <si>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4987176286307-2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</si>
  <si>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</si>
  <si>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</si>
  <si>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3588/844-a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</si>
  <si>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</si>
  <si>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</si>
  <si>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</si>
  <si>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</si>
  <si>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</si>
  <si>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</si>
  <si>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</si>
  <si>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</si>
  <si>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</si>
  <si>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</si>
  <si>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</si>
  <si>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</si>
  <si>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</si>
  <si>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クリア</t>
  </si>
  <si>
    <t>B0FL297CY2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</si>
  <si>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</si>
  <si>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</si>
  <si>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NEXXUS(ネクサス) インテンスダメージリペア シャンプー 詰め替え用 350g×3個セット ケア ヘアケア</t>
  </si>
  <si>
    <t>b0bqtg8vt7-1</t>
  </si>
  <si>
    <t>2479/2418</t>
  </si>
  <si>
    <t>B0BQTG8VT7-1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</si>
  <si>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</si>
  <si>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フレッシュ・クリーン・ラベンダー</t>
  </si>
  <si>
    <t>br-0001</t>
  </si>
  <si>
    <t>BR-0001-a</t>
  </si>
  <si>
    <t>B0CB65N8RC</t>
  </si>
  <si>
    <t>60日 x うさぎ(超小型犬・小型犬)</t>
  </si>
  <si>
    <t>B0CC8LTJKM</t>
  </si>
  <si>
    <t>【4個セット】ロッシ馬油ナチュラルミルクローション 485ml 大容量 馬油 保湿ローション 全身用 ボディミルク 乾燥肌 スキンケア 家族用 しっとり 無香料 日本製</t>
  </si>
  <si>
    <t>b074zbsyx3</t>
  </si>
  <si>
    <t>7773/1560-a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</si>
  <si>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</si>
  <si>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</si>
  <si>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</si>
  <si>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</si>
  <si>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</si>
  <si>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</si>
  <si>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ペティオ (Petio) 犬猫用マット 広々寝そべれるクールアルミピローシートHNZ 猫 犬 人気 夏用 冷感 熱中症対策 ひんやり</t>
  </si>
  <si>
    <t>L</t>
  </si>
  <si>
    <t>b0cxj3y11l</t>
  </si>
  <si>
    <t>3889,3896/1155,1287</t>
  </si>
  <si>
    <t>B0CXJ2JXFR</t>
  </si>
  <si>
    <t>花王 ワイドハイター クリアヒーロー 消臭ジェル フレッシュフローラルの香り 詰替 500ml×2個セット 消臭 衣類 消臭剤</t>
  </si>
  <si>
    <t>b0fjlg3fpt</t>
  </si>
  <si>
    <t>4171/1182</t>
  </si>
  <si>
    <t>ululis(ウルリス) パープル ウォーターコンク エクストラモイスト ハンドクリーム 65g 手 ケア 美容 乾燥</t>
  </si>
  <si>
    <t>3191/539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</si>
  <si>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</si>
  <si>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</si>
  <si>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</si>
  <si>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いなば ちゅ~る 軟骨・野菜バラエティ 20本 総合栄養食 犬 犬用おやつ ドックフード 大容量 人気</t>
  </si>
  <si>
    <t>b09v2k6w2v-a</t>
  </si>
  <si>
    <t>1117/253</t>
  </si>
  <si>
    <t>b09v2k6w2v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</si>
  <si>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</si>
  <si>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</t>
  </si>
  <si>
    <t>4901080186317-2-a</t>
  </si>
  <si>
    <t>いなば ちゅ~るごはん とりささみビーフバラエティ 20本 総合栄養食 犬 犬用おやつ ドックフード 大容量 人気</t>
  </si>
  <si>
    <t>b086yfc21v</t>
  </si>
  <si>
    <t>1790/598-a</t>
  </si>
  <si>
    <t>B086YFC21V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</si>
  <si>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</si>
  <si>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b0dnm4fzyy-1</t>
  </si>
  <si>
    <t>6708,6715/903,678-a</t>
  </si>
  <si>
    <t>ファブリーズ PREMIUM 消臭スプレー 布用 シトラス 詰め替え 特大(610mL×2セット)  除菌 P&amp;Gジャパン スプレー</t>
  </si>
  <si>
    <t>b0f3d1zw85</t>
  </si>
  <si>
    <t>4987176305732-2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</si>
  <si>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</si>
  <si>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</si>
  <si>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</si>
  <si>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</si>
  <si>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</si>
  <si>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</si>
  <si>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</si>
  <si>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</si>
  <si>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</si>
  <si>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</si>
  <si>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ペティオ (Petio) プレシャンテ部分カットバリカン 犬 猫 犬用 猫用 カット バリカン</t>
  </si>
  <si>
    <t>b0082mtvt4</t>
  </si>
  <si>
    <t>0669/1496</t>
  </si>
  <si>
    <t>クラウドポップタイム</t>
  </si>
  <si>
    <t>B0GSQCBT5P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</si>
  <si>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</si>
  <si>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</si>
  <si>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</si>
  <si>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</si>
  <si>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</si>
  <si>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</si>
  <si>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</si>
  <si>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</si>
  <si>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</si>
  <si>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</si>
  <si>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</si>
  <si>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</si>
  <si>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</si>
  <si>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</si>
  <si>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そらねこ</t>
  </si>
  <si>
    <t>2164,2171,2188,2195,2201/1072</t>
  </si>
  <si>
    <t>CIAO すごい乳酸菌ちゅ〜る 総合栄養食バラエティ 14g×30本  猫用　簡易梱包</t>
  </si>
  <si>
    <t>b0939ms64g</t>
  </si>
  <si>
    <t>シュガーミエル</t>
  </si>
  <si>
    <t>B0GSQ5TGBD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</si>
  <si>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</si>
  <si>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</si>
  <si>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3080/1167-a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</si>
  <si>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</si>
  <si>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きらりんエナガマーチ</t>
  </si>
  <si>
    <t>b0frs8q4sr</t>
  </si>
  <si>
    <t>1131,1148,1155,1162,1179,1186-a</t>
  </si>
  <si>
    <t>B0FRS9RLPL</t>
  </si>
  <si>
    <t>ペッツルート もっと虫よけ エリアスマイル 70日 140日 210日 うさぎ くま 超小型犬・小型犬・中型犬・大型犬の散歩用 犬 S M サイズ</t>
  </si>
  <si>
    <t>70日 x うさぎ(超小型犬・小型犬)</t>
  </si>
  <si>
    <t>b0f2sy4r29</t>
  </si>
  <si>
    <t>621,1148,1480,589,932,1216-a</t>
  </si>
  <si>
    <t>B0F2SN45YZ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</si>
  <si>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</si>
  <si>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</si>
  <si>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830-a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</si>
  <si>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</si>
  <si>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</si>
  <si>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4571,1365,1369,1372/1690-a</t>
  </si>
  <si>
    <t>エージーデオ24 デオドラントボディミルク 無香性 180ml×2個セット 匂い 匂いケア ニオイケア ケア ニオイ</t>
  </si>
  <si>
    <t>b0bsgb956y</t>
  </si>
  <si>
    <t>4971/1534</t>
  </si>
  <si>
    <t>B0BSGB956Y</t>
  </si>
  <si>
    <t>ペティオ (Petio) プレシャンテ ダブルラバーブラシ ペット用 犬 猫 犬用 猫用 グルーミング ブラシ コーミング</t>
  </si>
  <si>
    <t>b004vk3ch8</t>
  </si>
  <si>
    <t>8963/550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</si>
  <si>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</si>
  <si>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b0d1p44ht9</t>
  </si>
  <si>
    <t>4542750119701-a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</si>
  <si>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</si>
  <si>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</si>
  <si>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</si>
  <si>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NEXXUS(ネクサス) インテンスダメージリペア シャンプー 詰め替え用 350g×2個セット ケア ヘアケア</t>
  </si>
  <si>
    <t>b0bqtg8vt7</t>
  </si>
  <si>
    <t>2479/1612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</si>
  <si>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</si>
  <si>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</si>
  <si>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3530/1296-a</t>
  </si>
  <si>
    <t>B0CWSM72S7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</si>
  <si>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</si>
  <si>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</si>
  <si>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4901477100445-2-a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</si>
  <si>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</si>
  <si>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</si>
  <si>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4901548604421-3-a</t>
  </si>
  <si>
    <t>B0F3NWGTWL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</si>
  <si>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</si>
  <si>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</si>
  <si>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ペティオ (Petio) 犬猫用マット 電気を使わない アルミ＆ジェル ソフトクールマット 猫 犬 人気 夏用 冷感 熱中症対策 ひんやり</t>
  </si>
  <si>
    <t>2L</t>
  </si>
  <si>
    <t>b0cxhysh9b</t>
  </si>
  <si>
    <t>3919,3926,3933/495,528,693</t>
  </si>
  <si>
    <t>B0CXJHK4WN</t>
  </si>
  <si>
    <t>リッツ リバイバル うるおい玉 EGF 6回分×2個セット フリーズドライ 美容液 無添加 無香料  エイジングケア ケア</t>
  </si>
  <si>
    <t>b08f5bdmfl-1</t>
  </si>
  <si>
    <t>1902/1314-a</t>
  </si>
  <si>
    <t>B08F5BDMFL-1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</si>
  <si>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</si>
  <si>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</si>
  <si>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</si>
  <si>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</si>
  <si>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</si>
  <si>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</si>
  <si>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</si>
  <si>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b0f3d2l45v</t>
  </si>
  <si>
    <t>INTEX(インテックス) 空気入れ ポンプ AC エレクトリックポンプ 100V 66639 [日本正規品] 浮き輪 プール ボール</t>
  </si>
  <si>
    <t>b07q5846pr</t>
  </si>
  <si>
    <t>6106/1429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</si>
  <si>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</si>
  <si>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</si>
  <si>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</si>
  <si>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</si>
  <si>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</si>
  <si>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3325/550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</si>
  <si>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</si>
  <si>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</si>
  <si>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4903301344193-2-a</t>
  </si>
  <si>
    <t>B0BXBQ71WB-1</t>
  </si>
  <si>
    <t>ペティオ (Petio) Self Trimmer コードレスバリカン 犬・猫用 ディテール ホワイト 散髪 トリミング バリカン お手入れ カット</t>
  </si>
  <si>
    <t>b087lzdd59</t>
  </si>
  <si>
    <t>3036/1273</t>
  </si>
  <si>
    <t>B087LZDD59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</si>
  <si>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</si>
  <si>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</si>
  <si>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</si>
  <si>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PRO ADVANCE セキセイインコ 650g×2個セット 鳥 とり バード 国産 フード 餌 えさ 種 穀類 総合栄養食 高タンパク インコ 主食</t>
  </si>
  <si>
    <t>b0dnt4kt8f</t>
  </si>
  <si>
    <t>4335/1100-a</t>
  </si>
  <si>
    <t>ICY ZAP アイシーザップ クーリングスカルプセラム サマーシャーベットの香り 100mL×2個セット 頭皮用美容液</t>
  </si>
  <si>
    <t>b0f937ntly</t>
  </si>
  <si>
    <t>9097/1096-a</t>
  </si>
  <si>
    <t>210日 x うさぎ(超小型犬・小型犬)</t>
  </si>
  <si>
    <t>B0F2SHYQ8W-a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</si>
  <si>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</si>
  <si>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</si>
  <si>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</si>
  <si>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</si>
  <si>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b0fl6wtk7g</t>
  </si>
  <si>
    <t>946-a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</si>
  <si>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</si>
  <si>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</si>
  <si>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</si>
  <si>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b0dgqqh4tt</t>
  </si>
  <si>
    <t>0703/1100-a</t>
  </si>
  <si>
    <t>いなば ちゅ~る とりささみバラエティ 20本 総合栄養食 犬 犬用おやつ ドックフード 大容量 人気</t>
  </si>
  <si>
    <t>b07phx85j9</t>
  </si>
  <si>
    <t>6803/598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</si>
  <si>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</si>
  <si>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</si>
  <si>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</si>
  <si>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</si>
  <si>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</si>
  <si>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</si>
  <si>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</si>
  <si>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</si>
  <si>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</si>
  <si>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</si>
  <si>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</si>
  <si>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</si>
  <si>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</si>
  <si>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</si>
  <si>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AST-0006</t>
  </si>
  <si>
    <t>匠のAG+抗菌耳かき綿棒　50本入×5個セット 綿棒 ケア 耳掃除 個包装</t>
  </si>
  <si>
    <t>b0bd42lkyk</t>
  </si>
  <si>
    <t>3564/605</t>
  </si>
  <si>
    <t>【12個セット】 いなばペットフード いなば 焼きミックスちゅ～る和え まぐろ味とえび味 10g×3袋</t>
  </si>
  <si>
    <t>b0dfcpljq7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</si>
  <si>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</si>
  <si>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</si>
  <si>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</si>
  <si>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</si>
  <si>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</si>
  <si>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</si>
  <si>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</si>
  <si>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</si>
  <si>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</si>
  <si>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</si>
  <si>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</si>
  <si>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</si>
  <si>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</si>
  <si>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【医薬部外品】ニベアＵＶ 薬用ジェル_ほてりを防ぐ消炎剤配合（ＳＰＦ３５／ＰＡ＋＋＋） 日焼け止め 消炎剤 UVカット</t>
  </si>
  <si>
    <t>b0btrnfdzg</t>
  </si>
  <si>
    <t>4305/660-a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</si>
  <si>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</si>
  <si>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2個</t>
  </si>
  <si>
    <t>b01chxcqa4</t>
  </si>
  <si>
    <t>3336/109</t>
  </si>
  <si>
    <t>B01CHXCQA4-1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</si>
  <si>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</si>
  <si>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</si>
  <si>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4613/768-a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</si>
  <si>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</si>
  <si>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</si>
  <si>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</si>
  <si>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</si>
  <si>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</si>
  <si>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</si>
  <si>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</si>
  <si>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</si>
  <si>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フレッシュ・ブルー・シャボン</t>
  </si>
  <si>
    <t>B0CSMGSZ94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</si>
  <si>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</si>
  <si>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</si>
  <si>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3516/874-a</t>
  </si>
  <si>
    <t>140日 x くま(中型犬・大型犬)</t>
  </si>
  <si>
    <t>B0F2SL3945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</si>
  <si>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</si>
  <si>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</si>
  <si>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</si>
  <si>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</si>
  <si>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</si>
  <si>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</si>
  <si>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</si>
  <si>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</si>
  <si>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</si>
  <si>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</si>
  <si>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</si>
  <si>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いなば ちゅ～るボール とりささみ チーズ 犬用 6袋セット 犬 おやつ ドックフード トッパー</t>
  </si>
  <si>
    <t>b0d14f2hvy</t>
  </si>
  <si>
    <t>9018/942-a</t>
  </si>
  <si>
    <t>B0D14F2HVY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</si>
  <si>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</si>
  <si>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</si>
  <si>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ファブリーズ 消臭スプレー PREMIUM パステルフローラル＆ブロッサムの香り 布用  詰め替え 特大 610mL 除菌 P&amp;Gジャパン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</si>
  <si>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</si>
  <si>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</si>
  <si>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</si>
  <si>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</si>
  <si>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</si>
  <si>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</si>
  <si>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メイベリン リップ シャインコンパルジョン SPK21 チェリーピンク ツヤ 口紅 リップ</t>
  </si>
  <si>
    <t>b07l3syz5m</t>
  </si>
  <si>
    <t>6902395691075-a</t>
  </si>
  <si>
    <t>ファブリーズ 消臭芳香剤 車用 イージークリップ さくらフローラル 2.4mLｘ2個 消臭 芳香剤</t>
  </si>
  <si>
    <t>b0dkf48flp</t>
  </si>
  <si>
    <t>9599/660-a</t>
  </si>
  <si>
    <t>ペティオ (Petio) ペット用コーム プレシャンテ のみとりコーム ペット用 M サイズ 犬 猫 犬用 猫用 コーミング  ノミ</t>
  </si>
  <si>
    <t>b004vk7a44</t>
  </si>
  <si>
    <t>8697/539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</si>
  <si>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</si>
  <si>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</si>
  <si>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</si>
  <si>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</si>
  <si>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Biore ビオレZero お風呂で使う汗ケアローション 無香性 200ml 無香性 汗ケア お風呂 浴室</t>
  </si>
  <si>
    <t>b0cvs37jdk</t>
  </si>
  <si>
    <t>2223/438-a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</si>
  <si>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</si>
  <si>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</si>
  <si>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</si>
  <si>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B0C2BV491C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</si>
  <si>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</si>
  <si>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</si>
  <si>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</si>
  <si>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ビオレu 泡ハンドソープ シトラスの香り つめかえ用 770ml 詰め替え 手洗い 殺菌 消毒</t>
  </si>
  <si>
    <t>b0by2pjqg2-1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</si>
  <si>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</si>
  <si>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</si>
  <si>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</si>
  <si>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b09dyk9369</t>
  </si>
  <si>
    <t>3917/548</t>
  </si>
  <si>
    <t>いなば ほぐし身 焼ささみ チキンスープ・かにかまバラエティ 14g×5袋 チキン 猫</t>
  </si>
  <si>
    <t>b0dhjq9z29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</si>
  <si>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</si>
  <si>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</si>
  <si>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</si>
  <si>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</si>
  <si>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</si>
  <si>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</si>
  <si>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</si>
  <si>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</si>
  <si>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</si>
  <si>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</si>
  <si>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</si>
  <si>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</si>
  <si>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</si>
  <si>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</si>
  <si>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</si>
  <si>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3856/642</t>
  </si>
  <si>
    <t>VB0BYNPNH2M-1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</si>
  <si>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</si>
  <si>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</si>
  <si>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</si>
  <si>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</si>
  <si>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</si>
  <si>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</si>
  <si>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</si>
  <si>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</si>
  <si>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</si>
  <si>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</si>
  <si>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</si>
  <si>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</si>
  <si>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</si>
  <si>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</si>
  <si>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</si>
  <si>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</si>
  <si>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</si>
  <si>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</si>
  <si>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</si>
  <si>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</si>
  <si>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</si>
  <si>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</si>
  <si>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</si>
  <si>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</si>
  <si>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</si>
  <si>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</si>
  <si>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</si>
  <si>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</si>
  <si>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</si>
  <si>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1877/19800</t>
  </si>
  <si>
    <t>XD-SX6510GD EX-word(エクスワード)生活・教養モデル ゴールド 辞書 電子辞書 勉強</t>
  </si>
  <si>
    <t>b0d86pqwjj</t>
  </si>
  <si>
    <t>7015/19350</t>
  </si>
  <si>
    <t>7978/2126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</si>
  <si>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</si>
  <si>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</si>
  <si>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</si>
  <si>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</si>
  <si>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</si>
  <si>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</si>
  <si>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花王 ワイドハイター 消臭専用ジェル グリーンシトラスの香り つめかえ用 500ml×3個セット 消臭 衣類 消臭剤</t>
  </si>
  <si>
    <t>b09w5z2l1m</t>
  </si>
  <si>
    <t>5173/1359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</si>
  <si>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</si>
  <si>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</si>
  <si>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</si>
  <si>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</si>
  <si>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</si>
  <si>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</si>
  <si>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</si>
  <si>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</si>
  <si>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</si>
  <si>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</si>
  <si>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2870/22800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</si>
  <si>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</si>
  <si>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</si>
  <si>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</si>
  <si>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</si>
  <si>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</si>
  <si>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</si>
  <si>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</si>
  <si>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オフホワイト</t>
  </si>
  <si>
    <t>B0CP4RHK7X</t>
  </si>
  <si>
    <t>NEWクレラップ お徳用 22cm×50m 3本セット クレラップ ラップ 日本製 キッチンラップ 食品保存 電子レンジ対応 まとめ買い 日用品 消耗品 ストック 主婦 人気</t>
  </si>
  <si>
    <t>b000vicipq</t>
  </si>
  <si>
    <t>2505/1112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</si>
  <si>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</si>
  <si>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</si>
  <si>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</si>
  <si>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b0c7gg37qv</t>
  </si>
  <si>
    <t>1641/9952</t>
  </si>
  <si>
    <t>1184/8480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</si>
  <si>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</si>
  <si>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</si>
  <si>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</si>
  <si>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</si>
  <si>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</si>
  <si>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</si>
  <si>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</si>
  <si>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</si>
  <si>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b0dwmpnclc</t>
  </si>
  <si>
    <t>3532/2990</t>
  </si>
  <si>
    <t>グレーシャーホワイト</t>
  </si>
  <si>
    <t>B09ZX764ZL</t>
  </si>
  <si>
    <t>パールホワイト</t>
  </si>
  <si>
    <t>B0D7ZMNRFY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</si>
  <si>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</si>
  <si>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</si>
  <si>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</si>
  <si>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210日 x くま(中型犬・大型犬)</t>
  </si>
  <si>
    <t>B0F2SLHZNB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</si>
  <si>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</si>
  <si>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</si>
  <si>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</si>
  <si>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</si>
  <si>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</si>
  <si>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</si>
  <si>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CeraVe フォーミングフェイシャルクレンザー 473ml ジェル 洗顔 メイク落とし</t>
  </si>
  <si>
    <t>b07c5zk1d5</t>
  </si>
  <si>
    <t>メラノCC ディープクリア酵素洗顔 130g×5個セット 酵素×ビタミンC配合 洗顔フォーム 毛穴ケア</t>
  </si>
  <si>
    <t>b09py4134y</t>
  </si>
  <si>
    <t>3242/2935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</si>
  <si>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</si>
  <si>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</si>
  <si>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</si>
  <si>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</si>
  <si>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</si>
  <si>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</si>
  <si>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</si>
  <si>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</si>
  <si>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</si>
  <si>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</si>
  <si>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ストームグレイ</t>
  </si>
  <si>
    <t>b0d3kthmt4</t>
  </si>
  <si>
    <t>4957,4971/9100</t>
  </si>
  <si>
    <t>B0D3L1R7HD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</si>
  <si>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</si>
  <si>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</si>
  <si>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</si>
  <si>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0646,0653/504</t>
  </si>
  <si>
    <t>Amazon Fire TV Stick 4K Max(マックス) ストリーミングメディアプレイヤー ファイヤーtvスティック amazonファイヤースティック</t>
  </si>
  <si>
    <t>b0bw37qy2v</t>
  </si>
  <si>
    <t>4051/1542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</si>
  <si>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</si>
  <si>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</si>
  <si>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</si>
  <si>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</si>
  <si>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b09c86l9jt-1</t>
  </si>
  <si>
    <t>1323/2134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</si>
  <si>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</si>
  <si>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</si>
  <si>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</si>
  <si>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</si>
  <si>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</si>
  <si>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</si>
  <si>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</si>
  <si>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</si>
  <si>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6708,6715/903,678</t>
  </si>
  <si>
    <t>きんだい(Kindai) ウェットタオル 冷ひやネックタオル 56×20cm 50本入り 日本製 大判 防災 使い捨て 個包装 暑さ対策 熱中症</t>
  </si>
  <si>
    <t>7514/1300</t>
  </si>
  <si>
    <t>アース製薬 カメムシコロリ  300ml ×3個セット ニオイを出す前に一発撃退! ガーデン 害虫対策 駆除 虫 殺虫剤</t>
  </si>
  <si>
    <t>b00layzmas</t>
  </si>
  <si>
    <t>1012/1884</t>
  </si>
  <si>
    <t>6087/454</t>
  </si>
  <si>
    <t>M-8984/806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</si>
  <si>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</si>
  <si>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</si>
  <si>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</si>
  <si>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</si>
  <si>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</si>
  <si>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</si>
  <si>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花王 ワイドハイター クリアヒーロー 消臭ジェル フレッシュフローラルの香り 詰替 500ml×3個セット 消臭 衣類 消臭剤</t>
  </si>
  <si>
    <t>トイレのルック つめかえ用 350ml トイレ 掃除 洗剤 トイレ用洗剤</t>
  </si>
  <si>
    <t>3個</t>
  </si>
  <si>
    <t>B01CHXCQA4-2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</si>
  <si>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</si>
  <si>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</si>
  <si>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</si>
  <si>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</si>
  <si>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</si>
  <si>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</si>
  <si>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</si>
  <si>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フィリップス ソニッケアー プロテクトクリーン ライトブルー HX6803/72 歯磨き ケア 口臭</t>
  </si>
  <si>
    <t>b0b9wr58ry</t>
  </si>
  <si>
    <t>4459/6630</t>
  </si>
  <si>
    <t>HAKU ハク メラノフォーカスEV 45g 本体 医薬部外品 化粧品 肌 肌ケア ケア</t>
  </si>
  <si>
    <t>b0bthtbcrn</t>
  </si>
  <si>
    <t>4377,3070/4790</t>
  </si>
  <si>
    <t>B0CXNVT5J4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</si>
  <si>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</si>
  <si>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</si>
  <si>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</si>
  <si>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</si>
  <si>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2526,2540,2533/1182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</si>
  <si>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</si>
  <si>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</si>
  <si>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</si>
  <si>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</si>
  <si>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</si>
  <si>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</si>
  <si>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</si>
  <si>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P&amp;G ジレット プロシールド5+1 パワー ホルダー 電動タイプ (1本) 本体 替刃6個付 電動 シェーバー メンズ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</si>
  <si>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</si>
  <si>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</si>
  <si>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</si>
  <si>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</si>
  <si>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</si>
  <si>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</si>
  <si>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</si>
  <si>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</si>
  <si>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</si>
  <si>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</si>
  <si>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</si>
  <si>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</si>
  <si>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</si>
  <si>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</si>
  <si>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</si>
  <si>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</si>
  <si>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</si>
  <si>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4305/660</t>
  </si>
  <si>
    <t>4613/347</t>
  </si>
  <si>
    <t>8703/1584</t>
  </si>
  <si>
    <t>アリエール MiRAi 洗濯洗剤 濃縮 漂白剤級の洗浄プラス* 詰め替え 約2.2倍/640g×3個セット [タテ・ドラム式OK] 洗濯 洗剤 洗浄 抗菌</t>
  </si>
  <si>
    <t>b0czxfsh7d-2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</si>
  <si>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</si>
  <si>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</si>
  <si>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9599/660</t>
  </si>
  <si>
    <t>7409/396</t>
  </si>
  <si>
    <t>コスメテックスローランド 浪蘭堂 薬用和ハッカ 水ミスト 250mL×4個セット 化粧水 ケア 肌 肌ケア</t>
  </si>
  <si>
    <t>b092dqrjkb</t>
  </si>
  <si>
    <t>5878/1892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</si>
  <si>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</si>
  <si>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</si>
  <si>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【選べる】NUXE プロディジュー オイル 50mL（定番/フローラル/ゴールド）ボディケア 美容 ケア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</si>
  <si>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</si>
  <si>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</si>
  <si>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</si>
  <si>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</si>
  <si>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</si>
  <si>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</si>
  <si>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</si>
  <si>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</si>
  <si>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</si>
  <si>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</si>
  <si>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</si>
  <si>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いなば ちゅ〜る トッパー ドライ チキン味 180g×3個 犬用 おやつ ドックフード</t>
  </si>
  <si>
    <t>3516/648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</si>
  <si>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</si>
  <si>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</si>
  <si>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</si>
  <si>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いなば ちゅ～る トッパー ドライ 3種 (180g×3) 合計３袋セット 犬用 おやつ ドックフード アソート まとめ買い</t>
  </si>
  <si>
    <t>3516,3530,3523/648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</si>
  <si>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</si>
  <si>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</si>
  <si>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</si>
  <si>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</si>
  <si>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</si>
  <si>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</si>
  <si>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</si>
  <si>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</si>
  <si>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</si>
  <si>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</si>
  <si>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</si>
  <si>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</si>
  <si>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</si>
  <si>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</si>
  <si>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</si>
  <si>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</si>
  <si>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1255,1286/1508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</si>
  <si>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</si>
  <si>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</si>
  <si>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CIAOちゅ〜る＆ハローキティ ラウンドベッド 【限定品】</t>
  </si>
  <si>
    <t>9567/770</t>
  </si>
  <si>
    <t>極みのAg+抗菌綿棒 紙の個包装 100本入×5個セット 綿棒 個包装 ケア 耳掃除</t>
  </si>
  <si>
    <t>b0bd43nw2j</t>
  </si>
  <si>
    <t>3557/764</t>
  </si>
  <si>
    <t>ファブリーズ おそうじエイド ハウスダストをまとめて固めるスプレー 香料無添加 370ml 除菌 P&amp;Gジャパン スプレー</t>
  </si>
  <si>
    <t>b098mjm99x</t>
  </si>
  <si>
    <t>5041/285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</si>
  <si>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</si>
  <si>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</si>
  <si>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</si>
  <si>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</si>
  <si>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</si>
  <si>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</si>
  <si>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</si>
  <si>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</si>
  <si>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いなば チャオ(CIAO)ちゅ〜るごはん とりささみ 総合栄養食 14g×4P ６袋セット 猫 猫用 おやつ 国産 液状 キャットフード 人気 グレインフリー</t>
  </si>
  <si>
    <t>5722/870</t>
  </si>
  <si>
    <t>B0CXJ22BSS</t>
  </si>
  <si>
    <t>太陽のさち ポケットデオ デオドラント ケア 匂い 匂いケア</t>
  </si>
  <si>
    <t>b0bwq4kpg4</t>
  </si>
  <si>
    <t>2706/273</t>
  </si>
  <si>
    <t>いなば ちゅ〜るボール とりささみ ビーフ 犬用 6袋セット 犬 おやつ ドックフード トッパー</t>
  </si>
  <si>
    <t>8974/942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</si>
  <si>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</si>
  <si>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</si>
  <si>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</si>
  <si>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</si>
  <si>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ブラザー工業インクカートリッジ4色パック(エコパッケージ) LC411-4PK-E インク プリント</t>
  </si>
  <si>
    <t>b09lv978my</t>
  </si>
  <si>
    <t>0370/3847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</si>
  <si>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</si>
  <si>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b07pcq697v</t>
  </si>
  <si>
    <t>わんわん チョイあげ 国産 13種 バラエティ アソート セット  犬用 おやつ</t>
  </si>
  <si>
    <t>b0f2hpb231-1</t>
  </si>
  <si>
    <t>5829/1210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</si>
  <si>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</si>
  <si>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</si>
  <si>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</si>
  <si>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</si>
  <si>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</si>
  <si>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</si>
  <si>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</si>
  <si>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</si>
  <si>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</si>
  <si>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</si>
  <si>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</si>
  <si>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</si>
  <si>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ペティオ (Petio) プレシャンテ ラバーブラシ ペット用 ペット用 犬 猫 犬用 猫用 グルーミング ブラシ</t>
  </si>
  <si>
    <t>b004vk6oxc</t>
  </si>
  <si>
    <t>8840/555</t>
  </si>
  <si>
    <t>いなば 魚づくし まぐろ・かつお 6種 アソート (60ｇ×3袋) 合計６袋セット 猫 猫用 パウチ おやつ ウェット ソフトゼリー キャットフード 人気 バラエティ まとめ買い</t>
  </si>
  <si>
    <t>ペティオ (Petio) プレシャンテ 犬用ネイルカッター ストッパー付 犬用 M サイズ 犬 爪切り ケア</t>
  </si>
  <si>
    <t>b00ihqis9y</t>
  </si>
  <si>
    <t>7439/833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</si>
  <si>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</si>
  <si>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3927/2220</t>
  </si>
  <si>
    <t>ドクターズチョイス ゴートミルク(ヤギミルク) 犬猫用みるく 120g 犬 猫 犬用 猫用 ペット</t>
  </si>
  <si>
    <t>送料無料</t>
  </si>
  <si>
    <t>5035/1130</t>
  </si>
  <si>
    <t>B075GK2MZW-2</t>
  </si>
  <si>
    <t>アース・ペット スタミノール 食欲がない時に 犬・猫用 100g</t>
  </si>
  <si>
    <t>0703/1100</t>
  </si>
  <si>
    <t>8095/396</t>
  </si>
  <si>
    <t>8286/1978</t>
  </si>
  <si>
    <t>NEXXUS スムースアンドマネージャブル ヘアマスク トリートメント 本体 220g×2個セット ケア ヘアケア ネクサス うねりケア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</si>
  <si>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</si>
  <si>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</si>
  <si>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</si>
  <si>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</si>
  <si>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</si>
  <si>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</si>
  <si>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B0GSQCP1MR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</si>
  <si>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</si>
  <si>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</si>
  <si>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</si>
  <si>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</si>
  <si>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</si>
  <si>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</si>
  <si>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</si>
  <si>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</si>
  <si>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</si>
  <si>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</si>
  <si>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</si>
  <si>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ソフラン アロマリッチ キャサリン 本体＋詰替セット 部屋干し 雨の日 部屋 かろやか 香る きれい 清潔 衣類 防臭 抗菌 金木犀  洗濯</t>
  </si>
  <si>
    <t>b0chyd2hnt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</si>
  <si>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</si>
  <si>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</si>
  <si>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</si>
  <si>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</si>
  <si>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</si>
  <si>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</si>
  <si>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</si>
  <si>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</si>
  <si>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</si>
  <si>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</si>
  <si>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</si>
  <si>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</si>
  <si>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</si>
  <si>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</si>
  <si>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</si>
  <si>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</si>
  <si>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</si>
  <si>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</si>
  <si>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B0FRSBPK5W</t>
  </si>
  <si>
    <t>120日 x コアラ(中型犬・大型犬)</t>
  </si>
  <si>
    <t>B0C3ZYYHGW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</si>
  <si>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</si>
  <si>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</si>
  <si>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</si>
  <si>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</si>
  <si>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</si>
  <si>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</si>
  <si>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</si>
  <si>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</si>
  <si>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</si>
  <si>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</si>
  <si>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</si>
  <si>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</si>
  <si>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</si>
  <si>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</si>
  <si>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</si>
  <si>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</si>
  <si>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</si>
  <si>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</si>
  <si>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</si>
  <si>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</si>
  <si>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</si>
  <si>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8056/286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</si>
  <si>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</si>
  <si>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</si>
  <si>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B093L53HM4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</si>
  <si>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</si>
  <si>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</si>
  <si>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</si>
  <si>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</si>
  <si>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</si>
  <si>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</si>
  <si>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</si>
  <si>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</si>
  <si>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</si>
  <si>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</si>
  <si>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</si>
  <si>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</si>
  <si>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</si>
  <si>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</si>
  <si>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</si>
  <si>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</si>
  <si>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</si>
  <si>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</si>
  <si>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</si>
  <si>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b0018b5c30</t>
  </si>
  <si>
    <t>3205/1540</t>
  </si>
  <si>
    <t>6644/574</t>
  </si>
  <si>
    <t>ロッシ馬油ナチュラルミルクローション 485ml×4個セット 馬油 ミルク ローション</t>
  </si>
  <si>
    <t>7773/1560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</si>
  <si>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</si>
  <si>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</si>
  <si>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1415/0720</t>
  </si>
  <si>
    <t>ライトパープル×2個</t>
  </si>
  <si>
    <t>B09G2XJQG2-1</t>
  </si>
  <si>
    <t>ミントグリーン×2個</t>
  </si>
  <si>
    <t>B093L81YVZ-1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</si>
  <si>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</si>
  <si>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</si>
  <si>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</si>
  <si>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</si>
  <si>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</si>
  <si>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</si>
  <si>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</si>
  <si>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</si>
  <si>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</si>
  <si>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</si>
  <si>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</si>
  <si>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</si>
  <si>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</si>
  <si>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</si>
  <si>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</si>
  <si>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b0fcb839t7</t>
  </si>
  <si>
    <t>エクセル 乳酸菌生成エキス コスモスラクト バード 30ml 鳥用 インコ サプリ 栄養補給</t>
  </si>
  <si>
    <t>9701/1287</t>
  </si>
  <si>
    <t>B0D1P44HT9-2</t>
  </si>
  <si>
    <t>ナチュラルペットフーズ エクセル セキセイインコ 1.3kg×2袋セット インコ 餌 主食 まとめ買い 大容量</t>
  </si>
  <si>
    <t>6104/1320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</si>
  <si>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</si>
  <si>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</si>
  <si>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</si>
  <si>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</si>
  <si>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6715/1356</t>
  </si>
  <si>
    <t>スクラビングバブル トイレスタンプ 消臭成分in クリアジャスミン 本体×3個セット トイレ洗剤 掃除 付け替え用</t>
  </si>
  <si>
    <t>b0cnkfjw3j</t>
  </si>
  <si>
    <t>6057/657</t>
  </si>
  <si>
    <t>3325/549</t>
  </si>
  <si>
    <t>ファブリーズ おそうじエイド ハウスダストをまとめて固めるスプレー 洗いたてのリネンの香り 370ml 除菌 P&amp;Gジャパン スプレー</t>
  </si>
  <si>
    <t>b098mh987h</t>
  </si>
  <si>
    <t>4723/294</t>
  </si>
  <si>
    <t>歯磨撫子 重曹すっきり洗口液 口臭ケア 毛穴撫子 マウスウォッシュ lemon 200ml 口 口臭 口臭ケア ケア</t>
  </si>
  <si>
    <t>b076vdntgg</t>
  </si>
  <si>
    <t>6182/825</t>
  </si>
  <si>
    <t>1161,1192,1178,1185/1152</t>
  </si>
  <si>
    <t>いなば 鶏づくし とりささみ 5種 (180ｇ×5袋) 合計5袋セット 猫 猫用 ウェット ゼリー キャットフード 人気 まとめ買い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</si>
  <si>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</si>
  <si>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</si>
  <si>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</si>
  <si>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</si>
  <si>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</si>
  <si>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</si>
  <si>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</si>
  <si>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</si>
  <si>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</si>
  <si>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</si>
  <si>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</si>
  <si>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</si>
  <si>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</si>
  <si>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</si>
  <si>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NEXXUS(ネクサス) リペアアンドカラープロテクト トリートメント 440g ポンプ ケア ヘアケア</t>
  </si>
  <si>
    <t>b0ctb8t88q</t>
  </si>
  <si>
    <t>6637/630</t>
  </si>
  <si>
    <t>ゴン太の歯磨き専用ガムSSサイズ L8020乳酸菌入り ４種 アソート 120g×4個セット いちごミルク ブルーベリー 乳酸菌 クロロフィル 国産品</t>
  </si>
  <si>
    <t>b0f9932wn7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</si>
  <si>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</si>
  <si>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</si>
  <si>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</si>
  <si>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</si>
  <si>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</si>
  <si>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</si>
  <si>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</si>
  <si>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</si>
  <si>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1926,1940,1957,1964/816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</si>
  <si>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</si>
  <si>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</si>
  <si>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</si>
  <si>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</si>
  <si>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</si>
  <si>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</si>
  <si>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</si>
  <si>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</si>
  <si>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b0c3ytglhd</t>
  </si>
  <si>
    <t>7612/473</t>
  </si>
  <si>
    <t>4193/358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</si>
  <si>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</si>
  <si>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</si>
  <si>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</si>
  <si>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</si>
  <si>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</si>
  <si>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</si>
  <si>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</si>
  <si>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</si>
  <si>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</si>
  <si>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</si>
  <si>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</si>
  <si>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</si>
  <si>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</si>
  <si>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</si>
  <si>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</si>
  <si>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</si>
  <si>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</si>
  <si>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</si>
  <si>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</si>
  <si>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</si>
  <si>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</si>
  <si>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</si>
  <si>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</si>
  <si>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</si>
  <si>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</si>
  <si>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</si>
  <si>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</si>
  <si>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もふころりん/ねこ</t>
  </si>
  <si>
    <t>B0FRS8BY3V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</si>
  <si>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</si>
  <si>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</si>
  <si>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</si>
  <si>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</si>
  <si>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</si>
  <si>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</si>
  <si>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青単品</t>
  </si>
  <si>
    <t>B07PPVC59Y-1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</si>
  <si>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</si>
  <si>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</si>
  <si>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</si>
  <si>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ドクターズチョイス おいしい納豆菌 ふりかけタイプ 80g 犬 犬用 おやつ 納豆 ふりかけ</t>
  </si>
  <si>
    <t>1個</t>
  </si>
  <si>
    <t>b0dksxgxnz</t>
  </si>
  <si>
    <t>0979/695</t>
  </si>
  <si>
    <t>B0DKSXGXNZ-1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</si>
  <si>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</si>
  <si>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</si>
  <si>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</si>
  <si>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</si>
  <si>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</si>
  <si>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</si>
  <si>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</si>
  <si>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デビフ おすわりくん 超小粒 ササミ ７５ｇ ×４袋セット 犬用 おやつ</t>
  </si>
  <si>
    <t>b0dq889rzt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</si>
  <si>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</si>
  <si>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</si>
  <si>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</si>
  <si>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</si>
  <si>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</si>
  <si>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</si>
  <si>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いなば ちゅ~るごはん とりささみ チキンミックス味 20本 犬 犬用 おやつ ドックフード 大容量 人気 国産 液体 ペースト 水分補給</t>
  </si>
  <si>
    <t>b086yh6x3b</t>
  </si>
  <si>
    <t>1769/638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</si>
  <si>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</si>
  <si>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b07q6pwrkm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</si>
  <si>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</si>
  <si>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</si>
  <si>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</si>
  <si>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</si>
  <si>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</si>
  <si>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</si>
  <si>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</si>
  <si>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</si>
  <si>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</si>
  <si>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</si>
  <si>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</si>
  <si>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</si>
  <si>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</si>
  <si>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</si>
  <si>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</si>
  <si>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</si>
  <si>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</si>
  <si>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</si>
  <si>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</si>
  <si>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</si>
  <si>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</si>
  <si>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</si>
  <si>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</si>
  <si>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</si>
  <si>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</si>
  <si>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</si>
  <si>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</si>
  <si>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</si>
  <si>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</si>
  <si>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</si>
  <si>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</si>
  <si>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</si>
  <si>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</si>
  <si>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</si>
  <si>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</si>
  <si>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</si>
  <si>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</si>
  <si>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</si>
  <si>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</si>
  <si>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</si>
  <si>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</si>
  <si>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</si>
  <si>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</si>
  <si>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2121,2138,2145,2152/1020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</si>
  <si>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</si>
  <si>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</si>
  <si>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</si>
  <si>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</si>
  <si>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</si>
  <si>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</si>
  <si>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</si>
  <si>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</si>
  <si>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</si>
  <si>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</si>
  <si>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</si>
  <si>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</si>
  <si>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</si>
  <si>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</si>
  <si>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サンドストーン</t>
  </si>
  <si>
    <t>b0dbqn8sl3</t>
  </si>
  <si>
    <t>0307.9561/37800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</si>
  <si>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</si>
  <si>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</si>
  <si>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</si>
  <si>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6508,6515/638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</si>
  <si>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</si>
  <si>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小林製薬 熱中対策 シャツクール 冷感ストロング 本体 100ml×3個セット 衣類にスプレーするだけ 汗をかくとひんやり続く 冷感スプレー</t>
  </si>
  <si>
    <t>3080/1167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</si>
  <si>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</si>
  <si>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</si>
  <si>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</si>
  <si>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</si>
  <si>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</si>
  <si>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Amazon Fire TV Stick 4K ストリーミングメディアプレイヤー ファイヤーtvスティック amazonファイヤースティック</t>
  </si>
  <si>
    <t>b0cjlfprmh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</si>
  <si>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</si>
  <si>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</si>
  <si>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</si>
  <si>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</si>
  <si>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</si>
  <si>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</si>
  <si>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</si>
  <si>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</si>
  <si>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</si>
  <si>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</si>
  <si>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6317/1522</t>
  </si>
  <si>
    <t>3683/2790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</si>
  <si>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</si>
  <si>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</si>
  <si>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</si>
  <si>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B0D7ZLPSJG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</si>
  <si>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</si>
  <si>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</si>
  <si>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</si>
  <si>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3927/2271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</si>
  <si>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</si>
  <si>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</si>
  <si>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JILL STUART ジル スチュアート リボンファッションショー コレクション 2025 化粧品 コスメ ジルスチュアート</t>
  </si>
  <si>
    <t>b0fyct4ql2</t>
  </si>
  <si>
    <t>7214/11071</t>
  </si>
  <si>
    <t>1401/1980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</si>
  <si>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</si>
  <si>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スキンアクア スーパーモイスチャーUVミスト 60ml×3個セット UV UVケア ケア 肌 肌ケア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</si>
  <si>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</si>
  <si>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3927/1514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</si>
  <si>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</si>
  <si>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</si>
  <si>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</si>
  <si>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</si>
  <si>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</si>
  <si>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</si>
  <si>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</si>
  <si>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</si>
  <si>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</si>
  <si>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0930/2418</t>
  </si>
  <si>
    <t>サラテクト 虫よけシート 虫よけウェットティッシュ BIGサイズシート 20枚入×2セット 携帯用 蚊・ブヨ・トコジラミなど 忌避</t>
  </si>
  <si>
    <t>3414/730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</si>
  <si>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</si>
  <si>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</si>
  <si>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</si>
  <si>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</si>
  <si>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</si>
  <si>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</si>
  <si>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</si>
  <si>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</si>
  <si>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</si>
  <si>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</si>
  <si>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</si>
  <si>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</si>
  <si>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</si>
  <si>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</si>
  <si>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</si>
  <si>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</si>
  <si>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</si>
  <si>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</si>
  <si>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</si>
  <si>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</si>
  <si>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</si>
  <si>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</si>
  <si>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</si>
  <si>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</si>
  <si>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B0CP4RQZ3L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</si>
  <si>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</si>
  <si>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</si>
  <si>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4019/836</t>
  </si>
  <si>
    <t>フィリップス 5000シリーズ S5445/03 ブラック 電動シェーバー 電動 髭剃り メンズ 27枚刃 回転式 お風呂剃り 丸洗い可 360-Dフレックスヘッド</t>
  </si>
  <si>
    <t>6508,6515,8076,8083,8090/1130</t>
  </si>
  <si>
    <t>3615/850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</si>
  <si>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</si>
  <si>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</si>
  <si>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</si>
  <si>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</si>
  <si>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</si>
  <si>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</si>
  <si>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</si>
  <si>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もふころりん/うさぎ</t>
  </si>
  <si>
    <t>B0GSQ99VRS</t>
  </si>
  <si>
    <t>平成レトロ キャンディツインズ</t>
  </si>
  <si>
    <t>B0FRS8PB58-1469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</si>
  <si>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</si>
  <si>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</si>
  <si>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</si>
  <si>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</si>
  <si>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</si>
  <si>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</si>
  <si>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</si>
  <si>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</si>
  <si>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</si>
  <si>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</si>
  <si>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ファブリーズ PREMIUM 消臭スプレー 布用 シトラス 詰め替え 特大(610mL×2セット) 除菌 P&amp;Gジャパン スプレー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</si>
  <si>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</si>
  <si>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</si>
  <si>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</si>
  <si>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</si>
  <si>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</si>
  <si>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Anker Nano II 65W (PD 充電器 USB-C) ブラック 充電器 ポート タイプC USB 急速充電 コンパクト 持ち運び便利 小型</t>
  </si>
  <si>
    <t>4968/2990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</si>
  <si>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</si>
  <si>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</si>
  <si>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</si>
  <si>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</si>
  <si>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小林製薬 糸ようじ スルッと入るタイプ お徳用60本×3個セット 歯 歯間 ようじ 歯ケア ケア</t>
  </si>
  <si>
    <t>b01fqca29k</t>
  </si>
  <si>
    <t>2779/1698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</si>
  <si>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</si>
  <si>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</si>
  <si>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</t>
  </si>
  <si>
    <t>4916,5050/1270</t>
  </si>
  <si>
    <t>9134/1316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</si>
  <si>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</si>
  <si>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</si>
  <si>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b0dkjk26lh</t>
  </si>
  <si>
    <t>0666/1856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</si>
  <si>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</si>
  <si>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</si>
  <si>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</si>
  <si>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</si>
  <si>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</si>
  <si>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</si>
  <si>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</si>
  <si>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</si>
  <si>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4421/1164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</si>
  <si>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</si>
  <si>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</si>
  <si>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小林製薬 やわらか歯間ブラシ SS～Mサイズ お徳用 40本入×3個セット 歯 歯間 ブラシ 歯間ブラシ ケア</t>
  </si>
  <si>
    <t>b003al01iw</t>
  </si>
  <si>
    <t>1725/1575</t>
  </si>
  <si>
    <t>いなば ちゅ~る さつまいも にんじん入り （14g×4本 ）×6袋セット 犬 犬用 ドックフード 国産 おやつ</t>
  </si>
  <si>
    <t>b0cx3vy31k-a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</si>
  <si>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</si>
  <si>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</si>
  <si>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</si>
  <si>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</si>
  <si>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6033,6040/803,803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</si>
  <si>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</si>
  <si>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</si>
  <si>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</si>
  <si>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</si>
  <si>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</si>
  <si>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</si>
  <si>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</si>
  <si>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</si>
  <si>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b009khwmdm</t>
  </si>
  <si>
    <t>0916/2418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</si>
  <si>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</si>
  <si>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4571,1365,1369,1372/1619</t>
  </si>
  <si>
    <t>3353/1254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</si>
  <si>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</si>
  <si>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</si>
  <si>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</si>
  <si>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</si>
  <si>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</si>
  <si>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</si>
  <si>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</si>
  <si>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</si>
  <si>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</si>
  <si>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</si>
  <si>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</si>
  <si>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</si>
  <si>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</si>
  <si>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2509,2516/1534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</si>
  <si>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</si>
  <si>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</si>
  <si>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</si>
  <si>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</si>
  <si>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</si>
  <si>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</si>
  <si>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しずくパーク</t>
  </si>
  <si>
    <t>B0FW4K6VZY-3903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</si>
  <si>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</si>
  <si>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</si>
  <si>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</si>
  <si>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3698/972</t>
  </si>
  <si>
    <t>ナノックスワン NANOXone PRO 洗濯洗剤 詰め替え ウルトラジャンボ(1400g) 洗濯 洗剤 洗濯洗剤</t>
  </si>
  <si>
    <t>b0cksbjbrp</t>
  </si>
  <si>
    <t>0811/1200</t>
  </si>
  <si>
    <t>4070/1311</t>
  </si>
  <si>
    <t>B0DVSV4W6Q-2131</t>
  </si>
  <si>
    <t>肌ラボ 白潤プレミアム薬用浸透美白乳液 140ml×3 化粧 ケア 肌 肌ケア 保湿</t>
  </si>
  <si>
    <t>b0c656jxkd</t>
  </si>
  <si>
    <t>8507/2283</t>
  </si>
  <si>
    <t>肌ラボ 極潤 薬用ハリ化粧水170ml×3個セット 化粧 ケア 肌 肌ケア 保湿</t>
  </si>
  <si>
    <t>b09c7lpc7m-1</t>
  </si>
  <si>
    <t>1255/2262</t>
  </si>
  <si>
    <t>2530/1644</t>
  </si>
  <si>
    <t>肌ラボ 極潤 薬用ハリクリーム50g×2個セット 化粧 ケア 肌 肌ケア 保湿 まとめ買い</t>
  </si>
  <si>
    <t>b09c7nhgqm</t>
  </si>
  <si>
    <t>1316/1030</t>
  </si>
  <si>
    <t>おやすみバニー</t>
  </si>
  <si>
    <t>B0GSQ67Z26</t>
  </si>
  <si>
    <t>1484/2110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</si>
  <si>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</si>
  <si>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ミルキーシャイキャット</t>
  </si>
  <si>
    <t>b0frs8pb58</t>
  </si>
  <si>
    <t>B0FRS8X8M7-1360</t>
  </si>
  <si>
    <t>NEXXUS スムースアンドマネージャブル シャンプー 440g ２本セット ポンプ ケア ヘアケア ネクサス うねりケア</t>
  </si>
  <si>
    <t>b0bqth3gg9</t>
  </si>
  <si>
    <t>2509/1534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</si>
  <si>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</si>
  <si>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</si>
  <si>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</si>
  <si>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</si>
  <si>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KATE ケイト ナチュラル ジェル プロテクションエキスパート 30グラム×3個セット 化粧下地 SPF50+/PA+++</t>
  </si>
  <si>
    <t>b07npnrnbc</t>
  </si>
  <si>
    <t>5487/2970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</si>
  <si>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</si>
  <si>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</si>
  <si>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</si>
  <si>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</si>
  <si>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とりささみ牛肉入り</t>
  </si>
  <si>
    <t>1420,1437/2191,2208,2208</t>
  </si>
  <si>
    <t>B00HVQ3EPE</t>
  </si>
  <si>
    <t>5722/970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</si>
  <si>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</si>
  <si>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</si>
  <si>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</si>
  <si>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</si>
  <si>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</si>
  <si>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</si>
  <si>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3516,3530,3523/874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</si>
  <si>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</si>
  <si>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</si>
  <si>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</si>
  <si>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</si>
  <si>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</si>
  <si>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</si>
  <si>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</si>
  <si>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M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</si>
  <si>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</si>
  <si>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</si>
  <si>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</si>
  <si>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</si>
  <si>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</si>
  <si>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</si>
  <si>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1797/990</t>
  </si>
  <si>
    <t>はちみつ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</si>
  <si>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</si>
  <si>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</si>
  <si>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</si>
  <si>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</si>
  <si>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1075/660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</si>
  <si>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</si>
  <si>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</si>
  <si>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</si>
  <si>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</si>
  <si>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</si>
  <si>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</si>
  <si>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</si>
  <si>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</si>
  <si>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</si>
  <si>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2223/438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</si>
  <si>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</si>
  <si>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</si>
  <si>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</si>
  <si>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</si>
  <si>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</si>
  <si>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</si>
  <si>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</si>
  <si>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</si>
  <si>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</si>
  <si>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</si>
  <si>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</si>
  <si>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6959/876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</si>
  <si>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</si>
  <si>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</si>
  <si>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</si>
  <si>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</si>
  <si>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</si>
  <si>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</si>
  <si>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</si>
  <si>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</si>
  <si>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</si>
  <si>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レック(LEC) サンリオ クロミ ウエットティシュケース×2個セット 純水99.9% ウエットティシュ 付き</t>
  </si>
  <si>
    <t>b0cqp26kkq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</si>
  <si>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</si>
  <si>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</si>
  <si>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</si>
  <si>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</si>
  <si>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4916/1188</t>
  </si>
  <si>
    <t>いなば チャオ ちゅ〜る とりささみセレクション 14g×66本 猫 猫用 国産 おやつ 液状 キャットフード 人気 大容量 水分補給 まとめ買い</t>
  </si>
  <si>
    <t>0813/1980</t>
  </si>
  <si>
    <t>グレイ＆ブルー</t>
  </si>
  <si>
    <t>B0DZ2LRXCK</t>
  </si>
  <si>
    <t>ファブリーズ PREMIUM 消臭スプレー 布用 清潔なランドリー 詰め替え 特大(610mL×2セット) 除菌 P&amp;Gジャパン スプレー</t>
  </si>
  <si>
    <t>9097/1096</t>
  </si>
  <si>
    <t>4335/1100</t>
  </si>
  <si>
    <t>ロート製薬 50の恵 養潤液 プレミアム 詰め替え 200ml×2個セット しわ 肌 肌ケア ケア まとめ買い</t>
  </si>
  <si>
    <t>b09c73x1l2</t>
  </si>
  <si>
    <t>1491/1718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</si>
  <si>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</si>
  <si>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</si>
  <si>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</si>
  <si>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</si>
  <si>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</si>
  <si>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</si>
  <si>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</si>
  <si>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</si>
  <si>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</si>
  <si>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</si>
  <si>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1604/1429</t>
  </si>
  <si>
    <t>NANOXone 本体大600g＋超特大１６８０ｇ/ナノックス 洗剤 ニオイ 洗濯 洗濯洗剤 部屋干し 雨の日 部屋 きれい 清潔 衣類 静電気 防臭 抗菌 赤ちゃん ベビー 洗濯 ライオン</t>
  </si>
  <si>
    <t>7597/1020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</si>
  <si>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</si>
  <si>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</si>
  <si>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</si>
  <si>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</si>
  <si>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</si>
  <si>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</si>
  <si>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</si>
  <si>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</si>
  <si>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</si>
  <si>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</si>
  <si>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</si>
  <si>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</si>
  <si>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</si>
  <si>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</si>
  <si>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</si>
  <si>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0860/980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</si>
  <si>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</si>
  <si>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</si>
  <si>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</t>
  </si>
  <si>
    <t>強力カビハイター 排水口スッキリ 粉末発泡タイプ 大容量 40g×6袋入【浴室の排水口用】 ハイター 掃除 清掃 除菌</t>
  </si>
  <si>
    <t>b09fjltc7c</t>
  </si>
  <si>
    <t>3663/548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</si>
  <si>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</si>
  <si>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</si>
  <si>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</si>
  <si>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ペティオ (Petio) ペット用コーム プレシャンテ のみとりコーム ペット用 M サイズ 犬 猫 犬用 猫用 コーミング ノミ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</si>
  <si>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</si>
  <si>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</si>
  <si>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</si>
  <si>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</si>
  <si>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</si>
  <si>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</si>
  <si>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</si>
  <si>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</si>
  <si>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</si>
  <si>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</si>
  <si>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</si>
  <si>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</si>
  <si>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</si>
  <si>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b01m7nsmri</t>
  </si>
  <si>
    <t>6117/522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</si>
  <si>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</si>
  <si>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</si>
  <si>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</si>
  <si>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ファブリーズ おそうじエイド ハウスダストをまとめて固めるスプレー 洗いたてのリネンの香り 370ml 本体 除菌 P&amp;Gジャパン スプレー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</si>
  <si>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</si>
  <si>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</si>
  <si>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</si>
  <si>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</si>
  <si>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</si>
  <si>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</si>
  <si>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</si>
  <si>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</si>
  <si>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</si>
  <si>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</si>
  <si>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</si>
  <si>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</si>
  <si>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</si>
  <si>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</si>
  <si>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2026年06月から2026年06月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</si>
  <si>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</si>
  <si>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</si>
  <si>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</si>
  <si>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</si>
  <si>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</si>
  <si>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</si>
  <si>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</si>
  <si>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4503/10524</t>
  </si>
  <si>
    <t>ブラウン メンズシェーバー シリーズ5 51-W1200S-V 電動 髭剃り メンズ キワゾリトリマー 防水設計 充電式 コードレス ディープキャッチ網刃</t>
  </si>
  <si>
    <t>ルナブルー</t>
  </si>
  <si>
    <t>B0DBQN8SL3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</si>
  <si>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</si>
  <si>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7514/5200</t>
  </si>
  <si>
    <t>3971/5890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</si>
  <si>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</si>
  <si>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</si>
  <si>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3414/2190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</si>
  <si>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</si>
  <si>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</si>
  <si>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</si>
  <si>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</si>
  <si>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</si>
  <si>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3278/18800</t>
  </si>
  <si>
    <t>7534/13980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</si>
  <si>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</si>
  <si>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</si>
  <si>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</si>
  <si>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7595/6490</t>
  </si>
  <si>
    <t>B0C5BXMRFZ</t>
  </si>
  <si>
    <t>8986/852</t>
  </si>
  <si>
    <t>5732/1538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</si>
  <si>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</si>
  <si>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TP-Link WiFi ルーター 無線LAN WiFi6 11AX AX6000 4804 + 1148Mbps 2.5Gbps  Archer AX80/A 縦型  縦型 IPv6 IPoE VPN OneMesh 対応</t>
  </si>
  <si>
    <t>b0bls9fnwh</t>
  </si>
  <si>
    <t>0868/10990</t>
  </si>
  <si>
    <t>フローラルオイル(ピンク)</t>
  </si>
  <si>
    <t>3264680009761-b</t>
  </si>
  <si>
    <t>8187/1630</t>
  </si>
  <si>
    <t>621,1148,1480,589,932,1216</t>
  </si>
  <si>
    <t>9279/1140</t>
  </si>
  <si>
    <t>8712/1272</t>
  </si>
  <si>
    <t>3588/844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</si>
  <si>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</si>
  <si>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4299/1494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</si>
  <si>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</si>
  <si>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</si>
  <si>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4019/1275</t>
  </si>
  <si>
    <t>4737/2230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</si>
  <si>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</si>
  <si>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</si>
  <si>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</si>
  <si>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B0BLS11Y97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</si>
  <si>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</si>
  <si>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</si>
  <si>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</si>
  <si>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</si>
  <si>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</si>
  <si>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</si>
  <si>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6284/814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</si>
  <si>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</si>
  <si>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2512/1659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</si>
  <si>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</si>
  <si>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</si>
  <si>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</si>
  <si>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B0F6LBT3ZX</t>
  </si>
  <si>
    <t>8806/1239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</si>
  <si>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</si>
  <si>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</si>
  <si>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B0FNRL2QMT-1574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</si>
  <si>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</si>
  <si>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</si>
  <si>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</si>
  <si>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0211/2160</t>
  </si>
  <si>
    <t>6307/436</t>
  </si>
  <si>
    <t>4019/850</t>
  </si>
  <si>
    <t>8938/416</t>
  </si>
  <si>
    <t>サボン ボディスクラブ ローズティー 600g 化粧品 コスメ BODY SCRUB ROSE TEA SABON</t>
  </si>
  <si>
    <t>b089flf3cm</t>
  </si>
  <si>
    <t>5937/3849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</si>
  <si>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</si>
  <si>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</si>
  <si>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</si>
  <si>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B0DNLVY85L</t>
  </si>
  <si>
    <t>クリアストーン(Clearstone) レディアニマル コスプレ ハロウィン ナース×うさぎ レディース ホワイト レディース 女性用</t>
  </si>
  <si>
    <t>b0b536nd1z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</si>
  <si>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</si>
  <si>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</si>
  <si>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</si>
  <si>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</si>
  <si>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</si>
  <si>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</si>
  <si>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</si>
  <si>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</si>
  <si>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</si>
  <si>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5111/1941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</si>
  <si>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</si>
  <si>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</si>
  <si>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</si>
  <si>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7514/2600</t>
  </si>
  <si>
    <t>オーシャントリコ シークレットメイク BBクリーム ナチュラル 30グラム 化粧 下地 化粧下地 ケア 肌 肌ケア</t>
  </si>
  <si>
    <t>b0b7wq9y46</t>
  </si>
  <si>
    <t>0324/219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</si>
  <si>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</si>
  <si>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</si>
  <si>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</si>
  <si>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</si>
  <si>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</si>
  <si>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</si>
  <si>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</si>
  <si>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</si>
  <si>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</si>
  <si>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</si>
  <si>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</si>
  <si>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</si>
  <si>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</si>
  <si>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</si>
  <si>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</si>
  <si>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8453/2600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</si>
  <si>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</si>
  <si>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</si>
  <si>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</si>
  <si>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</si>
  <si>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</si>
  <si>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</si>
  <si>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</si>
  <si>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肌ラボ 極潤 パーフェクトゲル 高機能オールインワン 100g×2個セット ゲル 保湿 肌ケア 肌 ケア エイジング</t>
  </si>
  <si>
    <t>b0c85n5g1f</t>
  </si>
  <si>
    <t>5774/1988</t>
  </si>
  <si>
    <t>1316/2060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</si>
  <si>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</si>
  <si>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</si>
  <si>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</si>
  <si>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</si>
  <si>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</si>
  <si>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</t>
  </si>
  <si>
    <t>3516/874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</si>
  <si>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</si>
  <si>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</si>
  <si>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</si>
  <si>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</si>
  <si>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</t>
  </si>
  <si>
    <t>KATE(ケイト)ピンポイントカラースナイパー GN コンシーラー ペンシル型</t>
  </si>
  <si>
    <t>b0bbgw4k9w</t>
  </si>
  <si>
    <t>8723/768</t>
  </si>
  <si>
    <t>8998/942</t>
  </si>
  <si>
    <t>いなば ちゅ〜るボール とりささみ チーズ 犬用 6袋セット 犬 おやつ ドックフード トッパー</t>
  </si>
  <si>
    <t>9018/942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</si>
  <si>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</si>
  <si>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</si>
  <si>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</si>
  <si>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</si>
  <si>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CANMAKE キャンメイク プランプリップケアスクラブ 03 みかんイエロー 角質ケア 保湿 唇</t>
  </si>
  <si>
    <t>b09ltnc8bs</t>
  </si>
  <si>
    <t>4679/328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</si>
  <si>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</si>
  <si>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</si>
  <si>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</si>
  <si>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</si>
  <si>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</si>
  <si>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</si>
  <si>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</si>
  <si>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2779/1547</t>
  </si>
  <si>
    <t>1797/1284</t>
  </si>
  <si>
    <t>1773/1738</t>
  </si>
  <si>
    <t>3684,3707,3691,3714,3721/1672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</si>
  <si>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</si>
  <si>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1131,1148,1155,1162,1179,1186</t>
  </si>
  <si>
    <t>1415/720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</si>
  <si>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</si>
  <si>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緑単品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</si>
  <si>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</si>
  <si>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</si>
  <si>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</si>
  <si>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</si>
  <si>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</si>
  <si>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</si>
  <si>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0445/1100</t>
  </si>
  <si>
    <t>ニチドウ 毛玉クリーン 60g 猫用 毛玉ケア ヘアボール対策 毛づくろい 毛玉排出 サポート 猫 おやつ ペーストタイプ キャットフード 国産 ニチドウ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</si>
  <si>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</si>
  <si>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</si>
  <si>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</si>
  <si>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</si>
  <si>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</si>
  <si>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</si>
  <si>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</si>
  <si>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</si>
  <si>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</si>
  <si>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</si>
  <si>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6737/1094</t>
  </si>
  <si>
    <t>3058/357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</si>
  <si>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</si>
  <si>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</si>
  <si>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</si>
  <si>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</si>
  <si>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</si>
  <si>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</si>
  <si>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NANOXone 本体大600g＋超特大１６８０ｇ/ナノックス 洗剤 ニオイ 洗濯 洗濯洗剤 部屋干し 雨の日 部屋 きれい 清潔 衣類 静電気 防臭 抗菌 赤ちゃん ベビー  洗濯 ライオン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</si>
  <si>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</si>
  <si>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</si>
  <si>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</si>
  <si>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アース・バイオケミカル スタミノール 子いぬ・子ねこ用 100g サプリ</t>
  </si>
  <si>
    <t>b09z2v4w29</t>
  </si>
  <si>
    <t>7308/1010</t>
  </si>
  <si>
    <t>香り長持ちシャンプー ローズ 犬用(400ml) 犬 犬用 ケア お風呂 犬用シャンプー</t>
  </si>
  <si>
    <t>b071w69zkt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</si>
  <si>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</si>
  <si>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</si>
  <si>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</si>
  <si>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</si>
  <si>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0674/898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</si>
  <si>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</si>
  <si>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</si>
  <si>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</si>
  <si>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</si>
  <si>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</si>
  <si>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</si>
  <si>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</si>
  <si>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</si>
  <si>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クラシエホームプロダクツ いち髪 ペアセット(なめらか) 480ml+480g ダメージケア ダメージ予防 ダメージ補修 保湿</t>
  </si>
  <si>
    <t>b0f2hx697z</t>
  </si>
  <si>
    <t>8832/549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</si>
  <si>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</si>
  <si>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</si>
  <si>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</si>
  <si>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</si>
  <si>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</si>
  <si>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</si>
  <si>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</si>
  <si>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</si>
  <si>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</si>
  <si>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</si>
  <si>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</si>
  <si>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</si>
  <si>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</si>
  <si>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</si>
  <si>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</si>
  <si>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</si>
  <si>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</si>
  <si>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</si>
  <si>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</si>
  <si>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</si>
  <si>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</si>
  <si>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</si>
  <si>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</si>
  <si>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</si>
  <si>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</si>
  <si>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ペティオ (Petio) プレシャンテ スキバサミ ペット用 犬 猫 犬用 猫用 トリミング ハサミ</t>
  </si>
  <si>
    <t>b004vk6m2a</t>
  </si>
  <si>
    <t>8772/550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</si>
  <si>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</si>
  <si>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</si>
  <si>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</si>
  <si>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</si>
  <si>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</si>
  <si>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ジャノア 【3個セット】 ペッツルート (Petz Route) さつまいもジャーキー 80g 犬用おやつ</t>
  </si>
  <si>
    <t>b08slx423b</t>
  </si>
  <si>
    <t>7441/675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</si>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</sst>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77" formatCode="0_);[Red]\(0\)"/>
  </numFmts>
  <fonts count="1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Arial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0" fontId="14" fillId="5" borderId="3" xfId="0" applyFont="1" applyFill="1" applyBorder="1"/>
    <xf numFmtId="0" fontId="14" fillId="5" borderId="0" xfId="0" applyFont="1" applyFill="1"/>
    <xf numFmtId="0" fontId="1" fillId="5" borderId="0" xfId="0" applyFont="1" applyFill="1"/>
    <xf numFmtId="177" fontId="0" fillId="0" borderId="0" xfId="0" applyNumberFormat="1"/>
    <xf numFmtId="177" fontId="1" fillId="0" borderId="0" xfId="0" applyNumberFormat="1" applyFont="1"/>
    <xf numFmtId="0" fontId="16" fillId="0" borderId="0" xfId="0" applyFont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286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965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966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967</v>
      </c>
      <c r="C8" s="1">
        <v>4550391010394</v>
      </c>
      <c r="D8" s="1" t="s">
        <v>968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969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970</v>
      </c>
      <c r="C10" s="1">
        <v>4550391012176</v>
      </c>
      <c r="D10" s="1" t="s">
        <v>971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40</v>
      </c>
      <c r="C11" s="1">
        <v>4550391012121</v>
      </c>
      <c r="D11" s="1" t="s">
        <v>972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973</v>
      </c>
      <c r="C12" s="1">
        <v>4550391010417</v>
      </c>
      <c r="D12" s="1" t="s">
        <v>974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975</v>
      </c>
      <c r="C13" s="1">
        <v>4550391811816</v>
      </c>
      <c r="D13" s="1" t="s">
        <v>976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977</v>
      </c>
      <c r="C14" s="1">
        <v>4550391911233</v>
      </c>
      <c r="D14" s="1" t="s">
        <v>978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979</v>
      </c>
      <c r="C15" s="1" t="s">
        <v>980</v>
      </c>
      <c r="D15" s="1" t="s">
        <v>981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46</v>
      </c>
      <c r="C16" s="1" t="s">
        <v>47</v>
      </c>
      <c r="D16" s="1" t="s">
        <v>982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983</v>
      </c>
      <c r="C17" s="1" t="s">
        <v>984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713</v>
      </c>
      <c r="C18" s="1" t="s">
        <v>714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84</v>
      </c>
      <c r="C19" s="1" t="s">
        <v>85</v>
      </c>
      <c r="D19" s="1" t="s">
        <v>985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986</v>
      </c>
      <c r="C20" s="1" t="s">
        <v>987</v>
      </c>
      <c r="D20" s="1" t="s">
        <v>988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531</v>
      </c>
      <c r="C21" s="1" t="s">
        <v>532</v>
      </c>
      <c r="D21" s="1" t="s">
        <v>989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990</v>
      </c>
      <c r="C22" s="1">
        <v>4550391042821</v>
      </c>
      <c r="D22" s="1" t="s">
        <v>107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296</v>
      </c>
      <c r="C23" s="1" t="s">
        <v>297</v>
      </c>
      <c r="D23" s="1" t="s">
        <v>991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992</v>
      </c>
      <c r="C24" s="1" t="s">
        <v>993</v>
      </c>
      <c r="D24" s="1" t="s">
        <v>994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995</v>
      </c>
      <c r="C25" s="1" t="s">
        <v>504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996</v>
      </c>
      <c r="C26" s="1" t="s">
        <v>997</v>
      </c>
      <c r="D26" s="1" t="s">
        <v>998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999</v>
      </c>
      <c r="C27" s="1" t="s">
        <v>1000</v>
      </c>
      <c r="D27" s="1" t="s">
        <v>1001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1002</v>
      </c>
      <c r="C28" s="1" t="s">
        <v>1003</v>
      </c>
      <c r="D28" s="1" t="s">
        <v>1004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1005</v>
      </c>
      <c r="C29" s="1">
        <v>4550391811823</v>
      </c>
      <c r="D29" s="1" t="s">
        <v>1006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1007</v>
      </c>
      <c r="C30" s="1">
        <v>4550391011919</v>
      </c>
      <c r="D30" s="1" t="s">
        <v>1008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103</v>
      </c>
      <c r="C31" s="1" t="s">
        <v>104</v>
      </c>
      <c r="D31" s="1" t="s">
        <v>1009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1010</v>
      </c>
      <c r="C32" s="1" t="s">
        <v>1011</v>
      </c>
      <c r="D32" s="1" t="s">
        <v>1012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1013</v>
      </c>
      <c r="B33" s="10"/>
      <c r="C33" s="10" t="s">
        <v>1014</v>
      </c>
      <c r="D33" s="10" t="s">
        <v>1015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51</v>
      </c>
      <c r="B34" s="1" t="s">
        <v>125</v>
      </c>
      <c r="C34" s="1" t="s">
        <v>53</v>
      </c>
      <c r="D34" s="1" t="s">
        <v>54</v>
      </c>
      <c r="E34" s="1" t="s">
        <v>126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1016</v>
      </c>
      <c r="B35" s="10"/>
      <c r="C35" s="10" t="s">
        <v>286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42</v>
      </c>
      <c r="C36" s="1" t="s">
        <v>43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51</v>
      </c>
      <c r="B37" s="1" t="s">
        <v>52</v>
      </c>
      <c r="C37" s="1" t="s">
        <v>53</v>
      </c>
      <c r="D37" s="1" t="s">
        <v>54</v>
      </c>
      <c r="E37" s="1" t="s">
        <v>55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51</v>
      </c>
      <c r="B38" s="1" t="s">
        <v>168</v>
      </c>
      <c r="C38" s="1" t="s">
        <v>53</v>
      </c>
      <c r="D38" s="1" t="s">
        <v>54</v>
      </c>
      <c r="E38" s="1" t="s">
        <v>313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288</v>
      </c>
      <c r="B39" s="1" t="s">
        <v>1017</v>
      </c>
      <c r="C39" s="1" t="s">
        <v>290</v>
      </c>
      <c r="D39" s="1" t="s">
        <v>291</v>
      </c>
      <c r="E39" s="1" t="s">
        <v>1018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1019</v>
      </c>
      <c r="B40" s="10"/>
      <c r="C40" s="10" t="s">
        <v>1020</v>
      </c>
      <c r="D40" s="10" t="s">
        <v>1021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1022</v>
      </c>
      <c r="B41" s="10"/>
      <c r="C41" s="10" t="s">
        <v>169</v>
      </c>
      <c r="D41" s="10" t="s">
        <v>1023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1024</v>
      </c>
      <c r="C42" s="1" t="s">
        <v>1025</v>
      </c>
      <c r="D42" s="1" t="s">
        <v>1026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75</v>
      </c>
      <c r="C43" s="1" t="s">
        <v>76</v>
      </c>
      <c r="D43" s="1" t="s">
        <v>1027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1028</v>
      </c>
      <c r="C44" s="1" t="s">
        <v>1029</v>
      </c>
      <c r="D44" s="1" t="s">
        <v>1030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1031</v>
      </c>
      <c r="C45" s="1" t="s">
        <v>1032</v>
      </c>
      <c r="D45" s="1" t="s">
        <v>1033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141</v>
      </c>
      <c r="C46" s="1" t="s">
        <v>142</v>
      </c>
      <c r="D46" s="1" t="s">
        <v>1034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1035</v>
      </c>
      <c r="B47" s="10"/>
      <c r="C47" s="10" t="s">
        <v>1036</v>
      </c>
      <c r="D47" s="10" t="s">
        <v>1037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127</v>
      </c>
      <c r="B48" s="1" t="s">
        <v>1038</v>
      </c>
      <c r="C48" s="1" t="s">
        <v>129</v>
      </c>
      <c r="D48" s="1" t="s">
        <v>130</v>
      </c>
      <c r="E48" s="1" t="s">
        <v>1039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150</v>
      </c>
      <c r="B49" s="1" t="s">
        <v>1040</v>
      </c>
      <c r="C49" s="1" t="s">
        <v>152</v>
      </c>
      <c r="D49" s="1" t="s">
        <v>153</v>
      </c>
      <c r="E49" s="1" t="s">
        <v>1041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1042</v>
      </c>
      <c r="C50" s="1" t="s">
        <v>1043</v>
      </c>
      <c r="D50" s="1" t="s">
        <v>1044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725</v>
      </c>
      <c r="B51" s="1" t="s">
        <v>1045</v>
      </c>
      <c r="C51" s="1" t="s">
        <v>727</v>
      </c>
      <c r="D51" s="9">
        <v>6.2111481480589895E+20</v>
      </c>
      <c r="E51" s="1" t="s">
        <v>1046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1047</v>
      </c>
      <c r="B52" s="1" t="s">
        <v>1048</v>
      </c>
      <c r="C52" s="1" t="s">
        <v>1049</v>
      </c>
      <c r="D52" s="1" t="s">
        <v>1050</v>
      </c>
      <c r="E52" s="1" t="s">
        <v>1051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1047</v>
      </c>
      <c r="B53" s="1" t="s">
        <v>1052</v>
      </c>
      <c r="C53" s="1" t="s">
        <v>1049</v>
      </c>
      <c r="D53" s="1" t="s">
        <v>1050</v>
      </c>
      <c r="E53" s="1" t="s">
        <v>312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1053</v>
      </c>
      <c r="C54" s="1" t="s">
        <v>1054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1055</v>
      </c>
      <c r="C55" s="1" t="s">
        <v>1056</v>
      </c>
      <c r="D55" s="1" t="s">
        <v>1057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1058</v>
      </c>
      <c r="C56" s="1" t="s">
        <v>1059</v>
      </c>
      <c r="D56" s="1" t="s">
        <v>1060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411</v>
      </c>
      <c r="C57" s="1" t="s">
        <v>412</v>
      </c>
      <c r="D57" s="1" t="s">
        <v>1061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1062</v>
      </c>
      <c r="B58" s="10"/>
      <c r="C58" s="10" t="s">
        <v>1063</v>
      </c>
      <c r="D58" s="10" t="s">
        <v>1064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1047</v>
      </c>
      <c r="B59" s="1" t="s">
        <v>1065</v>
      </c>
      <c r="C59" s="1" t="s">
        <v>1049</v>
      </c>
      <c r="D59" s="1" t="s">
        <v>1050</v>
      </c>
      <c r="E59" s="1" t="s">
        <v>1066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1067</v>
      </c>
      <c r="B60" s="10" t="s">
        <v>1068</v>
      </c>
      <c r="C60" s="10" t="s">
        <v>1069</v>
      </c>
      <c r="D60" s="10" t="s">
        <v>1070</v>
      </c>
      <c r="E60" s="10" t="s">
        <v>1071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1072</v>
      </c>
      <c r="B61" s="10"/>
      <c r="C61" s="10" t="s">
        <v>224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1073</v>
      </c>
      <c r="B62" s="10"/>
      <c r="C62" s="10" t="s">
        <v>162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1074</v>
      </c>
      <c r="B63" s="10" t="s">
        <v>628</v>
      </c>
      <c r="C63" s="10" t="s">
        <v>395</v>
      </c>
      <c r="D63" s="10" t="s">
        <v>1075</v>
      </c>
      <c r="E63" s="10" t="s">
        <v>629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1076</v>
      </c>
      <c r="C64" s="1" t="s">
        <v>1077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192</v>
      </c>
      <c r="C65" s="1" t="s">
        <v>193</v>
      </c>
      <c r="D65" s="1" t="s">
        <v>194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594</v>
      </c>
      <c r="C66" s="1" t="s">
        <v>595</v>
      </c>
      <c r="D66" s="1" t="s">
        <v>1078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1079</v>
      </c>
      <c r="C67" s="1" t="s">
        <v>1080</v>
      </c>
      <c r="D67" s="1" t="s">
        <v>1081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1082</v>
      </c>
      <c r="B68" s="10"/>
      <c r="C68" s="10" t="s">
        <v>1083</v>
      </c>
      <c r="D68" s="10" t="s">
        <v>1084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1085</v>
      </c>
      <c r="C69" s="1" t="s">
        <v>1086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1087</v>
      </c>
      <c r="C70" s="1" t="s">
        <v>1088</v>
      </c>
      <c r="D70" s="1" t="s">
        <v>1089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251</v>
      </c>
      <c r="C71" s="1">
        <v>4550391910564</v>
      </c>
      <c r="D71" s="1" t="s">
        <v>252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1090</v>
      </c>
      <c r="B72" s="10"/>
      <c r="C72" s="10" t="s">
        <v>344</v>
      </c>
      <c r="D72" s="10" t="s">
        <v>1091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1092</v>
      </c>
      <c r="B73" s="10"/>
      <c r="C73" s="10" t="s">
        <v>677</v>
      </c>
      <c r="D73" s="10" t="s">
        <v>1093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1094</v>
      </c>
      <c r="B74" s="10"/>
      <c r="C74" s="10" t="s">
        <v>25</v>
      </c>
      <c r="D74" s="10" t="s">
        <v>1095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1096</v>
      </c>
      <c r="B75" s="10"/>
      <c r="C75" s="10" t="s">
        <v>1097</v>
      </c>
      <c r="D75" s="10" t="s">
        <v>1098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930</v>
      </c>
      <c r="C76" s="1" t="s">
        <v>931</v>
      </c>
      <c r="D76" s="1" t="s">
        <v>1099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264</v>
      </c>
      <c r="C77" s="1" t="s">
        <v>265</v>
      </c>
      <c r="D77" s="1" t="s">
        <v>1100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1101</v>
      </c>
      <c r="C78" s="1" t="s">
        <v>1102</v>
      </c>
      <c r="D78" s="1" t="s">
        <v>1103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1104</v>
      </c>
      <c r="C79" s="1" t="s">
        <v>1105</v>
      </c>
      <c r="D79" s="1" t="s">
        <v>1106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354</v>
      </c>
      <c r="C80" s="1" t="s">
        <v>355</v>
      </c>
      <c r="D80" s="1" t="s">
        <v>356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1107</v>
      </c>
      <c r="C81" s="1" t="s">
        <v>658</v>
      </c>
      <c r="D81" s="1" t="s">
        <v>659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1108</v>
      </c>
      <c r="B82" s="1" t="s">
        <v>1109</v>
      </c>
      <c r="C82" s="1" t="s">
        <v>862</v>
      </c>
      <c r="D82" s="1" t="s">
        <v>863</v>
      </c>
      <c r="E82" s="1" t="s">
        <v>1110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100</v>
      </c>
      <c r="C83" s="1" t="s">
        <v>101</v>
      </c>
      <c r="D83" s="1" t="s">
        <v>102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1111</v>
      </c>
      <c r="B84" s="10"/>
      <c r="C84" s="10" t="s">
        <v>1112</v>
      </c>
      <c r="D84" s="10" t="s">
        <v>1113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1114</v>
      </c>
      <c r="C85" s="1">
        <v>4901133980190</v>
      </c>
      <c r="D85" s="1" t="s">
        <v>1115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1116</v>
      </c>
      <c r="C86" s="1" t="s">
        <v>1117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665</v>
      </c>
      <c r="C87" s="1" t="s">
        <v>666</v>
      </c>
      <c r="D87" s="1" t="s">
        <v>667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1118</v>
      </c>
      <c r="C88" s="1" t="s">
        <v>1119</v>
      </c>
      <c r="D88" s="1" t="s">
        <v>1120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1121</v>
      </c>
      <c r="C89" s="1" t="s">
        <v>1122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78</v>
      </c>
      <c r="B90" s="10" t="s">
        <v>125</v>
      </c>
      <c r="C90" s="10" t="s">
        <v>79</v>
      </c>
      <c r="D90" s="10" t="s">
        <v>1123</v>
      </c>
      <c r="E90" s="10" t="s">
        <v>1124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78</v>
      </c>
      <c r="B91" s="10" t="s">
        <v>52</v>
      </c>
      <c r="C91" s="10" t="s">
        <v>79</v>
      </c>
      <c r="D91" s="10" t="s">
        <v>1123</v>
      </c>
      <c r="E91" s="10" t="s">
        <v>81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1125</v>
      </c>
      <c r="C92" s="1" t="s">
        <v>1126</v>
      </c>
      <c r="D92" s="1" t="s">
        <v>1127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1128</v>
      </c>
      <c r="B93" s="10"/>
      <c r="C93" s="10" t="s">
        <v>259</v>
      </c>
      <c r="D93" s="10" t="s">
        <v>1129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1130</v>
      </c>
      <c r="C94" s="1" t="s">
        <v>1131</v>
      </c>
      <c r="D94" s="1" t="s">
        <v>1132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1133</v>
      </c>
      <c r="C95" s="1" t="s">
        <v>1134</v>
      </c>
      <c r="D95" s="1" t="s">
        <v>850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1135</v>
      </c>
      <c r="C96" s="1" t="s">
        <v>1136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1137</v>
      </c>
      <c r="C97" s="1" t="s">
        <v>83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1138</v>
      </c>
      <c r="C98" s="1" t="s">
        <v>1139</v>
      </c>
      <c r="D98" s="1" t="s">
        <v>1140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725</v>
      </c>
      <c r="B99" s="1" t="s">
        <v>808</v>
      </c>
      <c r="C99" s="1" t="s">
        <v>727</v>
      </c>
      <c r="D99" s="9">
        <v>6.2111481480589895E+20</v>
      </c>
      <c r="E99" s="1" t="s">
        <v>809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1141</v>
      </c>
      <c r="B100" s="10"/>
      <c r="C100" s="10" t="s">
        <v>1142</v>
      </c>
      <c r="D100" s="10" t="s">
        <v>1143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51</v>
      </c>
      <c r="B101" s="1" t="s">
        <v>1144</v>
      </c>
      <c r="C101" s="1" t="s">
        <v>53</v>
      </c>
      <c r="D101" s="1" t="s">
        <v>54</v>
      </c>
      <c r="E101" s="1" t="s">
        <v>1145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1146</v>
      </c>
      <c r="B102" s="10"/>
      <c r="C102" s="10" t="s">
        <v>358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1147</v>
      </c>
      <c r="C103" s="1">
        <v>4550391811830</v>
      </c>
      <c r="D103" s="1" t="s">
        <v>1148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1149</v>
      </c>
      <c r="C104" s="1" t="s">
        <v>1150</v>
      </c>
      <c r="D104" s="1" t="s">
        <v>1151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1152</v>
      </c>
      <c r="C105" s="1" t="s">
        <v>1153</v>
      </c>
      <c r="D105" s="1" t="s">
        <v>1154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857</v>
      </c>
      <c r="C106" s="1" t="s">
        <v>858</v>
      </c>
      <c r="D106" s="1" t="s">
        <v>1155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865</v>
      </c>
      <c r="C107" s="1" t="s">
        <v>866</v>
      </c>
      <c r="D107" s="1" t="s">
        <v>1156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282</v>
      </c>
      <c r="B108" s="10"/>
      <c r="C108" s="10" t="s">
        <v>283</v>
      </c>
      <c r="D108" s="10" t="s">
        <v>1157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1158</v>
      </c>
      <c r="C109" s="1" t="s">
        <v>1159</v>
      </c>
      <c r="D109" s="1" t="s">
        <v>1160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1161</v>
      </c>
      <c r="C110" s="1" t="s">
        <v>182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910</v>
      </c>
      <c r="C111" s="1" t="s">
        <v>911</v>
      </c>
      <c r="D111" s="1" t="s">
        <v>1162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157</v>
      </c>
      <c r="C112" s="1" t="s">
        <v>158</v>
      </c>
      <c r="D112" s="1" t="s">
        <v>1163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1164</v>
      </c>
      <c r="B113" s="10"/>
      <c r="C113" s="10" t="s">
        <v>1165</v>
      </c>
      <c r="D113" s="10" t="s">
        <v>1166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1167</v>
      </c>
      <c r="B114" s="10"/>
      <c r="C114" s="10" t="s">
        <v>734</v>
      </c>
      <c r="D114" s="10" t="s">
        <v>1168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1169</v>
      </c>
      <c r="B115" s="1" t="s">
        <v>1170</v>
      </c>
      <c r="C115" s="1">
        <v>3264680009761</v>
      </c>
      <c r="D115" s="9">
        <v>976143829785</v>
      </c>
      <c r="E115" s="1" t="s">
        <v>1171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1169</v>
      </c>
      <c r="B116" s="1" t="s">
        <v>1172</v>
      </c>
      <c r="C116" s="1">
        <v>3264680009761</v>
      </c>
      <c r="D116" s="9">
        <v>976143829785</v>
      </c>
      <c r="E116" s="1" t="s">
        <v>1173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1174</v>
      </c>
      <c r="C117" s="1" t="s">
        <v>1175</v>
      </c>
      <c r="D117" s="1" t="s">
        <v>1176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1177</v>
      </c>
      <c r="B118" s="10"/>
      <c r="C118" s="10" t="s">
        <v>459</v>
      </c>
      <c r="D118" s="10" t="s">
        <v>460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1178</v>
      </c>
      <c r="C119" s="1" t="s">
        <v>1179</v>
      </c>
      <c r="D119" s="1" t="s">
        <v>1180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1181</v>
      </c>
      <c r="B120" s="10"/>
      <c r="C120" s="10" t="s">
        <v>879</v>
      </c>
      <c r="D120" s="10" t="s">
        <v>1182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1183</v>
      </c>
      <c r="C121" s="1" t="s">
        <v>1184</v>
      </c>
      <c r="D121" s="1" t="s">
        <v>1185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1186</v>
      </c>
      <c r="B122" s="10"/>
      <c r="C122" s="10" t="s">
        <v>486</v>
      </c>
      <c r="D122" s="10" t="s">
        <v>1187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816</v>
      </c>
      <c r="C123" s="1" t="s">
        <v>817</v>
      </c>
      <c r="D123" s="1" t="s">
        <v>1188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1189</v>
      </c>
      <c r="B124" s="1" t="s">
        <v>1190</v>
      </c>
      <c r="C124" s="1" t="s">
        <v>1191</v>
      </c>
      <c r="D124" s="1" t="s">
        <v>1192</v>
      </c>
      <c r="E124" s="1" t="s">
        <v>1193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1194</v>
      </c>
      <c r="C125" s="1" t="s">
        <v>1195</v>
      </c>
      <c r="D125" s="1" t="s">
        <v>1196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1197</v>
      </c>
      <c r="C126" s="1" t="s">
        <v>1198</v>
      </c>
      <c r="D126" s="1" t="s">
        <v>1199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1200</v>
      </c>
      <c r="B127" s="10"/>
      <c r="C127" s="10" t="s">
        <v>1201</v>
      </c>
      <c r="D127" s="10" t="s">
        <v>1202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1203</v>
      </c>
      <c r="B128" s="10"/>
      <c r="C128" s="10" t="s">
        <v>429</v>
      </c>
      <c r="D128" s="10" t="s">
        <v>1204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1205</v>
      </c>
      <c r="C129" s="1" t="s">
        <v>1206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204</v>
      </c>
      <c r="C130" s="1" t="s">
        <v>205</v>
      </c>
      <c r="D130" s="1" t="s">
        <v>206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1207</v>
      </c>
      <c r="C131" s="1">
        <v>4965858009567</v>
      </c>
      <c r="D131" s="1" t="s">
        <v>1208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1209</v>
      </c>
      <c r="B132" s="10"/>
      <c r="C132" s="10" t="s">
        <v>1210</v>
      </c>
      <c r="D132" s="10" t="s">
        <v>1211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1212</v>
      </c>
      <c r="C133" s="1" t="s">
        <v>1213</v>
      </c>
      <c r="D133" s="1" t="s">
        <v>1214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1215</v>
      </c>
      <c r="C134" s="1" t="s">
        <v>1216</v>
      </c>
      <c r="D134" s="1" t="s">
        <v>1217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1218</v>
      </c>
      <c r="B135" s="1" t="s">
        <v>1219</v>
      </c>
      <c r="C135" s="1" t="s">
        <v>1220</v>
      </c>
      <c r="D135" s="1" t="s">
        <v>1221</v>
      </c>
      <c r="E135" s="1" t="s">
        <v>1222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725</v>
      </c>
      <c r="B136" s="1" t="s">
        <v>881</v>
      </c>
      <c r="C136" s="1" t="s">
        <v>727</v>
      </c>
      <c r="D136" s="9">
        <v>6.2111481480589895E+20</v>
      </c>
      <c r="E136" s="1" t="s">
        <v>882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1223</v>
      </c>
      <c r="C137" s="1" t="s">
        <v>227</v>
      </c>
      <c r="D137" s="1" t="s">
        <v>1224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765</v>
      </c>
      <c r="B138" s="1" t="s">
        <v>653</v>
      </c>
      <c r="C138" s="1" t="s">
        <v>767</v>
      </c>
      <c r="D138" s="1" t="s">
        <v>768</v>
      </c>
      <c r="E138" s="1" t="s">
        <v>1225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1226</v>
      </c>
      <c r="C139" s="1" t="s">
        <v>1227</v>
      </c>
      <c r="D139" s="1" t="s">
        <v>1228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1229</v>
      </c>
      <c r="C140" s="1" t="s">
        <v>492</v>
      </c>
      <c r="D140" s="1" t="s">
        <v>1230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1231</v>
      </c>
      <c r="B141" s="10"/>
      <c r="C141" s="10" t="s">
        <v>277</v>
      </c>
      <c r="D141" s="10" t="s">
        <v>1232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127</v>
      </c>
      <c r="B142" s="1" t="s">
        <v>1233</v>
      </c>
      <c r="C142" s="1" t="s">
        <v>129</v>
      </c>
      <c r="D142" s="1" t="s">
        <v>130</v>
      </c>
      <c r="E142" s="1" t="s">
        <v>1234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1235</v>
      </c>
      <c r="C143" s="1" t="s">
        <v>1236</v>
      </c>
      <c r="D143" s="1" t="s">
        <v>1237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1238</v>
      </c>
      <c r="B144" s="10"/>
      <c r="C144" s="10" t="s">
        <v>1239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1240</v>
      </c>
      <c r="B145" s="10"/>
      <c r="C145" s="10" t="s">
        <v>1241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117</v>
      </c>
      <c r="C146" s="1" t="s">
        <v>118</v>
      </c>
      <c r="D146" s="1" t="s">
        <v>1242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1243</v>
      </c>
      <c r="C147" s="1" t="s">
        <v>186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1244</v>
      </c>
      <c r="C148" s="1">
        <v>4901133980176</v>
      </c>
      <c r="D148" s="1" t="s">
        <v>1245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770</v>
      </c>
      <c r="C149" s="1" t="s">
        <v>771</v>
      </c>
      <c r="D149" s="1" t="s">
        <v>1246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1247</v>
      </c>
      <c r="C150" s="1" t="s">
        <v>1248</v>
      </c>
      <c r="D150" s="1" t="s">
        <v>1249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1250</v>
      </c>
      <c r="B151" s="1" t="s">
        <v>1251</v>
      </c>
      <c r="C151" s="1" t="s">
        <v>1252</v>
      </c>
      <c r="D151" s="1" t="s">
        <v>1253</v>
      </c>
      <c r="E151" s="1" t="s">
        <v>1254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1255</v>
      </c>
      <c r="C152" s="1" t="s">
        <v>1256</v>
      </c>
      <c r="D152" s="1" t="s">
        <v>1257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1258</v>
      </c>
      <c r="B153" s="10"/>
      <c r="C153" s="10" t="s">
        <v>549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1259</v>
      </c>
      <c r="C154" s="1" t="s">
        <v>1260</v>
      </c>
      <c r="D154" s="1" t="s">
        <v>1261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1262</v>
      </c>
      <c r="B155" s="10"/>
      <c r="C155" s="10" t="s">
        <v>570</v>
      </c>
      <c r="D155" s="10" t="s">
        <v>1263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1264</v>
      </c>
      <c r="B156" s="10" t="s">
        <v>1265</v>
      </c>
      <c r="C156" s="10" t="s">
        <v>432</v>
      </c>
      <c r="D156" s="10" t="s">
        <v>1266</v>
      </c>
      <c r="E156" s="10" t="s">
        <v>1267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904</v>
      </c>
      <c r="C157" s="1" t="s">
        <v>905</v>
      </c>
      <c r="D157" s="1" t="s">
        <v>906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120</v>
      </c>
      <c r="C158" s="1">
        <v>3264680024993</v>
      </c>
      <c r="D158" s="1" t="s">
        <v>121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1268</v>
      </c>
      <c r="B159" s="10"/>
      <c r="C159" s="10" t="s">
        <v>819</v>
      </c>
      <c r="D159" s="10" t="s">
        <v>1269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1074</v>
      </c>
      <c r="B160" s="1" t="s">
        <v>125</v>
      </c>
      <c r="C160" s="1" t="s">
        <v>395</v>
      </c>
      <c r="D160" s="1" t="s">
        <v>1075</v>
      </c>
      <c r="E160" s="1" t="s">
        <v>397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175</v>
      </c>
      <c r="C161" s="1" t="s">
        <v>176</v>
      </c>
      <c r="D161" s="1" t="s">
        <v>1270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238</v>
      </c>
      <c r="C162" s="1" t="s">
        <v>239</v>
      </c>
      <c r="D162" s="1" t="s">
        <v>1271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1272</v>
      </c>
      <c r="C163" s="1" t="s">
        <v>248</v>
      </c>
      <c r="D163" s="1" t="s">
        <v>249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1273</v>
      </c>
      <c r="B164" s="10"/>
      <c r="C164" s="10" t="s">
        <v>1274</v>
      </c>
      <c r="D164" s="10" t="s">
        <v>1275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1276</v>
      </c>
      <c r="C165" s="1" t="s">
        <v>1277</v>
      </c>
      <c r="D165" s="1" t="s">
        <v>1278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417</v>
      </c>
      <c r="B166" s="1" t="s">
        <v>1048</v>
      </c>
      <c r="C166" s="1" t="s">
        <v>419</v>
      </c>
      <c r="D166" s="1" t="s">
        <v>420</v>
      </c>
      <c r="E166" s="1" t="s">
        <v>1279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417</v>
      </c>
      <c r="B167" s="1" t="s">
        <v>418</v>
      </c>
      <c r="C167" s="1" t="s">
        <v>419</v>
      </c>
      <c r="D167" s="1" t="s">
        <v>420</v>
      </c>
      <c r="E167" s="1" t="s">
        <v>421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417</v>
      </c>
      <c r="B168" s="1" t="s">
        <v>715</v>
      </c>
      <c r="C168" s="1" t="s">
        <v>419</v>
      </c>
      <c r="D168" s="1" t="s">
        <v>420</v>
      </c>
      <c r="E168" s="1" t="s">
        <v>716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1280</v>
      </c>
      <c r="C169" s="1" t="s">
        <v>1281</v>
      </c>
      <c r="D169" s="1" t="s">
        <v>1282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1283</v>
      </c>
      <c r="C170" s="1" t="s">
        <v>1284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1285</v>
      </c>
      <c r="C171" s="1">
        <v>4901301455154</v>
      </c>
      <c r="D171" s="1" t="s">
        <v>1286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216</v>
      </c>
      <c r="C172" s="1" t="s">
        <v>217</v>
      </c>
      <c r="D172" s="1" t="s">
        <v>1287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1288</v>
      </c>
      <c r="C173" s="1" t="s">
        <v>1289</v>
      </c>
      <c r="D173" s="1" t="s">
        <v>1290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1291</v>
      </c>
      <c r="C174" s="1" t="s">
        <v>1292</v>
      </c>
      <c r="D174" s="1" t="s">
        <v>1293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1294</v>
      </c>
      <c r="C175" s="1" t="s">
        <v>1295</v>
      </c>
      <c r="D175" s="1" t="s">
        <v>1296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332</v>
      </c>
      <c r="C176" s="1" t="s">
        <v>333</v>
      </c>
      <c r="D176" s="1" t="s">
        <v>1297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1298</v>
      </c>
      <c r="C177" s="1" t="s">
        <v>1299</v>
      </c>
      <c r="D177" s="1" t="s">
        <v>1300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842</v>
      </c>
      <c r="C178" s="1" t="s">
        <v>843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1301</v>
      </c>
      <c r="C179" s="1" t="s">
        <v>616</v>
      </c>
      <c r="D179" s="1" t="s">
        <v>1302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1303</v>
      </c>
      <c r="B180" s="10"/>
      <c r="C180" s="10" t="s">
        <v>1304</v>
      </c>
      <c r="D180" s="10" t="s">
        <v>1305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1306</v>
      </c>
      <c r="C181" s="1" t="s">
        <v>1307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632</v>
      </c>
      <c r="C182" s="1" t="s">
        <v>633</v>
      </c>
      <c r="D182" s="1" t="s">
        <v>634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1308</v>
      </c>
      <c r="C183" s="1" t="s">
        <v>1309</v>
      </c>
      <c r="D183" s="1" t="s">
        <v>1310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720</v>
      </c>
      <c r="B184" s="1" t="s">
        <v>1048</v>
      </c>
      <c r="C184" s="1" t="s">
        <v>722</v>
      </c>
      <c r="D184" s="9">
        <v>1.13111481155116E+23</v>
      </c>
      <c r="E184" s="1" t="s">
        <v>1311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543</v>
      </c>
      <c r="B185" s="1" t="s">
        <v>1312</v>
      </c>
      <c r="C185" s="1" t="s">
        <v>545</v>
      </c>
      <c r="D185" s="9">
        <v>605858638891</v>
      </c>
      <c r="E185" s="1" t="s">
        <v>1313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543</v>
      </c>
      <c r="B186" s="1" t="s">
        <v>641</v>
      </c>
      <c r="C186" s="1" t="s">
        <v>545</v>
      </c>
      <c r="D186" s="9">
        <v>605858638891</v>
      </c>
      <c r="E186" s="1" t="s">
        <v>642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1314</v>
      </c>
      <c r="C187" s="1" t="s">
        <v>1315</v>
      </c>
      <c r="D187" s="1" t="s">
        <v>1316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1317</v>
      </c>
      <c r="C188" s="1" t="s">
        <v>1318</v>
      </c>
      <c r="D188" s="1" t="s">
        <v>1319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1047</v>
      </c>
      <c r="B189" s="1" t="s">
        <v>1320</v>
      </c>
      <c r="C189" s="1" t="s">
        <v>1049</v>
      </c>
      <c r="D189" s="1" t="s">
        <v>1050</v>
      </c>
      <c r="E189" s="1" t="s">
        <v>1321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1322</v>
      </c>
      <c r="C190" s="1" t="s">
        <v>1323</v>
      </c>
      <c r="D190" s="1" t="s">
        <v>1324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1325</v>
      </c>
      <c r="C191" s="1" t="s">
        <v>1326</v>
      </c>
      <c r="D191" s="1" t="s">
        <v>1327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1328</v>
      </c>
      <c r="C192" s="1" t="s">
        <v>1329</v>
      </c>
      <c r="D192" s="1" t="s">
        <v>1330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720</v>
      </c>
      <c r="B193" s="1" t="s">
        <v>721</v>
      </c>
      <c r="C193" s="1" t="s">
        <v>722</v>
      </c>
      <c r="D193" s="9">
        <v>1.13111481155116E+23</v>
      </c>
      <c r="E193" s="1" t="s">
        <v>724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1331</v>
      </c>
      <c r="C194" s="1" t="s">
        <v>1332</v>
      </c>
      <c r="D194" s="1" t="s">
        <v>1333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939</v>
      </c>
      <c r="C195" s="1" t="s">
        <v>940</v>
      </c>
      <c r="D195" s="1" t="s">
        <v>941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682</v>
      </c>
      <c r="C196" s="1" t="s">
        <v>683</v>
      </c>
      <c r="D196" s="1" t="s">
        <v>684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1334</v>
      </c>
      <c r="B197" s="1" t="s">
        <v>455</v>
      </c>
      <c r="C197" s="1" t="s">
        <v>456</v>
      </c>
      <c r="D197" s="1" t="s">
        <v>1335</v>
      </c>
      <c r="E197" s="1" t="s">
        <v>457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1336</v>
      </c>
      <c r="B198" s="1" t="s">
        <v>1337</v>
      </c>
      <c r="C198" s="1" t="s">
        <v>473</v>
      </c>
      <c r="D198" s="1" t="s">
        <v>474</v>
      </c>
      <c r="E198" s="1" t="s">
        <v>1338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1339</v>
      </c>
      <c r="C199" s="1" t="s">
        <v>1340</v>
      </c>
      <c r="D199" s="1" t="s">
        <v>1341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1342</v>
      </c>
      <c r="C200" s="1" t="s">
        <v>1343</v>
      </c>
      <c r="D200" s="1" t="s">
        <v>1344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1169</v>
      </c>
      <c r="B201" s="1" t="s">
        <v>1345</v>
      </c>
      <c r="C201" s="1">
        <v>3264680009761</v>
      </c>
      <c r="D201" s="9">
        <v>976143829785</v>
      </c>
      <c r="E201" s="1" t="s">
        <v>1346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1347</v>
      </c>
      <c r="C202" s="1" t="s">
        <v>1348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1349</v>
      </c>
      <c r="B203" s="10" t="s">
        <v>1109</v>
      </c>
      <c r="C203" s="10" t="s">
        <v>1350</v>
      </c>
      <c r="D203" s="10" t="s">
        <v>1351</v>
      </c>
      <c r="E203" s="10" t="s">
        <v>1352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1353</v>
      </c>
      <c r="C204" s="1">
        <v>4965858009581</v>
      </c>
      <c r="D204" s="1" t="s">
        <v>1354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1336</v>
      </c>
      <c r="B205" s="10" t="s">
        <v>1355</v>
      </c>
      <c r="C205" s="10" t="s">
        <v>473</v>
      </c>
      <c r="D205" s="10" t="s">
        <v>474</v>
      </c>
      <c r="E205" s="10" t="s">
        <v>1356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1357</v>
      </c>
      <c r="B206" s="10"/>
      <c r="C206" s="10" t="s">
        <v>1358</v>
      </c>
      <c r="D206" s="10" t="s">
        <v>1359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1336</v>
      </c>
      <c r="B207" s="10" t="s">
        <v>472</v>
      </c>
      <c r="C207" s="10" t="s">
        <v>473</v>
      </c>
      <c r="D207" s="10" t="s">
        <v>474</v>
      </c>
      <c r="E207" s="10" t="s">
        <v>475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468</v>
      </c>
      <c r="C208" s="1" t="s">
        <v>469</v>
      </c>
      <c r="D208" s="1" t="s">
        <v>1360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1361</v>
      </c>
      <c r="C209" s="1" t="s">
        <v>644</v>
      </c>
      <c r="D209" s="1" t="s">
        <v>1362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1363</v>
      </c>
      <c r="C210" s="1" t="s">
        <v>1364</v>
      </c>
      <c r="D210" s="1" t="s">
        <v>1365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1108</v>
      </c>
      <c r="B211" s="1" t="s">
        <v>861</v>
      </c>
      <c r="C211" s="1" t="s">
        <v>862</v>
      </c>
      <c r="D211" s="1" t="s">
        <v>863</v>
      </c>
      <c r="E211" s="1" t="s">
        <v>864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1218</v>
      </c>
      <c r="B212" s="1" t="s">
        <v>1366</v>
      </c>
      <c r="C212" s="1" t="s">
        <v>1220</v>
      </c>
      <c r="D212" s="1" t="s">
        <v>1221</v>
      </c>
      <c r="E212" s="1" t="s">
        <v>1367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1218</v>
      </c>
      <c r="B213" s="1" t="s">
        <v>1368</v>
      </c>
      <c r="C213" s="1" t="s">
        <v>1220</v>
      </c>
      <c r="D213" s="1" t="s">
        <v>1221</v>
      </c>
      <c r="E213" s="1" t="s">
        <v>1369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1370</v>
      </c>
      <c r="C214" s="1" t="s">
        <v>1371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1218</v>
      </c>
      <c r="B215" s="1" t="s">
        <v>1372</v>
      </c>
      <c r="C215" s="1" t="s">
        <v>1220</v>
      </c>
      <c r="D215" s="1" t="s">
        <v>1221</v>
      </c>
      <c r="E215" s="1" t="s">
        <v>1373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1218</v>
      </c>
      <c r="B216" s="1" t="s">
        <v>1374</v>
      </c>
      <c r="C216" s="1" t="s">
        <v>1220</v>
      </c>
      <c r="D216" s="1" t="s">
        <v>1221</v>
      </c>
      <c r="E216" s="1" t="s">
        <v>1375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1218</v>
      </c>
      <c r="B217" s="1" t="s">
        <v>1376</v>
      </c>
      <c r="C217" s="1" t="s">
        <v>1220</v>
      </c>
      <c r="D217" s="1" t="s">
        <v>1221</v>
      </c>
      <c r="E217" s="1" t="s">
        <v>1377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1378</v>
      </c>
      <c r="C218" s="1" t="s">
        <v>1379</v>
      </c>
      <c r="D218" s="1" t="s">
        <v>1380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1381</v>
      </c>
      <c r="C219" s="1" t="s">
        <v>1382</v>
      </c>
      <c r="D219" s="1" t="s">
        <v>1383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1384</v>
      </c>
      <c r="B220" s="10"/>
      <c r="C220" s="10" t="s">
        <v>1385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1386</v>
      </c>
      <c r="B221" s="10" t="s">
        <v>1265</v>
      </c>
      <c r="C221" s="10" t="s">
        <v>744</v>
      </c>
      <c r="D221" s="10" t="s">
        <v>1387</v>
      </c>
      <c r="E221" s="10" t="s">
        <v>1388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1389</v>
      </c>
      <c r="B222" s="10"/>
      <c r="C222" s="10" t="s">
        <v>489</v>
      </c>
      <c r="D222" s="10" t="s">
        <v>1390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749</v>
      </c>
      <c r="C223" s="1" t="s">
        <v>750</v>
      </c>
      <c r="D223" s="1" t="s">
        <v>751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782</v>
      </c>
      <c r="C224" s="1" t="s">
        <v>783</v>
      </c>
      <c r="D224" s="1" t="s">
        <v>784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1391</v>
      </c>
      <c r="C225" s="1" t="s">
        <v>1392</v>
      </c>
      <c r="D225" s="1" t="s">
        <v>1393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1394</v>
      </c>
      <c r="B226" s="10"/>
      <c r="C226" s="10" t="s">
        <v>404</v>
      </c>
      <c r="D226" s="10" t="s">
        <v>1395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1396</v>
      </c>
      <c r="C227" s="1" t="s">
        <v>1397</v>
      </c>
      <c r="D227" s="1" t="s">
        <v>1398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788</v>
      </c>
      <c r="C228" s="1" t="s">
        <v>789</v>
      </c>
      <c r="D228" s="1" t="s">
        <v>1399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299</v>
      </c>
      <c r="C229" s="1" t="s">
        <v>300</v>
      </c>
      <c r="D229" s="1" t="s">
        <v>301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1400</v>
      </c>
      <c r="C230" s="1" t="s">
        <v>1401</v>
      </c>
      <c r="D230" s="1" t="s">
        <v>1402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1403</v>
      </c>
      <c r="C231" s="1" t="s">
        <v>1404</v>
      </c>
      <c r="D231" s="1" t="s">
        <v>1405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178</v>
      </c>
      <c r="B232" s="10"/>
      <c r="C232" s="10" t="s">
        <v>179</v>
      </c>
      <c r="D232" s="10" t="s">
        <v>1406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1407</v>
      </c>
      <c r="B233" s="10"/>
      <c r="C233" s="10" t="s">
        <v>814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821</v>
      </c>
      <c r="C234" s="1" t="s">
        <v>822</v>
      </c>
      <c r="D234" s="1" t="s">
        <v>823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1408</v>
      </c>
      <c r="C235" s="1" t="s">
        <v>1409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1410</v>
      </c>
      <c r="C236" s="1" t="s">
        <v>1411</v>
      </c>
      <c r="D236" s="1" t="s">
        <v>1412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1413</v>
      </c>
      <c r="C237" s="1" t="s">
        <v>1414</v>
      </c>
      <c r="D237" s="1" t="s">
        <v>1415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1416</v>
      </c>
      <c r="C238" s="1" t="s">
        <v>1417</v>
      </c>
      <c r="D238" s="1" t="s">
        <v>1418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1419</v>
      </c>
      <c r="C239" s="1" t="s">
        <v>1420</v>
      </c>
      <c r="D239" s="1" t="s">
        <v>1421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1422</v>
      </c>
      <c r="C240" s="1" t="s">
        <v>1423</v>
      </c>
      <c r="D240" s="1" t="s">
        <v>1424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1425</v>
      </c>
      <c r="C241" s="1" t="s">
        <v>1426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1427</v>
      </c>
      <c r="C242" s="1" t="s">
        <v>1428</v>
      </c>
      <c r="D242" s="1" t="s">
        <v>1429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1430</v>
      </c>
      <c r="C243" s="1" t="s">
        <v>1431</v>
      </c>
      <c r="D243" s="1" t="s">
        <v>1432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1433</v>
      </c>
      <c r="C244" s="1" t="s">
        <v>1434</v>
      </c>
      <c r="D244" s="1" t="s">
        <v>954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837</v>
      </c>
      <c r="C245" s="1">
        <v>4550391011926</v>
      </c>
      <c r="D245" s="1" t="s">
        <v>1435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1436</v>
      </c>
      <c r="C246" s="1" t="s">
        <v>1437</v>
      </c>
      <c r="D246" s="1" t="s">
        <v>1438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1439</v>
      </c>
      <c r="B247" s="1" t="s">
        <v>861</v>
      </c>
      <c r="C247" s="1" t="s">
        <v>1440</v>
      </c>
      <c r="D247" s="1" t="s">
        <v>1441</v>
      </c>
      <c r="E247" s="1" t="s">
        <v>1442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1443</v>
      </c>
      <c r="C248" s="1" t="s">
        <v>1444</v>
      </c>
      <c r="D248" s="1" t="s">
        <v>1445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791</v>
      </c>
      <c r="C249" s="1" t="s">
        <v>792</v>
      </c>
      <c r="D249" s="1" t="s">
        <v>1446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1447</v>
      </c>
      <c r="C250" s="1" t="s">
        <v>1448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725</v>
      </c>
      <c r="B251" s="1" t="s">
        <v>1449</v>
      </c>
      <c r="C251" s="1" t="s">
        <v>727</v>
      </c>
      <c r="D251" s="9">
        <v>6.2111481480589895E+20</v>
      </c>
      <c r="E251" s="1" t="s">
        <v>1450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1451</v>
      </c>
      <c r="C252" s="1" t="s">
        <v>1452</v>
      </c>
      <c r="D252" s="1" t="s">
        <v>1453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1454</v>
      </c>
      <c r="C253" s="1" t="s">
        <v>1455</v>
      </c>
      <c r="D253" s="1" t="s">
        <v>1456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1457</v>
      </c>
      <c r="B254" s="10"/>
      <c r="C254" s="10" t="s">
        <v>496</v>
      </c>
      <c r="D254" s="10" t="s">
        <v>1458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1459</v>
      </c>
      <c r="B255" s="10"/>
      <c r="C255" s="10" t="s">
        <v>899</v>
      </c>
      <c r="D255" s="10" t="s">
        <v>1230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1460</v>
      </c>
      <c r="C256" s="1" t="s">
        <v>1461</v>
      </c>
      <c r="D256" s="1" t="s">
        <v>1462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900</v>
      </c>
      <c r="C257" s="1" t="s">
        <v>781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1463</v>
      </c>
      <c r="C258" s="1" t="s">
        <v>849</v>
      </c>
      <c r="D258" s="1" t="s">
        <v>850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720</v>
      </c>
      <c r="B259" s="1" t="s">
        <v>1065</v>
      </c>
      <c r="C259" s="1" t="s">
        <v>722</v>
      </c>
      <c r="D259" s="9">
        <v>1.13111481155116E+23</v>
      </c>
      <c r="E259" s="1" t="s">
        <v>1464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1465</v>
      </c>
      <c r="C260" s="1">
        <v>4550391012374</v>
      </c>
      <c r="D260" s="1" t="s">
        <v>1466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1467</v>
      </c>
      <c r="C261" s="1" t="s">
        <v>1468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1469</v>
      </c>
      <c r="C262" s="1">
        <v>4550391012367</v>
      </c>
      <c r="D262" s="1" t="s">
        <v>1470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1471</v>
      </c>
      <c r="C263" s="1" t="s">
        <v>1472</v>
      </c>
      <c r="D263" s="1" t="s">
        <v>1473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720</v>
      </c>
      <c r="B264" s="1" t="s">
        <v>1474</v>
      </c>
      <c r="C264" s="1" t="s">
        <v>722</v>
      </c>
      <c r="D264" s="9">
        <v>1.13111481155116E+23</v>
      </c>
      <c r="E264" s="1" t="s">
        <v>1475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293" si="17">SUM(H264*L264)</f>
        <v>504</v>
      </c>
      <c r="N264" s="6">
        <f t="shared" ref="N264:N293" si="18">SUM(I264-K264-M264)</f>
        <v>754</v>
      </c>
      <c r="O264" s="8">
        <f t="shared" ref="O264:O294" si="19">IF(I264=0,"",N264/I264)</f>
        <v>0.50945945945945947</v>
      </c>
    </row>
    <row r="265" spans="1:15" ht="20" customHeight="1">
      <c r="A265" s="1" t="s">
        <v>1476</v>
      </c>
      <c r="C265" s="1" t="s">
        <v>1477</v>
      </c>
      <c r="D265" s="1" t="s">
        <v>1478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1479</v>
      </c>
      <c r="C266" s="1" t="s">
        <v>1480</v>
      </c>
      <c r="D266" s="1" t="s">
        <v>1481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1334</v>
      </c>
      <c r="B267" s="1" t="s">
        <v>1482</v>
      </c>
      <c r="C267" s="1" t="s">
        <v>456</v>
      </c>
      <c r="D267" s="1" t="s">
        <v>1335</v>
      </c>
      <c r="E267" s="1" t="s">
        <v>1483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1484</v>
      </c>
      <c r="C268" s="1" t="s">
        <v>1485</v>
      </c>
      <c r="D268" s="1" t="s">
        <v>1486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740</v>
      </c>
      <c r="C269" s="1" t="s">
        <v>741</v>
      </c>
      <c r="D269" s="1" t="s">
        <v>742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1487</v>
      </c>
      <c r="B270" s="1" t="s">
        <v>1488</v>
      </c>
      <c r="C270" s="1" t="s">
        <v>1489</v>
      </c>
      <c r="D270" s="1" t="s">
        <v>1490</v>
      </c>
      <c r="E270" s="1" t="s">
        <v>1491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1492</v>
      </c>
      <c r="C271" s="1" t="s">
        <v>1493</v>
      </c>
      <c r="D271" s="1" t="s">
        <v>1494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1495</v>
      </c>
      <c r="C272" s="1" t="s">
        <v>1496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1497</v>
      </c>
      <c r="C273" s="1" t="s">
        <v>1498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1499</v>
      </c>
      <c r="B274" s="10"/>
      <c r="C274" s="10" t="s">
        <v>1500</v>
      </c>
      <c r="D274" s="10" t="s">
        <v>1501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1502</v>
      </c>
      <c r="B275" s="10"/>
      <c r="C275" s="10" t="s">
        <v>1503</v>
      </c>
      <c r="D275" s="10" t="s">
        <v>1504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1505</v>
      </c>
      <c r="C276" s="1">
        <v>4550391012411</v>
      </c>
      <c r="D276" s="1" t="s">
        <v>1506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1507</v>
      </c>
      <c r="C277" s="1" t="s">
        <v>1508</v>
      </c>
      <c r="D277" s="1" t="s">
        <v>1509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543</v>
      </c>
      <c r="B278" s="1" t="s">
        <v>544</v>
      </c>
      <c r="C278" s="1" t="s">
        <v>545</v>
      </c>
      <c r="D278" s="9">
        <v>605858638891</v>
      </c>
      <c r="E278" s="1" t="s">
        <v>547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1510</v>
      </c>
      <c r="B279" s="10"/>
      <c r="C279" s="10" t="s">
        <v>1511</v>
      </c>
      <c r="D279" s="10" t="s">
        <v>1512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1513</v>
      </c>
      <c r="C280" s="1" t="s">
        <v>1514</v>
      </c>
      <c r="D280" s="1" t="s">
        <v>1515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1516</v>
      </c>
      <c r="C281" s="1" t="s">
        <v>1517</v>
      </c>
      <c r="D281" s="1" t="s">
        <v>1518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1519</v>
      </c>
      <c r="C282" s="1" t="s">
        <v>1520</v>
      </c>
      <c r="D282" s="1" t="s">
        <v>1521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1522</v>
      </c>
      <c r="C283" s="1" t="s">
        <v>1523</v>
      </c>
      <c r="D283" s="1" t="s">
        <v>1524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672</v>
      </c>
      <c r="C284" s="1" t="s">
        <v>673</v>
      </c>
      <c r="D284" s="1" t="s">
        <v>1525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1526</v>
      </c>
      <c r="C285" s="1" t="s">
        <v>1527</v>
      </c>
      <c r="D285" s="1" t="s">
        <v>1528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1529</v>
      </c>
      <c r="C286" s="1" t="s">
        <v>1530</v>
      </c>
      <c r="D286" s="1" t="s">
        <v>1531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1532</v>
      </c>
      <c r="C287" s="1" t="s">
        <v>1533</v>
      </c>
      <c r="D287" s="1" t="s">
        <v>1534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1535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1536</v>
      </c>
      <c r="C289" s="1" t="s">
        <v>1537</v>
      </c>
      <c r="D289" s="1" t="s">
        <v>1538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1539</v>
      </c>
      <c r="C290" s="1" t="s">
        <v>1540</v>
      </c>
      <c r="D290" s="1" t="s">
        <v>1541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1542</v>
      </c>
      <c r="C291" s="1" t="s">
        <v>1543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1544</v>
      </c>
      <c r="C292" s="1" t="s">
        <v>1545</v>
      </c>
      <c r="D292" s="1" t="s">
        <v>1546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1547</v>
      </c>
      <c r="C293" s="1" t="s">
        <v>1548</v>
      </c>
      <c r="D293" s="1" t="s">
        <v>1549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956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957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958</v>
      </c>
      <c r="N298" s="28">
        <v>9100</v>
      </c>
      <c r="O298" s="1" t="s">
        <v>1550</v>
      </c>
    </row>
    <row r="299" spans="1:15" ht="13" customHeight="1">
      <c r="L299" s="28"/>
      <c r="M299" s="28" t="s">
        <v>959</v>
      </c>
      <c r="N299" s="28">
        <v>0</v>
      </c>
    </row>
    <row r="300" spans="1:15" ht="13" customHeight="1">
      <c r="L300" s="28"/>
      <c r="M300" s="28" t="s">
        <v>960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961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962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960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963</v>
      </c>
      <c r="N306" s="29">
        <f>SUM(N294-N300-N304)</f>
        <v>1395476.55</v>
      </c>
    </row>
    <row r="307" spans="12:14" ht="13" customHeight="1">
      <c r="L307" s="28"/>
      <c r="M307" s="28" t="s">
        <v>964</v>
      </c>
      <c r="N307" s="8">
        <f>IF(I294=0,"",N306/I294)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31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1551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1552</v>
      </c>
      <c r="B8" s="17"/>
      <c r="C8" s="18" t="s">
        <v>1553</v>
      </c>
      <c r="D8" s="18" t="s">
        <v>1554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40</v>
      </c>
      <c r="B9" s="17"/>
      <c r="C9" s="18">
        <v>4550391012121</v>
      </c>
      <c r="D9" s="18" t="s">
        <v>1555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1556</v>
      </c>
      <c r="B10" s="17"/>
      <c r="C10" s="18" t="s">
        <v>1557</v>
      </c>
      <c r="D10" s="18" t="s">
        <v>1558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1094</v>
      </c>
      <c r="B11" s="22"/>
      <c r="C11" s="23" t="s">
        <v>25</v>
      </c>
      <c r="D11" s="23" t="s">
        <v>1095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1559</v>
      </c>
      <c r="B12" s="17"/>
      <c r="C12" s="18">
        <v>4550391811830</v>
      </c>
      <c r="D12" s="18" t="s">
        <v>1148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996</v>
      </c>
      <c r="B13" s="17"/>
      <c r="C13" s="18" t="s">
        <v>997</v>
      </c>
      <c r="D13" s="18" t="s">
        <v>998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1560</v>
      </c>
      <c r="B14" s="17"/>
      <c r="C14" s="18">
        <v>4550391811823</v>
      </c>
      <c r="D14" s="18" t="s">
        <v>1006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1561</v>
      </c>
      <c r="B15" s="17"/>
      <c r="C15" s="18" t="s">
        <v>980</v>
      </c>
      <c r="D15" s="18" t="s">
        <v>1562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1563</v>
      </c>
      <c r="B16" s="17"/>
      <c r="C16" s="18" t="s">
        <v>1564</v>
      </c>
      <c r="D16" s="18" t="s">
        <v>1565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1566</v>
      </c>
      <c r="B17" s="18" t="s">
        <v>125</v>
      </c>
      <c r="C17" s="18" t="s">
        <v>53</v>
      </c>
      <c r="D17" s="18" t="s">
        <v>54</v>
      </c>
      <c r="E17" s="18" t="s">
        <v>126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1567</v>
      </c>
      <c r="B18" s="17"/>
      <c r="C18" s="18" t="s">
        <v>43</v>
      </c>
      <c r="D18" s="18" t="s">
        <v>1568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1569</v>
      </c>
      <c r="B19" s="18" t="s">
        <v>1570</v>
      </c>
      <c r="C19" s="18" t="s">
        <v>1571</v>
      </c>
      <c r="D19" s="18" t="s">
        <v>1572</v>
      </c>
      <c r="E19" s="18" t="s">
        <v>1573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1574</v>
      </c>
      <c r="B20" s="17"/>
      <c r="C20" s="18">
        <v>4550391042821</v>
      </c>
      <c r="D20" s="18" t="s">
        <v>107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1575</v>
      </c>
      <c r="B21" s="17"/>
      <c r="C21" s="18">
        <v>4550391046515</v>
      </c>
      <c r="D21" s="18" t="s">
        <v>1576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75</v>
      </c>
      <c r="B22" s="17"/>
      <c r="C22" s="18" t="s">
        <v>76</v>
      </c>
      <c r="D22" s="18" t="s">
        <v>1027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828</v>
      </c>
      <c r="B23" s="17"/>
      <c r="C23" s="18">
        <v>4550391012053</v>
      </c>
      <c r="D23" s="18" t="s">
        <v>829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970</v>
      </c>
      <c r="B24" s="17"/>
      <c r="C24" s="18">
        <v>4550391012176</v>
      </c>
      <c r="D24" s="18" t="s">
        <v>971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1577</v>
      </c>
      <c r="B25" s="17"/>
      <c r="C25" s="18" t="s">
        <v>169</v>
      </c>
      <c r="D25" s="18" t="s">
        <v>1023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1007</v>
      </c>
      <c r="B26" s="17"/>
      <c r="C26" s="18">
        <v>4550391011919</v>
      </c>
      <c r="D26" s="18" t="s">
        <v>1008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1370</v>
      </c>
      <c r="B27" s="17"/>
      <c r="C27" s="18" t="s">
        <v>1371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141</v>
      </c>
      <c r="B28" s="17"/>
      <c r="C28" s="18" t="s">
        <v>142</v>
      </c>
      <c r="D28" s="18" t="s">
        <v>143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1578</v>
      </c>
      <c r="B29" s="17"/>
      <c r="C29" s="18" t="s">
        <v>718</v>
      </c>
      <c r="D29" s="18" t="s">
        <v>1579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1580</v>
      </c>
      <c r="B30" s="17"/>
      <c r="C30" s="18" t="s">
        <v>1581</v>
      </c>
      <c r="D30" s="18" t="s">
        <v>1582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1583</v>
      </c>
      <c r="B31" s="17"/>
      <c r="C31" s="18" t="s">
        <v>1584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1585</v>
      </c>
      <c r="B32" s="17"/>
      <c r="C32" s="18" t="s">
        <v>1586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1587</v>
      </c>
      <c r="B33" s="17"/>
      <c r="C33" s="18" t="s">
        <v>1588</v>
      </c>
      <c r="D33" s="18" t="s">
        <v>1589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1590</v>
      </c>
      <c r="B34" s="17"/>
      <c r="C34" s="18" t="s">
        <v>286</v>
      </c>
      <c r="D34" s="18" t="s">
        <v>1591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1592</v>
      </c>
      <c r="B35" s="17"/>
      <c r="C35" s="18" t="s">
        <v>714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986</v>
      </c>
      <c r="B36" s="17"/>
      <c r="C36" s="18" t="s">
        <v>987</v>
      </c>
      <c r="D36" s="18" t="s">
        <v>988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1593</v>
      </c>
      <c r="B37" s="17"/>
      <c r="C37" s="18" t="s">
        <v>1025</v>
      </c>
      <c r="D37" s="18" t="s">
        <v>1026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1107</v>
      </c>
      <c r="B38" s="17"/>
      <c r="C38" s="18" t="s">
        <v>658</v>
      </c>
      <c r="D38" s="18" t="s">
        <v>659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84</v>
      </c>
      <c r="B39" s="17"/>
      <c r="C39" s="18" t="s">
        <v>85</v>
      </c>
      <c r="D39" s="18" t="s">
        <v>985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178</v>
      </c>
      <c r="B40" s="17"/>
      <c r="C40" s="18" t="s">
        <v>179</v>
      </c>
      <c r="D40" s="18" t="s">
        <v>1406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235</v>
      </c>
      <c r="B41" s="17"/>
      <c r="C41" s="18" t="s">
        <v>236</v>
      </c>
      <c r="D41" s="18" t="s">
        <v>1594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1595</v>
      </c>
      <c r="B42" s="17"/>
      <c r="C42" s="18">
        <v>4550391910564</v>
      </c>
      <c r="D42" s="18" t="s">
        <v>252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1596</v>
      </c>
      <c r="B43" s="17"/>
      <c r="C43" s="18" t="s">
        <v>670</v>
      </c>
      <c r="D43" s="18" t="s">
        <v>1597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1243</v>
      </c>
      <c r="B44" s="17"/>
      <c r="C44" s="18" t="s">
        <v>186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995</v>
      </c>
      <c r="B45" s="17"/>
      <c r="C45" s="18" t="s">
        <v>504</v>
      </c>
      <c r="D45" s="18" t="s">
        <v>1598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1317</v>
      </c>
      <c r="B46" s="17"/>
      <c r="C46" s="18" t="s">
        <v>1318</v>
      </c>
      <c r="D46" s="18" t="s">
        <v>1599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1111</v>
      </c>
      <c r="B47" s="17"/>
      <c r="C47" s="18" t="s">
        <v>1112</v>
      </c>
      <c r="D47" s="18" t="s">
        <v>1113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296</v>
      </c>
      <c r="B48" s="17"/>
      <c r="C48" s="18" t="s">
        <v>297</v>
      </c>
      <c r="D48" s="18" t="s">
        <v>991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1600</v>
      </c>
      <c r="B49" s="17"/>
      <c r="C49" s="18" t="s">
        <v>501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1601</v>
      </c>
      <c r="B50" s="17"/>
      <c r="C50" s="18" t="s">
        <v>1056</v>
      </c>
      <c r="D50" s="18" t="s">
        <v>1057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1349</v>
      </c>
      <c r="B51" s="17"/>
      <c r="C51" s="18" t="s">
        <v>1350</v>
      </c>
      <c r="D51" s="18" t="s">
        <v>1351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150</v>
      </c>
      <c r="B52" s="18" t="s">
        <v>472</v>
      </c>
      <c r="C52" s="18" t="s">
        <v>152</v>
      </c>
      <c r="D52" s="18" t="s">
        <v>153</v>
      </c>
      <c r="E52" s="18" t="s">
        <v>1602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147</v>
      </c>
      <c r="B53" s="17"/>
      <c r="C53" s="18" t="s">
        <v>148</v>
      </c>
      <c r="D53" s="18" t="s">
        <v>149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150</v>
      </c>
      <c r="B54" s="18" t="s">
        <v>155</v>
      </c>
      <c r="C54" s="18" t="s">
        <v>152</v>
      </c>
      <c r="D54" s="18" t="s">
        <v>153</v>
      </c>
      <c r="E54" s="18" t="s">
        <v>156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1121</v>
      </c>
      <c r="B55" s="17"/>
      <c r="C55" s="18" t="s">
        <v>1122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1603</v>
      </c>
      <c r="B56" s="17"/>
      <c r="C56" s="18">
        <v>4971710623796</v>
      </c>
      <c r="D56" s="18" t="s">
        <v>1604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327</v>
      </c>
      <c r="B57" s="18" t="s">
        <v>125</v>
      </c>
      <c r="C57" s="18" t="s">
        <v>328</v>
      </c>
      <c r="D57" s="18" t="s">
        <v>329</v>
      </c>
      <c r="E57" s="18" t="s">
        <v>330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112</v>
      </c>
      <c r="B58" s="17"/>
      <c r="C58" s="18" t="s">
        <v>113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1128</v>
      </c>
      <c r="B59" s="17"/>
      <c r="C59" s="18" t="s">
        <v>259</v>
      </c>
      <c r="D59" s="18" t="s">
        <v>1129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1605</v>
      </c>
      <c r="B60" s="17"/>
      <c r="C60" s="18" t="s">
        <v>570</v>
      </c>
      <c r="D60" s="18" t="s">
        <v>1606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1607</v>
      </c>
      <c r="B61" s="17"/>
      <c r="C61" s="18" t="s">
        <v>1326</v>
      </c>
      <c r="D61" s="18" t="s">
        <v>1327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138</v>
      </c>
      <c r="B62" s="17"/>
      <c r="C62" s="18" t="s">
        <v>139</v>
      </c>
      <c r="D62" s="18" t="s">
        <v>1608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1609</v>
      </c>
      <c r="B63" s="17"/>
      <c r="C63" s="18" t="s">
        <v>1610</v>
      </c>
      <c r="D63" s="18" t="s">
        <v>1611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37</v>
      </c>
      <c r="B64" s="17"/>
      <c r="C64" s="18" t="s">
        <v>38</v>
      </c>
      <c r="D64" s="18" t="s">
        <v>1612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1613</v>
      </c>
      <c r="B65" s="18" t="s">
        <v>418</v>
      </c>
      <c r="C65" s="18" t="s">
        <v>419</v>
      </c>
      <c r="D65" s="18" t="s">
        <v>420</v>
      </c>
      <c r="E65" s="18" t="s">
        <v>421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1108</v>
      </c>
      <c r="B66" s="18" t="s">
        <v>1109</v>
      </c>
      <c r="C66" s="18" t="s">
        <v>862</v>
      </c>
      <c r="D66" s="18" t="s">
        <v>863</v>
      </c>
      <c r="E66" s="18" t="s">
        <v>1110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791</v>
      </c>
      <c r="B67" s="17"/>
      <c r="C67" s="18" t="s">
        <v>792</v>
      </c>
      <c r="D67" s="18" t="s">
        <v>1446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127</v>
      </c>
      <c r="B68" s="18" t="s">
        <v>1038</v>
      </c>
      <c r="C68" s="18" t="s">
        <v>129</v>
      </c>
      <c r="D68" s="18" t="s">
        <v>130</v>
      </c>
      <c r="E68" s="18" t="s">
        <v>1039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399</v>
      </c>
      <c r="B69" s="18" t="s">
        <v>400</v>
      </c>
      <c r="C69" s="18" t="s">
        <v>401</v>
      </c>
      <c r="D69" s="18">
        <v>4980</v>
      </c>
      <c r="E69" s="18" t="s">
        <v>402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1238</v>
      </c>
      <c r="B70" s="17"/>
      <c r="C70" s="18" t="s">
        <v>1239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1614</v>
      </c>
      <c r="B71" s="17"/>
      <c r="C71" s="18" t="s">
        <v>462</v>
      </c>
      <c r="D71" s="18" t="s">
        <v>463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765</v>
      </c>
      <c r="B72" s="18" t="s">
        <v>766</v>
      </c>
      <c r="C72" s="18" t="s">
        <v>767</v>
      </c>
      <c r="D72" s="18" t="s">
        <v>768</v>
      </c>
      <c r="E72" s="18" t="s">
        <v>769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1615</v>
      </c>
      <c r="B73" s="17"/>
      <c r="C73" s="18" t="s">
        <v>344</v>
      </c>
      <c r="D73" s="18" t="s">
        <v>1616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1137</v>
      </c>
      <c r="B74" s="17"/>
      <c r="C74" s="18" t="s">
        <v>83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910</v>
      </c>
      <c r="B75" s="17"/>
      <c r="C75" s="18" t="s">
        <v>911</v>
      </c>
      <c r="D75" s="18" t="s">
        <v>1162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725</v>
      </c>
      <c r="B76" s="18" t="s">
        <v>881</v>
      </c>
      <c r="C76" s="18" t="s">
        <v>727</v>
      </c>
      <c r="D76" s="27">
        <v>6.2111481480589895E+20</v>
      </c>
      <c r="E76" s="18" t="s">
        <v>882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1073</v>
      </c>
      <c r="B77" s="17"/>
      <c r="C77" s="18" t="s">
        <v>162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1617</v>
      </c>
      <c r="B78" s="17"/>
      <c r="C78" s="18" t="s">
        <v>1618</v>
      </c>
      <c r="D78" s="18" t="s">
        <v>1619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1620</v>
      </c>
      <c r="B79" s="18" t="s">
        <v>1068</v>
      </c>
      <c r="C79" s="18" t="s">
        <v>1069</v>
      </c>
      <c r="D79" s="18" t="s">
        <v>1070</v>
      </c>
      <c r="E79" s="18" t="s">
        <v>1071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1621</v>
      </c>
      <c r="B80" s="17"/>
      <c r="C80" s="18" t="s">
        <v>532</v>
      </c>
      <c r="D80" s="18" t="s">
        <v>989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1622</v>
      </c>
      <c r="B81" s="17"/>
      <c r="C81" s="18" t="s">
        <v>1623</v>
      </c>
      <c r="D81" s="18" t="s">
        <v>1624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1625</v>
      </c>
      <c r="B82" s="17"/>
      <c r="C82" s="18" t="s">
        <v>580</v>
      </c>
      <c r="D82" s="18" t="s">
        <v>1626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725</v>
      </c>
      <c r="B83" s="18" t="s">
        <v>1045</v>
      </c>
      <c r="C83" s="18" t="s">
        <v>727</v>
      </c>
      <c r="D83" s="27">
        <v>6.2111481480589895E+20</v>
      </c>
      <c r="E83" s="18" t="s">
        <v>1046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1161</v>
      </c>
      <c r="B84" s="17"/>
      <c r="C84" s="18" t="s">
        <v>182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1627</v>
      </c>
      <c r="B85" s="17"/>
      <c r="C85" s="18" t="s">
        <v>339</v>
      </c>
      <c r="D85" s="18" t="s">
        <v>1628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765</v>
      </c>
      <c r="B86" s="18" t="s">
        <v>653</v>
      </c>
      <c r="C86" s="18" t="s">
        <v>767</v>
      </c>
      <c r="D86" s="18" t="s">
        <v>768</v>
      </c>
      <c r="E86" s="18" t="s">
        <v>1225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1394</v>
      </c>
      <c r="B87" s="17"/>
      <c r="C87" s="18" t="s">
        <v>404</v>
      </c>
      <c r="D87" s="18" t="s">
        <v>1395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1629</v>
      </c>
      <c r="B88" s="17"/>
      <c r="C88" s="18" t="s">
        <v>1630</v>
      </c>
      <c r="D88" s="18" t="s">
        <v>1631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1632</v>
      </c>
      <c r="B89" s="17"/>
      <c r="C89" s="18" t="s">
        <v>984</v>
      </c>
      <c r="D89" s="18" t="s">
        <v>1633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1076</v>
      </c>
      <c r="B90" s="17"/>
      <c r="C90" s="18" t="s">
        <v>1077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1613</v>
      </c>
      <c r="B91" s="18" t="s">
        <v>695</v>
      </c>
      <c r="C91" s="18" t="s">
        <v>419</v>
      </c>
      <c r="D91" s="18" t="s">
        <v>420</v>
      </c>
      <c r="E91" s="18" t="s">
        <v>696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1634</v>
      </c>
      <c r="B92" s="17"/>
      <c r="C92" s="18" t="s">
        <v>577</v>
      </c>
      <c r="D92" s="18" t="s">
        <v>578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1613</v>
      </c>
      <c r="B93" s="18" t="s">
        <v>1635</v>
      </c>
      <c r="C93" s="18" t="s">
        <v>419</v>
      </c>
      <c r="D93" s="18" t="s">
        <v>420</v>
      </c>
      <c r="E93" s="18" t="s">
        <v>1636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1637</v>
      </c>
      <c r="B94" s="18" t="s">
        <v>455</v>
      </c>
      <c r="C94" s="18" t="s">
        <v>456</v>
      </c>
      <c r="D94" s="18" t="s">
        <v>1335</v>
      </c>
      <c r="E94" s="18" t="s">
        <v>457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1638</v>
      </c>
      <c r="B95" s="17"/>
      <c r="C95" s="18" t="s">
        <v>459</v>
      </c>
      <c r="D95" s="18" t="s">
        <v>460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1639</v>
      </c>
      <c r="B96" s="17"/>
      <c r="C96" s="18" t="s">
        <v>613</v>
      </c>
      <c r="D96" s="18" t="s">
        <v>1640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1641</v>
      </c>
      <c r="B97" s="17"/>
      <c r="C97" s="18" t="s">
        <v>1642</v>
      </c>
      <c r="D97" s="18" t="s">
        <v>1643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1644</v>
      </c>
      <c r="B98" s="17"/>
      <c r="C98" s="18" t="s">
        <v>158</v>
      </c>
      <c r="D98" s="18" t="s">
        <v>1163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1645</v>
      </c>
      <c r="B99" s="17"/>
      <c r="C99" s="18" t="s">
        <v>1011</v>
      </c>
      <c r="D99" s="18" t="s">
        <v>1012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1646</v>
      </c>
      <c r="B100" s="17"/>
      <c r="C100" s="18" t="s">
        <v>95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725</v>
      </c>
      <c r="B101" s="18" t="s">
        <v>808</v>
      </c>
      <c r="C101" s="18" t="s">
        <v>727</v>
      </c>
      <c r="D101" s="27">
        <v>6.2111481480589895E+20</v>
      </c>
      <c r="E101" s="18" t="s">
        <v>809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1647</v>
      </c>
      <c r="B102" s="17"/>
      <c r="C102" s="18" t="s">
        <v>1648</v>
      </c>
      <c r="D102" s="18" t="s">
        <v>1649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282</v>
      </c>
      <c r="B103" s="17"/>
      <c r="C103" s="18" t="s">
        <v>283</v>
      </c>
      <c r="D103" s="18" t="s">
        <v>1157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264</v>
      </c>
      <c r="B104" s="17"/>
      <c r="C104" s="18" t="s">
        <v>265</v>
      </c>
      <c r="D104" s="18" t="s">
        <v>1100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1650</v>
      </c>
      <c r="B105" s="17"/>
      <c r="C105" s="18" t="s">
        <v>1651</v>
      </c>
      <c r="D105" s="18" t="s">
        <v>1652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288</v>
      </c>
      <c r="B106" s="18" t="s">
        <v>52</v>
      </c>
      <c r="C106" s="18" t="s">
        <v>290</v>
      </c>
      <c r="D106" s="18" t="s">
        <v>291</v>
      </c>
      <c r="E106" s="18" t="s">
        <v>1653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288</v>
      </c>
      <c r="B107" s="18" t="s">
        <v>289</v>
      </c>
      <c r="C107" s="18" t="s">
        <v>290</v>
      </c>
      <c r="D107" s="18" t="s">
        <v>291</v>
      </c>
      <c r="E107" s="18" t="s">
        <v>292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1654</v>
      </c>
      <c r="B108" s="17"/>
      <c r="C108" s="18" t="s">
        <v>1655</v>
      </c>
      <c r="D108" s="18" t="s">
        <v>1656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665</v>
      </c>
      <c r="B109" s="17"/>
      <c r="C109" s="18" t="s">
        <v>666</v>
      </c>
      <c r="D109" s="18" t="s">
        <v>667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425</v>
      </c>
      <c r="B110" s="17"/>
      <c r="C110" s="18" t="s">
        <v>426</v>
      </c>
      <c r="D110" s="18" t="s">
        <v>427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1108</v>
      </c>
      <c r="B111" s="18" t="s">
        <v>861</v>
      </c>
      <c r="C111" s="18" t="s">
        <v>862</v>
      </c>
      <c r="D111" s="18" t="s">
        <v>863</v>
      </c>
      <c r="E111" s="18" t="s">
        <v>864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1657</v>
      </c>
      <c r="B112" s="17"/>
      <c r="C112" s="18" t="s">
        <v>307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1566</v>
      </c>
      <c r="B113" s="18" t="s">
        <v>52</v>
      </c>
      <c r="C113" s="18" t="s">
        <v>53</v>
      </c>
      <c r="D113" s="18" t="s">
        <v>54</v>
      </c>
      <c r="E113" s="18" t="s">
        <v>55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510</v>
      </c>
      <c r="B114" s="18" t="s">
        <v>516</v>
      </c>
      <c r="C114" s="18">
        <v>4550391046508</v>
      </c>
      <c r="D114" s="18" t="s">
        <v>1658</v>
      </c>
      <c r="E114" s="18" t="s">
        <v>517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332</v>
      </c>
      <c r="B115" s="17"/>
      <c r="C115" s="18" t="s">
        <v>333</v>
      </c>
      <c r="D115" s="18" t="s">
        <v>1659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1660</v>
      </c>
      <c r="B116" s="17"/>
      <c r="C116" s="18" t="s">
        <v>1340</v>
      </c>
      <c r="D116" s="18" t="s">
        <v>1341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1135</v>
      </c>
      <c r="B117" s="17"/>
      <c r="C117" s="18" t="s">
        <v>1136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1661</v>
      </c>
      <c r="B118" s="17"/>
      <c r="C118" s="18" t="s">
        <v>1662</v>
      </c>
      <c r="D118" s="18" t="s">
        <v>1663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1357</v>
      </c>
      <c r="B119" s="17"/>
      <c r="C119" s="18" t="s">
        <v>1358</v>
      </c>
      <c r="D119" s="18" t="s">
        <v>1359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468</v>
      </c>
      <c r="B120" s="17"/>
      <c r="C120" s="18" t="s">
        <v>469</v>
      </c>
      <c r="D120" s="18" t="s">
        <v>1360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1664</v>
      </c>
      <c r="B121" s="17"/>
      <c r="C121" s="18" t="s">
        <v>1665</v>
      </c>
      <c r="D121" s="18" t="s">
        <v>1666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394</v>
      </c>
      <c r="B122" s="18" t="s">
        <v>125</v>
      </c>
      <c r="C122" s="18" t="s">
        <v>395</v>
      </c>
      <c r="D122" s="18" t="s">
        <v>1075</v>
      </c>
      <c r="E122" s="18" t="s">
        <v>397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1231</v>
      </c>
      <c r="B123" s="17"/>
      <c r="C123" s="18" t="s">
        <v>277</v>
      </c>
      <c r="D123" s="18" t="s">
        <v>1232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238</v>
      </c>
      <c r="B124" s="17"/>
      <c r="C124" s="18" t="s">
        <v>239</v>
      </c>
      <c r="D124" s="18" t="s">
        <v>1271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1272</v>
      </c>
      <c r="B125" s="17"/>
      <c r="C125" s="18" t="s">
        <v>248</v>
      </c>
      <c r="D125" s="18" t="s">
        <v>249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1613</v>
      </c>
      <c r="B126" s="18" t="s">
        <v>1667</v>
      </c>
      <c r="C126" s="18" t="s">
        <v>419</v>
      </c>
      <c r="D126" s="18" t="s">
        <v>420</v>
      </c>
      <c r="E126" s="18" t="s">
        <v>1668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192</v>
      </c>
      <c r="B127" s="17"/>
      <c r="C127" s="18" t="s">
        <v>193</v>
      </c>
      <c r="D127" s="18" t="s">
        <v>194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589</v>
      </c>
      <c r="B128" s="18" t="s">
        <v>1669</v>
      </c>
      <c r="C128" s="18" t="s">
        <v>591</v>
      </c>
      <c r="D128" s="18" t="s">
        <v>592</v>
      </c>
      <c r="E128" s="18" t="s">
        <v>1670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1613</v>
      </c>
      <c r="B129" s="18" t="s">
        <v>1048</v>
      </c>
      <c r="C129" s="18" t="s">
        <v>419</v>
      </c>
      <c r="D129" s="18" t="s">
        <v>420</v>
      </c>
      <c r="E129" s="18" t="s">
        <v>1279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1671</v>
      </c>
      <c r="B130" s="18" t="s">
        <v>1672</v>
      </c>
      <c r="C130" s="18" t="s">
        <v>1673</v>
      </c>
      <c r="D130" s="18" t="s">
        <v>1674</v>
      </c>
      <c r="E130" s="18" t="s">
        <v>1675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1087</v>
      </c>
      <c r="B131" s="17"/>
      <c r="C131" s="18" t="s">
        <v>1088</v>
      </c>
      <c r="D131" s="18" t="s">
        <v>1089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1676</v>
      </c>
      <c r="B132" s="17"/>
      <c r="C132" s="18" t="s">
        <v>1677</v>
      </c>
      <c r="D132" s="18" t="s">
        <v>1678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1679</v>
      </c>
      <c r="B133" s="17"/>
      <c r="C133" s="18" t="s">
        <v>559</v>
      </c>
      <c r="D133" s="18" t="s">
        <v>1680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1425</v>
      </c>
      <c r="B134" s="17"/>
      <c r="C134" s="18" t="s">
        <v>1426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857</v>
      </c>
      <c r="B135" s="17"/>
      <c r="C135" s="18" t="s">
        <v>858</v>
      </c>
      <c r="D135" s="18" t="s">
        <v>1155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200</v>
      </c>
      <c r="B136" s="18" t="s">
        <v>125</v>
      </c>
      <c r="C136" s="18" t="s">
        <v>201</v>
      </c>
      <c r="D136" s="18" t="s">
        <v>202</v>
      </c>
      <c r="E136" s="18" t="s">
        <v>398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1681</v>
      </c>
      <c r="B137" s="17"/>
      <c r="C137" s="18" t="s">
        <v>680</v>
      </c>
      <c r="D137" s="18" t="s">
        <v>1682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632</v>
      </c>
      <c r="B138" s="17"/>
      <c r="C138" s="18" t="s">
        <v>633</v>
      </c>
      <c r="D138" s="18" t="s">
        <v>634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1522</v>
      </c>
      <c r="B139" s="17"/>
      <c r="C139" s="18" t="s">
        <v>1523</v>
      </c>
      <c r="D139" s="18" t="s">
        <v>1524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1178</v>
      </c>
      <c r="B140" s="17"/>
      <c r="C140" s="18" t="s">
        <v>1179</v>
      </c>
      <c r="D140" s="18" t="s">
        <v>1180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1683</v>
      </c>
      <c r="B141" s="17"/>
      <c r="C141" s="18" t="s">
        <v>1684</v>
      </c>
      <c r="D141" s="18" t="s">
        <v>1685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1686</v>
      </c>
      <c r="B142" s="17"/>
      <c r="C142" s="18" t="s">
        <v>1105</v>
      </c>
      <c r="D142" s="18" t="s">
        <v>1106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440</v>
      </c>
      <c r="B143" s="17"/>
      <c r="C143" s="18" t="s">
        <v>441</v>
      </c>
      <c r="D143" s="18" t="s">
        <v>442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1687</v>
      </c>
      <c r="B144" s="17"/>
      <c r="C144" s="18" t="s">
        <v>445</v>
      </c>
      <c r="D144" s="18" t="s">
        <v>1688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969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1189</v>
      </c>
      <c r="B146" s="18" t="s">
        <v>1190</v>
      </c>
      <c r="C146" s="18" t="s">
        <v>1191</v>
      </c>
      <c r="D146" s="18" t="s">
        <v>1192</v>
      </c>
      <c r="E146" s="18" t="s">
        <v>1193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1689</v>
      </c>
      <c r="B147" s="17"/>
      <c r="C147" s="18" t="s">
        <v>1690</v>
      </c>
      <c r="D147" s="18" t="s">
        <v>1691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1692</v>
      </c>
      <c r="B148" s="17"/>
      <c r="C148" s="18">
        <v>4550391911226</v>
      </c>
      <c r="D148" s="18" t="s">
        <v>234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682</v>
      </c>
      <c r="B149" s="17"/>
      <c r="C149" s="18" t="s">
        <v>683</v>
      </c>
      <c r="D149" s="18" t="s">
        <v>684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1693</v>
      </c>
      <c r="B150" s="17"/>
      <c r="C150" s="18" t="s">
        <v>1694</v>
      </c>
      <c r="D150" s="18" t="s">
        <v>1695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510</v>
      </c>
      <c r="B151" s="18" t="s">
        <v>514</v>
      </c>
      <c r="C151" s="18">
        <v>4550391046508</v>
      </c>
      <c r="D151" s="18" t="s">
        <v>1658</v>
      </c>
      <c r="E151" s="18" t="s">
        <v>515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1696</v>
      </c>
      <c r="B152" s="17"/>
      <c r="C152" s="18" t="s">
        <v>1697</v>
      </c>
      <c r="D152" s="18" t="s">
        <v>1698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1203</v>
      </c>
      <c r="B153" s="17"/>
      <c r="C153" s="18" t="s">
        <v>429</v>
      </c>
      <c r="D153" s="18" t="s">
        <v>1204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788</v>
      </c>
      <c r="B154" s="17"/>
      <c r="C154" s="18" t="s">
        <v>789</v>
      </c>
      <c r="D154" s="18" t="s">
        <v>1399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1205</v>
      </c>
      <c r="B155" s="17"/>
      <c r="C155" s="18" t="s">
        <v>1206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122</v>
      </c>
      <c r="B156" s="17"/>
      <c r="C156" s="18" t="s">
        <v>123</v>
      </c>
      <c r="D156" s="18" t="s">
        <v>1699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144</v>
      </c>
      <c r="B157" s="17"/>
      <c r="C157" s="18" t="s">
        <v>145</v>
      </c>
      <c r="D157" s="18" t="s">
        <v>1700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1701</v>
      </c>
      <c r="B158" s="17"/>
      <c r="C158" s="18" t="s">
        <v>1097</v>
      </c>
      <c r="D158" s="18" t="s">
        <v>1098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1702</v>
      </c>
      <c r="B159" s="17"/>
      <c r="C159" s="18" t="s">
        <v>1703</v>
      </c>
      <c r="D159" s="18" t="s">
        <v>1704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1705</v>
      </c>
      <c r="B160" s="17"/>
      <c r="C160" s="18" t="s">
        <v>1706</v>
      </c>
      <c r="D160" s="18" t="s">
        <v>1707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229</v>
      </c>
      <c r="B161" s="17"/>
      <c r="C161" s="18" t="s">
        <v>230</v>
      </c>
      <c r="D161" s="18" t="s">
        <v>1708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1709</v>
      </c>
      <c r="B162" s="17"/>
      <c r="C162" s="18" t="s">
        <v>1710</v>
      </c>
      <c r="D162" s="18" t="s">
        <v>1711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1712</v>
      </c>
      <c r="B163" s="17"/>
      <c r="C163" s="18" t="s">
        <v>1014</v>
      </c>
      <c r="D163" s="18" t="s">
        <v>1015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759</v>
      </c>
      <c r="B164" s="17"/>
      <c r="C164" s="18" t="s">
        <v>760</v>
      </c>
      <c r="D164" s="18" t="s">
        <v>1713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543</v>
      </c>
      <c r="B165" s="18" t="s">
        <v>1312</v>
      </c>
      <c r="C165" s="18" t="s">
        <v>545</v>
      </c>
      <c r="D165" s="27">
        <v>605858638891</v>
      </c>
      <c r="E165" s="18" t="s">
        <v>1313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127</v>
      </c>
      <c r="B166" s="18" t="s">
        <v>1233</v>
      </c>
      <c r="C166" s="18" t="s">
        <v>129</v>
      </c>
      <c r="D166" s="18" t="s">
        <v>130</v>
      </c>
      <c r="E166" s="18" t="s">
        <v>1234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100</v>
      </c>
      <c r="B167" s="17"/>
      <c r="C167" s="18" t="s">
        <v>101</v>
      </c>
      <c r="D167" s="18" t="s">
        <v>102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1714</v>
      </c>
      <c r="B168" s="17"/>
      <c r="C168" s="18" t="s">
        <v>1715</v>
      </c>
      <c r="D168" s="18" t="s">
        <v>1037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1716</v>
      </c>
      <c r="B169" s="17"/>
      <c r="C169" s="18" t="s">
        <v>1717</v>
      </c>
      <c r="D169" s="18" t="s">
        <v>1718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1719</v>
      </c>
      <c r="B170" s="17"/>
      <c r="C170" s="18" t="s">
        <v>1720</v>
      </c>
      <c r="D170" s="18" t="s">
        <v>1721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1722</v>
      </c>
      <c r="B171" s="17"/>
      <c r="C171" s="18" t="s">
        <v>1723</v>
      </c>
      <c r="D171" s="18" t="s">
        <v>1724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406</v>
      </c>
      <c r="B172" s="18" t="s">
        <v>407</v>
      </c>
      <c r="C172" s="18" t="s">
        <v>408</v>
      </c>
      <c r="D172" s="18" t="s">
        <v>1725</v>
      </c>
      <c r="E172" s="18" t="s">
        <v>410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1726</v>
      </c>
      <c r="B173" s="17"/>
      <c r="C173" s="18" t="s">
        <v>779</v>
      </c>
      <c r="D173" s="18" t="s">
        <v>780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1727</v>
      </c>
      <c r="B174" s="17"/>
      <c r="C174" s="18" t="s">
        <v>1728</v>
      </c>
      <c r="D174" s="18" t="s">
        <v>1729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1730</v>
      </c>
      <c r="B175" s="17"/>
      <c r="C175" s="18" t="s">
        <v>1731</v>
      </c>
      <c r="D175" s="18" t="s">
        <v>1732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1733</v>
      </c>
      <c r="B176" s="17"/>
      <c r="C176" s="18" t="s">
        <v>1734</v>
      </c>
      <c r="D176" s="18" t="s">
        <v>1735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1736</v>
      </c>
      <c r="B177" s="17"/>
      <c r="C177" s="18" t="s">
        <v>734</v>
      </c>
      <c r="D177" s="18" t="s">
        <v>1737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422</v>
      </c>
      <c r="B178" s="17"/>
      <c r="C178" s="18" t="s">
        <v>423</v>
      </c>
      <c r="D178" s="18" t="s">
        <v>1738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1739</v>
      </c>
      <c r="B179" s="17"/>
      <c r="C179" s="18" t="s">
        <v>1740</v>
      </c>
      <c r="D179" s="18" t="s">
        <v>1741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1742</v>
      </c>
      <c r="B180" s="17"/>
      <c r="C180" s="18" t="s">
        <v>1743</v>
      </c>
      <c r="D180" s="18" t="s">
        <v>1744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556</v>
      </c>
      <c r="B181" s="17"/>
      <c r="C181" s="18">
        <v>3264680009808</v>
      </c>
      <c r="D181" s="18" t="s">
        <v>557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1745</v>
      </c>
      <c r="B182" s="17"/>
      <c r="C182" s="18" t="s">
        <v>1746</v>
      </c>
      <c r="D182" s="18" t="s">
        <v>1721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1484</v>
      </c>
      <c r="B183" s="17"/>
      <c r="C183" s="18" t="s">
        <v>1485</v>
      </c>
      <c r="D183" s="18" t="s">
        <v>1486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1747</v>
      </c>
      <c r="B184" s="17"/>
      <c r="C184" s="18" t="s">
        <v>176</v>
      </c>
      <c r="D184" s="18" t="s">
        <v>1270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1748</v>
      </c>
      <c r="B185" s="17"/>
      <c r="C185" s="18" t="s">
        <v>1749</v>
      </c>
      <c r="D185" s="18" t="s">
        <v>1750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1751</v>
      </c>
      <c r="B186" s="17"/>
      <c r="C186" s="18" t="s">
        <v>245</v>
      </c>
      <c r="D186" s="18" t="s">
        <v>1752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253</v>
      </c>
      <c r="B187" s="17"/>
      <c r="C187" s="18" t="s">
        <v>254</v>
      </c>
      <c r="D187" s="18" t="s">
        <v>255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1753</v>
      </c>
      <c r="B188" s="17"/>
      <c r="C188" s="18" t="s">
        <v>1754</v>
      </c>
      <c r="D188" s="18" t="s">
        <v>1755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1756</v>
      </c>
      <c r="B189" s="17"/>
      <c r="C189" s="18" t="s">
        <v>1757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1758</v>
      </c>
      <c r="B190" s="17"/>
      <c r="C190" s="18" t="s">
        <v>347</v>
      </c>
      <c r="D190" s="18" t="s">
        <v>348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589</v>
      </c>
      <c r="B191" s="18" t="s">
        <v>1759</v>
      </c>
      <c r="C191" s="18" t="s">
        <v>591</v>
      </c>
      <c r="D191" s="18" t="s">
        <v>592</v>
      </c>
      <c r="E191" s="18" t="s">
        <v>1760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1079</v>
      </c>
      <c r="B192" s="17"/>
      <c r="C192" s="18" t="s">
        <v>1080</v>
      </c>
      <c r="D192" s="18" t="s">
        <v>1081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1761</v>
      </c>
      <c r="B193" s="17"/>
      <c r="C193" s="18" t="s">
        <v>1762</v>
      </c>
      <c r="D193" s="18" t="s">
        <v>1763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372</v>
      </c>
      <c r="B194" s="17"/>
      <c r="C194" s="18" t="s">
        <v>373</v>
      </c>
      <c r="D194" s="18" t="s">
        <v>1764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1276</v>
      </c>
      <c r="B195" s="17"/>
      <c r="C195" s="18" t="s">
        <v>1277</v>
      </c>
      <c r="D195" s="18" t="s">
        <v>1278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1765</v>
      </c>
      <c r="B196" s="17"/>
      <c r="C196" s="18" t="s">
        <v>1766</v>
      </c>
      <c r="D196" s="18" t="s">
        <v>1767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583</v>
      </c>
      <c r="B197" s="17"/>
      <c r="C197" s="18" t="s">
        <v>584</v>
      </c>
      <c r="D197" s="18" t="s">
        <v>1768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589</v>
      </c>
      <c r="B198" s="18" t="s">
        <v>418</v>
      </c>
      <c r="C198" s="18" t="s">
        <v>591</v>
      </c>
      <c r="D198" s="18" t="s">
        <v>592</v>
      </c>
      <c r="E198" s="18" t="s">
        <v>1769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1770</v>
      </c>
      <c r="B199" s="17"/>
      <c r="C199" s="18" t="s">
        <v>1771</v>
      </c>
      <c r="D199" s="18" t="s">
        <v>1772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1773</v>
      </c>
      <c r="B200" s="17"/>
      <c r="C200" s="18" t="s">
        <v>1774</v>
      </c>
      <c r="D200" s="18" t="s">
        <v>1775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379</v>
      </c>
      <c r="B201" s="17"/>
      <c r="C201" s="18" t="s">
        <v>380</v>
      </c>
      <c r="D201" s="18" t="s">
        <v>1776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1777</v>
      </c>
      <c r="B202" s="17"/>
      <c r="C202" s="18" t="s">
        <v>1778</v>
      </c>
      <c r="D202" s="18" t="s">
        <v>1779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1613</v>
      </c>
      <c r="B203" s="18" t="s">
        <v>1780</v>
      </c>
      <c r="C203" s="18" t="s">
        <v>419</v>
      </c>
      <c r="D203" s="18" t="s">
        <v>420</v>
      </c>
      <c r="E203" s="18" t="s">
        <v>1781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375</v>
      </c>
      <c r="B204" s="17"/>
      <c r="C204" s="18" t="s">
        <v>376</v>
      </c>
      <c r="D204" s="18" t="s">
        <v>1782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1783</v>
      </c>
      <c r="B205" s="18" t="s">
        <v>1784</v>
      </c>
      <c r="C205" s="18" t="s">
        <v>1785</v>
      </c>
      <c r="D205" s="18" t="s">
        <v>592</v>
      </c>
      <c r="E205" s="18" t="s">
        <v>1786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1787</v>
      </c>
      <c r="B206" s="17"/>
      <c r="C206" s="18" t="s">
        <v>1788</v>
      </c>
      <c r="D206" s="18" t="s">
        <v>1789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603</v>
      </c>
      <c r="B207" s="17"/>
      <c r="C207" s="18" t="s">
        <v>604</v>
      </c>
      <c r="D207" s="18" t="s">
        <v>605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216</v>
      </c>
      <c r="B208" s="17"/>
      <c r="C208" s="18" t="s">
        <v>217</v>
      </c>
      <c r="D208" s="18" t="s">
        <v>1287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1790</v>
      </c>
      <c r="B209" s="17"/>
      <c r="C209" s="18" t="s">
        <v>1210</v>
      </c>
      <c r="D209" s="18" t="s">
        <v>1211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1791</v>
      </c>
      <c r="B210" s="17"/>
      <c r="C210" s="18" t="s">
        <v>1792</v>
      </c>
      <c r="D210" s="18" t="s">
        <v>1793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1430</v>
      </c>
      <c r="B211" s="17"/>
      <c r="C211" s="18" t="s">
        <v>1431</v>
      </c>
      <c r="D211" s="18" t="s">
        <v>1432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1301</v>
      </c>
      <c r="B212" s="17"/>
      <c r="C212" s="18" t="s">
        <v>616</v>
      </c>
      <c r="D212" s="18" t="s">
        <v>1302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1794</v>
      </c>
      <c r="B213" s="17"/>
      <c r="C213" s="18" t="s">
        <v>1795</v>
      </c>
      <c r="D213" s="18" t="s">
        <v>1796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1797</v>
      </c>
      <c r="B214" s="17"/>
      <c r="C214" s="18" t="s">
        <v>1798</v>
      </c>
      <c r="D214" s="18" t="s">
        <v>1799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1800</v>
      </c>
      <c r="B215" s="18" t="s">
        <v>1801</v>
      </c>
      <c r="C215" s="18" t="s">
        <v>269</v>
      </c>
      <c r="D215" s="18" t="s">
        <v>1802</v>
      </c>
      <c r="E215" s="18" t="s">
        <v>1803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1303</v>
      </c>
      <c r="B216" s="17"/>
      <c r="C216" s="18" t="s">
        <v>1304</v>
      </c>
      <c r="D216" s="18" t="s">
        <v>1305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226</v>
      </c>
      <c r="B217" s="17"/>
      <c r="C217" s="18" t="s">
        <v>227</v>
      </c>
      <c r="D217" s="18" t="s">
        <v>1804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1181</v>
      </c>
      <c r="B218" s="17"/>
      <c r="C218" s="18" t="s">
        <v>879</v>
      </c>
      <c r="D218" s="18" t="s">
        <v>1182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1805</v>
      </c>
      <c r="B219" s="17"/>
      <c r="C219" s="18" t="s">
        <v>1806</v>
      </c>
      <c r="D219" s="18" t="s">
        <v>1807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1808</v>
      </c>
      <c r="B220" s="17"/>
      <c r="C220" s="18" t="s">
        <v>1809</v>
      </c>
      <c r="D220" s="18" t="s">
        <v>1810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1322</v>
      </c>
      <c r="B221" s="17"/>
      <c r="C221" s="18" t="s">
        <v>1323</v>
      </c>
      <c r="D221" s="18" t="s">
        <v>1324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1255</v>
      </c>
      <c r="B222" s="17"/>
      <c r="C222" s="18" t="s">
        <v>1256</v>
      </c>
      <c r="D222" s="18" t="s">
        <v>1257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1186</v>
      </c>
      <c r="B223" s="17"/>
      <c r="C223" s="18" t="s">
        <v>486</v>
      </c>
      <c r="D223" s="18" t="s">
        <v>1811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1812</v>
      </c>
      <c r="B224" s="17"/>
      <c r="C224" s="18" t="s">
        <v>1813</v>
      </c>
      <c r="D224" s="18" t="s">
        <v>1814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1815</v>
      </c>
      <c r="B225" s="17"/>
      <c r="C225" s="18" t="s">
        <v>1493</v>
      </c>
      <c r="D225" s="18" t="s">
        <v>1494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1816</v>
      </c>
      <c r="B226" s="17"/>
      <c r="C226" s="18" t="s">
        <v>1817</v>
      </c>
      <c r="D226" s="18" t="s">
        <v>1818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652</v>
      </c>
      <c r="B227" s="18" t="s">
        <v>1819</v>
      </c>
      <c r="C227" s="18" t="s">
        <v>654</v>
      </c>
      <c r="D227" s="18" t="s">
        <v>655</v>
      </c>
      <c r="E227" s="18" t="s">
        <v>1820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1821</v>
      </c>
      <c r="B228" s="17"/>
      <c r="C228" s="18" t="s">
        <v>1822</v>
      </c>
      <c r="D228" s="18" t="s">
        <v>1823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1824</v>
      </c>
      <c r="B229" s="17"/>
      <c r="C229" s="18" t="s">
        <v>1825</v>
      </c>
      <c r="D229" s="18" t="s">
        <v>1826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1342</v>
      </c>
      <c r="B230" s="17"/>
      <c r="C230" s="18" t="s">
        <v>1343</v>
      </c>
      <c r="D230" s="18" t="s">
        <v>1344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710</v>
      </c>
      <c r="B231" s="18" t="s">
        <v>1827</v>
      </c>
      <c r="C231" s="18">
        <v>4550391062164</v>
      </c>
      <c r="D231" s="18" t="s">
        <v>712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1828</v>
      </c>
      <c r="B232" s="17"/>
      <c r="C232" s="18" t="s">
        <v>1829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1830</v>
      </c>
      <c r="B233" s="17"/>
      <c r="C233" s="18">
        <v>4550391011940</v>
      </c>
      <c r="D233" s="18" t="s">
        <v>1831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907</v>
      </c>
      <c r="B234" s="17"/>
      <c r="C234" s="18" t="s">
        <v>908</v>
      </c>
      <c r="D234" s="18" t="s">
        <v>1832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541</v>
      </c>
      <c r="B235" s="17"/>
      <c r="C235" s="18">
        <v>4902806133806</v>
      </c>
      <c r="D235" s="18" t="s">
        <v>542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1218</v>
      </c>
      <c r="B236" s="18" t="s">
        <v>1366</v>
      </c>
      <c r="C236" s="18" t="s">
        <v>1220</v>
      </c>
      <c r="D236" s="18" t="s">
        <v>1221</v>
      </c>
      <c r="E236" s="18" t="s">
        <v>1367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354</v>
      </c>
      <c r="B237" s="17"/>
      <c r="C237" s="18" t="s">
        <v>355</v>
      </c>
      <c r="D237" s="18" t="s">
        <v>356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1218</v>
      </c>
      <c r="B238" s="18" t="s">
        <v>1372</v>
      </c>
      <c r="C238" s="18" t="s">
        <v>1220</v>
      </c>
      <c r="D238" s="18" t="s">
        <v>1221</v>
      </c>
      <c r="E238" s="18" t="s">
        <v>1373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1218</v>
      </c>
      <c r="B239" s="18" t="s">
        <v>1833</v>
      </c>
      <c r="C239" s="18" t="s">
        <v>1220</v>
      </c>
      <c r="D239" s="18" t="s">
        <v>1221</v>
      </c>
      <c r="E239" s="18" t="s">
        <v>1834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1152</v>
      </c>
      <c r="B240" s="17"/>
      <c r="C240" s="18" t="s">
        <v>1153</v>
      </c>
      <c r="D240" s="18" t="s">
        <v>1154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1835</v>
      </c>
      <c r="B241" s="18" t="s">
        <v>1265</v>
      </c>
      <c r="C241" s="18" t="s">
        <v>1836</v>
      </c>
      <c r="D241" s="18" t="s">
        <v>1837</v>
      </c>
      <c r="E241" s="18" t="s">
        <v>1838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736</v>
      </c>
      <c r="B242" s="17"/>
      <c r="C242" s="18" t="s">
        <v>737</v>
      </c>
      <c r="D242" s="18" t="s">
        <v>738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1839</v>
      </c>
      <c r="B243" s="17"/>
      <c r="C243" s="18" t="s">
        <v>1840</v>
      </c>
      <c r="D243" s="18" t="s">
        <v>1841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740</v>
      </c>
      <c r="B244" s="17"/>
      <c r="C244" s="18" t="s">
        <v>741</v>
      </c>
      <c r="D244" s="18" t="s">
        <v>742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920</v>
      </c>
      <c r="B245" s="17"/>
      <c r="C245" s="18" t="s">
        <v>921</v>
      </c>
      <c r="D245" s="18" t="s">
        <v>1842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1843</v>
      </c>
      <c r="B246" s="17"/>
      <c r="C246" s="18" t="s">
        <v>1385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1047</v>
      </c>
      <c r="B247" s="18" t="s">
        <v>1065</v>
      </c>
      <c r="C247" s="18" t="s">
        <v>1049</v>
      </c>
      <c r="D247" s="25" t="s">
        <v>1050</v>
      </c>
      <c r="E247" s="18" t="s">
        <v>1066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1389</v>
      </c>
      <c r="B248" s="17"/>
      <c r="C248" s="18" t="s">
        <v>489</v>
      </c>
      <c r="D248" s="18" t="s">
        <v>1390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1844</v>
      </c>
      <c r="B249" s="17"/>
      <c r="C249" s="18" t="s">
        <v>1845</v>
      </c>
      <c r="D249" s="18" t="s">
        <v>1846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1047</v>
      </c>
      <c r="B250" s="18" t="s">
        <v>1052</v>
      </c>
      <c r="C250" s="18" t="s">
        <v>1049</v>
      </c>
      <c r="D250" s="25" t="s">
        <v>1050</v>
      </c>
      <c r="E250" s="18" t="s">
        <v>312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164</v>
      </c>
      <c r="B251" s="17"/>
      <c r="C251" s="18" t="s">
        <v>165</v>
      </c>
      <c r="D251" s="18" t="s">
        <v>166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1847</v>
      </c>
      <c r="B252" s="17"/>
      <c r="C252" s="18" t="s">
        <v>1848</v>
      </c>
      <c r="D252" s="18" t="s">
        <v>1849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1850</v>
      </c>
      <c r="B253" s="17"/>
      <c r="C253" s="18" t="s">
        <v>1851</v>
      </c>
      <c r="D253" s="18" t="s">
        <v>1852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1853</v>
      </c>
      <c r="B254" s="17"/>
      <c r="C254" s="18" t="s">
        <v>522</v>
      </c>
      <c r="D254" s="18" t="s">
        <v>1854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1855</v>
      </c>
      <c r="B255" s="17"/>
      <c r="C255" s="18" t="s">
        <v>1856</v>
      </c>
      <c r="D255" s="18" t="s">
        <v>1857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1858</v>
      </c>
      <c r="B256" s="17"/>
      <c r="C256" s="18" t="s">
        <v>1859</v>
      </c>
      <c r="D256" s="18" t="s">
        <v>1860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411</v>
      </c>
      <c r="B257" s="17"/>
      <c r="C257" s="18" t="s">
        <v>412</v>
      </c>
      <c r="D257" s="18" t="s">
        <v>1061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1861</v>
      </c>
      <c r="B258" s="17"/>
      <c r="C258" s="18" t="s">
        <v>1862</v>
      </c>
      <c r="D258" s="18" t="s">
        <v>1863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1864</v>
      </c>
      <c r="B259" s="17"/>
      <c r="C259" s="18" t="s">
        <v>1865</v>
      </c>
      <c r="D259" s="18" t="s">
        <v>1866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1867</v>
      </c>
      <c r="B260" s="17"/>
      <c r="C260" s="18" t="s">
        <v>1868</v>
      </c>
      <c r="D260" s="18" t="s">
        <v>1869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703</v>
      </c>
      <c r="B261" s="17"/>
      <c r="C261" s="18" t="s">
        <v>704</v>
      </c>
      <c r="D261" s="18" t="s">
        <v>1870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1871</v>
      </c>
      <c r="B262" s="17"/>
      <c r="C262" s="18">
        <v>4901133980183</v>
      </c>
      <c r="D262" s="18" t="s">
        <v>1872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406</v>
      </c>
      <c r="B263" s="18" t="s">
        <v>1873</v>
      </c>
      <c r="C263" s="18" t="s">
        <v>408</v>
      </c>
      <c r="D263" s="25" t="s">
        <v>1725</v>
      </c>
      <c r="E263" s="18" t="s">
        <v>1874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1875</v>
      </c>
      <c r="B264" s="17"/>
      <c r="C264" s="18" t="s">
        <v>300</v>
      </c>
      <c r="D264" s="18" t="s">
        <v>301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0" si="17">SUM(H264*L264)</f>
        <v>1116</v>
      </c>
      <c r="N264" s="6">
        <f t="shared" ref="N264:N320" si="18">SUM(I264-K264-M264)</f>
        <v>992</v>
      </c>
      <c r="O264" s="8">
        <f t="shared" ref="O264:O322" si="19">IF(I264=0,"",N264/I264)</f>
        <v>0.4</v>
      </c>
    </row>
    <row r="265" spans="1:15" ht="17" customHeight="1">
      <c r="A265" s="16" t="s">
        <v>805</v>
      </c>
      <c r="B265" s="17"/>
      <c r="C265" s="18" t="s">
        <v>806</v>
      </c>
      <c r="D265" s="18" t="s">
        <v>1876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802</v>
      </c>
      <c r="B266" s="17"/>
      <c r="C266" s="18" t="s">
        <v>803</v>
      </c>
      <c r="D266" s="18" t="s">
        <v>1877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1878</v>
      </c>
      <c r="B267" s="17"/>
      <c r="C267" s="18" t="s">
        <v>1879</v>
      </c>
      <c r="D267" s="18" t="s">
        <v>1880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543</v>
      </c>
      <c r="B268" s="25" t="s">
        <v>641</v>
      </c>
      <c r="C268" s="18" t="s">
        <v>545</v>
      </c>
      <c r="D268" s="40">
        <v>605858638891</v>
      </c>
      <c r="E268" s="18" t="s">
        <v>642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1881</v>
      </c>
      <c r="B269" s="17"/>
      <c r="C269" s="18" t="s">
        <v>1882</v>
      </c>
      <c r="D269" s="18" t="s">
        <v>1883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543</v>
      </c>
      <c r="B270" s="18" t="s">
        <v>544</v>
      </c>
      <c r="C270" s="18" t="s">
        <v>545</v>
      </c>
      <c r="D270" s="27">
        <v>605858638891</v>
      </c>
      <c r="E270" s="18" t="s">
        <v>547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1884</v>
      </c>
      <c r="B271" s="17"/>
      <c r="C271" s="18" t="s">
        <v>1885</v>
      </c>
      <c r="D271" s="18" t="s">
        <v>1886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1887</v>
      </c>
      <c r="B272" s="17"/>
      <c r="C272" s="18" t="s">
        <v>935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1888</v>
      </c>
      <c r="B273" s="17"/>
      <c r="C273" s="18" t="s">
        <v>1889</v>
      </c>
      <c r="D273" s="18" t="s">
        <v>1890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1264</v>
      </c>
      <c r="B274" s="18" t="s">
        <v>1265</v>
      </c>
      <c r="C274" s="18" t="s">
        <v>432</v>
      </c>
      <c r="D274" s="18" t="s">
        <v>1266</v>
      </c>
      <c r="E274" s="18" t="s">
        <v>1267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1141</v>
      </c>
      <c r="B275" s="17"/>
      <c r="C275" s="18" t="s">
        <v>1142</v>
      </c>
      <c r="D275" s="18" t="s">
        <v>1891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1892</v>
      </c>
      <c r="B276" s="17"/>
      <c r="C276" s="18">
        <v>4903301377597</v>
      </c>
      <c r="D276" s="18" t="s">
        <v>1893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1894</v>
      </c>
      <c r="B277" s="17"/>
      <c r="C277" s="18" t="s">
        <v>1292</v>
      </c>
      <c r="D277" s="18" t="s">
        <v>1293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1895</v>
      </c>
      <c r="B278" s="17"/>
      <c r="C278" s="18" t="s">
        <v>1896</v>
      </c>
      <c r="D278" s="18" t="s">
        <v>1897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1898</v>
      </c>
      <c r="B279" s="17"/>
      <c r="C279" s="18" t="s">
        <v>1899</v>
      </c>
      <c r="D279" s="18" t="s">
        <v>1900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1901</v>
      </c>
      <c r="B280" s="18" t="s">
        <v>1819</v>
      </c>
      <c r="C280" s="18" t="s">
        <v>1902</v>
      </c>
      <c r="D280" s="18" t="s">
        <v>1903</v>
      </c>
      <c r="E280" s="18" t="s">
        <v>1904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1422</v>
      </c>
      <c r="B281" s="17"/>
      <c r="C281" s="18" t="s">
        <v>1423</v>
      </c>
      <c r="D281" s="18" t="s">
        <v>1424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1427</v>
      </c>
      <c r="B282" s="17"/>
      <c r="C282" s="18" t="s">
        <v>1428</v>
      </c>
      <c r="D282" s="18" t="s">
        <v>1429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1905</v>
      </c>
      <c r="B283" s="17"/>
      <c r="C283" s="18" t="s">
        <v>1906</v>
      </c>
      <c r="D283" s="18" t="s">
        <v>1907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1436</v>
      </c>
      <c r="B284" s="17"/>
      <c r="C284" s="18" t="s">
        <v>1437</v>
      </c>
      <c r="D284" s="18" t="s">
        <v>1438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1443</v>
      </c>
      <c r="B285" s="17"/>
      <c r="C285" s="18" t="s">
        <v>1444</v>
      </c>
      <c r="D285" s="18" t="s">
        <v>1445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1381</v>
      </c>
      <c r="B286" s="17"/>
      <c r="C286" s="18" t="s">
        <v>1382</v>
      </c>
      <c r="D286" s="18" t="s">
        <v>1908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1451</v>
      </c>
      <c r="B287" s="17"/>
      <c r="C287" s="18" t="s">
        <v>1452</v>
      </c>
      <c r="D287" s="18" t="s">
        <v>1453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725</v>
      </c>
      <c r="B288" s="18" t="s">
        <v>1449</v>
      </c>
      <c r="C288" s="18" t="s">
        <v>727</v>
      </c>
      <c r="D288" s="27">
        <v>6.2111481480589895E+20</v>
      </c>
      <c r="E288" s="18" t="s">
        <v>1450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1454</v>
      </c>
      <c r="B289" s="17"/>
      <c r="C289" s="18" t="s">
        <v>1455</v>
      </c>
      <c r="D289" s="18" t="s">
        <v>1456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350</v>
      </c>
      <c r="B290" s="17"/>
      <c r="C290" s="18" t="s">
        <v>351</v>
      </c>
      <c r="D290" s="18" t="s">
        <v>1909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1229</v>
      </c>
      <c r="B291" s="17"/>
      <c r="C291" s="18" t="s">
        <v>492</v>
      </c>
      <c r="D291" s="18" t="s">
        <v>1230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1910</v>
      </c>
      <c r="B292" s="17"/>
      <c r="C292" s="18" t="s">
        <v>1911</v>
      </c>
      <c r="D292" s="18" t="s">
        <v>1912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1459</v>
      </c>
      <c r="B293" s="17"/>
      <c r="C293" s="18" t="s">
        <v>899</v>
      </c>
      <c r="D293" s="18" t="s">
        <v>1230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1913</v>
      </c>
      <c r="B294" s="17"/>
      <c r="C294" s="18" t="s">
        <v>1914</v>
      </c>
      <c r="D294" s="18" t="s">
        <v>1915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1916</v>
      </c>
      <c r="B295" s="17"/>
      <c r="C295" s="18" t="s">
        <v>1917</v>
      </c>
      <c r="D295" s="18" t="s">
        <v>1918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730</v>
      </c>
      <c r="B296" s="17"/>
      <c r="C296" s="18" t="s">
        <v>731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1919</v>
      </c>
      <c r="B297" s="17"/>
      <c r="C297" s="18" t="s">
        <v>914</v>
      </c>
      <c r="D297" s="18" t="s">
        <v>915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765</v>
      </c>
      <c r="B298" s="18" t="s">
        <v>1819</v>
      </c>
      <c r="C298" s="18" t="s">
        <v>767</v>
      </c>
      <c r="D298" s="18" t="s">
        <v>768</v>
      </c>
      <c r="E298" s="18" t="s">
        <v>1920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1921</v>
      </c>
      <c r="B299" s="17"/>
      <c r="C299" s="18" t="s">
        <v>1922</v>
      </c>
      <c r="D299" s="18" t="s">
        <v>1923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1363</v>
      </c>
      <c r="B300" s="17"/>
      <c r="C300" s="18" t="s">
        <v>1364</v>
      </c>
      <c r="D300" s="18" t="s">
        <v>1365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1924</v>
      </c>
      <c r="B301" s="17"/>
      <c r="C301" s="18" t="s">
        <v>905</v>
      </c>
      <c r="D301" s="18" t="s">
        <v>906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1925</v>
      </c>
      <c r="B302" s="17"/>
      <c r="C302" s="18" t="s">
        <v>1926</v>
      </c>
      <c r="D302" s="18" t="s">
        <v>1927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394</v>
      </c>
      <c r="B303" s="18" t="s">
        <v>628</v>
      </c>
      <c r="C303" s="18" t="s">
        <v>395</v>
      </c>
      <c r="D303" s="18" t="s">
        <v>1075</v>
      </c>
      <c r="E303" s="18" t="s">
        <v>629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1495</v>
      </c>
      <c r="B304" s="17"/>
      <c r="C304" s="18" t="s">
        <v>1496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1928</v>
      </c>
      <c r="B305" s="17"/>
      <c r="C305" s="18" t="s">
        <v>1126</v>
      </c>
      <c r="D305" s="18" t="s">
        <v>1127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1929</v>
      </c>
      <c r="B306" s="17"/>
      <c r="C306" s="18" t="s">
        <v>1930</v>
      </c>
      <c r="D306" s="18" t="s">
        <v>1931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1932</v>
      </c>
      <c r="B307" s="17"/>
      <c r="C307" s="18" t="s">
        <v>1933</v>
      </c>
      <c r="D307" s="18" t="s">
        <v>1934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1935</v>
      </c>
      <c r="B308" s="17"/>
      <c r="C308" s="18" t="s">
        <v>1936</v>
      </c>
      <c r="D308" s="18" t="s">
        <v>1937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1938</v>
      </c>
      <c r="B309" s="17"/>
      <c r="C309" s="18" t="s">
        <v>1401</v>
      </c>
      <c r="D309" s="18" t="s">
        <v>1402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1939</v>
      </c>
      <c r="B310" s="17"/>
      <c r="C310" s="18" t="s">
        <v>1940</v>
      </c>
      <c r="D310" s="18" t="s">
        <v>1941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1942</v>
      </c>
      <c r="B311" s="17"/>
      <c r="C311" s="18" t="s">
        <v>1943</v>
      </c>
      <c r="D311" s="18" t="s">
        <v>1944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1516</v>
      </c>
      <c r="B312" s="17"/>
      <c r="C312" s="18" t="s">
        <v>1517</v>
      </c>
      <c r="D312" s="18" t="s">
        <v>1518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939</v>
      </c>
      <c r="B313" s="17"/>
      <c r="C313" s="18" t="s">
        <v>940</v>
      </c>
      <c r="D313" s="18" t="s">
        <v>941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672</v>
      </c>
      <c r="B314" s="17"/>
      <c r="C314" s="18" t="s">
        <v>673</v>
      </c>
      <c r="D314" s="18" t="s">
        <v>1525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1529</v>
      </c>
      <c r="B315" s="17"/>
      <c r="C315" s="18" t="s">
        <v>1530</v>
      </c>
      <c r="D315" s="18" t="s">
        <v>1531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1532</v>
      </c>
      <c r="B316" s="17"/>
      <c r="C316" s="18" t="s">
        <v>1533</v>
      </c>
      <c r="D316" s="18" t="s">
        <v>1534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1945</v>
      </c>
      <c r="B317" s="17"/>
      <c r="C317" s="18" t="s">
        <v>1946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1947</v>
      </c>
      <c r="B318" s="17"/>
      <c r="C318" s="18" t="s">
        <v>1948</v>
      </c>
      <c r="D318" s="18" t="s">
        <v>1949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1544</v>
      </c>
      <c r="B319" s="17"/>
      <c r="C319" s="18" t="s">
        <v>1545</v>
      </c>
      <c r="D319" s="18" t="s">
        <v>1546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1950</v>
      </c>
      <c r="B320" s="17"/>
      <c r="C320" s="18" t="s">
        <v>1951</v>
      </c>
      <c r="D320" s="18" t="s">
        <v>1952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956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957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958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959</v>
      </c>
      <c r="N326" s="28">
        <v>0</v>
      </c>
      <c r="O326" s="35"/>
    </row>
    <row r="327" spans="8:15" ht="17" customHeight="1">
      <c r="L327" s="6"/>
      <c r="M327" s="33" t="s">
        <v>960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961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962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960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963</v>
      </c>
      <c r="N333" s="29">
        <f>SUM(N321-N327-N331)</f>
        <v>820822.44999999972</v>
      </c>
      <c r="O333" s="35"/>
    </row>
    <row r="334" spans="8:15" ht="17" customHeight="1">
      <c r="L334" s="6"/>
      <c r="M334" s="37" t="s">
        <v>964</v>
      </c>
      <c r="N334" s="38">
        <f>IF(I321=0,"",N333/I321)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00" si="61">SUM(H992*L992)</f>
        <v>0</v>
      </c>
      <c r="N992" s="6">
        <f t="shared" ref="N992:N1000" si="62">SUM(I992-K992-M992)</f>
        <v>0</v>
      </c>
      <c r="O992" s="8" t="str">
        <f t="shared" ref="O992:O1000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workbookViewId="0">
      <pane ySplit="7" topLeftCell="A293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1953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42</v>
      </c>
      <c r="C8" s="1" t="s">
        <v>43</v>
      </c>
      <c r="D8" s="1" t="s">
        <v>1954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1955</v>
      </c>
      <c r="C9" s="1" t="s">
        <v>1956</v>
      </c>
      <c r="D9" s="1" t="s">
        <v>1957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1958</v>
      </c>
      <c r="C10" s="1" t="s">
        <v>1959</v>
      </c>
      <c r="D10" s="1" t="s">
        <v>1960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46</v>
      </c>
      <c r="C11" s="1" t="s">
        <v>47</v>
      </c>
      <c r="D11" s="1" t="s">
        <v>1961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24</v>
      </c>
      <c r="C12" s="1" t="s">
        <v>25</v>
      </c>
      <c r="D12" s="1" t="s">
        <v>1095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1962</v>
      </c>
      <c r="C13" s="1" t="s">
        <v>1025</v>
      </c>
      <c r="D13" s="1" t="s">
        <v>1026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1603</v>
      </c>
      <c r="C14" s="1">
        <v>4971710623796</v>
      </c>
      <c r="D14" s="1" t="s">
        <v>1604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1569</v>
      </c>
      <c r="B15" s="1" t="s">
        <v>1963</v>
      </c>
      <c r="C15" s="1" t="s">
        <v>1571</v>
      </c>
      <c r="D15" s="1" t="s">
        <v>1572</v>
      </c>
      <c r="E15" s="1" t="s">
        <v>1964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84</v>
      </c>
      <c r="C16" s="1" t="s">
        <v>85</v>
      </c>
      <c r="D16" s="1" t="s">
        <v>985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1965</v>
      </c>
      <c r="C17" s="1" t="s">
        <v>32</v>
      </c>
      <c r="D17" s="1" t="s">
        <v>1966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1577</v>
      </c>
      <c r="C18" s="1" t="s">
        <v>169</v>
      </c>
      <c r="D18" s="1" t="s">
        <v>1967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141</v>
      </c>
      <c r="C19" s="1" t="s">
        <v>142</v>
      </c>
      <c r="D19" s="1" t="s">
        <v>143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531</v>
      </c>
      <c r="C20" s="1" t="s">
        <v>532</v>
      </c>
      <c r="D20" s="1" t="s">
        <v>989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150</v>
      </c>
      <c r="B21" s="1" t="s">
        <v>155</v>
      </c>
      <c r="C21" s="1" t="s">
        <v>152</v>
      </c>
      <c r="D21" s="1" t="s">
        <v>153</v>
      </c>
      <c r="E21" s="1" t="s">
        <v>156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1968</v>
      </c>
      <c r="C22" s="1" t="s">
        <v>1969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996</v>
      </c>
      <c r="C23" s="1" t="s">
        <v>997</v>
      </c>
      <c r="D23" s="1" t="s">
        <v>998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40</v>
      </c>
      <c r="C24" s="1">
        <v>4550391012121</v>
      </c>
      <c r="D24" s="1" t="s">
        <v>1555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1609</v>
      </c>
      <c r="C25" s="1" t="s">
        <v>1610</v>
      </c>
      <c r="D25" s="1" t="s">
        <v>1611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196</v>
      </c>
      <c r="C26" s="1" t="s">
        <v>197</v>
      </c>
      <c r="D26" s="1" t="s">
        <v>1970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103</v>
      </c>
      <c r="C27" s="1" t="s">
        <v>104</v>
      </c>
      <c r="D27" s="1" t="s">
        <v>1009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1971</v>
      </c>
      <c r="C28" s="1" t="s">
        <v>1972</v>
      </c>
      <c r="D28" s="1" t="s">
        <v>1973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1974</v>
      </c>
      <c r="C29" s="1" t="s">
        <v>1975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1111</v>
      </c>
      <c r="C30" s="1" t="s">
        <v>1112</v>
      </c>
      <c r="D30" s="1" t="s">
        <v>1113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425</v>
      </c>
      <c r="C31" s="1" t="s">
        <v>426</v>
      </c>
      <c r="D31" s="1" t="s">
        <v>427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1563</v>
      </c>
      <c r="C32" s="1" t="s">
        <v>1564</v>
      </c>
      <c r="D32" s="1" t="s">
        <v>1565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657</v>
      </c>
      <c r="C33" s="1" t="s">
        <v>658</v>
      </c>
      <c r="D33" s="1" t="s">
        <v>659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1031</v>
      </c>
      <c r="C34" s="1" t="s">
        <v>1032</v>
      </c>
      <c r="D34" s="1" t="s">
        <v>1976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791</v>
      </c>
      <c r="C35" s="1" t="s">
        <v>792</v>
      </c>
      <c r="D35" s="1" t="s">
        <v>1446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37</v>
      </c>
      <c r="C36" s="1" t="s">
        <v>38</v>
      </c>
      <c r="D36" s="1" t="s">
        <v>1612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135</v>
      </c>
      <c r="C37" s="1" t="s">
        <v>136</v>
      </c>
      <c r="D37" s="1" t="s">
        <v>1977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127</v>
      </c>
      <c r="B38" s="1" t="s">
        <v>128</v>
      </c>
      <c r="C38" s="1" t="s">
        <v>129</v>
      </c>
      <c r="D38" s="1" t="s">
        <v>130</v>
      </c>
      <c r="E38" s="1" t="s">
        <v>131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1007</v>
      </c>
      <c r="C39" s="1">
        <v>4550391011919</v>
      </c>
      <c r="D39" s="1" t="s">
        <v>1008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181</v>
      </c>
      <c r="C40" s="1" t="s">
        <v>182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247</v>
      </c>
      <c r="C41" s="1" t="s">
        <v>248</v>
      </c>
      <c r="D41" s="1" t="s">
        <v>249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1978</v>
      </c>
      <c r="C42" s="1" t="s">
        <v>1979</v>
      </c>
      <c r="D42" s="1" t="s">
        <v>1980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150</v>
      </c>
      <c r="B43" s="1" t="s">
        <v>151</v>
      </c>
      <c r="C43" s="1" t="s">
        <v>152</v>
      </c>
      <c r="D43" s="1" t="s">
        <v>153</v>
      </c>
      <c r="E43" s="1" t="s">
        <v>154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150</v>
      </c>
      <c r="B44" s="1" t="s">
        <v>1040</v>
      </c>
      <c r="C44" s="1" t="s">
        <v>152</v>
      </c>
      <c r="D44" s="1" t="s">
        <v>153</v>
      </c>
      <c r="E44" s="1" t="s">
        <v>1041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150</v>
      </c>
      <c r="B45" s="1" t="s">
        <v>472</v>
      </c>
      <c r="C45" s="1" t="s">
        <v>152</v>
      </c>
      <c r="D45" s="1" t="s">
        <v>153</v>
      </c>
      <c r="E45" s="1" t="s">
        <v>1602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285</v>
      </c>
      <c r="B46" s="1" t="s">
        <v>125</v>
      </c>
      <c r="C46" s="1" t="s">
        <v>286</v>
      </c>
      <c r="D46" s="1" t="s">
        <v>1981</v>
      </c>
      <c r="E46" s="1" t="s">
        <v>1982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223</v>
      </c>
      <c r="C47" s="1" t="s">
        <v>224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56</v>
      </c>
      <c r="C48" s="1" t="s">
        <v>57</v>
      </c>
      <c r="D48" s="1" t="s">
        <v>1983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51</v>
      </c>
      <c r="B49" s="1" t="s">
        <v>52</v>
      </c>
      <c r="C49" s="1" t="s">
        <v>53</v>
      </c>
      <c r="D49" s="1" t="s">
        <v>54</v>
      </c>
      <c r="E49" s="1" t="s">
        <v>55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51</v>
      </c>
      <c r="B50" s="1" t="s">
        <v>125</v>
      </c>
      <c r="C50" s="1" t="s">
        <v>53</v>
      </c>
      <c r="D50" s="1" t="s">
        <v>54</v>
      </c>
      <c r="E50" s="1" t="s">
        <v>126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679</v>
      </c>
      <c r="C51" s="1" t="s">
        <v>680</v>
      </c>
      <c r="D51" s="1" t="s">
        <v>1984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175</v>
      </c>
      <c r="C52" s="1" t="s">
        <v>176</v>
      </c>
      <c r="D52" s="1" t="s">
        <v>1270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341</v>
      </c>
      <c r="C53" s="1">
        <v>4550391046515</v>
      </c>
      <c r="D53" s="1" t="s">
        <v>1576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1985</v>
      </c>
      <c r="C54" s="1" t="s">
        <v>1122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106</v>
      </c>
      <c r="C55" s="1">
        <v>4550391042821</v>
      </c>
      <c r="D55" s="1" t="s">
        <v>107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82</v>
      </c>
      <c r="C56" s="1" t="s">
        <v>83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189</v>
      </c>
      <c r="C57" s="1" t="s">
        <v>190</v>
      </c>
      <c r="D57" s="1" t="s">
        <v>191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1986</v>
      </c>
      <c r="C58" s="1" t="s">
        <v>1987</v>
      </c>
      <c r="D58" s="1" t="s">
        <v>1988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338</v>
      </c>
      <c r="C59" s="1" t="s">
        <v>339</v>
      </c>
      <c r="D59" s="1" t="s">
        <v>1628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713</v>
      </c>
      <c r="C60" s="1" t="s">
        <v>714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1169</v>
      </c>
      <c r="B61" s="1" t="s">
        <v>1989</v>
      </c>
      <c r="C61" s="1">
        <v>3264680009761</v>
      </c>
      <c r="D61" s="9">
        <v>976143829785</v>
      </c>
      <c r="E61" s="1" t="s">
        <v>1990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185</v>
      </c>
      <c r="C62" s="1" t="s">
        <v>186</v>
      </c>
      <c r="D62" s="1" t="s">
        <v>1991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485</v>
      </c>
      <c r="C63" s="1" t="s">
        <v>486</v>
      </c>
      <c r="D63" s="1" t="s">
        <v>1811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1620</v>
      </c>
      <c r="B64" s="1" t="s">
        <v>1068</v>
      </c>
      <c r="C64" s="1" t="s">
        <v>1069</v>
      </c>
      <c r="D64" s="1" t="s">
        <v>1070</v>
      </c>
      <c r="E64" s="1" t="s">
        <v>1071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569</v>
      </c>
      <c r="C65" s="1" t="s">
        <v>570</v>
      </c>
      <c r="D65" s="1" t="s">
        <v>1606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178</v>
      </c>
      <c r="C66" s="1" t="s">
        <v>179</v>
      </c>
      <c r="D66" s="1" t="s">
        <v>1406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743</v>
      </c>
      <c r="B67" s="1" t="s">
        <v>1265</v>
      </c>
      <c r="C67" s="1" t="s">
        <v>744</v>
      </c>
      <c r="D67" s="1" t="s">
        <v>1387</v>
      </c>
      <c r="E67" s="1" t="s">
        <v>1388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346</v>
      </c>
      <c r="C68" s="1" t="s">
        <v>347</v>
      </c>
      <c r="D68" s="1" t="s">
        <v>348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725</v>
      </c>
      <c r="B69" s="1" t="s">
        <v>881</v>
      </c>
      <c r="C69" s="1" t="s">
        <v>727</v>
      </c>
      <c r="D69" s="1" t="s">
        <v>1992</v>
      </c>
      <c r="E69" s="1" t="s">
        <v>882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778</v>
      </c>
      <c r="C70" s="1" t="s">
        <v>779</v>
      </c>
      <c r="D70" s="1" t="s">
        <v>780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207</v>
      </c>
      <c r="C71" s="1" t="s">
        <v>208</v>
      </c>
      <c r="D71" s="1" t="s">
        <v>1993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75</v>
      </c>
      <c r="C72" s="1" t="s">
        <v>76</v>
      </c>
      <c r="D72" s="1" t="s">
        <v>1027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112</v>
      </c>
      <c r="C73" s="1" t="s">
        <v>113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1349</v>
      </c>
      <c r="C74" s="1" t="s">
        <v>1350</v>
      </c>
      <c r="D74" s="1" t="s">
        <v>1351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1138</v>
      </c>
      <c r="C75" s="1" t="s">
        <v>1139</v>
      </c>
      <c r="D75" s="1" t="s">
        <v>1140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1205</v>
      </c>
      <c r="C76" s="1" t="s">
        <v>1206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144</v>
      </c>
      <c r="C77" s="1" t="s">
        <v>145</v>
      </c>
      <c r="D77" s="1" t="s">
        <v>1700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383</v>
      </c>
      <c r="C78" s="1" t="s">
        <v>384</v>
      </c>
      <c r="D78" s="1" t="s">
        <v>1994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612</v>
      </c>
      <c r="C79" s="1" t="s">
        <v>613</v>
      </c>
      <c r="D79" s="1" t="s">
        <v>1995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1370</v>
      </c>
      <c r="C80" s="1" t="s">
        <v>1371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1996</v>
      </c>
      <c r="C81" s="1" t="s">
        <v>525</v>
      </c>
      <c r="D81" s="1" t="s">
        <v>526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1152</v>
      </c>
      <c r="C82" s="1" t="s">
        <v>1153</v>
      </c>
      <c r="D82" s="1" t="s">
        <v>1154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138</v>
      </c>
      <c r="C83" s="1" t="s">
        <v>139</v>
      </c>
      <c r="D83" s="1" t="s">
        <v>1997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733</v>
      </c>
      <c r="C84" s="1" t="s">
        <v>734</v>
      </c>
      <c r="D84" s="1" t="s">
        <v>1737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1714</v>
      </c>
      <c r="C85" s="1" t="s">
        <v>1715</v>
      </c>
      <c r="D85" s="1" t="s">
        <v>1998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1999</v>
      </c>
      <c r="C86" s="1" t="s">
        <v>133</v>
      </c>
      <c r="D86" s="1" t="s">
        <v>2000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62</v>
      </c>
      <c r="C87" s="1" t="s">
        <v>63</v>
      </c>
      <c r="D87" s="1" t="s">
        <v>2001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391</v>
      </c>
      <c r="C88" s="1" t="s">
        <v>392</v>
      </c>
      <c r="D88" s="1" t="s">
        <v>1994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901</v>
      </c>
      <c r="C89" s="1" t="s">
        <v>902</v>
      </c>
      <c r="D89" s="1" t="s">
        <v>903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2002</v>
      </c>
      <c r="B90" s="1" t="s">
        <v>52</v>
      </c>
      <c r="C90" s="1" t="s">
        <v>2003</v>
      </c>
      <c r="D90" s="1" t="s">
        <v>2004</v>
      </c>
      <c r="E90" s="1" t="s">
        <v>2005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970</v>
      </c>
      <c r="C91" s="1">
        <v>4550391012176</v>
      </c>
      <c r="D91" s="1" t="s">
        <v>971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2006</v>
      </c>
      <c r="C92" s="1" t="s">
        <v>1239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1135</v>
      </c>
      <c r="C93" s="1" t="s">
        <v>1136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406</v>
      </c>
      <c r="B94" s="1" t="s">
        <v>407</v>
      </c>
      <c r="C94" s="1" t="s">
        <v>408</v>
      </c>
      <c r="D94" s="1" t="s">
        <v>1725</v>
      </c>
      <c r="E94" s="1" t="s">
        <v>410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2007</v>
      </c>
      <c r="C95" s="1" t="s">
        <v>2008</v>
      </c>
      <c r="D95" s="1" t="s">
        <v>2009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1871</v>
      </c>
      <c r="C96" s="1">
        <v>4901133980183</v>
      </c>
      <c r="D96" s="1" t="s">
        <v>1872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2010</v>
      </c>
      <c r="C97" s="1" t="s">
        <v>2011</v>
      </c>
      <c r="D97" s="1" t="s">
        <v>2012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2013</v>
      </c>
      <c r="C98" s="1" t="s">
        <v>1119</v>
      </c>
      <c r="D98" s="1" t="s">
        <v>1120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59</v>
      </c>
      <c r="C99" s="1" t="s">
        <v>60</v>
      </c>
      <c r="D99" s="1" t="s">
        <v>2014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428</v>
      </c>
      <c r="C100" s="1" t="s">
        <v>429</v>
      </c>
      <c r="D100" s="1" t="s">
        <v>1204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458</v>
      </c>
      <c r="C101" s="1" t="s">
        <v>459</v>
      </c>
      <c r="D101" s="1" t="s">
        <v>460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324</v>
      </c>
      <c r="C102" s="1" t="s">
        <v>325</v>
      </c>
      <c r="D102" s="1" t="s">
        <v>326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669</v>
      </c>
      <c r="C103" s="1" t="s">
        <v>670</v>
      </c>
      <c r="D103" s="1" t="s">
        <v>1597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78</v>
      </c>
      <c r="B104" s="1" t="s">
        <v>125</v>
      </c>
      <c r="C104" s="1" t="s">
        <v>79</v>
      </c>
      <c r="D104" s="1" t="s">
        <v>80</v>
      </c>
      <c r="E104" s="1" t="s">
        <v>1124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2015</v>
      </c>
      <c r="C105" s="1" t="s">
        <v>2016</v>
      </c>
      <c r="D105" s="1" t="s">
        <v>2017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1587</v>
      </c>
      <c r="C106" s="1" t="s">
        <v>1588</v>
      </c>
      <c r="D106" s="1" t="s">
        <v>1589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327</v>
      </c>
      <c r="B107" s="1" t="s">
        <v>52</v>
      </c>
      <c r="C107" s="1" t="s">
        <v>328</v>
      </c>
      <c r="D107" s="1" t="s">
        <v>329</v>
      </c>
      <c r="E107" s="1" t="s">
        <v>2018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1622</v>
      </c>
      <c r="C108" s="1" t="s">
        <v>1623</v>
      </c>
      <c r="D108" s="1" t="s">
        <v>1624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682</v>
      </c>
      <c r="C109" s="1" t="s">
        <v>683</v>
      </c>
      <c r="D109" s="1" t="s">
        <v>684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343</v>
      </c>
      <c r="C110" s="1" t="s">
        <v>344</v>
      </c>
      <c r="D110" s="1" t="s">
        <v>1616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332</v>
      </c>
      <c r="C111" s="1" t="s">
        <v>333</v>
      </c>
      <c r="D111" s="1" t="s">
        <v>1659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114</v>
      </c>
      <c r="C112" s="1" t="s">
        <v>115</v>
      </c>
      <c r="D112" s="1" t="s">
        <v>2019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717</v>
      </c>
      <c r="C113" s="1" t="s">
        <v>718</v>
      </c>
      <c r="D113" s="1" t="s">
        <v>1579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226</v>
      </c>
      <c r="C114" s="1" t="s">
        <v>227</v>
      </c>
      <c r="D114" s="1" t="s">
        <v>1804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2020</v>
      </c>
      <c r="C115" s="1">
        <v>4571411204838</v>
      </c>
      <c r="D115" s="1" t="s">
        <v>2021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362</v>
      </c>
      <c r="B116" s="1" t="s">
        <v>168</v>
      </c>
      <c r="C116" s="1" t="s">
        <v>363</v>
      </c>
      <c r="D116" s="1" t="s">
        <v>364</v>
      </c>
      <c r="E116" s="1" t="s">
        <v>2022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1794</v>
      </c>
      <c r="C117" s="1" t="s">
        <v>1795</v>
      </c>
      <c r="D117" s="1" t="s">
        <v>1796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2023</v>
      </c>
      <c r="C118" s="1" t="s">
        <v>2024</v>
      </c>
      <c r="D118" s="1" t="s">
        <v>2025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192</v>
      </c>
      <c r="C119" s="1" t="s">
        <v>193</v>
      </c>
      <c r="D119" s="1" t="s">
        <v>194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589</v>
      </c>
      <c r="B120" s="1" t="s">
        <v>418</v>
      </c>
      <c r="C120" s="1" t="s">
        <v>591</v>
      </c>
      <c r="D120" s="1" t="s">
        <v>592</v>
      </c>
      <c r="E120" s="1" t="s">
        <v>1769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369</v>
      </c>
      <c r="C121" s="1" t="s">
        <v>370</v>
      </c>
      <c r="D121" s="1" t="s">
        <v>2026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834</v>
      </c>
      <c r="C122" s="1" t="s">
        <v>835</v>
      </c>
      <c r="D122" s="1" t="s">
        <v>836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609</v>
      </c>
      <c r="C123" s="1" t="s">
        <v>610</v>
      </c>
      <c r="D123" s="1" t="s">
        <v>2027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1654</v>
      </c>
      <c r="C124" s="1" t="s">
        <v>1655</v>
      </c>
      <c r="D124" s="1" t="s">
        <v>2028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161</v>
      </c>
      <c r="C125" s="1" t="s">
        <v>162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229</v>
      </c>
      <c r="C126" s="1" t="s">
        <v>230</v>
      </c>
      <c r="D126" s="1" t="s">
        <v>2029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665</v>
      </c>
      <c r="C127" s="1" t="s">
        <v>666</v>
      </c>
      <c r="D127" s="1" t="s">
        <v>667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2030</v>
      </c>
      <c r="C128" s="1" t="s">
        <v>2031</v>
      </c>
      <c r="D128" s="1" t="s">
        <v>2032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2033</v>
      </c>
      <c r="B129" s="1" t="s">
        <v>52</v>
      </c>
      <c r="C129" s="1" t="s">
        <v>2034</v>
      </c>
      <c r="D129" s="1" t="s">
        <v>2035</v>
      </c>
      <c r="E129" s="1" t="s">
        <v>2036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703</v>
      </c>
      <c r="C130" s="1" t="s">
        <v>704</v>
      </c>
      <c r="D130" s="1" t="s">
        <v>1870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406</v>
      </c>
      <c r="B131" s="1" t="s">
        <v>1873</v>
      </c>
      <c r="C131" s="1" t="s">
        <v>408</v>
      </c>
      <c r="D131" s="1" t="s">
        <v>1725</v>
      </c>
      <c r="E131" s="1" t="s">
        <v>1874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1830</v>
      </c>
      <c r="C132" s="1">
        <v>4550391011940</v>
      </c>
      <c r="D132" s="1" t="s">
        <v>1831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261</v>
      </c>
      <c r="C133" s="1" t="s">
        <v>262</v>
      </c>
      <c r="D133" s="1" t="s">
        <v>263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414</v>
      </c>
      <c r="C134" s="1" t="s">
        <v>415</v>
      </c>
      <c r="D134" s="1" t="s">
        <v>416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1104</v>
      </c>
      <c r="C135" s="1" t="s">
        <v>1105</v>
      </c>
      <c r="D135" s="1" t="s">
        <v>1106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2037</v>
      </c>
      <c r="C136" s="1" t="s">
        <v>2038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725</v>
      </c>
      <c r="B137" s="1" t="s">
        <v>808</v>
      </c>
      <c r="C137" s="1" t="s">
        <v>727</v>
      </c>
      <c r="D137" s="1" t="s">
        <v>1992</v>
      </c>
      <c r="E137" s="1" t="s">
        <v>809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1178</v>
      </c>
      <c r="C138" s="1" t="s">
        <v>1179</v>
      </c>
      <c r="D138" s="1" t="s">
        <v>1180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2039</v>
      </c>
      <c r="C139" s="1" t="s">
        <v>2040</v>
      </c>
      <c r="D139" s="1" t="s">
        <v>2041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157</v>
      </c>
      <c r="C140" s="1" t="s">
        <v>158</v>
      </c>
      <c r="D140" s="1" t="s">
        <v>1163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2042</v>
      </c>
      <c r="C141" s="1" t="s">
        <v>2043</v>
      </c>
      <c r="D141" s="1" t="s">
        <v>2044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2045</v>
      </c>
      <c r="C142" s="1" t="s">
        <v>2046</v>
      </c>
      <c r="D142" s="1" t="s">
        <v>2047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1687</v>
      </c>
      <c r="C143" s="1" t="s">
        <v>445</v>
      </c>
      <c r="D143" s="1" t="s">
        <v>1688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258</v>
      </c>
      <c r="C144" s="1" t="s">
        <v>259</v>
      </c>
      <c r="D144" s="1" t="s">
        <v>1129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510</v>
      </c>
      <c r="B145" s="1" t="s">
        <v>514</v>
      </c>
      <c r="C145" s="1">
        <v>4550391046508</v>
      </c>
      <c r="D145" s="1" t="s">
        <v>1658</v>
      </c>
      <c r="E145" s="1" t="s">
        <v>515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676</v>
      </c>
      <c r="C146" s="1" t="s">
        <v>677</v>
      </c>
      <c r="D146" s="1" t="s">
        <v>1093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586</v>
      </c>
      <c r="C147" s="1" t="s">
        <v>587</v>
      </c>
      <c r="D147" s="1" t="s">
        <v>2048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710</v>
      </c>
      <c r="B148" s="1" t="s">
        <v>1827</v>
      </c>
      <c r="C148" s="1">
        <v>4550391062164</v>
      </c>
      <c r="D148" s="1" t="s">
        <v>712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510</v>
      </c>
      <c r="B149" s="1" t="s">
        <v>2049</v>
      </c>
      <c r="C149" s="1">
        <v>4550391046508</v>
      </c>
      <c r="D149" s="1" t="s">
        <v>1658</v>
      </c>
      <c r="E149" s="1" t="s">
        <v>2050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2051</v>
      </c>
      <c r="C150" s="1" t="s">
        <v>1358</v>
      </c>
      <c r="D150" s="1" t="s">
        <v>1359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204</v>
      </c>
      <c r="C151" s="1" t="s">
        <v>205</v>
      </c>
      <c r="D151" s="1" t="s">
        <v>206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27</v>
      </c>
      <c r="C152" s="1" t="s">
        <v>28</v>
      </c>
      <c r="D152" s="1" t="s">
        <v>2052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736</v>
      </c>
      <c r="C153" s="1" t="s">
        <v>737</v>
      </c>
      <c r="D153" s="1" t="s">
        <v>738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479</v>
      </c>
      <c r="C154" s="1" t="s">
        <v>480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1945</v>
      </c>
      <c r="C155" s="1" t="s">
        <v>1946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543</v>
      </c>
      <c r="B156" s="1" t="s">
        <v>1312</v>
      </c>
      <c r="C156" s="1" t="s">
        <v>545</v>
      </c>
      <c r="D156" s="9">
        <v>605858638891</v>
      </c>
      <c r="E156" s="1" t="s">
        <v>1313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164</v>
      </c>
      <c r="C157" s="1" t="s">
        <v>165</v>
      </c>
      <c r="D157" s="1" t="s">
        <v>166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2053</v>
      </c>
      <c r="C158" s="1" t="s">
        <v>2054</v>
      </c>
      <c r="D158" s="1" t="s">
        <v>2055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1719</v>
      </c>
      <c r="C159" s="1" t="s">
        <v>1720</v>
      </c>
      <c r="D159" s="1" t="s">
        <v>2056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2057</v>
      </c>
      <c r="C160" s="1" t="s">
        <v>2058</v>
      </c>
      <c r="D160" s="1" t="s">
        <v>2059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1235</v>
      </c>
      <c r="C161" s="1" t="s">
        <v>1236</v>
      </c>
      <c r="D161" s="1" t="s">
        <v>1237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2060</v>
      </c>
      <c r="C162" s="1" t="s">
        <v>2061</v>
      </c>
      <c r="D162" s="1" t="s">
        <v>2062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500</v>
      </c>
      <c r="C163" s="1" t="s">
        <v>501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759</v>
      </c>
      <c r="C164" s="1" t="s">
        <v>760</v>
      </c>
      <c r="D164" s="1" t="s">
        <v>1713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788</v>
      </c>
      <c r="C165" s="1" t="s">
        <v>789</v>
      </c>
      <c r="D165" s="1" t="s">
        <v>790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2063</v>
      </c>
      <c r="C166" s="1" t="s">
        <v>1734</v>
      </c>
      <c r="D166" s="1" t="s">
        <v>1735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848</v>
      </c>
      <c r="C167" s="1" t="s">
        <v>849</v>
      </c>
      <c r="D167" s="1" t="s">
        <v>850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1255</v>
      </c>
      <c r="C168" s="1" t="s">
        <v>1256</v>
      </c>
      <c r="D168" s="1" t="s">
        <v>1257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1881</v>
      </c>
      <c r="C169" s="1" t="s">
        <v>1882</v>
      </c>
      <c r="D169" s="1" t="s">
        <v>1883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2064</v>
      </c>
      <c r="C170" s="1" t="s">
        <v>2065</v>
      </c>
      <c r="D170" s="1" t="s">
        <v>2066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219</v>
      </c>
      <c r="B171" s="1" t="s">
        <v>52</v>
      </c>
      <c r="C171" s="1" t="s">
        <v>220</v>
      </c>
      <c r="D171" s="1" t="s">
        <v>221</v>
      </c>
      <c r="E171" s="1" t="s">
        <v>222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725</v>
      </c>
      <c r="B172" s="1" t="s">
        <v>726</v>
      </c>
      <c r="C172" s="1" t="s">
        <v>727</v>
      </c>
      <c r="D172" s="1" t="s">
        <v>1992</v>
      </c>
      <c r="E172" s="1" t="s">
        <v>729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553</v>
      </c>
      <c r="C173" s="1" t="s">
        <v>554</v>
      </c>
      <c r="D173" s="1" t="s">
        <v>2067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2068</v>
      </c>
      <c r="C174" s="1" t="s">
        <v>2069</v>
      </c>
      <c r="D174" s="1" t="s">
        <v>2070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813</v>
      </c>
      <c r="C175" s="1" t="s">
        <v>814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725</v>
      </c>
      <c r="B176" s="1" t="s">
        <v>1045</v>
      </c>
      <c r="C176" s="1" t="s">
        <v>727</v>
      </c>
      <c r="D176" s="1" t="s">
        <v>1992</v>
      </c>
      <c r="E176" s="1" t="s">
        <v>1046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1141</v>
      </c>
      <c r="C177" s="1" t="s">
        <v>1142</v>
      </c>
      <c r="D177" s="1" t="s">
        <v>1891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558</v>
      </c>
      <c r="C178" s="1" t="s">
        <v>559</v>
      </c>
      <c r="D178" s="1" t="s">
        <v>2071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503</v>
      </c>
      <c r="C179" s="1" t="s">
        <v>504</v>
      </c>
      <c r="D179" s="1" t="s">
        <v>1598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740</v>
      </c>
      <c r="C180" s="1" t="s">
        <v>741</v>
      </c>
      <c r="D180" s="1" t="s">
        <v>742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579</v>
      </c>
      <c r="C181" s="1" t="s">
        <v>580</v>
      </c>
      <c r="D181" s="1" t="s">
        <v>1626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238</v>
      </c>
      <c r="C182" s="1" t="s">
        <v>239</v>
      </c>
      <c r="D182" s="1" t="s">
        <v>1271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417</v>
      </c>
      <c r="B183" s="1" t="s">
        <v>695</v>
      </c>
      <c r="C183" s="1" t="s">
        <v>419</v>
      </c>
      <c r="D183" s="1" t="s">
        <v>420</v>
      </c>
      <c r="E183" s="1" t="s">
        <v>696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594</v>
      </c>
      <c r="C184" s="1" t="s">
        <v>595</v>
      </c>
      <c r="D184" s="1" t="s">
        <v>1078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589</v>
      </c>
      <c r="B185" s="1" t="s">
        <v>1784</v>
      </c>
      <c r="C185" s="1" t="s">
        <v>591</v>
      </c>
      <c r="D185" s="1" t="s">
        <v>592</v>
      </c>
      <c r="E185" s="1" t="s">
        <v>1786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2072</v>
      </c>
      <c r="C186" s="1">
        <v>4571411205552</v>
      </c>
      <c r="D186" s="1" t="s">
        <v>2073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2074</v>
      </c>
      <c r="C187" s="1" t="s">
        <v>2075</v>
      </c>
      <c r="D187" s="1" t="s">
        <v>2076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2077</v>
      </c>
      <c r="C188" s="1" t="s">
        <v>577</v>
      </c>
      <c r="D188" s="1" t="s">
        <v>578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2078</v>
      </c>
      <c r="C189" s="1" t="s">
        <v>1083</v>
      </c>
      <c r="D189" s="1" t="s">
        <v>1084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589</v>
      </c>
      <c r="B190" s="1" t="s">
        <v>590</v>
      </c>
      <c r="C190" s="1" t="s">
        <v>591</v>
      </c>
      <c r="D190" s="1" t="s">
        <v>592</v>
      </c>
      <c r="E190" s="1" t="s">
        <v>593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583</v>
      </c>
      <c r="C191" s="1" t="s">
        <v>584</v>
      </c>
      <c r="D191" s="1" t="s">
        <v>1768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2079</v>
      </c>
      <c r="C192" s="1" t="s">
        <v>2080</v>
      </c>
      <c r="D192" s="1" t="s">
        <v>2081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1671</v>
      </c>
      <c r="B193" s="1" t="s">
        <v>1672</v>
      </c>
      <c r="C193" s="1" t="s">
        <v>1673</v>
      </c>
      <c r="D193" s="1" t="s">
        <v>1674</v>
      </c>
      <c r="E193" s="1" t="s">
        <v>1675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1601</v>
      </c>
      <c r="C194" s="1" t="s">
        <v>1056</v>
      </c>
      <c r="D194" s="1" t="s">
        <v>1057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1777</v>
      </c>
      <c r="C195" s="1" t="s">
        <v>1778</v>
      </c>
      <c r="D195" s="1" t="s">
        <v>2082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417</v>
      </c>
      <c r="B196" s="1" t="s">
        <v>715</v>
      </c>
      <c r="C196" s="1" t="s">
        <v>419</v>
      </c>
      <c r="D196" s="1" t="s">
        <v>420</v>
      </c>
      <c r="E196" s="1" t="s">
        <v>716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2083</v>
      </c>
      <c r="C197" s="1" t="s">
        <v>2084</v>
      </c>
      <c r="D197" s="1" t="s">
        <v>2085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1783</v>
      </c>
      <c r="B198" s="1" t="s">
        <v>1759</v>
      </c>
      <c r="C198" s="1" t="s">
        <v>1785</v>
      </c>
      <c r="D198" s="1" t="s">
        <v>592</v>
      </c>
      <c r="E198" s="1" t="s">
        <v>1760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598</v>
      </c>
      <c r="C199" s="1" t="s">
        <v>599</v>
      </c>
      <c r="D199" s="1" t="s">
        <v>600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1425</v>
      </c>
      <c r="C200" s="1" t="s">
        <v>1426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842</v>
      </c>
      <c r="C201" s="1" t="s">
        <v>843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837</v>
      </c>
      <c r="C202" s="1">
        <v>4550391011926</v>
      </c>
      <c r="D202" s="1" t="s">
        <v>1435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615</v>
      </c>
      <c r="C203" s="1" t="s">
        <v>616</v>
      </c>
      <c r="D203" s="1" t="s">
        <v>617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625</v>
      </c>
      <c r="C204" s="1" t="s">
        <v>626</v>
      </c>
      <c r="D204" s="1" t="s">
        <v>627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264</v>
      </c>
      <c r="C205" s="1" t="s">
        <v>265</v>
      </c>
      <c r="D205" s="1" t="s">
        <v>1100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2086</v>
      </c>
      <c r="C206" s="1" t="s">
        <v>2087</v>
      </c>
      <c r="D206" s="1" t="s">
        <v>2088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267</v>
      </c>
      <c r="B207" s="1" t="s">
        <v>1801</v>
      </c>
      <c r="C207" s="1" t="s">
        <v>269</v>
      </c>
      <c r="D207" s="1" t="s">
        <v>1802</v>
      </c>
      <c r="E207" s="1" t="s">
        <v>1803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267</v>
      </c>
      <c r="B208" s="1" t="s">
        <v>268</v>
      </c>
      <c r="C208" s="1" t="s">
        <v>269</v>
      </c>
      <c r="D208" s="1" t="s">
        <v>1802</v>
      </c>
      <c r="E208" s="1" t="s">
        <v>271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878</v>
      </c>
      <c r="C209" s="1" t="s">
        <v>879</v>
      </c>
      <c r="D209" s="1" t="s">
        <v>2089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543</v>
      </c>
      <c r="B210" s="1" t="s">
        <v>641</v>
      </c>
      <c r="C210" s="1" t="s">
        <v>545</v>
      </c>
      <c r="D210" s="9">
        <v>605858638891</v>
      </c>
      <c r="E210" s="1" t="s">
        <v>642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1053</v>
      </c>
      <c r="C211" s="1" t="s">
        <v>1054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2090</v>
      </c>
      <c r="C212" s="1" t="s">
        <v>2091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2092</v>
      </c>
      <c r="C213" s="1" t="s">
        <v>2093</v>
      </c>
      <c r="D213" s="1" t="s">
        <v>2094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2095</v>
      </c>
      <c r="C214" s="1" t="s">
        <v>2096</v>
      </c>
      <c r="D214" s="1" t="s">
        <v>2097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495</v>
      </c>
      <c r="C215" s="1" t="s">
        <v>496</v>
      </c>
      <c r="D215" s="1" t="s">
        <v>2098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1910</v>
      </c>
      <c r="C216" s="1" t="s">
        <v>1911</v>
      </c>
      <c r="D216" s="1" t="s">
        <v>1912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2099</v>
      </c>
      <c r="C217" s="1" t="s">
        <v>895</v>
      </c>
      <c r="D217" s="1" t="s">
        <v>2100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898</v>
      </c>
      <c r="C218" s="1" t="s">
        <v>899</v>
      </c>
      <c r="D218" s="1" t="s">
        <v>1230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2101</v>
      </c>
      <c r="C219" s="1" t="s">
        <v>1165</v>
      </c>
      <c r="D219" s="1" t="s">
        <v>1166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2102</v>
      </c>
      <c r="C220" s="1" t="s">
        <v>2103</v>
      </c>
      <c r="D220" s="1" t="s">
        <v>2104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440</v>
      </c>
      <c r="C221" s="1" t="s">
        <v>441</v>
      </c>
      <c r="D221" s="1" t="s">
        <v>442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2105</v>
      </c>
      <c r="C222" s="1" t="s">
        <v>2106</v>
      </c>
      <c r="D222" s="1" t="s">
        <v>2107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828</v>
      </c>
      <c r="C223" s="1">
        <v>4550391012053</v>
      </c>
      <c r="D223" s="1" t="s">
        <v>829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2108</v>
      </c>
      <c r="C224" s="1" t="s">
        <v>2109</v>
      </c>
      <c r="D224" s="1" t="s">
        <v>2110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1130</v>
      </c>
      <c r="C225" s="1" t="s">
        <v>1131</v>
      </c>
      <c r="D225" s="1" t="s">
        <v>1132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2111</v>
      </c>
      <c r="C226" s="1" t="s">
        <v>2112</v>
      </c>
      <c r="D226" s="1" t="s">
        <v>2113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2114</v>
      </c>
      <c r="C227" s="1" t="s">
        <v>1694</v>
      </c>
      <c r="D227" s="1" t="s">
        <v>2115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510</v>
      </c>
      <c r="B228" s="1" t="s">
        <v>516</v>
      </c>
      <c r="C228" s="1">
        <v>4550391046508</v>
      </c>
      <c r="D228" s="1" t="s">
        <v>1658</v>
      </c>
      <c r="E228" s="1" t="s">
        <v>517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1824</v>
      </c>
      <c r="C229" s="1" t="s">
        <v>1825</v>
      </c>
      <c r="D229" s="1" t="s">
        <v>2116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256</v>
      </c>
      <c r="C230" s="1" t="s">
        <v>257</v>
      </c>
      <c r="D230" s="1" t="s">
        <v>2117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335</v>
      </c>
      <c r="C231" s="1" t="s">
        <v>336</v>
      </c>
      <c r="D231" s="1" t="s">
        <v>2118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172</v>
      </c>
      <c r="C232" s="1" t="s">
        <v>173</v>
      </c>
      <c r="D232" s="1" t="s">
        <v>174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1661</v>
      </c>
      <c r="C233" s="1" t="s">
        <v>1662</v>
      </c>
      <c r="D233" s="1" t="s">
        <v>1663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710</v>
      </c>
      <c r="B234" s="1" t="s">
        <v>711</v>
      </c>
      <c r="C234" s="1">
        <v>4550391062164</v>
      </c>
      <c r="D234" s="1" t="s">
        <v>712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468</v>
      </c>
      <c r="C235" s="1" t="s">
        <v>469</v>
      </c>
      <c r="D235" s="1" t="s">
        <v>1360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2119</v>
      </c>
      <c r="C236" s="1" t="s">
        <v>1703</v>
      </c>
      <c r="D236" s="1" t="s">
        <v>1704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913</v>
      </c>
      <c r="C237" s="1" t="s">
        <v>914</v>
      </c>
      <c r="D237" s="1" t="s">
        <v>915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720</v>
      </c>
      <c r="B238" s="1" t="s">
        <v>721</v>
      </c>
      <c r="C238" s="1" t="s">
        <v>722</v>
      </c>
      <c r="D238" s="1" t="s">
        <v>2120</v>
      </c>
      <c r="E238" s="1" t="s">
        <v>724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1363</v>
      </c>
      <c r="C239" s="1" t="s">
        <v>1364</v>
      </c>
      <c r="D239" s="1" t="s">
        <v>2121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541</v>
      </c>
      <c r="C240" s="1">
        <v>4902806133806</v>
      </c>
      <c r="D240" s="1" t="s">
        <v>542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795</v>
      </c>
      <c r="C241" s="1" t="s">
        <v>796</v>
      </c>
      <c r="D241" s="1" t="s">
        <v>797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2122</v>
      </c>
      <c r="C242" s="1" t="s">
        <v>1020</v>
      </c>
      <c r="D242" s="1" t="s">
        <v>1021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454</v>
      </c>
      <c r="B243" s="1" t="s">
        <v>2123</v>
      </c>
      <c r="C243" s="1" t="s">
        <v>456</v>
      </c>
      <c r="D243" s="1" t="s">
        <v>1335</v>
      </c>
      <c r="E243" s="1" t="s">
        <v>2124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2125</v>
      </c>
      <c r="C244" s="1" t="s">
        <v>1385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488</v>
      </c>
      <c r="C245" s="1" t="s">
        <v>489</v>
      </c>
      <c r="D245" s="1" t="s">
        <v>1390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752</v>
      </c>
      <c r="C246" s="1" t="s">
        <v>753</v>
      </c>
      <c r="D246" s="1" t="s">
        <v>2126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2127</v>
      </c>
      <c r="C247" s="1" t="s">
        <v>2128</v>
      </c>
      <c r="D247" s="1" t="s">
        <v>2129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756</v>
      </c>
      <c r="C248" s="1" t="s">
        <v>757</v>
      </c>
      <c r="D248" s="1" t="s">
        <v>2130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2131</v>
      </c>
      <c r="C249" s="1" t="s">
        <v>1933</v>
      </c>
      <c r="D249" s="1" t="s">
        <v>1934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1507</v>
      </c>
      <c r="C250" s="1" t="s">
        <v>1508</v>
      </c>
      <c r="D250" s="1" t="s">
        <v>1509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2132</v>
      </c>
      <c r="C251" s="1" t="s">
        <v>1241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108</v>
      </c>
      <c r="C252" s="1" t="s">
        <v>109</v>
      </c>
      <c r="D252" s="1" t="s">
        <v>2133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2134</v>
      </c>
      <c r="C253" s="1" t="s">
        <v>2135</v>
      </c>
      <c r="D253" s="1" t="s">
        <v>2136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1855</v>
      </c>
      <c r="C254" s="1" t="s">
        <v>1856</v>
      </c>
      <c r="D254" s="1" t="s">
        <v>1857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117</v>
      </c>
      <c r="C255" s="1" t="s">
        <v>118</v>
      </c>
      <c r="D255" s="1" t="s">
        <v>1242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2137</v>
      </c>
      <c r="C256" s="1" t="s">
        <v>1210</v>
      </c>
      <c r="D256" s="1" t="s">
        <v>2138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2139</v>
      </c>
      <c r="C257" s="1" t="s">
        <v>2140</v>
      </c>
      <c r="D257" s="1" t="s">
        <v>2141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411</v>
      </c>
      <c r="C258" s="1" t="s">
        <v>412</v>
      </c>
      <c r="D258" s="1" t="s">
        <v>413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1864</v>
      </c>
      <c r="C259" s="1" t="s">
        <v>1865</v>
      </c>
      <c r="D259" s="1" t="s">
        <v>2142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403</v>
      </c>
      <c r="C260" s="1" t="s">
        <v>404</v>
      </c>
      <c r="D260" s="1" t="s">
        <v>1395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860</v>
      </c>
      <c r="B261" s="1" t="s">
        <v>1109</v>
      </c>
      <c r="C261" s="1" t="s">
        <v>862</v>
      </c>
      <c r="D261" s="1" t="s">
        <v>863</v>
      </c>
      <c r="E261" s="1" t="s">
        <v>1110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802</v>
      </c>
      <c r="C262" s="1" t="s">
        <v>803</v>
      </c>
      <c r="D262" s="1" t="s">
        <v>1877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276</v>
      </c>
      <c r="C263" s="1" t="s">
        <v>277</v>
      </c>
      <c r="D263" s="1" t="s">
        <v>278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1403</v>
      </c>
      <c r="C264" s="1" t="s">
        <v>1404</v>
      </c>
      <c r="D264" s="1" t="s">
        <v>1405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08" si="17">SUM(H264*L264)</f>
        <v>825</v>
      </c>
      <c r="N264" s="6">
        <f t="shared" ref="N264:N308" si="18">SUM(I264-K264-M264)</f>
        <v>1113</v>
      </c>
      <c r="O264" s="8">
        <f t="shared" ref="O264:O309" si="19">IF(I264=0,"",N264/I264)</f>
        <v>0.48815789473684212</v>
      </c>
    </row>
    <row r="265" spans="1:15" ht="17" customHeight="1">
      <c r="A265" s="1" t="s">
        <v>1291</v>
      </c>
      <c r="C265" s="1" t="s">
        <v>1292</v>
      </c>
      <c r="D265" s="1" t="s">
        <v>2143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548</v>
      </c>
      <c r="C266" s="1" t="s">
        <v>549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2144</v>
      </c>
      <c r="C267" s="1" t="s">
        <v>2145</v>
      </c>
      <c r="D267" s="1" t="s">
        <v>2146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422</v>
      </c>
      <c r="C268" s="1" t="s">
        <v>423</v>
      </c>
      <c r="D268" s="1" t="s">
        <v>1738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1939</v>
      </c>
      <c r="C269" s="1" t="s">
        <v>1940</v>
      </c>
      <c r="D269" s="1" t="s">
        <v>1941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2147</v>
      </c>
      <c r="C270" s="1" t="s">
        <v>2148</v>
      </c>
      <c r="D270" s="1" t="s">
        <v>2149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2150</v>
      </c>
      <c r="C271" s="1">
        <v>4903301377597</v>
      </c>
      <c r="D271" s="1" t="s">
        <v>1893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821</v>
      </c>
      <c r="C272" s="1" t="s">
        <v>822</v>
      </c>
      <c r="D272" s="1" t="s">
        <v>823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2151</v>
      </c>
      <c r="C273" s="1" t="s">
        <v>2152</v>
      </c>
      <c r="D273" s="1" t="s">
        <v>2153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606</v>
      </c>
      <c r="C274" s="1" t="s">
        <v>607</v>
      </c>
      <c r="D274" s="1" t="s">
        <v>608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2154</v>
      </c>
      <c r="C275" s="1" t="s">
        <v>2155</v>
      </c>
      <c r="D275" s="1" t="s">
        <v>2156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2157</v>
      </c>
      <c r="C276" s="1" t="s">
        <v>2158</v>
      </c>
      <c r="D276" s="1" t="s">
        <v>2159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2160</v>
      </c>
      <c r="C277" s="1" t="s">
        <v>2161</v>
      </c>
      <c r="D277" s="1" t="s">
        <v>2162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210</v>
      </c>
      <c r="C278" s="1" t="s">
        <v>211</v>
      </c>
      <c r="D278" s="1" t="s">
        <v>2163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2164</v>
      </c>
      <c r="C279" s="1" t="s">
        <v>1444</v>
      </c>
      <c r="D279" s="1" t="s">
        <v>2165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2166</v>
      </c>
      <c r="C280" s="1" t="s">
        <v>2167</v>
      </c>
      <c r="D280" s="1" t="s">
        <v>2168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2169</v>
      </c>
      <c r="C281" s="1" t="s">
        <v>2170</v>
      </c>
      <c r="D281" s="1" t="s">
        <v>2171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854</v>
      </c>
      <c r="C282" s="1" t="s">
        <v>855</v>
      </c>
      <c r="D282" s="1" t="s">
        <v>856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2172</v>
      </c>
      <c r="C283" s="1" t="s">
        <v>2173</v>
      </c>
      <c r="D283" s="1" t="s">
        <v>2174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482</v>
      </c>
      <c r="C284" s="1" t="s">
        <v>483</v>
      </c>
      <c r="D284" s="1" t="s">
        <v>484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1229</v>
      </c>
      <c r="C285" s="1" t="s">
        <v>492</v>
      </c>
      <c r="D285" s="1" t="s">
        <v>1230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2175</v>
      </c>
      <c r="B286" s="1" t="s">
        <v>2176</v>
      </c>
      <c r="C286" s="1" t="s">
        <v>2177</v>
      </c>
      <c r="D286" s="9">
        <v>747690</v>
      </c>
      <c r="E286" s="1" t="s">
        <v>2178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1183</v>
      </c>
      <c r="C287" s="1" t="s">
        <v>1184</v>
      </c>
      <c r="D287" s="1" t="s">
        <v>1185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2179</v>
      </c>
      <c r="C288" s="1" t="s">
        <v>2180</v>
      </c>
      <c r="D288" s="1" t="s">
        <v>2181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2182</v>
      </c>
      <c r="C289" s="1" t="s">
        <v>2183</v>
      </c>
      <c r="D289" s="1" t="s">
        <v>2184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2185</v>
      </c>
      <c r="C290" s="1" t="s">
        <v>535</v>
      </c>
      <c r="D290" s="1" t="s">
        <v>2186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2187</v>
      </c>
      <c r="C291" s="1" t="s">
        <v>2188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1259</v>
      </c>
      <c r="C292" s="1" t="s">
        <v>1260</v>
      </c>
      <c r="D292" s="1" t="s">
        <v>1261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720</v>
      </c>
      <c r="B293" s="1" t="s">
        <v>1474</v>
      </c>
      <c r="C293" s="1" t="s">
        <v>722</v>
      </c>
      <c r="D293" s="1" t="s">
        <v>2120</v>
      </c>
      <c r="E293" s="1" t="s">
        <v>1475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2189</v>
      </c>
      <c r="C294" s="1" t="s">
        <v>2190</v>
      </c>
      <c r="D294" s="1" t="s">
        <v>2191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720</v>
      </c>
      <c r="B295" s="1" t="s">
        <v>2192</v>
      </c>
      <c r="C295" s="1" t="s">
        <v>722</v>
      </c>
      <c r="D295" s="1" t="s">
        <v>2120</v>
      </c>
      <c r="E295" s="1" t="s">
        <v>2193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2194</v>
      </c>
      <c r="C296" s="1" t="s">
        <v>2195</v>
      </c>
      <c r="D296" s="1" t="s">
        <v>2196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2197</v>
      </c>
      <c r="C297" s="1" t="s">
        <v>2198</v>
      </c>
      <c r="D297" s="1" t="s">
        <v>2199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454</v>
      </c>
      <c r="B298" s="1" t="s">
        <v>1482</v>
      </c>
      <c r="C298" s="1" t="s">
        <v>456</v>
      </c>
      <c r="D298" s="1" t="s">
        <v>1335</v>
      </c>
      <c r="E298" s="1" t="s">
        <v>1483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2200</v>
      </c>
      <c r="C299" s="1" t="s">
        <v>2201</v>
      </c>
      <c r="D299" s="1" t="s">
        <v>2202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1487</v>
      </c>
      <c r="B300" s="1" t="s">
        <v>1488</v>
      </c>
      <c r="C300" s="1" t="s">
        <v>1489</v>
      </c>
      <c r="D300" s="1" t="s">
        <v>1490</v>
      </c>
      <c r="E300" s="1" t="s">
        <v>1491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920</v>
      </c>
      <c r="C301" s="1" t="s">
        <v>921</v>
      </c>
      <c r="D301" s="1" t="s">
        <v>1842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2203</v>
      </c>
      <c r="B302" s="1" t="s">
        <v>2204</v>
      </c>
      <c r="C302" s="1" t="s">
        <v>2205</v>
      </c>
      <c r="D302" s="1" t="s">
        <v>2206</v>
      </c>
      <c r="E302" s="1" t="s">
        <v>2207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923</v>
      </c>
      <c r="C303" s="1" t="s">
        <v>924</v>
      </c>
      <c r="D303" s="1" t="s">
        <v>925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2208</v>
      </c>
      <c r="C304" s="1" t="s">
        <v>2209</v>
      </c>
      <c r="D304" s="1" t="s">
        <v>2210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394</v>
      </c>
      <c r="B305" s="1" t="s">
        <v>628</v>
      </c>
      <c r="C305" s="1" t="s">
        <v>395</v>
      </c>
      <c r="D305" s="1" t="s">
        <v>1075</v>
      </c>
      <c r="E305" s="1" t="s">
        <v>629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1938</v>
      </c>
      <c r="C306" s="1" t="s">
        <v>1401</v>
      </c>
      <c r="D306" s="1" t="s">
        <v>1402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2211</v>
      </c>
      <c r="C307" s="1" t="s">
        <v>2212</v>
      </c>
      <c r="D307" s="1" t="s">
        <v>2213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2214</v>
      </c>
      <c r="C308" s="1" t="s">
        <v>2215</v>
      </c>
      <c r="D308" s="1" t="s">
        <v>2216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1" spans="1:15" ht="13" customHeight="1">
      <c r="M311" s="30" t="s">
        <v>956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957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958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959</v>
      </c>
      <c r="N314" s="28">
        <v>0</v>
      </c>
      <c r="O314" s="35"/>
    </row>
    <row r="315" spans="1:15" ht="13" customHeight="1">
      <c r="M315" s="33" t="s">
        <v>960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961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962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960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963</v>
      </c>
      <c r="N321" s="28">
        <f>SUM(N309-N315-N319)</f>
        <v>504521.4</v>
      </c>
      <c r="O321" s="35"/>
    </row>
    <row r="322" spans="13:15" ht="13" customHeight="1">
      <c r="M322" s="37" t="s">
        <v>964</v>
      </c>
      <c r="N322" s="38">
        <f>IF(I309=0,"",N321/I309)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tabSelected="1" topLeftCell="A288" workbookViewId="0">
      <selection sqref="A1:O316"/>
    </sheetView>
  </sheetViews>
  <sheetFormatPr baseColWidth="10" defaultColWidth="12.6640625" defaultRowHeight="15.75" customHeight="1"/>
  <cols>
    <col min="1" max="1" width="29" customWidth="1"/>
    <col min="4" max="4" width="26.6640625" style="44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5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5" t="s">
        <v>26</v>
      </c>
      <c r="E8" t="s">
        <v>25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27</v>
      </c>
      <c r="C9" s="1" t="s">
        <v>28</v>
      </c>
      <c r="D9" s="45" t="s">
        <v>29</v>
      </c>
      <c r="E9" t="s">
        <v>30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31</v>
      </c>
      <c r="C10" s="1" t="s">
        <v>32</v>
      </c>
      <c r="D10" s="45" t="s">
        <v>33</v>
      </c>
      <c r="E10" t="s">
        <v>34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35</v>
      </c>
      <c r="C11" s="1" t="s">
        <v>36</v>
      </c>
      <c r="D11" s="45">
        <v>4902430898706</v>
      </c>
      <c r="E11" t="s">
        <v>36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6">
        <v>4676</v>
      </c>
      <c r="M11" s="6">
        <f t="shared" si="1"/>
        <v>60788</v>
      </c>
      <c r="N11" s="6">
        <f t="shared" si="2"/>
        <v>9031</v>
      </c>
      <c r="O11" s="8">
        <f t="shared" si="3"/>
        <v>0.1099464329194059</v>
      </c>
    </row>
    <row r="12" spans="1:15" ht="15.75" customHeight="1">
      <c r="A12" s="1" t="s">
        <v>37</v>
      </c>
      <c r="C12" s="1" t="s">
        <v>38</v>
      </c>
      <c r="D12" s="45" t="s">
        <v>39</v>
      </c>
      <c r="E12" t="s">
        <v>38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40</v>
      </c>
      <c r="B13" s="1"/>
      <c r="C13" s="1">
        <v>4550391012121</v>
      </c>
      <c r="D13" s="45" t="s">
        <v>41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42</v>
      </c>
      <c r="C14" s="1" t="s">
        <v>43</v>
      </c>
      <c r="D14" s="45" t="s">
        <v>44</v>
      </c>
      <c r="E14" t="s">
        <v>45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46</v>
      </c>
      <c r="C15" s="1" t="s">
        <v>47</v>
      </c>
      <c r="D15" s="45" t="s">
        <v>48</v>
      </c>
      <c r="E15" t="s">
        <v>47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49</v>
      </c>
      <c r="C16" s="1" t="s">
        <v>50</v>
      </c>
      <c r="D16" s="45">
        <v>36300</v>
      </c>
      <c r="E16" t="s">
        <v>50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51</v>
      </c>
      <c r="B17" t="s">
        <v>52</v>
      </c>
      <c r="C17" s="1" t="s">
        <v>53</v>
      </c>
      <c r="D17" s="45" t="s">
        <v>54</v>
      </c>
      <c r="E17" t="s">
        <v>55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56</v>
      </c>
      <c r="C18" s="1" t="s">
        <v>57</v>
      </c>
      <c r="D18" s="45" t="s">
        <v>58</v>
      </c>
      <c r="E18" t="s">
        <v>57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59</v>
      </c>
      <c r="C19" s="1" t="s">
        <v>60</v>
      </c>
      <c r="D19" s="45" t="s">
        <v>61</v>
      </c>
      <c r="E19" t="s">
        <v>60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62</v>
      </c>
      <c r="C20" s="1" t="s">
        <v>63</v>
      </c>
      <c r="D20" s="45" t="s">
        <v>64</v>
      </c>
      <c r="E20" t="s">
        <v>63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65</v>
      </c>
      <c r="C21" s="1" t="s">
        <v>66</v>
      </c>
      <c r="D21" s="45" t="s">
        <v>67</v>
      </c>
      <c r="E21" t="s">
        <v>66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6">
        <v>8980</v>
      </c>
      <c r="M21" s="6">
        <f t="shared" si="1"/>
        <v>26940</v>
      </c>
      <c r="N21" s="6">
        <f t="shared" si="2"/>
        <v>7434</v>
      </c>
      <c r="O21" s="8">
        <f t="shared" si="3"/>
        <v>0.1838278931750742</v>
      </c>
    </row>
    <row r="22" spans="1:15" ht="15.75" customHeight="1">
      <c r="A22" s="1" t="s">
        <v>68</v>
      </c>
      <c r="C22" s="1" t="s">
        <v>69</v>
      </c>
      <c r="D22" s="45" t="s">
        <v>70</v>
      </c>
      <c r="E22" t="s">
        <v>71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72</v>
      </c>
      <c r="C23" s="1" t="s">
        <v>73</v>
      </c>
      <c r="D23" s="45" t="s">
        <v>74</v>
      </c>
      <c r="E23" t="s">
        <v>73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75</v>
      </c>
      <c r="C24" s="1" t="s">
        <v>76</v>
      </c>
      <c r="D24" s="45" t="s">
        <v>77</v>
      </c>
      <c r="E24" t="s">
        <v>76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78</v>
      </c>
      <c r="B25" t="s">
        <v>52</v>
      </c>
      <c r="C25" s="1" t="s">
        <v>79</v>
      </c>
      <c r="D25" s="45" t="s">
        <v>80</v>
      </c>
      <c r="E25" t="s">
        <v>81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82</v>
      </c>
      <c r="C26" s="1" t="s">
        <v>83</v>
      </c>
      <c r="D26" s="45">
        <v>9524</v>
      </c>
      <c r="E26" t="s">
        <v>83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84</v>
      </c>
      <c r="C27" s="1" t="s">
        <v>85</v>
      </c>
      <c r="D27" s="45" t="s">
        <v>86</v>
      </c>
      <c r="E27" t="s">
        <v>85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87</v>
      </c>
      <c r="C28" s="1" t="s">
        <v>88</v>
      </c>
      <c r="D28" s="45" t="s">
        <v>89</v>
      </c>
      <c r="E28" t="s">
        <v>88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6">
        <v>1576</v>
      </c>
      <c r="M28" s="6">
        <f t="shared" si="1"/>
        <v>20488</v>
      </c>
      <c r="N28" s="6">
        <f t="shared" si="2"/>
        <v>8684</v>
      </c>
      <c r="O28" s="8">
        <f t="shared" si="3"/>
        <v>0.25303030303030305</v>
      </c>
    </row>
    <row r="29" spans="1:15" ht="15.75" customHeight="1">
      <c r="A29" s="1" t="s">
        <v>90</v>
      </c>
      <c r="B29" t="s">
        <v>52</v>
      </c>
      <c r="C29" s="1" t="s">
        <v>91</v>
      </c>
      <c r="D29" s="45" t="s">
        <v>92</v>
      </c>
      <c r="E29" t="s">
        <v>93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94</v>
      </c>
      <c r="B30" s="1"/>
      <c r="C30" s="1" t="s">
        <v>95</v>
      </c>
      <c r="D30" s="45" t="s">
        <v>96</v>
      </c>
      <c r="E30" s="1" t="s">
        <v>97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98</v>
      </c>
      <c r="C31" s="1" t="s">
        <v>99</v>
      </c>
      <c r="D31" s="45">
        <v>840414639447</v>
      </c>
      <c r="E31" t="s">
        <v>99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6">
        <v>3780</v>
      </c>
      <c r="M31" s="6">
        <f t="shared" si="1"/>
        <v>22680</v>
      </c>
      <c r="N31" s="6">
        <f t="shared" si="2"/>
        <v>5268</v>
      </c>
      <c r="O31" s="8">
        <f t="shared" si="3"/>
        <v>0.16021897810218977</v>
      </c>
    </row>
    <row r="32" spans="1:15" ht="15.75" customHeight="1">
      <c r="A32" s="1" t="s">
        <v>100</v>
      </c>
      <c r="C32" s="1" t="s">
        <v>101</v>
      </c>
      <c r="D32" s="45" t="s">
        <v>102</v>
      </c>
      <c r="E32" t="s">
        <v>101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103</v>
      </c>
      <c r="C33" s="1" t="s">
        <v>104</v>
      </c>
      <c r="D33" s="45" t="s">
        <v>105</v>
      </c>
      <c r="E33" t="s">
        <v>104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106</v>
      </c>
      <c r="C34" s="1">
        <v>4550391042821</v>
      </c>
      <c r="D34" s="45" t="s">
        <v>107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108</v>
      </c>
      <c r="B35" s="1"/>
      <c r="C35" s="1" t="s">
        <v>109</v>
      </c>
      <c r="D35" s="45" t="s">
        <v>110</v>
      </c>
      <c r="E35" s="1" t="s">
        <v>111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112</v>
      </c>
      <c r="B36" s="1"/>
      <c r="C36" s="1" t="s">
        <v>113</v>
      </c>
      <c r="D36" s="45">
        <v>2486</v>
      </c>
      <c r="E36" s="1" t="s">
        <v>113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114</v>
      </c>
      <c r="B37" s="1"/>
      <c r="C37" s="1" t="s">
        <v>115</v>
      </c>
      <c r="D37" s="45" t="s">
        <v>116</v>
      </c>
      <c r="E37" s="1" t="s">
        <v>115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117</v>
      </c>
      <c r="B38" s="1"/>
      <c r="C38" s="1" t="s">
        <v>118</v>
      </c>
      <c r="D38" s="45" t="s">
        <v>119</v>
      </c>
      <c r="E38" s="1" t="s">
        <v>118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120</v>
      </c>
      <c r="C39" s="1">
        <v>3264680024993</v>
      </c>
      <c r="D39" s="45" t="s">
        <v>121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122</v>
      </c>
      <c r="C40" s="1" t="s">
        <v>123</v>
      </c>
      <c r="D40" s="45" t="s">
        <v>124</v>
      </c>
      <c r="E40" t="s">
        <v>123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51</v>
      </c>
      <c r="B41" s="1" t="s">
        <v>125</v>
      </c>
      <c r="C41" s="1" t="s">
        <v>53</v>
      </c>
      <c r="D41" s="45" t="s">
        <v>54</v>
      </c>
      <c r="E41" s="1" t="s">
        <v>126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127</v>
      </c>
      <c r="B42" s="1" t="s">
        <v>128</v>
      </c>
      <c r="C42" s="1" t="s">
        <v>129</v>
      </c>
      <c r="D42" s="45" t="s">
        <v>130</v>
      </c>
      <c r="E42" s="1" t="s">
        <v>131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132</v>
      </c>
      <c r="C43" s="1" t="s">
        <v>133</v>
      </c>
      <c r="D43" s="45" t="s">
        <v>134</v>
      </c>
      <c r="E43" t="s">
        <v>133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135</v>
      </c>
      <c r="C44" s="1" t="s">
        <v>136</v>
      </c>
      <c r="D44" s="45" t="s">
        <v>137</v>
      </c>
      <c r="E44" t="s">
        <v>136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138</v>
      </c>
      <c r="C45" s="1" t="s">
        <v>139</v>
      </c>
      <c r="D45" s="45" t="s">
        <v>140</v>
      </c>
      <c r="E45" t="s">
        <v>139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141</v>
      </c>
      <c r="C46" s="1" t="s">
        <v>142</v>
      </c>
      <c r="D46" s="45" t="s">
        <v>143</v>
      </c>
      <c r="E46" t="s">
        <v>142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144</v>
      </c>
      <c r="C47" s="1" t="s">
        <v>145</v>
      </c>
      <c r="D47" s="45" t="s">
        <v>146</v>
      </c>
      <c r="E47" t="s">
        <v>145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147</v>
      </c>
      <c r="C48" s="1" t="s">
        <v>148</v>
      </c>
      <c r="D48" s="45" t="s">
        <v>149</v>
      </c>
      <c r="E48" t="s">
        <v>148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150</v>
      </c>
      <c r="B49" t="s">
        <v>151</v>
      </c>
      <c r="C49" s="1" t="s">
        <v>152</v>
      </c>
      <c r="D49" s="45" t="s">
        <v>153</v>
      </c>
      <c r="E49" t="s">
        <v>154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150</v>
      </c>
      <c r="B50" t="s">
        <v>155</v>
      </c>
      <c r="C50" s="1" t="s">
        <v>152</v>
      </c>
      <c r="D50" s="45" t="s">
        <v>153</v>
      </c>
      <c r="E50" t="s">
        <v>156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157</v>
      </c>
      <c r="C51" s="1" t="s">
        <v>158</v>
      </c>
      <c r="D51" s="45" t="s">
        <v>159</v>
      </c>
      <c r="E51" t="s">
        <v>160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161</v>
      </c>
      <c r="C52" s="1" t="s">
        <v>162</v>
      </c>
      <c r="D52" s="45" t="s">
        <v>163</v>
      </c>
      <c r="E52" t="s">
        <v>162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164</v>
      </c>
      <c r="B53" s="1"/>
      <c r="C53" s="1" t="s">
        <v>165</v>
      </c>
      <c r="D53" s="45" t="s">
        <v>166</v>
      </c>
      <c r="E53" s="1" t="s">
        <v>165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167</v>
      </c>
      <c r="B54" t="s">
        <v>168</v>
      </c>
      <c r="C54" s="1" t="s">
        <v>169</v>
      </c>
      <c r="D54" s="45" t="s">
        <v>170</v>
      </c>
      <c r="E54" t="s">
        <v>171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172</v>
      </c>
      <c r="C55" s="1" t="s">
        <v>173</v>
      </c>
      <c r="D55" s="45" t="s">
        <v>174</v>
      </c>
      <c r="E55" t="s">
        <v>173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175</v>
      </c>
      <c r="B56" s="1"/>
      <c r="C56" s="1" t="s">
        <v>176</v>
      </c>
      <c r="D56" s="45" t="s">
        <v>177</v>
      </c>
      <c r="E56" s="1" t="s">
        <v>176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178</v>
      </c>
      <c r="C57" s="1" t="s">
        <v>179</v>
      </c>
      <c r="D57" s="45" t="s">
        <v>180</v>
      </c>
      <c r="E57" t="s">
        <v>179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181</v>
      </c>
      <c r="C58" s="1" t="s">
        <v>182</v>
      </c>
      <c r="D58" s="45" t="s">
        <v>183</v>
      </c>
      <c r="E58" t="s">
        <v>184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185</v>
      </c>
      <c r="B59" s="1"/>
      <c r="C59" s="1" t="s">
        <v>186</v>
      </c>
      <c r="D59" s="45" t="s">
        <v>187</v>
      </c>
      <c r="E59" s="1" t="s">
        <v>188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189</v>
      </c>
      <c r="C60" s="1" t="s">
        <v>190</v>
      </c>
      <c r="D60" s="45" t="s">
        <v>191</v>
      </c>
      <c r="E60" t="s">
        <v>190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192</v>
      </c>
      <c r="B61" s="1"/>
      <c r="C61" s="1" t="s">
        <v>193</v>
      </c>
      <c r="D61" s="45" t="s">
        <v>194</v>
      </c>
      <c r="E61" s="1" t="s">
        <v>195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196</v>
      </c>
      <c r="C62" s="1" t="s">
        <v>197</v>
      </c>
      <c r="D62" s="45" t="s">
        <v>198</v>
      </c>
      <c r="E62" t="s">
        <v>199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200</v>
      </c>
      <c r="B63" t="s">
        <v>52</v>
      </c>
      <c r="C63" s="1" t="s">
        <v>201</v>
      </c>
      <c r="D63" s="45" t="s">
        <v>202</v>
      </c>
      <c r="E63" t="s">
        <v>203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204</v>
      </c>
      <c r="C64" s="1" t="s">
        <v>205</v>
      </c>
      <c r="D64" s="45" t="s">
        <v>206</v>
      </c>
      <c r="E64" t="s">
        <v>205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207</v>
      </c>
      <c r="C65" s="1" t="s">
        <v>208</v>
      </c>
      <c r="D65" s="45" t="s">
        <v>209</v>
      </c>
      <c r="E65" t="s">
        <v>208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210</v>
      </c>
      <c r="C66" s="1" t="s">
        <v>211</v>
      </c>
      <c r="D66" s="45" t="s">
        <v>212</v>
      </c>
      <c r="E66" t="s">
        <v>211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213</v>
      </c>
      <c r="C67" s="1" t="s">
        <v>214</v>
      </c>
      <c r="D67" s="45" t="s">
        <v>215</v>
      </c>
      <c r="E67" t="s">
        <v>214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6">
        <v>3376</v>
      </c>
      <c r="M67" s="6">
        <f t="shared" si="1"/>
        <v>10128</v>
      </c>
      <c r="N67" s="6">
        <f t="shared" si="2"/>
        <v>1551</v>
      </c>
      <c r="O67" s="8">
        <f t="shared" si="3"/>
        <v>0.112882096069869</v>
      </c>
    </row>
    <row r="68" spans="1:15" ht="15.75" customHeight="1">
      <c r="A68" s="1" t="s">
        <v>216</v>
      </c>
      <c r="C68" s="1" t="s">
        <v>217</v>
      </c>
      <c r="D68" s="45" t="s">
        <v>218</v>
      </c>
      <c r="E68" t="s">
        <v>217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219</v>
      </c>
      <c r="B69" t="s">
        <v>52</v>
      </c>
      <c r="C69" s="1" t="s">
        <v>220</v>
      </c>
      <c r="D69" s="45" t="s">
        <v>221</v>
      </c>
      <c r="E69" t="s">
        <v>222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223</v>
      </c>
      <c r="C70" s="1" t="s">
        <v>224</v>
      </c>
      <c r="D70" s="45" t="s">
        <v>225</v>
      </c>
      <c r="E70" t="s">
        <v>224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226</v>
      </c>
      <c r="C71" s="1" t="s">
        <v>227</v>
      </c>
      <c r="D71" s="45" t="s">
        <v>228</v>
      </c>
      <c r="E71" t="s">
        <v>227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229</v>
      </c>
      <c r="C72" s="1" t="s">
        <v>230</v>
      </c>
      <c r="D72" s="45" t="s">
        <v>231</v>
      </c>
      <c r="E72" t="s">
        <v>232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233</v>
      </c>
      <c r="C73" s="1">
        <v>4550391911226</v>
      </c>
      <c r="D73" s="45" t="s">
        <v>234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235</v>
      </c>
      <c r="C74" s="1" t="s">
        <v>236</v>
      </c>
      <c r="D74" s="45" t="s">
        <v>237</v>
      </c>
      <c r="E74" t="s">
        <v>236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238</v>
      </c>
      <c r="C75" s="1" t="s">
        <v>239</v>
      </c>
      <c r="D75" s="45" t="s">
        <v>240</v>
      </c>
      <c r="E75" t="s">
        <v>239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241</v>
      </c>
      <c r="C76" s="1" t="s">
        <v>242</v>
      </c>
      <c r="D76" s="45" t="s">
        <v>243</v>
      </c>
      <c r="E76" t="s">
        <v>242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244</v>
      </c>
      <c r="C77" s="1" t="s">
        <v>245</v>
      </c>
      <c r="D77" s="45" t="s">
        <v>246</v>
      </c>
      <c r="E77" t="s">
        <v>245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247</v>
      </c>
      <c r="C78" s="1" t="s">
        <v>248</v>
      </c>
      <c r="D78" s="45" t="s">
        <v>249</v>
      </c>
      <c r="E78" t="s">
        <v>250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251</v>
      </c>
      <c r="C79" s="1">
        <v>4550391910564</v>
      </c>
      <c r="D79" s="45" t="s">
        <v>252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253</v>
      </c>
      <c r="C80" s="1" t="s">
        <v>254</v>
      </c>
      <c r="D80" s="45" t="s">
        <v>255</v>
      </c>
      <c r="E80" t="s">
        <v>254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256</v>
      </c>
      <c r="C81" s="1" t="s">
        <v>257</v>
      </c>
      <c r="D81" s="45">
        <v>4571263111773</v>
      </c>
      <c r="E81" t="s">
        <v>257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258</v>
      </c>
      <c r="B82" s="1"/>
      <c r="C82" s="1" t="s">
        <v>259</v>
      </c>
      <c r="D82" s="45" t="s">
        <v>260</v>
      </c>
      <c r="E82" s="1" t="s">
        <v>259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261</v>
      </c>
      <c r="C83" s="1" t="s">
        <v>262</v>
      </c>
      <c r="D83" s="45" t="s">
        <v>263</v>
      </c>
      <c r="E83" t="s">
        <v>262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264</v>
      </c>
      <c r="C84" s="1" t="s">
        <v>265</v>
      </c>
      <c r="D84" s="45">
        <v>4901133718984</v>
      </c>
      <c r="E84" t="s">
        <v>266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267</v>
      </c>
      <c r="B85" t="s">
        <v>268</v>
      </c>
      <c r="C85" s="1" t="s">
        <v>269</v>
      </c>
      <c r="D85" s="45" t="s">
        <v>270</v>
      </c>
      <c r="E85" t="s">
        <v>271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272</v>
      </c>
      <c r="B86" s="1" t="s">
        <v>273</v>
      </c>
      <c r="C86" s="1" t="s">
        <v>274</v>
      </c>
      <c r="D86" s="45">
        <v>7480</v>
      </c>
      <c r="E86" s="1" t="s">
        <v>275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276</v>
      </c>
      <c r="C87" s="1" t="s">
        <v>277</v>
      </c>
      <c r="D87" s="45" t="s">
        <v>278</v>
      </c>
      <c r="E87" t="s">
        <v>277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279</v>
      </c>
      <c r="C88" s="1" t="s">
        <v>280</v>
      </c>
      <c r="D88" s="45" t="s">
        <v>281</v>
      </c>
      <c r="E88" t="s">
        <v>280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6">
        <v>3294</v>
      </c>
      <c r="M88" s="6">
        <f t="shared" si="5"/>
        <v>6588</v>
      </c>
      <c r="N88" s="6">
        <f t="shared" si="6"/>
        <v>2388</v>
      </c>
      <c r="O88" s="8">
        <f t="shared" si="7"/>
        <v>0.22613636363636364</v>
      </c>
    </row>
    <row r="89" spans="1:15" ht="17" customHeight="1">
      <c r="A89" s="1" t="s">
        <v>282</v>
      </c>
      <c r="C89" s="1" t="s">
        <v>283</v>
      </c>
      <c r="D89" s="45" t="s">
        <v>284</v>
      </c>
      <c r="E89" t="s">
        <v>283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285</v>
      </c>
      <c r="B90" t="s">
        <v>52</v>
      </c>
      <c r="C90" s="1" t="s">
        <v>286</v>
      </c>
      <c r="D90" s="45">
        <v>194644137595</v>
      </c>
      <c r="E90" t="s">
        <v>287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288</v>
      </c>
      <c r="B91" t="s">
        <v>289</v>
      </c>
      <c r="C91" s="1" t="s">
        <v>290</v>
      </c>
      <c r="D91" s="45" t="s">
        <v>291</v>
      </c>
      <c r="E91" t="s">
        <v>292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293</v>
      </c>
      <c r="C92" s="1" t="s">
        <v>294</v>
      </c>
      <c r="D92" s="45" t="s">
        <v>295</v>
      </c>
      <c r="E92" t="s">
        <v>294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296</v>
      </c>
      <c r="C93" s="1" t="s">
        <v>297</v>
      </c>
      <c r="D93" s="45" t="s">
        <v>298</v>
      </c>
      <c r="E93" t="s">
        <v>297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299</v>
      </c>
      <c r="C94" s="1" t="s">
        <v>300</v>
      </c>
      <c r="D94" s="45" t="s">
        <v>301</v>
      </c>
      <c r="E94" t="s">
        <v>302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303</v>
      </c>
      <c r="C95" s="1" t="s">
        <v>304</v>
      </c>
      <c r="D95" s="45" t="s">
        <v>305</v>
      </c>
      <c r="E95" t="s">
        <v>304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306</v>
      </c>
      <c r="B96" s="1"/>
      <c r="C96" s="1" t="s">
        <v>307</v>
      </c>
      <c r="D96" s="45" t="s">
        <v>308</v>
      </c>
      <c r="E96" s="1" t="s">
        <v>307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309</v>
      </c>
      <c r="C97" s="1" t="s">
        <v>310</v>
      </c>
      <c r="D97" s="45" t="s">
        <v>311</v>
      </c>
      <c r="E97" t="s">
        <v>312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51</v>
      </c>
      <c r="B98" t="s">
        <v>168</v>
      </c>
      <c r="C98" s="1" t="s">
        <v>53</v>
      </c>
      <c r="D98" s="45" t="s">
        <v>54</v>
      </c>
      <c r="E98" t="s">
        <v>313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314</v>
      </c>
      <c r="B99" s="1"/>
      <c r="C99" s="1" t="s">
        <v>315</v>
      </c>
      <c r="D99" s="45" t="s">
        <v>316</v>
      </c>
      <c r="E99" s="1" t="s">
        <v>317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6">
        <v>5980</v>
      </c>
      <c r="M99" s="6">
        <f t="shared" si="5"/>
        <v>5980</v>
      </c>
      <c r="N99" s="6">
        <f t="shared" si="6"/>
        <v>1993</v>
      </c>
      <c r="O99" s="8">
        <f t="shared" si="7"/>
        <v>0.21247334754797442</v>
      </c>
    </row>
    <row r="100" spans="1:15" ht="17" customHeight="1">
      <c r="A100" s="1" t="s">
        <v>318</v>
      </c>
      <c r="C100" s="1" t="s">
        <v>319</v>
      </c>
      <c r="D100" s="45" t="s">
        <v>320</v>
      </c>
      <c r="E100" t="s">
        <v>321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322</v>
      </c>
      <c r="C101" s="1" t="s">
        <v>323</v>
      </c>
      <c r="D101" s="45">
        <v>840414684973</v>
      </c>
      <c r="E101" t="s">
        <v>323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6">
        <v>5980</v>
      </c>
      <c r="M101" s="6">
        <f t="shared" si="5"/>
        <v>5980</v>
      </c>
      <c r="N101" s="6">
        <f t="shared" si="6"/>
        <v>1823</v>
      </c>
      <c r="O101" s="8">
        <f t="shared" si="7"/>
        <v>0.1985838779956427</v>
      </c>
    </row>
    <row r="102" spans="1:15" ht="17" customHeight="1">
      <c r="A102" s="1" t="s">
        <v>324</v>
      </c>
      <c r="C102" s="1" t="s">
        <v>325</v>
      </c>
      <c r="D102" s="45" t="s">
        <v>326</v>
      </c>
      <c r="E102" t="s">
        <v>325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327</v>
      </c>
      <c r="B103" t="s">
        <v>125</v>
      </c>
      <c r="C103" s="1" t="s">
        <v>328</v>
      </c>
      <c r="D103" s="45" t="s">
        <v>329</v>
      </c>
      <c r="E103" t="s">
        <v>330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167</v>
      </c>
      <c r="C104" s="1" t="s">
        <v>169</v>
      </c>
      <c r="D104" s="45" t="s">
        <v>170</v>
      </c>
      <c r="E104" t="s">
        <v>169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167</v>
      </c>
      <c r="B105" t="s">
        <v>52</v>
      </c>
      <c r="C105" s="1" t="s">
        <v>169</v>
      </c>
      <c r="D105" s="45" t="s">
        <v>170</v>
      </c>
      <c r="E105" t="s">
        <v>331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332</v>
      </c>
      <c r="C106" s="1" t="s">
        <v>333</v>
      </c>
      <c r="D106" s="45" t="s">
        <v>334</v>
      </c>
      <c r="E106" t="s">
        <v>333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335</v>
      </c>
      <c r="C107" s="1" t="s">
        <v>336</v>
      </c>
      <c r="D107" s="45" t="s">
        <v>337</v>
      </c>
      <c r="E107" t="s">
        <v>336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338</v>
      </c>
      <c r="B108" s="1"/>
      <c r="C108" s="1" t="s">
        <v>339</v>
      </c>
      <c r="D108" s="45" t="s">
        <v>340</v>
      </c>
      <c r="E108" s="1" t="s">
        <v>339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341</v>
      </c>
      <c r="C109" s="1">
        <v>4550391046515</v>
      </c>
      <c r="D109" s="45" t="s">
        <v>342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343</v>
      </c>
      <c r="C110" s="1" t="s">
        <v>344</v>
      </c>
      <c r="D110" s="45" t="s">
        <v>345</v>
      </c>
      <c r="E110" t="s">
        <v>344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346</v>
      </c>
      <c r="C111" s="1" t="s">
        <v>347</v>
      </c>
      <c r="D111" s="45" t="s">
        <v>348</v>
      </c>
      <c r="E111" t="s">
        <v>349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350</v>
      </c>
      <c r="B112" s="1"/>
      <c r="C112" s="1" t="s">
        <v>351</v>
      </c>
      <c r="D112" s="45" t="s">
        <v>352</v>
      </c>
      <c r="E112" s="1" t="s">
        <v>353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354</v>
      </c>
      <c r="C113" s="1" t="s">
        <v>355</v>
      </c>
      <c r="D113" s="45" t="s">
        <v>356</v>
      </c>
      <c r="E113" t="s">
        <v>355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357</v>
      </c>
      <c r="C114" s="1" t="s">
        <v>358</v>
      </c>
      <c r="D114" s="45" t="s">
        <v>359</v>
      </c>
      <c r="E114" t="s">
        <v>358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360</v>
      </c>
      <c r="C115" s="1">
        <v>8720689024570</v>
      </c>
      <c r="D115" s="45" t="s">
        <v>361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362</v>
      </c>
      <c r="B116" t="s">
        <v>52</v>
      </c>
      <c r="C116" s="1" t="s">
        <v>363</v>
      </c>
      <c r="D116" s="45" t="s">
        <v>364</v>
      </c>
      <c r="E116" t="s">
        <v>365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366</v>
      </c>
      <c r="C117" s="1" t="s">
        <v>367</v>
      </c>
      <c r="D117" s="45" t="s">
        <v>368</v>
      </c>
      <c r="E117" t="s">
        <v>367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369</v>
      </c>
      <c r="C118" s="1" t="s">
        <v>370</v>
      </c>
      <c r="D118" s="45" t="s">
        <v>371</v>
      </c>
      <c r="E118" t="s">
        <v>370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372</v>
      </c>
      <c r="C119" s="1" t="s">
        <v>373</v>
      </c>
      <c r="D119" s="45" t="s">
        <v>374</v>
      </c>
      <c r="E119" t="s">
        <v>373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375</v>
      </c>
      <c r="C120" s="1" t="s">
        <v>376</v>
      </c>
      <c r="D120" s="45" t="s">
        <v>377</v>
      </c>
      <c r="E120" t="s">
        <v>378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379</v>
      </c>
      <c r="B121" s="1"/>
      <c r="C121" s="1" t="s">
        <v>380</v>
      </c>
      <c r="D121" s="45" t="s">
        <v>381</v>
      </c>
      <c r="E121" s="1" t="s">
        <v>382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383</v>
      </c>
      <c r="C122" s="1" t="s">
        <v>384</v>
      </c>
      <c r="D122" s="45" t="s">
        <v>385</v>
      </c>
      <c r="E122" t="s">
        <v>386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387</v>
      </c>
      <c r="B123" s="1"/>
      <c r="C123" s="1" t="s">
        <v>388</v>
      </c>
      <c r="D123" s="45" t="s">
        <v>389</v>
      </c>
      <c r="E123" s="1" t="s">
        <v>390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6">
        <v>874</v>
      </c>
      <c r="M123" s="6">
        <f t="shared" si="5"/>
        <v>2622</v>
      </c>
      <c r="N123" s="6">
        <f t="shared" si="6"/>
        <v>3957</v>
      </c>
      <c r="O123" s="8">
        <f t="shared" si="7"/>
        <v>0.51124031007751936</v>
      </c>
    </row>
    <row r="124" spans="1:15" ht="17" customHeight="1">
      <c r="A124" s="1" t="s">
        <v>391</v>
      </c>
      <c r="C124" s="1" t="s">
        <v>392</v>
      </c>
      <c r="D124" s="45" t="s">
        <v>393</v>
      </c>
      <c r="E124" t="s">
        <v>392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394</v>
      </c>
      <c r="B125" t="s">
        <v>125</v>
      </c>
      <c r="C125" s="1" t="s">
        <v>395</v>
      </c>
      <c r="D125" s="45" t="s">
        <v>396</v>
      </c>
      <c r="E125" t="s">
        <v>397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200</v>
      </c>
      <c r="B126" t="s">
        <v>125</v>
      </c>
      <c r="C126" s="1" t="s">
        <v>201</v>
      </c>
      <c r="D126" s="45" t="s">
        <v>202</v>
      </c>
      <c r="E126" t="s">
        <v>398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399</v>
      </c>
      <c r="B127" t="s">
        <v>400</v>
      </c>
      <c r="C127" s="1" t="s">
        <v>401</v>
      </c>
      <c r="D127" s="45">
        <v>4980</v>
      </c>
      <c r="E127" t="s">
        <v>402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403</v>
      </c>
      <c r="C128" s="1" t="s">
        <v>404</v>
      </c>
      <c r="D128" s="44" t="s">
        <v>405</v>
      </c>
      <c r="E128" t="s">
        <v>404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406</v>
      </c>
      <c r="B129" s="1" t="s">
        <v>407</v>
      </c>
      <c r="C129" s="1" t="s">
        <v>408</v>
      </c>
      <c r="D129" s="45" t="s">
        <v>409</v>
      </c>
      <c r="E129" s="1" t="s">
        <v>410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411</v>
      </c>
      <c r="C130" s="1" t="s">
        <v>412</v>
      </c>
      <c r="D130" s="45" t="s">
        <v>413</v>
      </c>
      <c r="E130" t="s">
        <v>412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414</v>
      </c>
      <c r="C131" s="1" t="s">
        <v>415</v>
      </c>
      <c r="D131" s="45" t="s">
        <v>416</v>
      </c>
      <c r="E131" t="s">
        <v>415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417</v>
      </c>
      <c r="B132" t="s">
        <v>418</v>
      </c>
      <c r="C132" s="1" t="s">
        <v>419</v>
      </c>
      <c r="D132" s="45" t="s">
        <v>420</v>
      </c>
      <c r="E132" t="s">
        <v>421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422</v>
      </c>
      <c r="C133" s="1" t="s">
        <v>423</v>
      </c>
      <c r="D133" s="45" t="s">
        <v>424</v>
      </c>
      <c r="E133" t="s">
        <v>423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425</v>
      </c>
      <c r="C134" s="1" t="s">
        <v>426</v>
      </c>
      <c r="D134" s="45" t="s">
        <v>427</v>
      </c>
      <c r="E134" t="s">
        <v>426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428</v>
      </c>
      <c r="C135" s="1" t="s">
        <v>429</v>
      </c>
      <c r="D135" s="45" t="s">
        <v>430</v>
      </c>
      <c r="E135" t="s">
        <v>429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431</v>
      </c>
      <c r="C136" s="1" t="s">
        <v>432</v>
      </c>
      <c r="D136" s="45" t="s">
        <v>433</v>
      </c>
      <c r="E136" t="s">
        <v>432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434</v>
      </c>
      <c r="B137" s="1"/>
      <c r="C137" s="1" t="s">
        <v>435</v>
      </c>
      <c r="D137" s="45" t="s">
        <v>436</v>
      </c>
      <c r="E137" s="1" t="s">
        <v>435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437</v>
      </c>
      <c r="C138" s="1" t="s">
        <v>438</v>
      </c>
      <c r="D138" s="45" t="s">
        <v>439</v>
      </c>
      <c r="E138" t="s">
        <v>438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440</v>
      </c>
      <c r="C139" s="1" t="s">
        <v>441</v>
      </c>
      <c r="D139" s="45" t="s">
        <v>442</v>
      </c>
      <c r="E139" t="s">
        <v>443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444</v>
      </c>
      <c r="B140" s="1"/>
      <c r="C140" s="1" t="s">
        <v>445</v>
      </c>
      <c r="D140" s="45" t="s">
        <v>446</v>
      </c>
      <c r="E140" s="1" t="s">
        <v>445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447</v>
      </c>
      <c r="B141" s="1"/>
      <c r="C141" s="1" t="s">
        <v>448</v>
      </c>
      <c r="D141" s="45" t="s">
        <v>449</v>
      </c>
      <c r="E141" s="1" t="s">
        <v>450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3280</v>
      </c>
      <c r="M141" s="6">
        <f t="shared" si="9"/>
        <v>3280</v>
      </c>
      <c r="N141" s="6">
        <f t="shared" si="10"/>
        <v>1803</v>
      </c>
      <c r="O141" s="8">
        <f t="shared" si="11"/>
        <v>0.30150501672240804</v>
      </c>
    </row>
    <row r="142" spans="1:15" ht="17" customHeight="1">
      <c r="A142" s="1" t="s">
        <v>451</v>
      </c>
      <c r="C142" s="1" t="s">
        <v>452</v>
      </c>
      <c r="D142" s="45" t="s">
        <v>453</v>
      </c>
      <c r="E142" t="s">
        <v>452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454</v>
      </c>
      <c r="B143" t="s">
        <v>455</v>
      </c>
      <c r="C143" s="1" t="s">
        <v>456</v>
      </c>
      <c r="D143" s="45">
        <v>4906456568056</v>
      </c>
      <c r="E143" t="s">
        <v>457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458</v>
      </c>
      <c r="C144" s="1" t="s">
        <v>459</v>
      </c>
      <c r="D144" s="45" t="s">
        <v>460</v>
      </c>
      <c r="E144" t="s">
        <v>459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461</v>
      </c>
      <c r="C145" s="1" t="s">
        <v>462</v>
      </c>
      <c r="D145" s="45" t="s">
        <v>463</v>
      </c>
      <c r="E145" t="s">
        <v>462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464</v>
      </c>
      <c r="C146" s="1" t="s">
        <v>465</v>
      </c>
      <c r="D146" s="45" t="s">
        <v>466</v>
      </c>
      <c r="E146" t="s">
        <v>467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1584</v>
      </c>
      <c r="M146" s="6">
        <f t="shared" si="9"/>
        <v>3168</v>
      </c>
      <c r="N146" s="6">
        <f t="shared" si="10"/>
        <v>1898</v>
      </c>
      <c r="O146" s="8">
        <f t="shared" si="11"/>
        <v>0.31845637583892616</v>
      </c>
    </row>
    <row r="147" spans="1:15" ht="17" customHeight="1">
      <c r="A147" s="1" t="s">
        <v>468</v>
      </c>
      <c r="C147" s="1" t="s">
        <v>469</v>
      </c>
      <c r="D147" s="45" t="s">
        <v>470</v>
      </c>
      <c r="E147" t="s">
        <v>469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471</v>
      </c>
      <c r="B148" s="1" t="s">
        <v>472</v>
      </c>
      <c r="C148" s="1" t="s">
        <v>473</v>
      </c>
      <c r="D148" s="45" t="s">
        <v>474</v>
      </c>
      <c r="E148" s="1" t="s">
        <v>475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476</v>
      </c>
      <c r="C149" s="1" t="s">
        <v>477</v>
      </c>
      <c r="D149" s="45" t="s">
        <v>478</v>
      </c>
      <c r="E149" t="s">
        <v>477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479</v>
      </c>
      <c r="C150" s="1" t="s">
        <v>480</v>
      </c>
      <c r="D150" s="45" t="s">
        <v>481</v>
      </c>
      <c r="E150" t="s">
        <v>480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482</v>
      </c>
      <c r="C151" s="1" t="s">
        <v>483</v>
      </c>
      <c r="D151" s="45" t="s">
        <v>484</v>
      </c>
      <c r="E151" t="s">
        <v>483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485</v>
      </c>
      <c r="C152" s="1" t="s">
        <v>486</v>
      </c>
      <c r="D152" s="45" t="s">
        <v>487</v>
      </c>
      <c r="E152" t="s">
        <v>486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488</v>
      </c>
      <c r="C153" s="1" t="s">
        <v>489</v>
      </c>
      <c r="D153" s="45" t="s">
        <v>490</v>
      </c>
      <c r="E153" t="s">
        <v>489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491</v>
      </c>
      <c r="C154" s="1" t="s">
        <v>492</v>
      </c>
      <c r="D154" s="45" t="s">
        <v>493</v>
      </c>
      <c r="E154" t="s">
        <v>494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495</v>
      </c>
      <c r="C155" s="1" t="s">
        <v>496</v>
      </c>
      <c r="D155" s="45" t="s">
        <v>497</v>
      </c>
      <c r="E155" t="s">
        <v>496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498</v>
      </c>
      <c r="C156" s="1">
        <v>4901416183737</v>
      </c>
      <c r="D156" s="45" t="s">
        <v>499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500</v>
      </c>
      <c r="C157" s="1" t="s">
        <v>501</v>
      </c>
      <c r="D157" s="45" t="s">
        <v>502</v>
      </c>
      <c r="E157" t="s">
        <v>501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503</v>
      </c>
      <c r="C158" s="1" t="s">
        <v>504</v>
      </c>
      <c r="D158" s="45" t="s">
        <v>505</v>
      </c>
      <c r="E158" t="s">
        <v>506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507</v>
      </c>
      <c r="C159" s="1" t="s">
        <v>508</v>
      </c>
      <c r="D159" s="45" t="s">
        <v>509</v>
      </c>
      <c r="E159" t="s">
        <v>508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510</v>
      </c>
      <c r="B160" t="s">
        <v>511</v>
      </c>
      <c r="C160" s="1">
        <v>4550391046508</v>
      </c>
      <c r="D160" s="45" t="s">
        <v>512</v>
      </c>
      <c r="E160" t="s">
        <v>513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510</v>
      </c>
      <c r="B161" t="s">
        <v>514</v>
      </c>
      <c r="C161" s="1">
        <v>4550391046508</v>
      </c>
      <c r="D161" s="45" t="s">
        <v>512</v>
      </c>
      <c r="E161" t="s">
        <v>515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510</v>
      </c>
      <c r="B162" t="s">
        <v>516</v>
      </c>
      <c r="C162" s="1">
        <v>4550391046508</v>
      </c>
      <c r="D162" s="45" t="s">
        <v>512</v>
      </c>
      <c r="E162" t="s">
        <v>517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518</v>
      </c>
      <c r="B163" s="1"/>
      <c r="C163" s="1" t="s">
        <v>519</v>
      </c>
      <c r="D163" s="45" t="s">
        <v>520</v>
      </c>
      <c r="E163" s="1" t="s">
        <v>519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6">
        <v>3940</v>
      </c>
      <c r="M163" s="6">
        <f t="shared" si="9"/>
        <v>3940</v>
      </c>
      <c r="N163" s="6">
        <f t="shared" si="10"/>
        <v>276</v>
      </c>
      <c r="O163" s="8">
        <f t="shared" si="11"/>
        <v>5.5645161290322584E-2</v>
      </c>
    </row>
    <row r="164" spans="1:15" ht="17" customHeight="1">
      <c r="A164" s="1" t="s">
        <v>521</v>
      </c>
      <c r="B164" s="1"/>
      <c r="C164" s="1" t="s">
        <v>522</v>
      </c>
      <c r="D164" s="45" t="s">
        <v>523</v>
      </c>
      <c r="E164" s="1" t="s">
        <v>522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524</v>
      </c>
      <c r="C165" s="1" t="s">
        <v>525</v>
      </c>
      <c r="D165" s="45" t="s">
        <v>526</v>
      </c>
      <c r="E165" t="s">
        <v>527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528</v>
      </c>
      <c r="C166" s="1" t="s">
        <v>529</v>
      </c>
      <c r="D166" s="45" t="s">
        <v>530</v>
      </c>
      <c r="E166" t="s">
        <v>529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531</v>
      </c>
      <c r="C167" s="1" t="s">
        <v>532</v>
      </c>
      <c r="D167" s="45" t="s">
        <v>533</v>
      </c>
      <c r="E167" t="s">
        <v>532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534</v>
      </c>
      <c r="B168" s="1"/>
      <c r="C168" s="1" t="s">
        <v>535</v>
      </c>
      <c r="D168" s="45" t="s">
        <v>536</v>
      </c>
      <c r="E168" s="1" t="s">
        <v>537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538</v>
      </c>
      <c r="C169" s="1" t="s">
        <v>539</v>
      </c>
      <c r="D169" s="45" t="s">
        <v>540</v>
      </c>
      <c r="E169" t="s">
        <v>539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6">
        <v>1011</v>
      </c>
      <c r="M169" s="6">
        <f t="shared" si="9"/>
        <v>3033</v>
      </c>
      <c r="N169" s="6">
        <f t="shared" si="10"/>
        <v>996</v>
      </c>
      <c r="O169" s="8">
        <f t="shared" si="11"/>
        <v>0.21012658227848102</v>
      </c>
    </row>
    <row r="170" spans="1:15" ht="17" customHeight="1">
      <c r="A170" s="1" t="s">
        <v>541</v>
      </c>
      <c r="C170" s="1">
        <v>4902806133806</v>
      </c>
      <c r="D170" s="45" t="s">
        <v>542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543</v>
      </c>
      <c r="B171" t="s">
        <v>544</v>
      </c>
      <c r="C171" s="1" t="s">
        <v>545</v>
      </c>
      <c r="D171" s="45" t="s">
        <v>546</v>
      </c>
      <c r="E171" t="s">
        <v>547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548</v>
      </c>
      <c r="C172" s="1" t="s">
        <v>549</v>
      </c>
      <c r="D172" s="45" t="s">
        <v>550</v>
      </c>
      <c r="E172" t="s">
        <v>549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551</v>
      </c>
      <c r="C173" s="1" t="s">
        <v>552</v>
      </c>
      <c r="D173" s="45">
        <v>4987176305657</v>
      </c>
      <c r="E173" t="s">
        <v>552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6">
        <v>1039</v>
      </c>
      <c r="M173" s="6">
        <f t="shared" si="9"/>
        <v>2078</v>
      </c>
      <c r="N173" s="6">
        <f t="shared" si="10"/>
        <v>1798</v>
      </c>
      <c r="O173" s="8">
        <f t="shared" si="11"/>
        <v>0.39429824561403509</v>
      </c>
    </row>
    <row r="174" spans="1:15" ht="17" customHeight="1">
      <c r="A174" s="1" t="s">
        <v>553</v>
      </c>
      <c r="C174" s="1" t="s">
        <v>554</v>
      </c>
      <c r="D174" s="45" t="s">
        <v>555</v>
      </c>
      <c r="E174" t="s">
        <v>554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556</v>
      </c>
      <c r="B175" s="1"/>
      <c r="C175" s="1">
        <v>3264680009808</v>
      </c>
      <c r="D175" s="45" t="s">
        <v>557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558</v>
      </c>
      <c r="C176" s="1" t="s">
        <v>559</v>
      </c>
      <c r="D176" s="45" t="s">
        <v>560</v>
      </c>
      <c r="E176" t="s">
        <v>561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562</v>
      </c>
      <c r="B177" s="1"/>
      <c r="C177" s="1" t="s">
        <v>563</v>
      </c>
      <c r="D177" s="45" t="s">
        <v>564</v>
      </c>
      <c r="E177" s="1" t="s">
        <v>565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6">
        <v>3460</v>
      </c>
      <c r="M177" s="6">
        <f t="shared" si="9"/>
        <v>3460</v>
      </c>
      <c r="N177" s="6">
        <f t="shared" si="10"/>
        <v>125.30000000000018</v>
      </c>
      <c r="O177" s="8">
        <f t="shared" si="11"/>
        <v>2.9706021811285014E-2</v>
      </c>
    </row>
    <row r="178" spans="1:15" ht="17" customHeight="1">
      <c r="A178" s="1" t="s">
        <v>566</v>
      </c>
      <c r="C178" s="1" t="s">
        <v>567</v>
      </c>
      <c r="D178" s="45" t="s">
        <v>568</v>
      </c>
      <c r="E178" t="s">
        <v>567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6">
        <v>3460</v>
      </c>
      <c r="M178" s="6">
        <f t="shared" si="9"/>
        <v>3460</v>
      </c>
      <c r="N178" s="6">
        <f t="shared" si="10"/>
        <v>125.30000000000018</v>
      </c>
      <c r="O178" s="8">
        <f t="shared" si="11"/>
        <v>2.9706021811285014E-2</v>
      </c>
    </row>
    <row r="179" spans="1:15" ht="17" customHeight="1">
      <c r="A179" s="1" t="s">
        <v>569</v>
      </c>
      <c r="C179" s="1" t="s">
        <v>570</v>
      </c>
      <c r="D179" s="45" t="s">
        <v>571</v>
      </c>
      <c r="E179" t="s">
        <v>570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572</v>
      </c>
      <c r="C180" s="1" t="s">
        <v>573</v>
      </c>
      <c r="D180" s="45" t="s">
        <v>574</v>
      </c>
      <c r="E180" t="s">
        <v>575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576</v>
      </c>
      <c r="C181" s="1" t="s">
        <v>577</v>
      </c>
      <c r="D181" s="45" t="s">
        <v>578</v>
      </c>
      <c r="E181" t="s">
        <v>577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579</v>
      </c>
      <c r="B182" s="1"/>
      <c r="C182" s="1" t="s">
        <v>580</v>
      </c>
      <c r="D182" s="45" t="s">
        <v>581</v>
      </c>
      <c r="E182" s="1" t="s">
        <v>582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583</v>
      </c>
      <c r="C183" s="1" t="s">
        <v>584</v>
      </c>
      <c r="D183" s="45" t="s">
        <v>585</v>
      </c>
      <c r="E183" t="s">
        <v>584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586</v>
      </c>
      <c r="C184" s="1" t="s">
        <v>587</v>
      </c>
      <c r="D184" s="45" t="s">
        <v>588</v>
      </c>
      <c r="E184" t="s">
        <v>587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589</v>
      </c>
      <c r="B185" s="1" t="s">
        <v>590</v>
      </c>
      <c r="C185" s="1" t="s">
        <v>591</v>
      </c>
      <c r="D185" s="45" t="s">
        <v>592</v>
      </c>
      <c r="E185" s="1" t="s">
        <v>593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594</v>
      </c>
      <c r="C186" s="1" t="s">
        <v>595</v>
      </c>
      <c r="D186" s="45" t="s">
        <v>596</v>
      </c>
      <c r="E186" t="s">
        <v>597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598</v>
      </c>
      <c r="C187" s="1" t="s">
        <v>599</v>
      </c>
      <c r="D187" s="45" t="s">
        <v>600</v>
      </c>
      <c r="E187" t="s">
        <v>599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601</v>
      </c>
      <c r="B188" s="1"/>
      <c r="C188" s="1">
        <v>4902508103596</v>
      </c>
      <c r="D188" s="45" t="s">
        <v>602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603</v>
      </c>
      <c r="C189" s="1" t="s">
        <v>604</v>
      </c>
      <c r="D189" s="45" t="s">
        <v>605</v>
      </c>
      <c r="E189" t="s">
        <v>604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606</v>
      </c>
      <c r="B190" s="1"/>
      <c r="C190" s="1" t="s">
        <v>607</v>
      </c>
      <c r="D190" s="45" t="s">
        <v>608</v>
      </c>
      <c r="E190" s="1" t="s">
        <v>607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609</v>
      </c>
      <c r="C191" s="1" t="s">
        <v>610</v>
      </c>
      <c r="D191" s="45" t="s">
        <v>611</v>
      </c>
      <c r="E191" t="s">
        <v>610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612</v>
      </c>
      <c r="C192" s="1" t="s">
        <v>613</v>
      </c>
      <c r="D192" s="45" t="s">
        <v>614</v>
      </c>
      <c r="E192" t="s">
        <v>613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615</v>
      </c>
      <c r="C193" s="1" t="s">
        <v>616</v>
      </c>
      <c r="D193" s="45" t="s">
        <v>617</v>
      </c>
      <c r="E193" t="s">
        <v>616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618</v>
      </c>
      <c r="C194" s="1" t="s">
        <v>619</v>
      </c>
      <c r="D194" s="45" t="s">
        <v>620</v>
      </c>
      <c r="E194" t="s">
        <v>621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6">
        <v>1160</v>
      </c>
      <c r="M194" s="6">
        <f t="shared" si="9"/>
        <v>2320</v>
      </c>
      <c r="N194" s="6">
        <f t="shared" si="10"/>
        <v>1046</v>
      </c>
      <c r="O194" s="8">
        <f t="shared" si="11"/>
        <v>0.26414141414141412</v>
      </c>
    </row>
    <row r="195" spans="1:15" ht="17" customHeight="1">
      <c r="A195" s="1" t="s">
        <v>622</v>
      </c>
      <c r="C195" s="1" t="s">
        <v>623</v>
      </c>
      <c r="D195" s="45" t="s">
        <v>624</v>
      </c>
      <c r="E195" t="s">
        <v>623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625</v>
      </c>
      <c r="C196" s="1" t="s">
        <v>626</v>
      </c>
      <c r="D196" s="45" t="s">
        <v>627</v>
      </c>
      <c r="E196" t="s">
        <v>626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394</v>
      </c>
      <c r="B197" t="s">
        <v>628</v>
      </c>
      <c r="C197" s="1" t="s">
        <v>395</v>
      </c>
      <c r="D197" s="45" t="s">
        <v>396</v>
      </c>
      <c r="E197" t="s">
        <v>629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630</v>
      </c>
      <c r="C198" s="1" t="s">
        <v>631</v>
      </c>
      <c r="D198" s="45">
        <v>4382</v>
      </c>
      <c r="E198" t="s">
        <v>631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632</v>
      </c>
      <c r="B199" s="1"/>
      <c r="C199" s="1" t="s">
        <v>633</v>
      </c>
      <c r="D199" s="45" t="s">
        <v>634</v>
      </c>
      <c r="E199" s="1" t="s">
        <v>635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636</v>
      </c>
      <c r="B200" s="1" t="s">
        <v>637</v>
      </c>
      <c r="C200" s="1" t="s">
        <v>638</v>
      </c>
      <c r="D200" s="45" t="s">
        <v>639</v>
      </c>
      <c r="E200" s="1" t="s">
        <v>640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6">
        <v>629</v>
      </c>
      <c r="M200" s="6">
        <f t="shared" ref="M200:M263" si="13">SUM(H200*L200)</f>
        <v>1258</v>
      </c>
      <c r="N200" s="6">
        <f t="shared" ref="N200:N263" si="14">SUM(I200-K200-M200)</f>
        <v>1768</v>
      </c>
      <c r="O200" s="8">
        <f t="shared" ref="O200:O263" si="15">IF(I200=0,"",N200/I200)</f>
        <v>0.49662921348314609</v>
      </c>
    </row>
    <row r="201" spans="1:15" ht="17" customHeight="1">
      <c r="A201" s="1" t="s">
        <v>543</v>
      </c>
      <c r="B201" t="s">
        <v>641</v>
      </c>
      <c r="C201" s="1" t="s">
        <v>545</v>
      </c>
      <c r="D201" s="45" t="s">
        <v>546</v>
      </c>
      <c r="E201" t="s">
        <v>642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643</v>
      </c>
      <c r="B202" s="1"/>
      <c r="C202" s="1" t="s">
        <v>644</v>
      </c>
      <c r="D202" s="45" t="s">
        <v>645</v>
      </c>
      <c r="E202" s="1" t="s">
        <v>644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646</v>
      </c>
      <c r="C203" s="1" t="s">
        <v>647</v>
      </c>
      <c r="D203" s="45" t="s">
        <v>648</v>
      </c>
      <c r="E203" t="s">
        <v>647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649</v>
      </c>
      <c r="C204" s="1" t="s">
        <v>650</v>
      </c>
      <c r="D204" s="45" t="s">
        <v>651</v>
      </c>
      <c r="E204" t="s">
        <v>650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652</v>
      </c>
      <c r="B205" t="s">
        <v>653</v>
      </c>
      <c r="C205" s="1" t="s">
        <v>654</v>
      </c>
      <c r="D205" s="45" t="s">
        <v>655</v>
      </c>
      <c r="E205" t="s">
        <v>656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657</v>
      </c>
      <c r="C206" s="1" t="s">
        <v>658</v>
      </c>
      <c r="D206" s="45" t="s">
        <v>659</v>
      </c>
      <c r="E206" t="s">
        <v>658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660</v>
      </c>
      <c r="C207" s="1">
        <v>4571509303191</v>
      </c>
      <c r="D207" s="45" t="s">
        <v>661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662</v>
      </c>
      <c r="C208" s="1" t="s">
        <v>663</v>
      </c>
      <c r="D208" s="45" t="s">
        <v>664</v>
      </c>
      <c r="E208" t="s">
        <v>663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6">
        <v>1988</v>
      </c>
      <c r="M208" s="6">
        <f t="shared" si="13"/>
        <v>1988</v>
      </c>
      <c r="N208" s="6">
        <f t="shared" si="14"/>
        <v>800</v>
      </c>
      <c r="O208" s="8">
        <f t="shared" si="15"/>
        <v>0.24390243902439024</v>
      </c>
    </row>
    <row r="209" spans="1:15" ht="17" customHeight="1">
      <c r="A209" s="1" t="s">
        <v>665</v>
      </c>
      <c r="C209" s="1" t="s">
        <v>666</v>
      </c>
      <c r="D209" s="45" t="s">
        <v>667</v>
      </c>
      <c r="E209" t="s">
        <v>668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669</v>
      </c>
      <c r="C210" s="1" t="s">
        <v>670</v>
      </c>
      <c r="D210" s="45" t="s">
        <v>671</v>
      </c>
      <c r="E210" t="s">
        <v>670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672</v>
      </c>
      <c r="C211" s="1" t="s">
        <v>673</v>
      </c>
      <c r="D211" s="45" t="s">
        <v>674</v>
      </c>
      <c r="E211" t="s">
        <v>675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676</v>
      </c>
      <c r="C212" s="1" t="s">
        <v>677</v>
      </c>
      <c r="D212" s="45" t="s">
        <v>678</v>
      </c>
      <c r="E212" t="s">
        <v>677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679</v>
      </c>
      <c r="C213" s="1" t="s">
        <v>680</v>
      </c>
      <c r="D213" s="45" t="s">
        <v>681</v>
      </c>
      <c r="E213" t="s">
        <v>680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682</v>
      </c>
      <c r="C214" s="1" t="s">
        <v>683</v>
      </c>
      <c r="D214" s="45" t="s">
        <v>684</v>
      </c>
      <c r="E214" t="s">
        <v>683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685</v>
      </c>
      <c r="C215" s="1" t="s">
        <v>686</v>
      </c>
      <c r="D215" s="45" t="s">
        <v>687</v>
      </c>
      <c r="E215" t="s">
        <v>688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689</v>
      </c>
      <c r="C216" s="1" t="s">
        <v>690</v>
      </c>
      <c r="D216" s="45" t="s">
        <v>691</v>
      </c>
      <c r="E216" t="s">
        <v>690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692</v>
      </c>
      <c r="C217" s="1" t="s">
        <v>693</v>
      </c>
      <c r="D217" s="45" t="s">
        <v>694</v>
      </c>
      <c r="E217" t="s">
        <v>693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417</v>
      </c>
      <c r="B218" t="s">
        <v>695</v>
      </c>
      <c r="C218" s="1" t="s">
        <v>419</v>
      </c>
      <c r="D218" s="45" t="s">
        <v>420</v>
      </c>
      <c r="E218" t="s">
        <v>696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697</v>
      </c>
      <c r="C219" s="1" t="s">
        <v>698</v>
      </c>
      <c r="D219" s="45" t="s">
        <v>699</v>
      </c>
      <c r="E219" t="s">
        <v>698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700</v>
      </c>
      <c r="B220" s="1"/>
      <c r="C220" s="1" t="s">
        <v>701</v>
      </c>
      <c r="D220" s="45" t="s">
        <v>702</v>
      </c>
      <c r="E220" s="1" t="s">
        <v>701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703</v>
      </c>
      <c r="C221" s="1" t="s">
        <v>704</v>
      </c>
      <c r="D221" s="45" t="s">
        <v>705</v>
      </c>
      <c r="E221" t="s">
        <v>706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707</v>
      </c>
      <c r="C222" s="1" t="s">
        <v>708</v>
      </c>
      <c r="D222" s="45" t="s">
        <v>709</v>
      </c>
      <c r="E222" t="s">
        <v>708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6">
        <v>1242</v>
      </c>
      <c r="M222" s="6">
        <f t="shared" si="13"/>
        <v>1242</v>
      </c>
      <c r="N222" s="6">
        <f t="shared" si="14"/>
        <v>1291</v>
      </c>
      <c r="O222" s="8">
        <f t="shared" si="15"/>
        <v>0.43322147651006709</v>
      </c>
    </row>
    <row r="223" spans="1:15" ht="17" customHeight="1">
      <c r="A223" s="1" t="s">
        <v>710</v>
      </c>
      <c r="B223" t="s">
        <v>711</v>
      </c>
      <c r="C223" s="1">
        <v>4550391062164</v>
      </c>
      <c r="D223" s="45" t="s">
        <v>712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713</v>
      </c>
      <c r="C224" s="1" t="s">
        <v>714</v>
      </c>
      <c r="D224" s="45">
        <v>616</v>
      </c>
      <c r="E224" t="s">
        <v>714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417</v>
      </c>
      <c r="B225" t="s">
        <v>715</v>
      </c>
      <c r="C225" s="1" t="s">
        <v>419</v>
      </c>
      <c r="D225" s="45" t="s">
        <v>420</v>
      </c>
      <c r="E225" t="s">
        <v>716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717</v>
      </c>
      <c r="B226" s="1"/>
      <c r="C226" s="1" t="s">
        <v>718</v>
      </c>
      <c r="D226" s="45" t="s">
        <v>719</v>
      </c>
      <c r="E226" s="1" t="s">
        <v>718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720</v>
      </c>
      <c r="B227" t="s">
        <v>721</v>
      </c>
      <c r="C227" s="1" t="s">
        <v>722</v>
      </c>
      <c r="D227" s="45" t="s">
        <v>723</v>
      </c>
      <c r="E227" t="s">
        <v>724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725</v>
      </c>
      <c r="B228" t="s">
        <v>726</v>
      </c>
      <c r="C228" s="1" t="s">
        <v>727</v>
      </c>
      <c r="D228" s="45" t="s">
        <v>728</v>
      </c>
      <c r="E228" t="s">
        <v>729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730</v>
      </c>
      <c r="C229" s="1" t="s">
        <v>731</v>
      </c>
      <c r="D229" s="45" t="s">
        <v>732</v>
      </c>
      <c r="E229" t="s">
        <v>731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733</v>
      </c>
      <c r="B230" s="1"/>
      <c r="C230" s="1" t="s">
        <v>734</v>
      </c>
      <c r="D230" s="45" t="s">
        <v>735</v>
      </c>
      <c r="E230" s="1" t="s">
        <v>734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736</v>
      </c>
      <c r="C231" s="1" t="s">
        <v>737</v>
      </c>
      <c r="D231" s="45" t="s">
        <v>738</v>
      </c>
      <c r="E231" t="s">
        <v>739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740</v>
      </c>
      <c r="C232" s="1" t="s">
        <v>741</v>
      </c>
      <c r="D232" s="45" t="s">
        <v>742</v>
      </c>
      <c r="E232" t="s">
        <v>741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743</v>
      </c>
      <c r="C233" s="1" t="s">
        <v>744</v>
      </c>
      <c r="D233" s="45" t="s">
        <v>745</v>
      </c>
      <c r="E233" t="s">
        <v>744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746</v>
      </c>
      <c r="C234" s="1" t="s">
        <v>747</v>
      </c>
      <c r="D234" s="45" t="s">
        <v>748</v>
      </c>
      <c r="E234" t="s">
        <v>747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749</v>
      </c>
      <c r="B235" s="1"/>
      <c r="C235" s="1" t="s">
        <v>750</v>
      </c>
      <c r="D235" s="45" t="s">
        <v>751</v>
      </c>
      <c r="E235" s="1" t="s">
        <v>750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752</v>
      </c>
      <c r="C236" s="1" t="s">
        <v>753</v>
      </c>
      <c r="D236" s="45" t="s">
        <v>754</v>
      </c>
      <c r="E236" t="s">
        <v>755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756</v>
      </c>
      <c r="C237" s="1" t="s">
        <v>757</v>
      </c>
      <c r="D237" s="45" t="s">
        <v>758</v>
      </c>
      <c r="E237" t="s">
        <v>757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759</v>
      </c>
      <c r="C238" s="1" t="s">
        <v>760</v>
      </c>
      <c r="D238" s="45" t="s">
        <v>761</v>
      </c>
      <c r="E238" t="s">
        <v>762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763</v>
      </c>
      <c r="C239" s="1" t="s">
        <v>764</v>
      </c>
      <c r="D239" s="45">
        <v>5060144645562</v>
      </c>
      <c r="E239" t="s">
        <v>764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6">
        <v>1192</v>
      </c>
      <c r="M239" s="6">
        <f t="shared" si="13"/>
        <v>1192</v>
      </c>
      <c r="N239" s="6">
        <f t="shared" si="14"/>
        <v>916</v>
      </c>
      <c r="O239" s="8">
        <f t="shared" si="15"/>
        <v>0.36935483870967745</v>
      </c>
    </row>
    <row r="240" spans="1:15" ht="17" customHeight="1">
      <c r="A240" s="1" t="s">
        <v>765</v>
      </c>
      <c r="B240" t="s">
        <v>766</v>
      </c>
      <c r="C240" s="1" t="s">
        <v>767</v>
      </c>
      <c r="D240" s="45" t="s">
        <v>768</v>
      </c>
      <c r="E240" t="s">
        <v>769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770</v>
      </c>
      <c r="C241" s="1" t="s">
        <v>771</v>
      </c>
      <c r="D241" s="45" t="s">
        <v>772</v>
      </c>
      <c r="E241" t="s">
        <v>773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774</v>
      </c>
      <c r="C242" s="1" t="s">
        <v>775</v>
      </c>
      <c r="D242" s="45" t="s">
        <v>776</v>
      </c>
      <c r="E242" t="s">
        <v>777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778</v>
      </c>
      <c r="C243" s="1" t="s">
        <v>779</v>
      </c>
      <c r="D243" s="45" t="s">
        <v>780</v>
      </c>
      <c r="E243" t="s">
        <v>781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782</v>
      </c>
      <c r="C244" s="1" t="s">
        <v>783</v>
      </c>
      <c r="D244" s="45" t="s">
        <v>784</v>
      </c>
      <c r="E244" t="s">
        <v>783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785</v>
      </c>
      <c r="C245" s="1" t="s">
        <v>786</v>
      </c>
      <c r="D245" s="45" t="s">
        <v>787</v>
      </c>
      <c r="E245" t="s">
        <v>786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788</v>
      </c>
      <c r="C246" s="1" t="s">
        <v>789</v>
      </c>
      <c r="D246" s="45" t="s">
        <v>790</v>
      </c>
      <c r="E246" t="s">
        <v>789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791</v>
      </c>
      <c r="C247" s="1" t="s">
        <v>792</v>
      </c>
      <c r="D247" s="45" t="s">
        <v>793</v>
      </c>
      <c r="E247" t="s">
        <v>794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795</v>
      </c>
      <c r="C248" s="1" t="s">
        <v>796</v>
      </c>
      <c r="D248" s="45" t="s">
        <v>797</v>
      </c>
      <c r="E248" t="s">
        <v>798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46" t="s">
        <v>799</v>
      </c>
      <c r="C249" s="1" t="s">
        <v>800</v>
      </c>
      <c r="D249" s="45" t="s">
        <v>801</v>
      </c>
      <c r="E249" t="s">
        <v>800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6">
        <v>610</v>
      </c>
      <c r="M249" s="6">
        <f t="shared" si="13"/>
        <v>1220</v>
      </c>
      <c r="N249" s="6">
        <f t="shared" si="14"/>
        <v>820</v>
      </c>
      <c r="O249" s="8">
        <f t="shared" si="15"/>
        <v>0.34166666666666667</v>
      </c>
    </row>
    <row r="250" spans="1:15" ht="17" customHeight="1">
      <c r="A250" s="1" t="s">
        <v>802</v>
      </c>
      <c r="C250" s="1" t="s">
        <v>803</v>
      </c>
      <c r="D250" s="45" t="s">
        <v>804</v>
      </c>
      <c r="E250" t="s">
        <v>803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805</v>
      </c>
      <c r="C251" s="1" t="s">
        <v>806</v>
      </c>
      <c r="D251" s="45" t="s">
        <v>807</v>
      </c>
      <c r="E251" t="s">
        <v>806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725</v>
      </c>
      <c r="B252" t="s">
        <v>808</v>
      </c>
      <c r="C252" s="1" t="s">
        <v>727</v>
      </c>
      <c r="D252" s="45" t="s">
        <v>728</v>
      </c>
      <c r="E252" t="s">
        <v>809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810</v>
      </c>
      <c r="B253" s="1"/>
      <c r="C253" s="1" t="s">
        <v>811</v>
      </c>
      <c r="D253" s="45" t="s">
        <v>812</v>
      </c>
      <c r="E253" s="1" t="s">
        <v>811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813</v>
      </c>
      <c r="C254" s="1" t="s">
        <v>814</v>
      </c>
      <c r="D254" s="45" t="s">
        <v>815</v>
      </c>
      <c r="E254" t="s">
        <v>814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816</v>
      </c>
      <c r="C255" s="1" t="s">
        <v>817</v>
      </c>
      <c r="D255" s="45">
        <v>4987176301543</v>
      </c>
      <c r="E255" t="s">
        <v>817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818</v>
      </c>
      <c r="C256" s="1" t="s">
        <v>819</v>
      </c>
      <c r="D256" s="45" t="s">
        <v>820</v>
      </c>
      <c r="E256" t="s">
        <v>819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821</v>
      </c>
      <c r="C257" s="1" t="s">
        <v>822</v>
      </c>
      <c r="D257" s="45" t="s">
        <v>823</v>
      </c>
      <c r="E257" t="s">
        <v>824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825</v>
      </c>
      <c r="C258" s="1" t="s">
        <v>826</v>
      </c>
      <c r="D258" s="45" t="s">
        <v>827</v>
      </c>
      <c r="E258" t="s">
        <v>826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828</v>
      </c>
      <c r="C259" s="1">
        <v>4550391012053</v>
      </c>
      <c r="D259" s="45" t="s">
        <v>829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830</v>
      </c>
      <c r="C260" s="1" t="s">
        <v>831</v>
      </c>
      <c r="D260" s="45" t="s">
        <v>832</v>
      </c>
      <c r="E260" t="s">
        <v>833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834</v>
      </c>
      <c r="C261" s="1" t="s">
        <v>835</v>
      </c>
      <c r="D261" s="45" t="s">
        <v>836</v>
      </c>
      <c r="E261" t="s">
        <v>835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837</v>
      </c>
      <c r="C262" s="1">
        <v>4550391011926</v>
      </c>
      <c r="D262" s="45" t="s">
        <v>838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839</v>
      </c>
      <c r="C263" s="1" t="s">
        <v>840</v>
      </c>
      <c r="D263" s="45" t="s">
        <v>841</v>
      </c>
      <c r="E263" t="s">
        <v>840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842</v>
      </c>
      <c r="C264" s="1" t="s">
        <v>843</v>
      </c>
      <c r="D264" s="45" t="s">
        <v>844</v>
      </c>
      <c r="E264" t="s">
        <v>843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00" si="17">SUM(H264*L264)</f>
        <v>858</v>
      </c>
      <c r="N264" s="6">
        <f t="shared" ref="N264:N300" si="18">SUM(I264-K264-M264)</f>
        <v>825</v>
      </c>
      <c r="O264" s="8">
        <f t="shared" ref="O264:O301" si="19">IF(I264=0,"",N264/I264)</f>
        <v>0.41666666666666669</v>
      </c>
    </row>
    <row r="265" spans="1:15" ht="17" customHeight="1">
      <c r="A265" s="1" t="s">
        <v>845</v>
      </c>
      <c r="C265" s="1" t="s">
        <v>846</v>
      </c>
      <c r="D265" s="45" t="s">
        <v>847</v>
      </c>
      <c r="E265" t="s">
        <v>846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848</v>
      </c>
      <c r="C266" s="1" t="s">
        <v>849</v>
      </c>
      <c r="D266" s="45" t="s">
        <v>850</v>
      </c>
      <c r="E266" t="s">
        <v>849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851</v>
      </c>
      <c r="C267" s="1" t="s">
        <v>852</v>
      </c>
      <c r="D267" s="45" t="s">
        <v>853</v>
      </c>
      <c r="E267" t="s">
        <v>852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6">
        <v>792</v>
      </c>
      <c r="M267" s="6">
        <f t="shared" si="17"/>
        <v>792</v>
      </c>
      <c r="N267" s="6">
        <f t="shared" si="18"/>
        <v>891</v>
      </c>
      <c r="O267" s="8">
        <f t="shared" si="19"/>
        <v>0.45</v>
      </c>
    </row>
    <row r="268" spans="1:15" ht="17" customHeight="1">
      <c r="A268" s="1" t="s">
        <v>854</v>
      </c>
      <c r="C268" s="1" t="s">
        <v>855</v>
      </c>
      <c r="D268" s="45" t="s">
        <v>856</v>
      </c>
      <c r="E268" t="s">
        <v>855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857</v>
      </c>
      <c r="C269" s="1" t="s">
        <v>858</v>
      </c>
      <c r="D269" s="45" t="s">
        <v>859</v>
      </c>
      <c r="E269" t="s">
        <v>858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860</v>
      </c>
      <c r="B270" t="s">
        <v>861</v>
      </c>
      <c r="C270" s="1" t="s">
        <v>862</v>
      </c>
      <c r="D270" s="45" t="s">
        <v>863</v>
      </c>
      <c r="E270" t="s">
        <v>864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865</v>
      </c>
      <c r="C271" s="1" t="s">
        <v>866</v>
      </c>
      <c r="D271" s="45" t="s">
        <v>867</v>
      </c>
      <c r="E271" t="s">
        <v>866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868</v>
      </c>
      <c r="C272" s="1" t="s">
        <v>869</v>
      </c>
      <c r="D272" s="45" t="s">
        <v>870</v>
      </c>
      <c r="E272" t="s">
        <v>871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6">
        <v>438</v>
      </c>
      <c r="M272" s="6">
        <f t="shared" si="17"/>
        <v>438</v>
      </c>
      <c r="N272" s="6">
        <f t="shared" si="18"/>
        <v>1245</v>
      </c>
      <c r="O272" s="8">
        <f t="shared" si="19"/>
        <v>0.62878787878787878</v>
      </c>
    </row>
    <row r="273" spans="1:15" ht="17" customHeight="1">
      <c r="A273" s="1" t="s">
        <v>872</v>
      </c>
      <c r="B273" t="s">
        <v>653</v>
      </c>
      <c r="C273" s="1" t="s">
        <v>873</v>
      </c>
      <c r="D273" s="45" t="s">
        <v>874</v>
      </c>
      <c r="E273" t="s">
        <v>875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636</v>
      </c>
      <c r="B274" t="s">
        <v>876</v>
      </c>
      <c r="C274" s="1" t="s">
        <v>638</v>
      </c>
      <c r="D274" s="45" t="s">
        <v>639</v>
      </c>
      <c r="E274" t="s">
        <v>877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6">
        <v>525</v>
      </c>
      <c r="M274" s="6">
        <f t="shared" si="17"/>
        <v>525</v>
      </c>
      <c r="N274" s="6">
        <f t="shared" si="18"/>
        <v>988</v>
      </c>
      <c r="O274" s="8">
        <f t="shared" si="19"/>
        <v>0.55505617977528088</v>
      </c>
    </row>
    <row r="275" spans="1:15" ht="17" customHeight="1">
      <c r="A275" s="1" t="s">
        <v>878</v>
      </c>
      <c r="C275" s="1" t="s">
        <v>879</v>
      </c>
      <c r="D275" s="45" t="s">
        <v>880</v>
      </c>
      <c r="E275" t="s">
        <v>879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725</v>
      </c>
      <c r="B276" t="s">
        <v>881</v>
      </c>
      <c r="C276" s="1" t="s">
        <v>727</v>
      </c>
      <c r="D276" s="45" t="s">
        <v>728</v>
      </c>
      <c r="E276" t="s">
        <v>882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636</v>
      </c>
      <c r="B277" t="s">
        <v>883</v>
      </c>
      <c r="C277" s="1" t="s">
        <v>638</v>
      </c>
      <c r="D277" s="45" t="s">
        <v>639</v>
      </c>
      <c r="E277" t="s">
        <v>884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6">
        <v>629</v>
      </c>
      <c r="M277" s="6">
        <f t="shared" si="17"/>
        <v>629</v>
      </c>
      <c r="N277" s="6">
        <f t="shared" si="18"/>
        <v>884</v>
      </c>
      <c r="O277" s="8">
        <f t="shared" si="19"/>
        <v>0.49662921348314609</v>
      </c>
    </row>
    <row r="278" spans="1:15" ht="17" customHeight="1">
      <c r="A278" s="1" t="s">
        <v>636</v>
      </c>
      <c r="B278" s="1" t="s">
        <v>885</v>
      </c>
      <c r="C278" s="1" t="s">
        <v>638</v>
      </c>
      <c r="D278" s="45" t="s">
        <v>639</v>
      </c>
      <c r="E278" s="1" t="s">
        <v>886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6">
        <v>629</v>
      </c>
      <c r="M278" s="6">
        <f t="shared" si="17"/>
        <v>629</v>
      </c>
      <c r="N278" s="6">
        <f t="shared" si="18"/>
        <v>884</v>
      </c>
      <c r="O278" s="8">
        <f t="shared" si="19"/>
        <v>0.49662921348314609</v>
      </c>
    </row>
    <row r="279" spans="1:15" ht="17" customHeight="1">
      <c r="A279" s="1" t="s">
        <v>887</v>
      </c>
      <c r="C279" s="1" t="s">
        <v>888</v>
      </c>
      <c r="D279" s="45" t="s">
        <v>889</v>
      </c>
      <c r="E279" t="s">
        <v>890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891</v>
      </c>
      <c r="C280" s="1" t="s">
        <v>892</v>
      </c>
      <c r="D280" s="45" t="s">
        <v>893</v>
      </c>
      <c r="E280" t="s">
        <v>892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6">
        <v>1070</v>
      </c>
      <c r="M280" s="6">
        <f t="shared" si="17"/>
        <v>1070</v>
      </c>
      <c r="N280" s="6">
        <f t="shared" si="18"/>
        <v>358</v>
      </c>
      <c r="O280" s="8">
        <f t="shared" si="19"/>
        <v>0.21309523809523809</v>
      </c>
    </row>
    <row r="281" spans="1:15" ht="17" customHeight="1">
      <c r="A281" s="1" t="s">
        <v>894</v>
      </c>
      <c r="C281" s="1" t="s">
        <v>895</v>
      </c>
      <c r="D281" s="45" t="s">
        <v>896</v>
      </c>
      <c r="E281" t="s">
        <v>897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898</v>
      </c>
      <c r="C282" s="1" t="s">
        <v>899</v>
      </c>
      <c r="D282" s="45" t="s">
        <v>493</v>
      </c>
      <c r="E282" t="s">
        <v>899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900</v>
      </c>
      <c r="C283" s="1" t="s">
        <v>781</v>
      </c>
      <c r="D283" s="45">
        <v>720</v>
      </c>
      <c r="E283" t="s">
        <v>781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901</v>
      </c>
      <c r="C284" s="1" t="s">
        <v>902</v>
      </c>
      <c r="D284" s="45" t="s">
        <v>903</v>
      </c>
      <c r="E284" t="s">
        <v>902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904</v>
      </c>
      <c r="B285" s="1"/>
      <c r="C285" s="1" t="s">
        <v>905</v>
      </c>
      <c r="D285" s="45" t="s">
        <v>906</v>
      </c>
      <c r="E285" s="1" t="s">
        <v>905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907</v>
      </c>
      <c r="C286" s="1" t="s">
        <v>908</v>
      </c>
      <c r="D286" s="45" t="s">
        <v>909</v>
      </c>
      <c r="E286" t="s">
        <v>908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910</v>
      </c>
      <c r="B287" s="1"/>
      <c r="C287" s="1" t="s">
        <v>911</v>
      </c>
      <c r="D287" s="45" t="s">
        <v>912</v>
      </c>
      <c r="E287" s="1" t="s">
        <v>911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913</v>
      </c>
      <c r="C288" s="1" t="s">
        <v>914</v>
      </c>
      <c r="D288" s="45" t="s">
        <v>915</v>
      </c>
      <c r="E288" t="s">
        <v>914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916</v>
      </c>
      <c r="C289" s="1" t="s">
        <v>917</v>
      </c>
      <c r="D289" s="45" t="s">
        <v>918</v>
      </c>
      <c r="E289" t="s">
        <v>919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920</v>
      </c>
      <c r="B290" s="1"/>
      <c r="C290" s="1" t="s">
        <v>921</v>
      </c>
      <c r="D290" s="45" t="s">
        <v>922</v>
      </c>
      <c r="E290" s="1" t="s">
        <v>921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923</v>
      </c>
      <c r="C291" s="1" t="s">
        <v>924</v>
      </c>
      <c r="D291" s="45" t="s">
        <v>925</v>
      </c>
      <c r="E291" t="s">
        <v>926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927</v>
      </c>
      <c r="B292" s="1"/>
      <c r="C292" s="1" t="s">
        <v>928</v>
      </c>
      <c r="D292" s="45" t="s">
        <v>929</v>
      </c>
      <c r="E292" s="1" t="s">
        <v>928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6">
        <v>438</v>
      </c>
      <c r="M292" s="6">
        <f t="shared" si="17"/>
        <v>438</v>
      </c>
      <c r="N292" s="6">
        <f t="shared" si="18"/>
        <v>650</v>
      </c>
      <c r="O292" s="8">
        <f t="shared" si="19"/>
        <v>0.5078125</v>
      </c>
    </row>
    <row r="293" spans="1:15" ht="17" customHeight="1">
      <c r="A293" s="1" t="s">
        <v>930</v>
      </c>
      <c r="C293" s="1" t="s">
        <v>931</v>
      </c>
      <c r="D293" s="45" t="s">
        <v>932</v>
      </c>
      <c r="E293" t="s">
        <v>933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934</v>
      </c>
      <c r="B294" s="1"/>
      <c r="C294" s="1" t="s">
        <v>935</v>
      </c>
      <c r="D294" s="45" t="s">
        <v>936</v>
      </c>
      <c r="E294" s="1" t="s">
        <v>935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937</v>
      </c>
      <c r="C295" s="1" t="s">
        <v>938</v>
      </c>
      <c r="D295" s="45">
        <v>199</v>
      </c>
      <c r="E295" t="s">
        <v>938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939</v>
      </c>
      <c r="C296" s="1" t="s">
        <v>940</v>
      </c>
      <c r="D296" s="45" t="s">
        <v>941</v>
      </c>
      <c r="E296" t="s">
        <v>940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942</v>
      </c>
      <c r="B297" s="1"/>
      <c r="C297" s="1" t="s">
        <v>943</v>
      </c>
      <c r="D297" s="45" t="s">
        <v>944</v>
      </c>
      <c r="E297" s="1" t="s">
        <v>943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945</v>
      </c>
      <c r="C298" s="1" t="s">
        <v>946</v>
      </c>
      <c r="D298" s="45" t="s">
        <v>947</v>
      </c>
      <c r="E298" t="s">
        <v>948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6">
        <v>320</v>
      </c>
      <c r="M298" s="6">
        <f t="shared" si="17"/>
        <v>320</v>
      </c>
      <c r="N298" s="6">
        <f t="shared" si="18"/>
        <v>359.15</v>
      </c>
      <c r="O298" s="8">
        <f t="shared" si="19"/>
        <v>0.4494993742177722</v>
      </c>
    </row>
    <row r="299" spans="1:15" ht="17" customHeight="1">
      <c r="A299" s="1" t="s">
        <v>949</v>
      </c>
      <c r="C299" s="1" t="s">
        <v>950</v>
      </c>
      <c r="D299" s="45" t="s">
        <v>951</v>
      </c>
      <c r="E299" t="s">
        <v>950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952</v>
      </c>
      <c r="C300" s="1" t="s">
        <v>953</v>
      </c>
      <c r="D300" s="45" t="s">
        <v>954</v>
      </c>
      <c r="E300" t="s">
        <v>955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1824285</v>
      </c>
      <c r="N301" s="1">
        <f>SUM(N7:N300)</f>
        <v>994496.05000000028</v>
      </c>
      <c r="O301" s="8">
        <f t="shared" si="19"/>
        <v>0.29988907527954334</v>
      </c>
    </row>
    <row r="302" spans="1:15" ht="17" customHeight="1"/>
    <row r="303" spans="1:15" ht="17" customHeight="1">
      <c r="M303" s="30" t="s">
        <v>956</v>
      </c>
      <c r="N303" s="41">
        <v>76791</v>
      </c>
      <c r="O303" s="32">
        <f>SUM(N303/I301)</f>
        <v>2.3156232726908674E-2</v>
      </c>
    </row>
    <row r="304" spans="1:15" ht="17" customHeight="1">
      <c r="M304" s="33" t="s">
        <v>957</v>
      </c>
      <c r="N304" s="42">
        <v>96798</v>
      </c>
      <c r="O304" s="34">
        <f>SUM(N304/I301)</f>
        <v>2.9189319262664975E-2</v>
      </c>
    </row>
    <row r="305" spans="13:15" ht="17" customHeight="1">
      <c r="M305" s="33" t="s">
        <v>958</v>
      </c>
      <c r="N305" s="42">
        <v>11700</v>
      </c>
      <c r="O305" s="34">
        <f>SUM(N305/I301)</f>
        <v>3.528120781144034E-3</v>
      </c>
    </row>
    <row r="306" spans="13:15" ht="17" customHeight="1">
      <c r="M306" s="33" t="s">
        <v>959</v>
      </c>
      <c r="N306" s="42">
        <v>0</v>
      </c>
      <c r="O306" s="35"/>
    </row>
    <row r="307" spans="13:15" ht="17" customHeight="1">
      <c r="M307" s="33" t="s">
        <v>960</v>
      </c>
      <c r="N307" s="28">
        <f>SUM(N303:N306)</f>
        <v>185289</v>
      </c>
      <c r="O307" s="34">
        <f>SUM(N307/I301)</f>
        <v>5.5873672770717683E-2</v>
      </c>
    </row>
    <row r="308" spans="13:15" ht="17" customHeight="1">
      <c r="M308" s="33"/>
      <c r="N308" s="28"/>
      <c r="O308" s="34"/>
    </row>
    <row r="309" spans="13:15" ht="13" customHeight="1">
      <c r="M309" s="33" t="s">
        <v>961</v>
      </c>
      <c r="N309" s="42">
        <v>248314</v>
      </c>
      <c r="O309" s="34">
        <f>SUM(N309/I301)</f>
        <v>7.4878784927264921E-2</v>
      </c>
    </row>
    <row r="310" spans="13:15" ht="13" customHeight="1">
      <c r="M310" s="36" t="s">
        <v>962</v>
      </c>
      <c r="N310" s="43">
        <v>36608</v>
      </c>
      <c r="O310" s="34">
        <f>SUM(N310/I301)</f>
        <v>1.1039097910779555E-2</v>
      </c>
    </row>
    <row r="311" spans="13:15" ht="13" customHeight="1">
      <c r="M311" s="36" t="s">
        <v>960</v>
      </c>
      <c r="N311" s="1">
        <f>SUM(N309:N310)</f>
        <v>284922</v>
      </c>
      <c r="O311" s="34">
        <f>SUM(O309:O310)</f>
        <v>8.5917882838044482E-2</v>
      </c>
    </row>
    <row r="312" spans="13:15" ht="13" customHeight="1">
      <c r="M312" s="33"/>
      <c r="N312" s="28"/>
      <c r="O312" s="35"/>
    </row>
    <row r="313" spans="13:15" ht="13" customHeight="1">
      <c r="M313" s="33" t="s">
        <v>963</v>
      </c>
      <c r="N313" s="28">
        <f>SUM(N301-N307-N311)</f>
        <v>524285.05000000028</v>
      </c>
      <c r="O313" s="35"/>
    </row>
    <row r="314" spans="13:15" ht="13" customHeight="1">
      <c r="M314" s="37" t="s">
        <v>964</v>
      </c>
      <c r="N314" s="38">
        <f>IF(I301=0,"",N313/I301)</f>
        <v>0.15809751967078117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4月</vt:lpstr>
      <vt:lpstr>5月</vt:lpstr>
      <vt:lpstr>6月</vt:lpstr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2026-08-03T10:13:22Z</dcterms:modified>
</cp:coreProperties>
</file>