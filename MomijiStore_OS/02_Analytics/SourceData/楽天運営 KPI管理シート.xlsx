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F5781B47DF68FF24D4EDF24ED4D25F7147844277" xr6:coauthVersionLast="47" xr6:coauthVersionMax="47" xr10:uidLastSave="{00000000-0000-0000-0000-000000000000}"/>
  <bookViews>
    <workbookView xWindow="83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  <sheet name="8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0" i="5" l="1"/>
  <c r="N276" i="5"/>
  <c r="O276" i="5" s="1"/>
  <c r="J270" i="5"/>
  <c r="I270" i="5"/>
  <c r="H270" i="5"/>
  <c r="O269" i="5"/>
  <c r="M269" i="5"/>
  <c r="K269" i="5"/>
  <c r="N269" i="5" s="1"/>
  <c r="N268" i="5"/>
  <c r="O268" i="5" s="1"/>
  <c r="M268" i="5"/>
  <c r="K268" i="5"/>
  <c r="N267" i="5"/>
  <c r="O267" i="5" s="1"/>
  <c r="M267" i="5"/>
  <c r="K267" i="5"/>
  <c r="M266" i="5"/>
  <c r="K266" i="5"/>
  <c r="N266" i="5" s="1"/>
  <c r="O266" i="5" s="1"/>
  <c r="M265" i="5"/>
  <c r="K265" i="5"/>
  <c r="N265" i="5" s="1"/>
  <c r="O265" i="5" s="1"/>
  <c r="M264" i="5"/>
  <c r="K264" i="5"/>
  <c r="O263" i="5"/>
  <c r="N263" i="5"/>
  <c r="M263" i="5"/>
  <c r="K263" i="5"/>
  <c r="N262" i="5"/>
  <c r="O262" i="5" s="1"/>
  <c r="M262" i="5"/>
  <c r="K262" i="5"/>
  <c r="M261" i="5"/>
  <c r="K261" i="5"/>
  <c r="M260" i="5"/>
  <c r="K260" i="5"/>
  <c r="N260" i="5" s="1"/>
  <c r="O260" i="5" s="1"/>
  <c r="M259" i="5"/>
  <c r="K259" i="5"/>
  <c r="O258" i="5"/>
  <c r="N258" i="5"/>
  <c r="M258" i="5"/>
  <c r="K258" i="5"/>
  <c r="N257" i="5"/>
  <c r="O257" i="5" s="1"/>
  <c r="M257" i="5"/>
  <c r="K257" i="5"/>
  <c r="M256" i="5"/>
  <c r="K256" i="5"/>
  <c r="M255" i="5"/>
  <c r="K255" i="5"/>
  <c r="N255" i="5" s="1"/>
  <c r="O255" i="5" s="1"/>
  <c r="M254" i="5"/>
  <c r="N254" i="5" s="1"/>
  <c r="O254" i="5" s="1"/>
  <c r="K254" i="5"/>
  <c r="O253" i="5"/>
  <c r="N253" i="5"/>
  <c r="M253" i="5"/>
  <c r="K253" i="5"/>
  <c r="N252" i="5"/>
  <c r="O252" i="5" s="1"/>
  <c r="M252" i="5"/>
  <c r="K252" i="5"/>
  <c r="M251" i="5"/>
  <c r="K251" i="5"/>
  <c r="N251" i="5" s="1"/>
  <c r="O251" i="5" s="1"/>
  <c r="M250" i="5"/>
  <c r="K250" i="5"/>
  <c r="N250" i="5" s="1"/>
  <c r="O250" i="5" s="1"/>
  <c r="M249" i="5"/>
  <c r="K249" i="5"/>
  <c r="N249" i="5" s="1"/>
  <c r="O249" i="5" s="1"/>
  <c r="O248" i="5"/>
  <c r="N248" i="5"/>
  <c r="M248" i="5"/>
  <c r="K248" i="5"/>
  <c r="N247" i="5"/>
  <c r="O247" i="5" s="1"/>
  <c r="M247" i="5"/>
  <c r="K247" i="5"/>
  <c r="M246" i="5"/>
  <c r="K246" i="5"/>
  <c r="N246" i="5" s="1"/>
  <c r="O246" i="5" s="1"/>
  <c r="M245" i="5"/>
  <c r="K245" i="5"/>
  <c r="N245" i="5" s="1"/>
  <c r="O245" i="5" s="1"/>
  <c r="M244" i="5"/>
  <c r="N244" i="5" s="1"/>
  <c r="O244" i="5" s="1"/>
  <c r="K244" i="5"/>
  <c r="O243" i="5"/>
  <c r="N243" i="5"/>
  <c r="M243" i="5"/>
  <c r="K243" i="5"/>
  <c r="N242" i="5"/>
  <c r="O242" i="5" s="1"/>
  <c r="M242" i="5"/>
  <c r="K242" i="5"/>
  <c r="M241" i="5"/>
  <c r="K241" i="5"/>
  <c r="N241" i="5" s="1"/>
  <c r="O241" i="5" s="1"/>
  <c r="M240" i="5"/>
  <c r="K240" i="5"/>
  <c r="N240" i="5" s="1"/>
  <c r="O240" i="5" s="1"/>
  <c r="M239" i="5"/>
  <c r="K239" i="5"/>
  <c r="O238" i="5"/>
  <c r="N238" i="5"/>
  <c r="M238" i="5"/>
  <c r="K238" i="5"/>
  <c r="N237" i="5"/>
  <c r="O237" i="5" s="1"/>
  <c r="M237" i="5"/>
  <c r="K237" i="5"/>
  <c r="M236" i="5"/>
  <c r="K236" i="5"/>
  <c r="M235" i="5"/>
  <c r="K235" i="5"/>
  <c r="N235" i="5" s="1"/>
  <c r="O235" i="5" s="1"/>
  <c r="M234" i="5"/>
  <c r="K234" i="5"/>
  <c r="O233" i="5"/>
  <c r="N233" i="5"/>
  <c r="M233" i="5"/>
  <c r="K233" i="5"/>
  <c r="N232" i="5"/>
  <c r="O232" i="5" s="1"/>
  <c r="M232" i="5"/>
  <c r="K232" i="5"/>
  <c r="M231" i="5"/>
  <c r="K231" i="5"/>
  <c r="M230" i="5"/>
  <c r="K230" i="5"/>
  <c r="N230" i="5" s="1"/>
  <c r="O230" i="5" s="1"/>
  <c r="M229" i="5"/>
  <c r="K229" i="5"/>
  <c r="O228" i="5"/>
  <c r="N228" i="5"/>
  <c r="M228" i="5"/>
  <c r="K228" i="5"/>
  <c r="M227" i="5"/>
  <c r="N227" i="5" s="1"/>
  <c r="O227" i="5" s="1"/>
  <c r="K227" i="5"/>
  <c r="M226" i="5"/>
  <c r="K226" i="5"/>
  <c r="N226" i="5" s="1"/>
  <c r="O226" i="5" s="1"/>
  <c r="M225" i="5"/>
  <c r="K225" i="5"/>
  <c r="N225" i="5" s="1"/>
  <c r="O225" i="5" s="1"/>
  <c r="M224" i="5"/>
  <c r="K224" i="5"/>
  <c r="N224" i="5" s="1"/>
  <c r="O224" i="5" s="1"/>
  <c r="O223" i="5"/>
  <c r="N223" i="5"/>
  <c r="M223" i="5"/>
  <c r="K223" i="5"/>
  <c r="M222" i="5"/>
  <c r="N222" i="5" s="1"/>
  <c r="O222" i="5" s="1"/>
  <c r="K222" i="5"/>
  <c r="M221" i="5"/>
  <c r="K221" i="5"/>
  <c r="N221" i="5" s="1"/>
  <c r="O221" i="5" s="1"/>
  <c r="M220" i="5"/>
  <c r="K220" i="5"/>
  <c r="N220" i="5" s="1"/>
  <c r="O220" i="5" s="1"/>
  <c r="O219" i="5"/>
  <c r="M219" i="5"/>
  <c r="N219" i="5" s="1"/>
  <c r="K219" i="5"/>
  <c r="O218" i="5"/>
  <c r="N218" i="5"/>
  <c r="M218" i="5"/>
  <c r="K218" i="5"/>
  <c r="M217" i="5"/>
  <c r="N217" i="5" s="1"/>
  <c r="O217" i="5" s="1"/>
  <c r="K217" i="5"/>
  <c r="M216" i="5"/>
  <c r="K216" i="5"/>
  <c r="N216" i="5" s="1"/>
  <c r="O216" i="5" s="1"/>
  <c r="M215" i="5"/>
  <c r="K215" i="5"/>
  <c r="N215" i="5" s="1"/>
  <c r="O215" i="5" s="1"/>
  <c r="O214" i="5"/>
  <c r="M214" i="5"/>
  <c r="N214" i="5" s="1"/>
  <c r="K214" i="5"/>
  <c r="O213" i="5"/>
  <c r="N213" i="5"/>
  <c r="M213" i="5"/>
  <c r="K213" i="5"/>
  <c r="M212" i="5"/>
  <c r="N212" i="5" s="1"/>
  <c r="O212" i="5" s="1"/>
  <c r="K212" i="5"/>
  <c r="M211" i="5"/>
  <c r="K211" i="5"/>
  <c r="M210" i="5"/>
  <c r="K210" i="5"/>
  <c r="N210" i="5" s="1"/>
  <c r="O210" i="5" s="1"/>
  <c r="O209" i="5"/>
  <c r="M209" i="5"/>
  <c r="N209" i="5" s="1"/>
  <c r="K209" i="5"/>
  <c r="O208" i="5"/>
  <c r="N208" i="5"/>
  <c r="M208" i="5"/>
  <c r="K208" i="5"/>
  <c r="M207" i="5"/>
  <c r="K207" i="5"/>
  <c r="N207" i="5" s="1"/>
  <c r="O207" i="5" s="1"/>
  <c r="M206" i="5"/>
  <c r="K206" i="5"/>
  <c r="M205" i="5"/>
  <c r="K205" i="5"/>
  <c r="N205" i="5" s="1"/>
  <c r="O205" i="5" s="1"/>
  <c r="M204" i="5"/>
  <c r="N204" i="5" s="1"/>
  <c r="O204" i="5" s="1"/>
  <c r="K204" i="5"/>
  <c r="O203" i="5"/>
  <c r="N203" i="5"/>
  <c r="M203" i="5"/>
  <c r="K203" i="5"/>
  <c r="M202" i="5"/>
  <c r="K202" i="5"/>
  <c r="N202" i="5" s="1"/>
  <c r="O202" i="5" s="1"/>
  <c r="M201" i="5"/>
  <c r="K201" i="5"/>
  <c r="N201" i="5" s="1"/>
  <c r="O201" i="5" s="1"/>
  <c r="M200" i="5"/>
  <c r="K200" i="5"/>
  <c r="N200" i="5" s="1"/>
  <c r="O200" i="5" s="1"/>
  <c r="N199" i="5"/>
  <c r="O199" i="5" s="1"/>
  <c r="M199" i="5"/>
  <c r="K199" i="5"/>
  <c r="O198" i="5"/>
  <c r="N198" i="5"/>
  <c r="M198" i="5"/>
  <c r="K198" i="5"/>
  <c r="M197" i="5"/>
  <c r="K197" i="5"/>
  <c r="N197" i="5" s="1"/>
  <c r="O197" i="5" s="1"/>
  <c r="M196" i="5"/>
  <c r="K196" i="5"/>
  <c r="M195" i="5"/>
  <c r="K195" i="5"/>
  <c r="N195" i="5" s="1"/>
  <c r="O195" i="5" s="1"/>
  <c r="M194" i="5"/>
  <c r="N194" i="5" s="1"/>
  <c r="O194" i="5" s="1"/>
  <c r="K194" i="5"/>
  <c r="O193" i="5"/>
  <c r="N193" i="5"/>
  <c r="M193" i="5"/>
  <c r="K193" i="5"/>
  <c r="M192" i="5"/>
  <c r="K192" i="5"/>
  <c r="N192" i="5" s="1"/>
  <c r="O192" i="5" s="1"/>
  <c r="M191" i="5"/>
  <c r="K191" i="5"/>
  <c r="N191" i="5" s="1"/>
  <c r="O191" i="5" s="1"/>
  <c r="M190" i="5"/>
  <c r="K190" i="5"/>
  <c r="N190" i="5" s="1"/>
  <c r="O190" i="5" s="1"/>
  <c r="N189" i="5"/>
  <c r="O189" i="5" s="1"/>
  <c r="M189" i="5"/>
  <c r="K189" i="5"/>
  <c r="O188" i="5"/>
  <c r="N188" i="5"/>
  <c r="M188" i="5"/>
  <c r="K188" i="5"/>
  <c r="M187" i="5"/>
  <c r="K187" i="5"/>
  <c r="N187" i="5" s="1"/>
  <c r="O187" i="5" s="1"/>
  <c r="M186" i="5"/>
  <c r="K186" i="5"/>
  <c r="M185" i="5"/>
  <c r="K185" i="5"/>
  <c r="N185" i="5" s="1"/>
  <c r="O185" i="5" s="1"/>
  <c r="M184" i="5"/>
  <c r="N184" i="5" s="1"/>
  <c r="O184" i="5" s="1"/>
  <c r="K184" i="5"/>
  <c r="O183" i="5"/>
  <c r="N183" i="5"/>
  <c r="M183" i="5"/>
  <c r="K183" i="5"/>
  <c r="M182" i="5"/>
  <c r="K182" i="5"/>
  <c r="N182" i="5" s="1"/>
  <c r="O182" i="5" s="1"/>
  <c r="M181" i="5"/>
  <c r="K181" i="5"/>
  <c r="N181" i="5" s="1"/>
  <c r="O181" i="5" s="1"/>
  <c r="M180" i="5"/>
  <c r="K180" i="5"/>
  <c r="N180" i="5" s="1"/>
  <c r="O180" i="5" s="1"/>
  <c r="N179" i="5"/>
  <c r="O179" i="5" s="1"/>
  <c r="M179" i="5"/>
  <c r="K179" i="5"/>
  <c r="O178" i="5"/>
  <c r="N178" i="5"/>
  <c r="M178" i="5"/>
  <c r="K178" i="5"/>
  <c r="M177" i="5"/>
  <c r="K177" i="5"/>
  <c r="N177" i="5" s="1"/>
  <c r="O177" i="5" s="1"/>
  <c r="M176" i="5"/>
  <c r="K176" i="5"/>
  <c r="M175" i="5"/>
  <c r="K175" i="5"/>
  <c r="N175" i="5" s="1"/>
  <c r="O175" i="5" s="1"/>
  <c r="M174" i="5"/>
  <c r="N174" i="5" s="1"/>
  <c r="O174" i="5" s="1"/>
  <c r="K174" i="5"/>
  <c r="O173" i="5"/>
  <c r="N173" i="5"/>
  <c r="M173" i="5"/>
  <c r="K173" i="5"/>
  <c r="M172" i="5"/>
  <c r="K172" i="5"/>
  <c r="N172" i="5" s="1"/>
  <c r="O172" i="5" s="1"/>
  <c r="M171" i="5"/>
  <c r="K171" i="5"/>
  <c r="N171" i="5" s="1"/>
  <c r="O171" i="5" s="1"/>
  <c r="M170" i="5"/>
  <c r="K170" i="5"/>
  <c r="N170" i="5" s="1"/>
  <c r="O170" i="5" s="1"/>
  <c r="N169" i="5"/>
  <c r="O169" i="5" s="1"/>
  <c r="M169" i="5"/>
  <c r="K169" i="5"/>
  <c r="O168" i="5"/>
  <c r="N168" i="5"/>
  <c r="M168" i="5"/>
  <c r="K168" i="5"/>
  <c r="M167" i="5"/>
  <c r="K167" i="5"/>
  <c r="N167" i="5" s="1"/>
  <c r="O167" i="5" s="1"/>
  <c r="M166" i="5"/>
  <c r="K166" i="5"/>
  <c r="M165" i="5"/>
  <c r="K165" i="5"/>
  <c r="N165" i="5" s="1"/>
  <c r="O165" i="5" s="1"/>
  <c r="M164" i="5"/>
  <c r="N164" i="5" s="1"/>
  <c r="O164" i="5" s="1"/>
  <c r="K164" i="5"/>
  <c r="O163" i="5"/>
  <c r="N163" i="5"/>
  <c r="M163" i="5"/>
  <c r="K163" i="5"/>
  <c r="M162" i="5"/>
  <c r="K162" i="5"/>
  <c r="M161" i="5"/>
  <c r="K161" i="5"/>
  <c r="N161" i="5" s="1"/>
  <c r="O161" i="5" s="1"/>
  <c r="M160" i="5"/>
  <c r="K160" i="5"/>
  <c r="N160" i="5" s="1"/>
  <c r="O160" i="5" s="1"/>
  <c r="N159" i="5"/>
  <c r="O159" i="5" s="1"/>
  <c r="M159" i="5"/>
  <c r="K159" i="5"/>
  <c r="O158" i="5"/>
  <c r="N158" i="5"/>
  <c r="M158" i="5"/>
  <c r="K158" i="5"/>
  <c r="M157" i="5"/>
  <c r="K157" i="5"/>
  <c r="N157" i="5" s="1"/>
  <c r="O157" i="5" s="1"/>
  <c r="M156" i="5"/>
  <c r="K156" i="5"/>
  <c r="M155" i="5"/>
  <c r="K155" i="5"/>
  <c r="N155" i="5" s="1"/>
  <c r="O155" i="5" s="1"/>
  <c r="M154" i="5"/>
  <c r="N154" i="5" s="1"/>
  <c r="O154" i="5" s="1"/>
  <c r="K154" i="5"/>
  <c r="O153" i="5"/>
  <c r="N153" i="5"/>
  <c r="M153" i="5"/>
  <c r="K153" i="5"/>
  <c r="M152" i="5"/>
  <c r="K152" i="5"/>
  <c r="M151" i="5"/>
  <c r="K151" i="5"/>
  <c r="N151" i="5" s="1"/>
  <c r="O151" i="5" s="1"/>
  <c r="M150" i="5"/>
  <c r="K150" i="5"/>
  <c r="N150" i="5" s="1"/>
  <c r="O150" i="5" s="1"/>
  <c r="N149" i="5"/>
  <c r="O149" i="5" s="1"/>
  <c r="M149" i="5"/>
  <c r="K149" i="5"/>
  <c r="O148" i="5"/>
  <c r="N148" i="5"/>
  <c r="M148" i="5"/>
  <c r="K148" i="5"/>
  <c r="M147" i="5"/>
  <c r="K147" i="5"/>
  <c r="N147" i="5" s="1"/>
  <c r="O147" i="5" s="1"/>
  <c r="M146" i="5"/>
  <c r="K146" i="5"/>
  <c r="M145" i="5"/>
  <c r="K145" i="5"/>
  <c r="N145" i="5" s="1"/>
  <c r="O145" i="5" s="1"/>
  <c r="M144" i="5"/>
  <c r="N144" i="5" s="1"/>
  <c r="O144" i="5" s="1"/>
  <c r="K144" i="5"/>
  <c r="O143" i="5"/>
  <c r="N143" i="5"/>
  <c r="M143" i="5"/>
  <c r="K143" i="5"/>
  <c r="M142" i="5"/>
  <c r="K142" i="5"/>
  <c r="N142" i="5" s="1"/>
  <c r="O142" i="5" s="1"/>
  <c r="M141" i="5"/>
  <c r="K141" i="5"/>
  <c r="N141" i="5" s="1"/>
  <c r="O141" i="5" s="1"/>
  <c r="M140" i="5"/>
  <c r="K140" i="5"/>
  <c r="N140" i="5" s="1"/>
  <c r="O140" i="5" s="1"/>
  <c r="O139" i="5"/>
  <c r="N139" i="5"/>
  <c r="M139" i="5"/>
  <c r="K139" i="5"/>
  <c r="O138" i="5"/>
  <c r="N138" i="5"/>
  <c r="M138" i="5"/>
  <c r="K138" i="5"/>
  <c r="M137" i="5"/>
  <c r="K137" i="5"/>
  <c r="N137" i="5" s="1"/>
  <c r="O137" i="5" s="1"/>
  <c r="M136" i="5"/>
  <c r="K136" i="5"/>
  <c r="M135" i="5"/>
  <c r="K135" i="5"/>
  <c r="N135" i="5" s="1"/>
  <c r="O135" i="5" s="1"/>
  <c r="M134" i="5"/>
  <c r="N134" i="5" s="1"/>
  <c r="O134" i="5" s="1"/>
  <c r="K134" i="5"/>
  <c r="O133" i="5"/>
  <c r="N133" i="5"/>
  <c r="M133" i="5"/>
  <c r="K133" i="5"/>
  <c r="M132" i="5"/>
  <c r="K132" i="5"/>
  <c r="M131" i="5"/>
  <c r="K131" i="5"/>
  <c r="N131" i="5" s="1"/>
  <c r="O131" i="5" s="1"/>
  <c r="M130" i="5"/>
  <c r="K130" i="5"/>
  <c r="N130" i="5" s="1"/>
  <c r="O130" i="5" s="1"/>
  <c r="O129" i="5"/>
  <c r="N129" i="5"/>
  <c r="M129" i="5"/>
  <c r="K129" i="5"/>
  <c r="O128" i="5"/>
  <c r="N128" i="5"/>
  <c r="M128" i="5"/>
  <c r="K128" i="5"/>
  <c r="M127" i="5"/>
  <c r="K127" i="5"/>
  <c r="N127" i="5" s="1"/>
  <c r="O127" i="5" s="1"/>
  <c r="M126" i="5"/>
  <c r="K126" i="5"/>
  <c r="M125" i="5"/>
  <c r="K125" i="5"/>
  <c r="N125" i="5" s="1"/>
  <c r="O125" i="5" s="1"/>
  <c r="M124" i="5"/>
  <c r="N124" i="5" s="1"/>
  <c r="O124" i="5" s="1"/>
  <c r="K124" i="5"/>
  <c r="O123" i="5"/>
  <c r="N123" i="5"/>
  <c r="M123" i="5"/>
  <c r="K123" i="5"/>
  <c r="M122" i="5"/>
  <c r="K122" i="5"/>
  <c r="N122" i="5" s="1"/>
  <c r="O122" i="5" s="1"/>
  <c r="M121" i="5"/>
  <c r="K121" i="5"/>
  <c r="N121" i="5" s="1"/>
  <c r="O121" i="5" s="1"/>
  <c r="M120" i="5"/>
  <c r="K120" i="5"/>
  <c r="N120" i="5" s="1"/>
  <c r="O120" i="5" s="1"/>
  <c r="N119" i="5"/>
  <c r="O119" i="5" s="1"/>
  <c r="M119" i="5"/>
  <c r="K119" i="5"/>
  <c r="O118" i="5"/>
  <c r="M118" i="5"/>
  <c r="K118" i="5"/>
  <c r="N118" i="5" s="1"/>
  <c r="M117" i="5"/>
  <c r="K117" i="5"/>
  <c r="M116" i="5"/>
  <c r="K116" i="5"/>
  <c r="N116" i="5" s="1"/>
  <c r="O116" i="5" s="1"/>
  <c r="N115" i="5"/>
  <c r="O115" i="5" s="1"/>
  <c r="M115" i="5"/>
  <c r="K115" i="5"/>
  <c r="M114" i="5"/>
  <c r="N114" i="5" s="1"/>
  <c r="O114" i="5" s="1"/>
  <c r="K114" i="5"/>
  <c r="M113" i="5"/>
  <c r="K113" i="5"/>
  <c r="N113" i="5" s="1"/>
  <c r="O113" i="5" s="1"/>
  <c r="M112" i="5"/>
  <c r="K112" i="5"/>
  <c r="N112" i="5" s="1"/>
  <c r="O112" i="5" s="1"/>
  <c r="M111" i="5"/>
  <c r="K111" i="5"/>
  <c r="N111" i="5" s="1"/>
  <c r="O111" i="5" s="1"/>
  <c r="N110" i="5"/>
  <c r="O110" i="5" s="1"/>
  <c r="M110" i="5"/>
  <c r="K110" i="5"/>
  <c r="N109" i="5"/>
  <c r="O109" i="5" s="1"/>
  <c r="M109" i="5"/>
  <c r="K109" i="5"/>
  <c r="M108" i="5"/>
  <c r="K108" i="5"/>
  <c r="N108" i="5" s="1"/>
  <c r="O108" i="5" s="1"/>
  <c r="M107" i="5"/>
  <c r="K107" i="5"/>
  <c r="M106" i="5"/>
  <c r="K106" i="5"/>
  <c r="N105" i="5"/>
  <c r="O105" i="5" s="1"/>
  <c r="M105" i="5"/>
  <c r="K105" i="5"/>
  <c r="M104" i="5"/>
  <c r="N104" i="5" s="1"/>
  <c r="O104" i="5" s="1"/>
  <c r="K104" i="5"/>
  <c r="M103" i="5"/>
  <c r="K103" i="5"/>
  <c r="N103" i="5" s="1"/>
  <c r="O103" i="5" s="1"/>
  <c r="M102" i="5"/>
  <c r="K102" i="5"/>
  <c r="N102" i="5" s="1"/>
  <c r="O102" i="5" s="1"/>
  <c r="M101" i="5"/>
  <c r="K101" i="5"/>
  <c r="N100" i="5"/>
  <c r="O100" i="5" s="1"/>
  <c r="M100" i="5"/>
  <c r="K100" i="5"/>
  <c r="N99" i="5"/>
  <c r="O99" i="5" s="1"/>
  <c r="M99" i="5"/>
  <c r="K99" i="5"/>
  <c r="M98" i="5"/>
  <c r="K98" i="5"/>
  <c r="N98" i="5" s="1"/>
  <c r="O98" i="5" s="1"/>
  <c r="M97" i="5"/>
  <c r="K97" i="5"/>
  <c r="M96" i="5"/>
  <c r="K96" i="5"/>
  <c r="N96" i="5" s="1"/>
  <c r="O96" i="5" s="1"/>
  <c r="N95" i="5"/>
  <c r="O95" i="5" s="1"/>
  <c r="M95" i="5"/>
  <c r="K95" i="5"/>
  <c r="M94" i="5"/>
  <c r="N94" i="5" s="1"/>
  <c r="O94" i="5" s="1"/>
  <c r="K94" i="5"/>
  <c r="M93" i="5"/>
  <c r="K93" i="5"/>
  <c r="N93" i="5" s="1"/>
  <c r="O93" i="5" s="1"/>
  <c r="M92" i="5"/>
  <c r="K92" i="5"/>
  <c r="N92" i="5" s="1"/>
  <c r="O92" i="5" s="1"/>
  <c r="M91" i="5"/>
  <c r="K91" i="5"/>
  <c r="N91" i="5" s="1"/>
  <c r="O91" i="5" s="1"/>
  <c r="N90" i="5"/>
  <c r="O90" i="5" s="1"/>
  <c r="M90" i="5"/>
  <c r="K90" i="5"/>
  <c r="O89" i="5"/>
  <c r="N89" i="5"/>
  <c r="M89" i="5"/>
  <c r="K89" i="5"/>
  <c r="M88" i="5"/>
  <c r="K88" i="5"/>
  <c r="N88" i="5" s="1"/>
  <c r="O88" i="5" s="1"/>
  <c r="M87" i="5"/>
  <c r="K87" i="5"/>
  <c r="M86" i="5"/>
  <c r="K86" i="5"/>
  <c r="N86" i="5" s="1"/>
  <c r="O86" i="5" s="1"/>
  <c r="N85" i="5"/>
  <c r="O85" i="5" s="1"/>
  <c r="M85" i="5"/>
  <c r="K85" i="5"/>
  <c r="N84" i="5"/>
  <c r="O84" i="5" s="1"/>
  <c r="M84" i="5"/>
  <c r="K84" i="5"/>
  <c r="M83" i="5"/>
  <c r="K83" i="5"/>
  <c r="N83" i="5" s="1"/>
  <c r="O83" i="5" s="1"/>
  <c r="M82" i="5"/>
  <c r="K82" i="5"/>
  <c r="N82" i="5" s="1"/>
  <c r="O82" i="5" s="1"/>
  <c r="M81" i="5"/>
  <c r="K81" i="5"/>
  <c r="N80" i="5"/>
  <c r="O80" i="5" s="1"/>
  <c r="M80" i="5"/>
  <c r="K80" i="5"/>
  <c r="N79" i="5"/>
  <c r="O79" i="5" s="1"/>
  <c r="M79" i="5"/>
  <c r="K79" i="5"/>
  <c r="O78" i="5"/>
  <c r="M78" i="5"/>
  <c r="K78" i="5"/>
  <c r="N78" i="5" s="1"/>
  <c r="M77" i="5"/>
  <c r="K77" i="5"/>
  <c r="M76" i="5"/>
  <c r="K76" i="5"/>
  <c r="N76" i="5" s="1"/>
  <c r="O76" i="5" s="1"/>
  <c r="N75" i="5"/>
  <c r="O75" i="5" s="1"/>
  <c r="M75" i="5"/>
  <c r="K75" i="5"/>
  <c r="N74" i="5"/>
  <c r="O74" i="5" s="1"/>
  <c r="M74" i="5"/>
  <c r="K74" i="5"/>
  <c r="M73" i="5"/>
  <c r="K73" i="5"/>
  <c r="N73" i="5" s="1"/>
  <c r="O73" i="5" s="1"/>
  <c r="M72" i="5"/>
  <c r="K72" i="5"/>
  <c r="N72" i="5" s="1"/>
  <c r="O72" i="5" s="1"/>
  <c r="O71" i="5"/>
  <c r="M71" i="5"/>
  <c r="K71" i="5"/>
  <c r="N71" i="5" s="1"/>
  <c r="N70" i="5"/>
  <c r="O70" i="5" s="1"/>
  <c r="M70" i="5"/>
  <c r="K70" i="5"/>
  <c r="N69" i="5"/>
  <c r="O69" i="5" s="1"/>
  <c r="M69" i="5"/>
  <c r="K69" i="5"/>
  <c r="O68" i="5"/>
  <c r="M68" i="5"/>
  <c r="K68" i="5"/>
  <c r="N68" i="5" s="1"/>
  <c r="M67" i="5"/>
  <c r="K67" i="5"/>
  <c r="M66" i="5"/>
  <c r="K66" i="5"/>
  <c r="N65" i="5"/>
  <c r="O65" i="5" s="1"/>
  <c r="M65" i="5"/>
  <c r="K65" i="5"/>
  <c r="M64" i="5"/>
  <c r="N64" i="5" s="1"/>
  <c r="O64" i="5" s="1"/>
  <c r="K64" i="5"/>
  <c r="M63" i="5"/>
  <c r="K63" i="5"/>
  <c r="N63" i="5" s="1"/>
  <c r="O63" i="5" s="1"/>
  <c r="M62" i="5"/>
  <c r="K62" i="5"/>
  <c r="N62" i="5" s="1"/>
  <c r="O62" i="5" s="1"/>
  <c r="O61" i="5"/>
  <c r="M61" i="5"/>
  <c r="K61" i="5"/>
  <c r="N61" i="5" s="1"/>
  <c r="N60" i="5"/>
  <c r="O60" i="5" s="1"/>
  <c r="M60" i="5"/>
  <c r="K60" i="5"/>
  <c r="N59" i="5"/>
  <c r="O59" i="5" s="1"/>
  <c r="M59" i="5"/>
  <c r="K59" i="5"/>
  <c r="O58" i="5"/>
  <c r="M58" i="5"/>
  <c r="K58" i="5"/>
  <c r="N58" i="5" s="1"/>
  <c r="M57" i="5"/>
  <c r="K57" i="5"/>
  <c r="M56" i="5"/>
  <c r="K56" i="5"/>
  <c r="N55" i="5"/>
  <c r="O55" i="5" s="1"/>
  <c r="M55" i="5"/>
  <c r="K55" i="5"/>
  <c r="N54" i="5"/>
  <c r="O54" i="5" s="1"/>
  <c r="M54" i="5"/>
  <c r="K54" i="5"/>
  <c r="M53" i="5"/>
  <c r="K53" i="5"/>
  <c r="N53" i="5" s="1"/>
  <c r="O53" i="5" s="1"/>
  <c r="M52" i="5"/>
  <c r="K52" i="5"/>
  <c r="N52" i="5" s="1"/>
  <c r="O52" i="5" s="1"/>
  <c r="M51" i="5"/>
  <c r="K51" i="5"/>
  <c r="N50" i="5"/>
  <c r="O50" i="5" s="1"/>
  <c r="M50" i="5"/>
  <c r="K50" i="5"/>
  <c r="N49" i="5"/>
  <c r="O49" i="5" s="1"/>
  <c r="M49" i="5"/>
  <c r="K49" i="5"/>
  <c r="M48" i="5"/>
  <c r="K48" i="5"/>
  <c r="N48" i="5" s="1"/>
  <c r="O48" i="5" s="1"/>
  <c r="M47" i="5"/>
  <c r="K47" i="5"/>
  <c r="M46" i="5"/>
  <c r="K46" i="5"/>
  <c r="N46" i="5" s="1"/>
  <c r="O46" i="5" s="1"/>
  <c r="N45" i="5"/>
  <c r="O45" i="5" s="1"/>
  <c r="M45" i="5"/>
  <c r="K45" i="5"/>
  <c r="N44" i="5"/>
  <c r="O44" i="5" s="1"/>
  <c r="M44" i="5"/>
  <c r="K44" i="5"/>
  <c r="M43" i="5"/>
  <c r="K43" i="5"/>
  <c r="N43" i="5" s="1"/>
  <c r="O43" i="5" s="1"/>
  <c r="M42" i="5"/>
  <c r="K42" i="5"/>
  <c r="N42" i="5" s="1"/>
  <c r="O42" i="5" s="1"/>
  <c r="M41" i="5"/>
  <c r="K41" i="5"/>
  <c r="N40" i="5"/>
  <c r="O40" i="5" s="1"/>
  <c r="M40" i="5"/>
  <c r="K40" i="5"/>
  <c r="O39" i="5"/>
  <c r="N39" i="5"/>
  <c r="M39" i="5"/>
  <c r="K39" i="5"/>
  <c r="M38" i="5"/>
  <c r="K38" i="5"/>
  <c r="N38" i="5" s="1"/>
  <c r="O38" i="5" s="1"/>
  <c r="M37" i="5"/>
  <c r="K37" i="5"/>
  <c r="M36" i="5"/>
  <c r="K36" i="5"/>
  <c r="N35" i="5"/>
  <c r="O35" i="5" s="1"/>
  <c r="M35" i="5"/>
  <c r="K35" i="5"/>
  <c r="M34" i="5"/>
  <c r="N34" i="5" s="1"/>
  <c r="O34" i="5" s="1"/>
  <c r="K34" i="5"/>
  <c r="M33" i="5"/>
  <c r="K33" i="5"/>
  <c r="N33" i="5" s="1"/>
  <c r="O33" i="5" s="1"/>
  <c r="M32" i="5"/>
  <c r="K32" i="5"/>
  <c r="N32" i="5" s="1"/>
  <c r="O32" i="5" s="1"/>
  <c r="M31" i="5"/>
  <c r="K31" i="5"/>
  <c r="N30" i="5"/>
  <c r="O30" i="5" s="1"/>
  <c r="M30" i="5"/>
  <c r="K30" i="5"/>
  <c r="O29" i="5"/>
  <c r="N29" i="5"/>
  <c r="M29" i="5"/>
  <c r="K29" i="5"/>
  <c r="O28" i="5"/>
  <c r="M28" i="5"/>
  <c r="K28" i="5"/>
  <c r="N28" i="5" s="1"/>
  <c r="M27" i="5"/>
  <c r="K27" i="5"/>
  <c r="M26" i="5"/>
  <c r="K26" i="5"/>
  <c r="N25" i="5"/>
  <c r="O25" i="5" s="1"/>
  <c r="M25" i="5"/>
  <c r="K25" i="5"/>
  <c r="N24" i="5"/>
  <c r="O24" i="5" s="1"/>
  <c r="M24" i="5"/>
  <c r="K24" i="5"/>
  <c r="M23" i="5"/>
  <c r="K23" i="5"/>
  <c r="N23" i="5" s="1"/>
  <c r="O23" i="5" s="1"/>
  <c r="M22" i="5"/>
  <c r="K22" i="5"/>
  <c r="N22" i="5" s="1"/>
  <c r="O22" i="5" s="1"/>
  <c r="O21" i="5"/>
  <c r="M21" i="5"/>
  <c r="K21" i="5"/>
  <c r="N21" i="5" s="1"/>
  <c r="N20" i="5"/>
  <c r="O20" i="5" s="1"/>
  <c r="M20" i="5"/>
  <c r="K20" i="5"/>
  <c r="N19" i="5"/>
  <c r="O19" i="5" s="1"/>
  <c r="M19" i="5"/>
  <c r="K19" i="5"/>
  <c r="O18" i="5"/>
  <c r="M18" i="5"/>
  <c r="K18" i="5"/>
  <c r="N18" i="5" s="1"/>
  <c r="M17" i="5"/>
  <c r="K17" i="5"/>
  <c r="M16" i="5"/>
  <c r="K16" i="5"/>
  <c r="N15" i="5"/>
  <c r="O15" i="5" s="1"/>
  <c r="M15" i="5"/>
  <c r="K15" i="5"/>
  <c r="M14" i="5"/>
  <c r="N14" i="5" s="1"/>
  <c r="O14" i="5" s="1"/>
  <c r="K14" i="5"/>
  <c r="M13" i="5"/>
  <c r="K13" i="5"/>
  <c r="N13" i="5" s="1"/>
  <c r="O13" i="5" s="1"/>
  <c r="M12" i="5"/>
  <c r="K12" i="5"/>
  <c r="N12" i="5" s="1"/>
  <c r="O12" i="5" s="1"/>
  <c r="M11" i="5"/>
  <c r="K11" i="5"/>
  <c r="N11" i="5" s="1"/>
  <c r="O11" i="5" s="1"/>
  <c r="N10" i="5"/>
  <c r="O10" i="5" s="1"/>
  <c r="M10" i="5"/>
  <c r="K10" i="5"/>
  <c r="N9" i="5"/>
  <c r="O9" i="5" s="1"/>
  <c r="M9" i="5"/>
  <c r="K9" i="5"/>
  <c r="M8" i="5"/>
  <c r="K8" i="5"/>
  <c r="N319" i="3"/>
  <c r="O315" i="3"/>
  <c r="N315" i="3"/>
  <c r="J309" i="3"/>
  <c r="I309" i="3"/>
  <c r="H309" i="3"/>
  <c r="N308" i="3"/>
  <c r="O308" i="3" s="1"/>
  <c r="M308" i="3"/>
  <c r="K308" i="3"/>
  <c r="M307" i="3"/>
  <c r="K307" i="3"/>
  <c r="O306" i="3"/>
  <c r="M306" i="3"/>
  <c r="K306" i="3"/>
  <c r="N306" i="3" s="1"/>
  <c r="M305" i="3"/>
  <c r="K305" i="3"/>
  <c r="N305" i="3" s="1"/>
  <c r="O305" i="3" s="1"/>
  <c r="M304" i="3"/>
  <c r="N304" i="3" s="1"/>
  <c r="O304" i="3" s="1"/>
  <c r="K304" i="3"/>
  <c r="N303" i="3"/>
  <c r="O303" i="3" s="1"/>
  <c r="M303" i="3"/>
  <c r="K303" i="3"/>
  <c r="M302" i="3"/>
  <c r="K302" i="3"/>
  <c r="N302" i="3" s="1"/>
  <c r="O302" i="3" s="1"/>
  <c r="M301" i="3"/>
  <c r="K301" i="3"/>
  <c r="N301" i="3" s="1"/>
  <c r="O301" i="3" s="1"/>
  <c r="M300" i="3"/>
  <c r="K300" i="3"/>
  <c r="N300" i="3" s="1"/>
  <c r="O300" i="3" s="1"/>
  <c r="M299" i="3"/>
  <c r="N299" i="3" s="1"/>
  <c r="O299" i="3" s="1"/>
  <c r="K299" i="3"/>
  <c r="N298" i="3"/>
  <c r="O298" i="3" s="1"/>
  <c r="M298" i="3"/>
  <c r="K298" i="3"/>
  <c r="O297" i="3"/>
  <c r="M297" i="3"/>
  <c r="K297" i="3"/>
  <c r="N297" i="3" s="1"/>
  <c r="M296" i="3"/>
  <c r="K296" i="3"/>
  <c r="N296" i="3" s="1"/>
  <c r="O296" i="3" s="1"/>
  <c r="M295" i="3"/>
  <c r="K295" i="3"/>
  <c r="O294" i="3"/>
  <c r="N294" i="3"/>
  <c r="M294" i="3"/>
  <c r="K294" i="3"/>
  <c r="N293" i="3"/>
  <c r="O293" i="3" s="1"/>
  <c r="M293" i="3"/>
  <c r="K293" i="3"/>
  <c r="M292" i="3"/>
  <c r="K292" i="3"/>
  <c r="N292" i="3" s="1"/>
  <c r="O292" i="3" s="1"/>
  <c r="O291" i="3"/>
  <c r="M291" i="3"/>
  <c r="K291" i="3"/>
  <c r="N291" i="3" s="1"/>
  <c r="M290" i="3"/>
  <c r="K290" i="3"/>
  <c r="M289" i="3"/>
  <c r="N289" i="3" s="1"/>
  <c r="O289" i="3" s="1"/>
  <c r="K289" i="3"/>
  <c r="N288" i="3"/>
  <c r="O288" i="3" s="1"/>
  <c r="M288" i="3"/>
  <c r="K288" i="3"/>
  <c r="O287" i="3"/>
  <c r="N287" i="3"/>
  <c r="M287" i="3"/>
  <c r="K287" i="3"/>
  <c r="O286" i="3"/>
  <c r="M286" i="3"/>
  <c r="K286" i="3"/>
  <c r="N286" i="3" s="1"/>
  <c r="M285" i="3"/>
  <c r="K285" i="3"/>
  <c r="N284" i="3"/>
  <c r="O284" i="3" s="1"/>
  <c r="M284" i="3"/>
  <c r="K284" i="3"/>
  <c r="M283" i="3"/>
  <c r="N283" i="3" s="1"/>
  <c r="O283" i="3" s="1"/>
  <c r="K283" i="3"/>
  <c r="M282" i="3"/>
  <c r="K282" i="3"/>
  <c r="N282" i="3" s="1"/>
  <c r="O282" i="3" s="1"/>
  <c r="O281" i="3"/>
  <c r="M281" i="3"/>
  <c r="K281" i="3"/>
  <c r="N281" i="3" s="1"/>
  <c r="M280" i="3"/>
  <c r="K280" i="3"/>
  <c r="N280" i="3" s="1"/>
  <c r="O280" i="3" s="1"/>
  <c r="N279" i="3"/>
  <c r="O279" i="3" s="1"/>
  <c r="M279" i="3"/>
  <c r="K279" i="3"/>
  <c r="M278" i="3"/>
  <c r="N278" i="3" s="1"/>
  <c r="O278" i="3" s="1"/>
  <c r="K278" i="3"/>
  <c r="M277" i="3"/>
  <c r="N277" i="3" s="1"/>
  <c r="O277" i="3" s="1"/>
  <c r="K277" i="3"/>
  <c r="O276" i="3"/>
  <c r="M276" i="3"/>
  <c r="K276" i="3"/>
  <c r="N276" i="3" s="1"/>
  <c r="M275" i="3"/>
  <c r="K275" i="3"/>
  <c r="M274" i="3"/>
  <c r="N274" i="3" s="1"/>
  <c r="O274" i="3" s="1"/>
  <c r="K274" i="3"/>
  <c r="M273" i="3"/>
  <c r="N273" i="3" s="1"/>
  <c r="O273" i="3" s="1"/>
  <c r="K273" i="3"/>
  <c r="N272" i="3"/>
  <c r="O272" i="3" s="1"/>
  <c r="M272" i="3"/>
  <c r="K272" i="3"/>
  <c r="O271" i="3"/>
  <c r="M271" i="3"/>
  <c r="K271" i="3"/>
  <c r="N271" i="3" s="1"/>
  <c r="M270" i="3"/>
  <c r="K270" i="3"/>
  <c r="N270" i="3" s="1"/>
  <c r="O270" i="3" s="1"/>
  <c r="N269" i="3"/>
  <c r="O269" i="3" s="1"/>
  <c r="M269" i="3"/>
  <c r="K269" i="3"/>
  <c r="M268" i="3"/>
  <c r="N268" i="3" s="1"/>
  <c r="O268" i="3" s="1"/>
  <c r="K268" i="3"/>
  <c r="M267" i="3"/>
  <c r="N267" i="3" s="1"/>
  <c r="O267" i="3" s="1"/>
  <c r="K267" i="3"/>
  <c r="O266" i="3"/>
  <c r="M266" i="3"/>
  <c r="K266" i="3"/>
  <c r="N266" i="3" s="1"/>
  <c r="M265" i="3"/>
  <c r="K265" i="3"/>
  <c r="M264" i="3"/>
  <c r="N264" i="3" s="1"/>
  <c r="O264" i="3" s="1"/>
  <c r="K264" i="3"/>
  <c r="N263" i="3"/>
  <c r="O263" i="3" s="1"/>
  <c r="M263" i="3"/>
  <c r="K263" i="3"/>
  <c r="O262" i="3"/>
  <c r="N262" i="3"/>
  <c r="M262" i="3"/>
  <c r="K262" i="3"/>
  <c r="O261" i="3"/>
  <c r="M261" i="3"/>
  <c r="K261" i="3"/>
  <c r="N261" i="3" s="1"/>
  <c r="O260" i="3"/>
  <c r="M260" i="3"/>
  <c r="K260" i="3"/>
  <c r="N260" i="3" s="1"/>
  <c r="O259" i="3"/>
  <c r="N259" i="3"/>
  <c r="M259" i="3"/>
  <c r="K259" i="3"/>
  <c r="M258" i="3"/>
  <c r="N258" i="3" s="1"/>
  <c r="O258" i="3" s="1"/>
  <c r="K258" i="3"/>
  <c r="O257" i="3"/>
  <c r="M257" i="3"/>
  <c r="K257" i="3"/>
  <c r="N257" i="3" s="1"/>
  <c r="O256" i="3"/>
  <c r="M256" i="3"/>
  <c r="K256" i="3"/>
  <c r="N256" i="3" s="1"/>
  <c r="M255" i="3"/>
  <c r="K255" i="3"/>
  <c r="N255" i="3" s="1"/>
  <c r="O255" i="3" s="1"/>
  <c r="M254" i="3"/>
  <c r="N254" i="3" s="1"/>
  <c r="O254" i="3" s="1"/>
  <c r="K254" i="3"/>
  <c r="N253" i="3"/>
  <c r="O253" i="3" s="1"/>
  <c r="M253" i="3"/>
  <c r="K253" i="3"/>
  <c r="O252" i="3"/>
  <c r="M252" i="3"/>
  <c r="K252" i="3"/>
  <c r="N252" i="3" s="1"/>
  <c r="M251" i="3"/>
  <c r="K251" i="3"/>
  <c r="N251" i="3" s="1"/>
  <c r="O251" i="3" s="1"/>
  <c r="M250" i="3"/>
  <c r="K250" i="3"/>
  <c r="N250" i="3" s="1"/>
  <c r="O250" i="3" s="1"/>
  <c r="O249" i="3"/>
  <c r="N249" i="3"/>
  <c r="M249" i="3"/>
  <c r="K249" i="3"/>
  <c r="M248" i="3"/>
  <c r="N248" i="3" s="1"/>
  <c r="O248" i="3" s="1"/>
  <c r="K248" i="3"/>
  <c r="O247" i="3"/>
  <c r="M247" i="3"/>
  <c r="K247" i="3"/>
  <c r="N247" i="3" s="1"/>
  <c r="O246" i="3"/>
  <c r="M246" i="3"/>
  <c r="K246" i="3"/>
  <c r="N246" i="3" s="1"/>
  <c r="M245" i="3"/>
  <c r="K245" i="3"/>
  <c r="N245" i="3" s="1"/>
  <c r="O245" i="3" s="1"/>
  <c r="O244" i="3"/>
  <c r="M244" i="3"/>
  <c r="N244" i="3" s="1"/>
  <c r="K244" i="3"/>
  <c r="M243" i="3"/>
  <c r="N243" i="3" s="1"/>
  <c r="O243" i="3" s="1"/>
  <c r="K243" i="3"/>
  <c r="M242" i="3"/>
  <c r="K242" i="3"/>
  <c r="M241" i="3"/>
  <c r="K241" i="3"/>
  <c r="N241" i="3" s="1"/>
  <c r="O241" i="3" s="1"/>
  <c r="O240" i="3"/>
  <c r="M240" i="3"/>
  <c r="K240" i="3"/>
  <c r="N240" i="3" s="1"/>
  <c r="M239" i="3"/>
  <c r="N239" i="3" s="1"/>
  <c r="O239" i="3" s="1"/>
  <c r="K239" i="3"/>
  <c r="M238" i="3"/>
  <c r="N238" i="3" s="1"/>
  <c r="O238" i="3" s="1"/>
  <c r="K238" i="3"/>
  <c r="M237" i="3"/>
  <c r="N237" i="3" s="1"/>
  <c r="O237" i="3" s="1"/>
  <c r="K237" i="3"/>
  <c r="M236" i="3"/>
  <c r="K236" i="3"/>
  <c r="N236" i="3" s="1"/>
  <c r="O236" i="3" s="1"/>
  <c r="M235" i="3"/>
  <c r="K235" i="3"/>
  <c r="M234" i="3"/>
  <c r="N234" i="3" s="1"/>
  <c r="O234" i="3" s="1"/>
  <c r="K234" i="3"/>
  <c r="M233" i="3"/>
  <c r="N233" i="3" s="1"/>
  <c r="O233" i="3" s="1"/>
  <c r="K233" i="3"/>
  <c r="M232" i="3"/>
  <c r="K232" i="3"/>
  <c r="N232" i="3" s="1"/>
  <c r="O232" i="3" s="1"/>
  <c r="O231" i="3"/>
  <c r="M231" i="3"/>
  <c r="K231" i="3"/>
  <c r="N231" i="3" s="1"/>
  <c r="M230" i="3"/>
  <c r="K230" i="3"/>
  <c r="M229" i="3"/>
  <c r="N229" i="3" s="1"/>
  <c r="O229" i="3" s="1"/>
  <c r="K229" i="3"/>
  <c r="N228" i="3"/>
  <c r="O228" i="3" s="1"/>
  <c r="M228" i="3"/>
  <c r="K228" i="3"/>
  <c r="N227" i="3"/>
  <c r="O227" i="3" s="1"/>
  <c r="M227" i="3"/>
  <c r="K227" i="3"/>
  <c r="M226" i="3"/>
  <c r="K226" i="3"/>
  <c r="N226" i="3" s="1"/>
  <c r="O226" i="3" s="1"/>
  <c r="M225" i="3"/>
  <c r="K225" i="3"/>
  <c r="N224" i="3"/>
  <c r="O224" i="3" s="1"/>
  <c r="M224" i="3"/>
  <c r="K224" i="3"/>
  <c r="N223" i="3"/>
  <c r="O223" i="3" s="1"/>
  <c r="M223" i="3"/>
  <c r="K223" i="3"/>
  <c r="O222" i="3"/>
  <c r="N222" i="3"/>
  <c r="M222" i="3"/>
  <c r="K222" i="3"/>
  <c r="O221" i="3"/>
  <c r="M221" i="3"/>
  <c r="K221" i="3"/>
  <c r="N221" i="3" s="1"/>
  <c r="O220" i="3"/>
  <c r="M220" i="3"/>
  <c r="K220" i="3"/>
  <c r="N220" i="3" s="1"/>
  <c r="O219" i="3"/>
  <c r="N219" i="3"/>
  <c r="M219" i="3"/>
  <c r="K219" i="3"/>
  <c r="N218" i="3"/>
  <c r="O218" i="3" s="1"/>
  <c r="M218" i="3"/>
  <c r="K218" i="3"/>
  <c r="O217" i="3"/>
  <c r="M217" i="3"/>
  <c r="K217" i="3"/>
  <c r="N217" i="3" s="1"/>
  <c r="O216" i="3"/>
  <c r="M216" i="3"/>
  <c r="K216" i="3"/>
  <c r="N216" i="3" s="1"/>
  <c r="M215" i="3"/>
  <c r="K215" i="3"/>
  <c r="M214" i="3"/>
  <c r="N214" i="3" s="1"/>
  <c r="O214" i="3" s="1"/>
  <c r="K214" i="3"/>
  <c r="N213" i="3"/>
  <c r="O213" i="3" s="1"/>
  <c r="M213" i="3"/>
  <c r="K213" i="3"/>
  <c r="M212" i="3"/>
  <c r="K212" i="3"/>
  <c r="N212" i="3" s="1"/>
  <c r="O212" i="3" s="1"/>
  <c r="N211" i="3"/>
  <c r="O211" i="3" s="1"/>
  <c r="M211" i="3"/>
  <c r="K211" i="3"/>
  <c r="M210" i="3"/>
  <c r="K210" i="3"/>
  <c r="N210" i="3" s="1"/>
  <c r="O210" i="3" s="1"/>
  <c r="O209" i="3"/>
  <c r="M209" i="3"/>
  <c r="K209" i="3"/>
  <c r="N209" i="3" s="1"/>
  <c r="N208" i="3"/>
  <c r="O208" i="3" s="1"/>
  <c r="M208" i="3"/>
  <c r="K208" i="3"/>
  <c r="M207" i="3"/>
  <c r="K207" i="3"/>
  <c r="M206" i="3"/>
  <c r="K206" i="3"/>
  <c r="N206" i="3" s="1"/>
  <c r="O206" i="3" s="1"/>
  <c r="M205" i="3"/>
  <c r="K205" i="3"/>
  <c r="M204" i="3"/>
  <c r="N204" i="3" s="1"/>
  <c r="O204" i="3" s="1"/>
  <c r="K204" i="3"/>
  <c r="M203" i="3"/>
  <c r="N203" i="3" s="1"/>
  <c r="O203" i="3" s="1"/>
  <c r="K203" i="3"/>
  <c r="N202" i="3"/>
  <c r="O202" i="3" s="1"/>
  <c r="M202" i="3"/>
  <c r="K202" i="3"/>
  <c r="N201" i="3"/>
  <c r="O201" i="3" s="1"/>
  <c r="M201" i="3"/>
  <c r="K201" i="3"/>
  <c r="M200" i="3"/>
  <c r="K200" i="3"/>
  <c r="M199" i="3"/>
  <c r="K199" i="3"/>
  <c r="N199" i="3" s="1"/>
  <c r="O199" i="3" s="1"/>
  <c r="N198" i="3"/>
  <c r="O198" i="3" s="1"/>
  <c r="M198" i="3"/>
  <c r="K198" i="3"/>
  <c r="N197" i="3"/>
  <c r="O197" i="3" s="1"/>
  <c r="M197" i="3"/>
  <c r="K197" i="3"/>
  <c r="M196" i="3"/>
  <c r="K196" i="3"/>
  <c r="N196" i="3" s="1"/>
  <c r="O196" i="3" s="1"/>
  <c r="M195" i="3"/>
  <c r="K195" i="3"/>
  <c r="N194" i="3"/>
  <c r="O194" i="3" s="1"/>
  <c r="M194" i="3"/>
  <c r="K194" i="3"/>
  <c r="M193" i="3"/>
  <c r="N193" i="3" s="1"/>
  <c r="O193" i="3" s="1"/>
  <c r="K193" i="3"/>
  <c r="N192" i="3"/>
  <c r="O192" i="3" s="1"/>
  <c r="M192" i="3"/>
  <c r="K192" i="3"/>
  <c r="N191" i="3"/>
  <c r="O191" i="3" s="1"/>
  <c r="M191" i="3"/>
  <c r="K191" i="3"/>
  <c r="M190" i="3"/>
  <c r="K190" i="3"/>
  <c r="O189" i="3"/>
  <c r="N189" i="3"/>
  <c r="M189" i="3"/>
  <c r="K189" i="3"/>
  <c r="N188" i="3"/>
  <c r="O188" i="3" s="1"/>
  <c r="M188" i="3"/>
  <c r="K188" i="3"/>
  <c r="M187" i="3"/>
  <c r="K187" i="3"/>
  <c r="N187" i="3" s="1"/>
  <c r="O187" i="3" s="1"/>
  <c r="O186" i="3"/>
  <c r="N186" i="3"/>
  <c r="M186" i="3"/>
  <c r="K186" i="3"/>
  <c r="M185" i="3"/>
  <c r="K185" i="3"/>
  <c r="N185" i="3" s="1"/>
  <c r="O185" i="3" s="1"/>
  <c r="M184" i="3"/>
  <c r="K184" i="3"/>
  <c r="N184" i="3" s="1"/>
  <c r="O184" i="3" s="1"/>
  <c r="M183" i="3"/>
  <c r="N183" i="3" s="1"/>
  <c r="O183" i="3" s="1"/>
  <c r="K183" i="3"/>
  <c r="M182" i="3"/>
  <c r="K182" i="3"/>
  <c r="N182" i="3" s="1"/>
  <c r="O182" i="3" s="1"/>
  <c r="M181" i="3"/>
  <c r="K181" i="3"/>
  <c r="N181" i="3" s="1"/>
  <c r="O181" i="3" s="1"/>
  <c r="M180" i="3"/>
  <c r="K180" i="3"/>
  <c r="N179" i="3"/>
  <c r="O179" i="3" s="1"/>
  <c r="M179" i="3"/>
  <c r="K179" i="3"/>
  <c r="M178" i="3"/>
  <c r="N178" i="3" s="1"/>
  <c r="O178" i="3" s="1"/>
  <c r="K178" i="3"/>
  <c r="N177" i="3"/>
  <c r="O177" i="3" s="1"/>
  <c r="M177" i="3"/>
  <c r="K177" i="3"/>
  <c r="N176" i="3"/>
  <c r="O176" i="3" s="1"/>
  <c r="M176" i="3"/>
  <c r="K176" i="3"/>
  <c r="O175" i="3"/>
  <c r="M175" i="3"/>
  <c r="K175" i="3"/>
  <c r="N175" i="3" s="1"/>
  <c r="O174" i="3"/>
  <c r="M174" i="3"/>
  <c r="K174" i="3"/>
  <c r="N174" i="3" s="1"/>
  <c r="N173" i="3"/>
  <c r="O173" i="3" s="1"/>
  <c r="M173" i="3"/>
  <c r="K173" i="3"/>
  <c r="M172" i="3"/>
  <c r="K172" i="3"/>
  <c r="N172" i="3" s="1"/>
  <c r="O172" i="3" s="1"/>
  <c r="M171" i="3"/>
  <c r="K171" i="3"/>
  <c r="N171" i="3" s="1"/>
  <c r="O171" i="3" s="1"/>
  <c r="M170" i="3"/>
  <c r="K170" i="3"/>
  <c r="N170" i="3" s="1"/>
  <c r="O170" i="3" s="1"/>
  <c r="M169" i="3"/>
  <c r="N169" i="3" s="1"/>
  <c r="O169" i="3" s="1"/>
  <c r="K169" i="3"/>
  <c r="M168" i="3"/>
  <c r="N168" i="3" s="1"/>
  <c r="O168" i="3" s="1"/>
  <c r="K168" i="3"/>
  <c r="N167" i="3"/>
  <c r="O167" i="3" s="1"/>
  <c r="M167" i="3"/>
  <c r="K167" i="3"/>
  <c r="N166" i="3"/>
  <c r="O166" i="3" s="1"/>
  <c r="M166" i="3"/>
  <c r="K166" i="3"/>
  <c r="M165" i="3"/>
  <c r="K165" i="3"/>
  <c r="M164" i="3"/>
  <c r="K164" i="3"/>
  <c r="N163" i="3"/>
  <c r="O163" i="3" s="1"/>
  <c r="M163" i="3"/>
  <c r="K163" i="3"/>
  <c r="M162" i="3"/>
  <c r="K162" i="3"/>
  <c r="N162" i="3" s="1"/>
  <c r="O162" i="3" s="1"/>
  <c r="M161" i="3"/>
  <c r="K161" i="3"/>
  <c r="N161" i="3" s="1"/>
  <c r="O161" i="3" s="1"/>
  <c r="M160" i="3"/>
  <c r="K160" i="3"/>
  <c r="N160" i="3" s="1"/>
  <c r="O160" i="3" s="1"/>
  <c r="N159" i="3"/>
  <c r="O159" i="3" s="1"/>
  <c r="M159" i="3"/>
  <c r="K159" i="3"/>
  <c r="N158" i="3"/>
  <c r="O158" i="3" s="1"/>
  <c r="M158" i="3"/>
  <c r="K158" i="3"/>
  <c r="O157" i="3"/>
  <c r="M157" i="3"/>
  <c r="K157" i="3"/>
  <c r="N157" i="3" s="1"/>
  <c r="N156" i="3"/>
  <c r="O156" i="3" s="1"/>
  <c r="M156" i="3"/>
  <c r="K156" i="3"/>
  <c r="M155" i="3"/>
  <c r="K155" i="3"/>
  <c r="N155" i="3" s="1"/>
  <c r="O155" i="3" s="1"/>
  <c r="N154" i="3"/>
  <c r="O154" i="3" s="1"/>
  <c r="M154" i="3"/>
  <c r="K154" i="3"/>
  <c r="O153" i="3"/>
  <c r="N153" i="3"/>
  <c r="M153" i="3"/>
  <c r="K153" i="3"/>
  <c r="N152" i="3"/>
  <c r="O152" i="3" s="1"/>
  <c r="M152" i="3"/>
  <c r="K152" i="3"/>
  <c r="M151" i="3"/>
  <c r="N151" i="3" s="1"/>
  <c r="O151" i="3" s="1"/>
  <c r="K151" i="3"/>
  <c r="M150" i="3"/>
  <c r="K150" i="3"/>
  <c r="N150" i="3" s="1"/>
  <c r="O150" i="3" s="1"/>
  <c r="N149" i="3"/>
  <c r="O149" i="3" s="1"/>
  <c r="M149" i="3"/>
  <c r="K149" i="3"/>
  <c r="O148" i="3"/>
  <c r="N148" i="3"/>
  <c r="M148" i="3"/>
  <c r="K148" i="3"/>
  <c r="M147" i="3"/>
  <c r="K147" i="3"/>
  <c r="N147" i="3" s="1"/>
  <c r="O147" i="3" s="1"/>
  <c r="M146" i="3"/>
  <c r="N146" i="3" s="1"/>
  <c r="O146" i="3" s="1"/>
  <c r="K146" i="3"/>
  <c r="M145" i="3"/>
  <c r="K145" i="3"/>
  <c r="N145" i="3" s="1"/>
  <c r="O145" i="3" s="1"/>
  <c r="M144" i="3"/>
  <c r="K144" i="3"/>
  <c r="N143" i="3"/>
  <c r="O143" i="3" s="1"/>
  <c r="M143" i="3"/>
  <c r="K143" i="3"/>
  <c r="N142" i="3"/>
  <c r="O142" i="3" s="1"/>
  <c r="M142" i="3"/>
  <c r="K142" i="3"/>
  <c r="M141" i="3"/>
  <c r="K141" i="3"/>
  <c r="N141" i="3" s="1"/>
  <c r="O141" i="3" s="1"/>
  <c r="M140" i="3"/>
  <c r="K140" i="3"/>
  <c r="N140" i="3" s="1"/>
  <c r="O140" i="3" s="1"/>
  <c r="M139" i="3"/>
  <c r="K139" i="3"/>
  <c r="N139" i="3" s="1"/>
  <c r="O139" i="3" s="1"/>
  <c r="N138" i="3"/>
  <c r="O138" i="3" s="1"/>
  <c r="M138" i="3"/>
  <c r="K138" i="3"/>
  <c r="N137" i="3"/>
  <c r="O137" i="3" s="1"/>
  <c r="M137" i="3"/>
  <c r="K137" i="3"/>
  <c r="N136" i="3"/>
  <c r="O136" i="3" s="1"/>
  <c r="M136" i="3"/>
  <c r="K136" i="3"/>
  <c r="M135" i="3"/>
  <c r="K135" i="3"/>
  <c r="N135" i="3" s="1"/>
  <c r="O135" i="3" s="1"/>
  <c r="M134" i="3"/>
  <c r="K134" i="3"/>
  <c r="N133" i="3"/>
  <c r="O133" i="3" s="1"/>
  <c r="M133" i="3"/>
  <c r="K133" i="3"/>
  <c r="M132" i="3"/>
  <c r="K132" i="3"/>
  <c r="N132" i="3" s="1"/>
  <c r="O132" i="3" s="1"/>
  <c r="N131" i="3"/>
  <c r="O131" i="3" s="1"/>
  <c r="M131" i="3"/>
  <c r="K131" i="3"/>
  <c r="M130" i="3"/>
  <c r="K130" i="3"/>
  <c r="M129" i="3"/>
  <c r="K129" i="3"/>
  <c r="N129" i="3" s="1"/>
  <c r="O129" i="3" s="1"/>
  <c r="O128" i="3"/>
  <c r="N128" i="3"/>
  <c r="M128" i="3"/>
  <c r="K128" i="3"/>
  <c r="M127" i="3"/>
  <c r="K127" i="3"/>
  <c r="N127" i="3" s="1"/>
  <c r="O127" i="3" s="1"/>
  <c r="M126" i="3"/>
  <c r="K126" i="3"/>
  <c r="N126" i="3" s="1"/>
  <c r="O126" i="3" s="1"/>
  <c r="M125" i="3"/>
  <c r="K125" i="3"/>
  <c r="M124" i="3"/>
  <c r="N124" i="3" s="1"/>
  <c r="O124" i="3" s="1"/>
  <c r="K124" i="3"/>
  <c r="N123" i="3"/>
  <c r="O123" i="3" s="1"/>
  <c r="M123" i="3"/>
  <c r="K123" i="3"/>
  <c r="N122" i="3"/>
  <c r="O122" i="3" s="1"/>
  <c r="M122" i="3"/>
  <c r="K122" i="3"/>
  <c r="M121" i="3"/>
  <c r="K121" i="3"/>
  <c r="M120" i="3"/>
  <c r="K120" i="3"/>
  <c r="M119" i="3"/>
  <c r="N119" i="3" s="1"/>
  <c r="O119" i="3" s="1"/>
  <c r="K119" i="3"/>
  <c r="N118" i="3"/>
  <c r="O118" i="3" s="1"/>
  <c r="M118" i="3"/>
  <c r="K118" i="3"/>
  <c r="O117" i="3"/>
  <c r="N117" i="3"/>
  <c r="M117" i="3"/>
  <c r="K117" i="3"/>
  <c r="M116" i="3"/>
  <c r="K116" i="3"/>
  <c r="N116" i="3" s="1"/>
  <c r="O116" i="3" s="1"/>
  <c r="M115" i="3"/>
  <c r="K115" i="3"/>
  <c r="N115" i="3" s="1"/>
  <c r="O115" i="3" s="1"/>
  <c r="M114" i="3"/>
  <c r="K114" i="3"/>
  <c r="N114" i="3" s="1"/>
  <c r="O114" i="3" s="1"/>
  <c r="O113" i="3"/>
  <c r="N113" i="3"/>
  <c r="M113" i="3"/>
  <c r="K113" i="3"/>
  <c r="M112" i="3"/>
  <c r="K112" i="3"/>
  <c r="N112" i="3" s="1"/>
  <c r="O112" i="3" s="1"/>
  <c r="M111" i="3"/>
  <c r="K111" i="3"/>
  <c r="N111" i="3" s="1"/>
  <c r="O111" i="3" s="1"/>
  <c r="M110" i="3"/>
  <c r="K110" i="3"/>
  <c r="N110" i="3" s="1"/>
  <c r="O110" i="3" s="1"/>
  <c r="N109" i="3"/>
  <c r="O109" i="3" s="1"/>
  <c r="M109" i="3"/>
  <c r="K109" i="3"/>
  <c r="N108" i="3"/>
  <c r="O108" i="3" s="1"/>
  <c r="M108" i="3"/>
  <c r="K108" i="3"/>
  <c r="O107" i="3"/>
  <c r="M107" i="3"/>
  <c r="K107" i="3"/>
  <c r="N107" i="3" s="1"/>
  <c r="M106" i="3"/>
  <c r="N106" i="3" s="1"/>
  <c r="O106" i="3" s="1"/>
  <c r="K106" i="3"/>
  <c r="M105" i="3"/>
  <c r="K105" i="3"/>
  <c r="N105" i="3" s="1"/>
  <c r="O105" i="3" s="1"/>
  <c r="N104" i="3"/>
  <c r="O104" i="3" s="1"/>
  <c r="M104" i="3"/>
  <c r="K104" i="3"/>
  <c r="O103" i="3"/>
  <c r="N103" i="3"/>
  <c r="M103" i="3"/>
  <c r="K103" i="3"/>
  <c r="M102" i="3"/>
  <c r="K102" i="3"/>
  <c r="N102" i="3" s="1"/>
  <c r="O102" i="3" s="1"/>
  <c r="M101" i="3"/>
  <c r="N101" i="3" s="1"/>
  <c r="O101" i="3" s="1"/>
  <c r="K101" i="3"/>
  <c r="M100" i="3"/>
  <c r="K100" i="3"/>
  <c r="N100" i="3" s="1"/>
  <c r="O100" i="3" s="1"/>
  <c r="M99" i="3"/>
  <c r="N99" i="3" s="1"/>
  <c r="O99" i="3" s="1"/>
  <c r="K99" i="3"/>
  <c r="O98" i="3"/>
  <c r="N98" i="3"/>
  <c r="M98" i="3"/>
  <c r="K98" i="3"/>
  <c r="N97" i="3"/>
  <c r="O97" i="3" s="1"/>
  <c r="M97" i="3"/>
  <c r="K97" i="3"/>
  <c r="N96" i="3"/>
  <c r="O96" i="3" s="1"/>
  <c r="M96" i="3"/>
  <c r="K96" i="3"/>
  <c r="M95" i="3"/>
  <c r="K95" i="3"/>
  <c r="N95" i="3" s="1"/>
  <c r="O95" i="3" s="1"/>
  <c r="M94" i="3"/>
  <c r="K94" i="3"/>
  <c r="N94" i="3" s="1"/>
  <c r="O94" i="3" s="1"/>
  <c r="N93" i="3"/>
  <c r="O93" i="3" s="1"/>
  <c r="M93" i="3"/>
  <c r="K93" i="3"/>
  <c r="N92" i="3"/>
  <c r="O92" i="3" s="1"/>
  <c r="M92" i="3"/>
  <c r="K92" i="3"/>
  <c r="M91" i="3"/>
  <c r="N91" i="3" s="1"/>
  <c r="O91" i="3" s="1"/>
  <c r="K91" i="3"/>
  <c r="M90" i="3"/>
  <c r="K90" i="3"/>
  <c r="N90" i="3" s="1"/>
  <c r="O90" i="3" s="1"/>
  <c r="M89" i="3"/>
  <c r="K89" i="3"/>
  <c r="N89" i="3" s="1"/>
  <c r="O89" i="3" s="1"/>
  <c r="N88" i="3"/>
  <c r="O88" i="3" s="1"/>
  <c r="M88" i="3"/>
  <c r="K88" i="3"/>
  <c r="N87" i="3"/>
  <c r="O87" i="3" s="1"/>
  <c r="M87" i="3"/>
  <c r="K87" i="3"/>
  <c r="N86" i="3"/>
  <c r="O86" i="3" s="1"/>
  <c r="M86" i="3"/>
  <c r="K86" i="3"/>
  <c r="M85" i="3"/>
  <c r="K85" i="3"/>
  <c r="N84" i="3"/>
  <c r="O84" i="3" s="1"/>
  <c r="M84" i="3"/>
  <c r="K84" i="3"/>
  <c r="N83" i="3"/>
  <c r="O83" i="3" s="1"/>
  <c r="M83" i="3"/>
  <c r="K83" i="3"/>
  <c r="M82" i="3"/>
  <c r="K82" i="3"/>
  <c r="N82" i="3" s="1"/>
  <c r="O82" i="3" s="1"/>
  <c r="N81" i="3"/>
  <c r="O81" i="3" s="1"/>
  <c r="M81" i="3"/>
  <c r="K81" i="3"/>
  <c r="M80" i="3"/>
  <c r="K80" i="3"/>
  <c r="M79" i="3"/>
  <c r="K79" i="3"/>
  <c r="N79" i="3" s="1"/>
  <c r="O79" i="3" s="1"/>
  <c r="O78" i="3"/>
  <c r="N78" i="3"/>
  <c r="M78" i="3"/>
  <c r="K78" i="3"/>
  <c r="M77" i="3"/>
  <c r="K77" i="3"/>
  <c r="N77" i="3" s="1"/>
  <c r="O77" i="3" s="1"/>
  <c r="O76" i="3"/>
  <c r="M76" i="3"/>
  <c r="K76" i="3"/>
  <c r="N76" i="3" s="1"/>
  <c r="M75" i="3"/>
  <c r="K75" i="3"/>
  <c r="M74" i="3"/>
  <c r="N74" i="3" s="1"/>
  <c r="O74" i="3" s="1"/>
  <c r="K74" i="3"/>
  <c r="N73" i="3"/>
  <c r="O73" i="3" s="1"/>
  <c r="M73" i="3"/>
  <c r="K73" i="3"/>
  <c r="O72" i="3"/>
  <c r="N72" i="3"/>
  <c r="M72" i="3"/>
  <c r="K72" i="3"/>
  <c r="O71" i="3"/>
  <c r="M71" i="3"/>
  <c r="K71" i="3"/>
  <c r="N71" i="3" s="1"/>
  <c r="M70" i="3"/>
  <c r="K70" i="3"/>
  <c r="M69" i="3"/>
  <c r="N69" i="3" s="1"/>
  <c r="O69" i="3" s="1"/>
  <c r="K69" i="3"/>
  <c r="N68" i="3"/>
  <c r="O68" i="3" s="1"/>
  <c r="M68" i="3"/>
  <c r="K68" i="3"/>
  <c r="M67" i="3"/>
  <c r="K67" i="3"/>
  <c r="N67" i="3" s="1"/>
  <c r="O67" i="3" s="1"/>
  <c r="M66" i="3"/>
  <c r="K66" i="3"/>
  <c r="N66" i="3" s="1"/>
  <c r="O66" i="3" s="1"/>
  <c r="M65" i="3"/>
  <c r="K65" i="3"/>
  <c r="N65" i="3" s="1"/>
  <c r="O65" i="3" s="1"/>
  <c r="N64" i="3"/>
  <c r="O64" i="3" s="1"/>
  <c r="M64" i="3"/>
  <c r="K64" i="3"/>
  <c r="N63" i="3"/>
  <c r="O63" i="3" s="1"/>
  <c r="M63" i="3"/>
  <c r="K63" i="3"/>
  <c r="O62" i="3"/>
  <c r="M62" i="3"/>
  <c r="K62" i="3"/>
  <c r="N62" i="3" s="1"/>
  <c r="O61" i="3"/>
  <c r="M61" i="3"/>
  <c r="K61" i="3"/>
  <c r="N61" i="3" s="1"/>
  <c r="M60" i="3"/>
  <c r="K60" i="3"/>
  <c r="N60" i="3" s="1"/>
  <c r="O60" i="3" s="1"/>
  <c r="M59" i="3"/>
  <c r="K59" i="3"/>
  <c r="N59" i="3" s="1"/>
  <c r="O59" i="3" s="1"/>
  <c r="N58" i="3"/>
  <c r="O58" i="3" s="1"/>
  <c r="M58" i="3"/>
  <c r="K58" i="3"/>
  <c r="O57" i="3"/>
  <c r="M57" i="3"/>
  <c r="K57" i="3"/>
  <c r="N57" i="3" s="1"/>
  <c r="M56" i="3"/>
  <c r="K56" i="3"/>
  <c r="M55" i="3"/>
  <c r="K55" i="3"/>
  <c r="N54" i="3"/>
  <c r="O54" i="3" s="1"/>
  <c r="M54" i="3"/>
  <c r="K54" i="3"/>
  <c r="O53" i="3"/>
  <c r="N53" i="3"/>
  <c r="M53" i="3"/>
  <c r="K53" i="3"/>
  <c r="N52" i="3"/>
  <c r="O52" i="3" s="1"/>
  <c r="M52" i="3"/>
  <c r="K52" i="3"/>
  <c r="M51" i="3"/>
  <c r="N51" i="3" s="1"/>
  <c r="O51" i="3" s="1"/>
  <c r="K51" i="3"/>
  <c r="M50" i="3"/>
  <c r="K50" i="3"/>
  <c r="M49" i="3"/>
  <c r="K49" i="3"/>
  <c r="N49" i="3" s="1"/>
  <c r="O49" i="3" s="1"/>
  <c r="O48" i="3"/>
  <c r="N48" i="3"/>
  <c r="M48" i="3"/>
  <c r="K48" i="3"/>
  <c r="N47" i="3"/>
  <c r="O47" i="3" s="1"/>
  <c r="M47" i="3"/>
  <c r="K47" i="3"/>
  <c r="M46" i="3"/>
  <c r="N46" i="3" s="1"/>
  <c r="O46" i="3" s="1"/>
  <c r="K46" i="3"/>
  <c r="M45" i="3"/>
  <c r="K45" i="3"/>
  <c r="N45" i="3" s="1"/>
  <c r="O45" i="3" s="1"/>
  <c r="M44" i="3"/>
  <c r="K44" i="3"/>
  <c r="N44" i="3" s="1"/>
  <c r="O44" i="3" s="1"/>
  <c r="O43" i="3"/>
  <c r="N43" i="3"/>
  <c r="M43" i="3"/>
  <c r="K43" i="3"/>
  <c r="N42" i="3"/>
  <c r="O42" i="3" s="1"/>
  <c r="M42" i="3"/>
  <c r="K42" i="3"/>
  <c r="M41" i="3"/>
  <c r="K41" i="3"/>
  <c r="M40" i="3"/>
  <c r="K40" i="3"/>
  <c r="N40" i="3" s="1"/>
  <c r="O40" i="3" s="1"/>
  <c r="M39" i="3"/>
  <c r="N39" i="3" s="1"/>
  <c r="O39" i="3" s="1"/>
  <c r="K39" i="3"/>
  <c r="N38" i="3"/>
  <c r="O38" i="3" s="1"/>
  <c r="M38" i="3"/>
  <c r="K38" i="3"/>
  <c r="O37" i="3"/>
  <c r="N37" i="3"/>
  <c r="M37" i="3"/>
  <c r="K37" i="3"/>
  <c r="M36" i="3"/>
  <c r="K36" i="3"/>
  <c r="N36" i="3" s="1"/>
  <c r="O36" i="3" s="1"/>
  <c r="M35" i="3"/>
  <c r="K35" i="3"/>
  <c r="N34" i="3"/>
  <c r="O34" i="3" s="1"/>
  <c r="M34" i="3"/>
  <c r="K34" i="3"/>
  <c r="O33" i="3"/>
  <c r="N33" i="3"/>
  <c r="M33" i="3"/>
  <c r="K33" i="3"/>
  <c r="M32" i="3"/>
  <c r="K32" i="3"/>
  <c r="N32" i="3" s="1"/>
  <c r="O32" i="3" s="1"/>
  <c r="M31" i="3"/>
  <c r="N31" i="3" s="1"/>
  <c r="O31" i="3" s="1"/>
  <c r="K31" i="3"/>
  <c r="M30" i="3"/>
  <c r="K30" i="3"/>
  <c r="N30" i="3" s="1"/>
  <c r="O30" i="3" s="1"/>
  <c r="N29" i="3"/>
  <c r="O29" i="3" s="1"/>
  <c r="M29" i="3"/>
  <c r="K29" i="3"/>
  <c r="N28" i="3"/>
  <c r="O28" i="3" s="1"/>
  <c r="M28" i="3"/>
  <c r="K28" i="3"/>
  <c r="N27" i="3"/>
  <c r="O27" i="3" s="1"/>
  <c r="M27" i="3"/>
  <c r="K27" i="3"/>
  <c r="N26" i="3"/>
  <c r="O26" i="3" s="1"/>
  <c r="M26" i="3"/>
  <c r="K26" i="3"/>
  <c r="M25" i="3"/>
  <c r="K25" i="3"/>
  <c r="M24" i="3"/>
  <c r="N24" i="3" s="1"/>
  <c r="O24" i="3" s="1"/>
  <c r="K24" i="3"/>
  <c r="N23" i="3"/>
  <c r="O23" i="3" s="1"/>
  <c r="M23" i="3"/>
  <c r="K23" i="3"/>
  <c r="M22" i="3"/>
  <c r="K22" i="3"/>
  <c r="N21" i="3"/>
  <c r="O21" i="3" s="1"/>
  <c r="M21" i="3"/>
  <c r="K21" i="3"/>
  <c r="M20" i="3"/>
  <c r="K20" i="3"/>
  <c r="N20" i="3" s="1"/>
  <c r="O20" i="3" s="1"/>
  <c r="M19" i="3"/>
  <c r="K19" i="3"/>
  <c r="N19" i="3" s="1"/>
  <c r="O19" i="3" s="1"/>
  <c r="N18" i="3"/>
  <c r="O18" i="3" s="1"/>
  <c r="M18" i="3"/>
  <c r="K18" i="3"/>
  <c r="M17" i="3"/>
  <c r="N17" i="3" s="1"/>
  <c r="O17" i="3" s="1"/>
  <c r="K17" i="3"/>
  <c r="M16" i="3"/>
  <c r="K16" i="3"/>
  <c r="N16" i="3" s="1"/>
  <c r="O16" i="3" s="1"/>
  <c r="M15" i="3"/>
  <c r="K15" i="3"/>
  <c r="N15" i="3" s="1"/>
  <c r="O15" i="3" s="1"/>
  <c r="M14" i="3"/>
  <c r="N14" i="3" s="1"/>
  <c r="O14" i="3" s="1"/>
  <c r="K14" i="3"/>
  <c r="O13" i="3"/>
  <c r="N13" i="3"/>
  <c r="M13" i="3"/>
  <c r="K13" i="3"/>
  <c r="N12" i="3"/>
  <c r="O12" i="3" s="1"/>
  <c r="M12" i="3"/>
  <c r="K12" i="3"/>
  <c r="M11" i="3"/>
  <c r="M309" i="3" s="1"/>
  <c r="K11" i="3"/>
  <c r="M10" i="3"/>
  <c r="K10" i="3"/>
  <c r="N9" i="3"/>
  <c r="O9" i="3" s="1"/>
  <c r="M9" i="3"/>
  <c r="K9" i="3"/>
  <c r="O8" i="3"/>
  <c r="N8" i="3"/>
  <c r="M8" i="3"/>
  <c r="K8" i="3"/>
  <c r="O1000" i="2"/>
  <c r="M1000" i="2"/>
  <c r="K1000" i="2"/>
  <c r="N1000" i="2" s="1"/>
  <c r="O999" i="2"/>
  <c r="M999" i="2"/>
  <c r="N999" i="2" s="1"/>
  <c r="K999" i="2"/>
  <c r="O998" i="2"/>
  <c r="M998" i="2"/>
  <c r="K998" i="2"/>
  <c r="N998" i="2" s="1"/>
  <c r="O997" i="2"/>
  <c r="M997" i="2"/>
  <c r="N997" i="2" s="1"/>
  <c r="K997" i="2"/>
  <c r="O996" i="2"/>
  <c r="N996" i="2"/>
  <c r="M996" i="2"/>
  <c r="K996" i="2"/>
  <c r="O995" i="2"/>
  <c r="M995" i="2"/>
  <c r="N995" i="2" s="1"/>
  <c r="K995" i="2"/>
  <c r="O994" i="2"/>
  <c r="M994" i="2"/>
  <c r="K994" i="2"/>
  <c r="N994" i="2" s="1"/>
  <c r="O993" i="2"/>
  <c r="M993" i="2"/>
  <c r="K993" i="2"/>
  <c r="N993" i="2" s="1"/>
  <c r="O992" i="2"/>
  <c r="M992" i="2"/>
  <c r="N992" i="2" s="1"/>
  <c r="K992" i="2"/>
  <c r="O991" i="2"/>
  <c r="N991" i="2"/>
  <c r="M991" i="2"/>
  <c r="K991" i="2"/>
  <c r="O990" i="2"/>
  <c r="N990" i="2"/>
  <c r="M990" i="2"/>
  <c r="K990" i="2"/>
  <c r="O989" i="2"/>
  <c r="M989" i="2"/>
  <c r="K989" i="2"/>
  <c r="N989" i="2" s="1"/>
  <c r="O988" i="2"/>
  <c r="M988" i="2"/>
  <c r="K988" i="2"/>
  <c r="N988" i="2" s="1"/>
  <c r="O987" i="2"/>
  <c r="N987" i="2"/>
  <c r="M987" i="2"/>
  <c r="K987" i="2"/>
  <c r="O986" i="2"/>
  <c r="M986" i="2"/>
  <c r="N986" i="2" s="1"/>
  <c r="K986" i="2"/>
  <c r="O985" i="2"/>
  <c r="M985" i="2"/>
  <c r="K985" i="2"/>
  <c r="O984" i="2"/>
  <c r="N984" i="2"/>
  <c r="M984" i="2"/>
  <c r="K984" i="2"/>
  <c r="O983" i="2"/>
  <c r="M983" i="2"/>
  <c r="K983" i="2"/>
  <c r="N983" i="2" s="1"/>
  <c r="O982" i="2"/>
  <c r="N982" i="2"/>
  <c r="M982" i="2"/>
  <c r="K982" i="2"/>
  <c r="O981" i="2"/>
  <c r="N981" i="2"/>
  <c r="M981" i="2"/>
  <c r="K981" i="2"/>
  <c r="O980" i="2"/>
  <c r="N980" i="2"/>
  <c r="M980" i="2"/>
  <c r="K980" i="2"/>
  <c r="O979" i="2"/>
  <c r="M979" i="2"/>
  <c r="K979" i="2"/>
  <c r="N979" i="2" s="1"/>
  <c r="O978" i="2"/>
  <c r="M978" i="2"/>
  <c r="K978" i="2"/>
  <c r="N978" i="2" s="1"/>
  <c r="O977" i="2"/>
  <c r="M977" i="2"/>
  <c r="K977" i="2"/>
  <c r="O976" i="2"/>
  <c r="M976" i="2"/>
  <c r="N976" i="2" s="1"/>
  <c r="K976" i="2"/>
  <c r="O975" i="2"/>
  <c r="N975" i="2"/>
  <c r="M975" i="2"/>
  <c r="K975" i="2"/>
  <c r="O974" i="2"/>
  <c r="N974" i="2"/>
  <c r="M974" i="2"/>
  <c r="K974" i="2"/>
  <c r="O973" i="2"/>
  <c r="M973" i="2"/>
  <c r="K973" i="2"/>
  <c r="N973" i="2" s="1"/>
  <c r="O972" i="2"/>
  <c r="M972" i="2"/>
  <c r="K972" i="2"/>
  <c r="N972" i="2" s="1"/>
  <c r="O971" i="2"/>
  <c r="M971" i="2"/>
  <c r="N971" i="2" s="1"/>
  <c r="K971" i="2"/>
  <c r="O970" i="2"/>
  <c r="M970" i="2"/>
  <c r="K970" i="2"/>
  <c r="N970" i="2" s="1"/>
  <c r="O969" i="2"/>
  <c r="M969" i="2"/>
  <c r="K969" i="2"/>
  <c r="N969" i="2" s="1"/>
  <c r="O968" i="2"/>
  <c r="M968" i="2"/>
  <c r="K968" i="2"/>
  <c r="O967" i="2"/>
  <c r="M967" i="2"/>
  <c r="N967" i="2" s="1"/>
  <c r="K967" i="2"/>
  <c r="O966" i="2"/>
  <c r="M966" i="2"/>
  <c r="N966" i="2" s="1"/>
  <c r="K966" i="2"/>
  <c r="O965" i="2"/>
  <c r="M965" i="2"/>
  <c r="K965" i="2"/>
  <c r="N965" i="2" s="1"/>
  <c r="O964" i="2"/>
  <c r="M964" i="2"/>
  <c r="K964" i="2"/>
  <c r="N964" i="2" s="1"/>
  <c r="O963" i="2"/>
  <c r="M963" i="2"/>
  <c r="K963" i="2"/>
  <c r="O962" i="2"/>
  <c r="M962" i="2"/>
  <c r="K962" i="2"/>
  <c r="N962" i="2" s="1"/>
  <c r="O961" i="2"/>
  <c r="M961" i="2"/>
  <c r="N961" i="2" s="1"/>
  <c r="K961" i="2"/>
  <c r="O960" i="2"/>
  <c r="N960" i="2"/>
  <c r="M960" i="2"/>
  <c r="K960" i="2"/>
  <c r="O959" i="2"/>
  <c r="N959" i="2"/>
  <c r="M959" i="2"/>
  <c r="K959" i="2"/>
  <c r="O958" i="2"/>
  <c r="M958" i="2"/>
  <c r="K958" i="2"/>
  <c r="N958" i="2" s="1"/>
  <c r="O957" i="2"/>
  <c r="M957" i="2"/>
  <c r="K957" i="2"/>
  <c r="O956" i="2"/>
  <c r="N956" i="2"/>
  <c r="M956" i="2"/>
  <c r="K956" i="2"/>
  <c r="O955" i="2"/>
  <c r="M955" i="2"/>
  <c r="N955" i="2" s="1"/>
  <c r="K955" i="2"/>
  <c r="O954" i="2"/>
  <c r="M954" i="2"/>
  <c r="K954" i="2"/>
  <c r="N954" i="2" s="1"/>
  <c r="O953" i="2"/>
  <c r="M953" i="2"/>
  <c r="K953" i="2"/>
  <c r="O952" i="2"/>
  <c r="M952" i="2"/>
  <c r="K952" i="2"/>
  <c r="N952" i="2" s="1"/>
  <c r="O951" i="2"/>
  <c r="M951" i="2"/>
  <c r="K951" i="2"/>
  <c r="O950" i="2"/>
  <c r="N950" i="2"/>
  <c r="M950" i="2"/>
  <c r="K950" i="2"/>
  <c r="O949" i="2"/>
  <c r="N949" i="2"/>
  <c r="M949" i="2"/>
  <c r="K949" i="2"/>
  <c r="O948" i="2"/>
  <c r="M948" i="2"/>
  <c r="K948" i="2"/>
  <c r="N948" i="2" s="1"/>
  <c r="O947" i="2"/>
  <c r="M947" i="2"/>
  <c r="K947" i="2"/>
  <c r="N947" i="2" s="1"/>
  <c r="O946" i="2"/>
  <c r="M946" i="2"/>
  <c r="K946" i="2"/>
  <c r="N946" i="2" s="1"/>
  <c r="O945" i="2"/>
  <c r="M945" i="2"/>
  <c r="N945" i="2" s="1"/>
  <c r="K945" i="2"/>
  <c r="O944" i="2"/>
  <c r="N944" i="2"/>
  <c r="M944" i="2"/>
  <c r="K944" i="2"/>
  <c r="O943" i="2"/>
  <c r="M943" i="2"/>
  <c r="N943" i="2" s="1"/>
  <c r="K943" i="2"/>
  <c r="O942" i="2"/>
  <c r="M942" i="2"/>
  <c r="K942" i="2"/>
  <c r="N942" i="2" s="1"/>
  <c r="O941" i="2"/>
  <c r="N941" i="2"/>
  <c r="M941" i="2"/>
  <c r="K941" i="2"/>
  <c r="O940" i="2"/>
  <c r="N940" i="2"/>
  <c r="M940" i="2"/>
  <c r="K940" i="2"/>
  <c r="O939" i="2"/>
  <c r="N939" i="2"/>
  <c r="M939" i="2"/>
  <c r="K939" i="2"/>
  <c r="O938" i="2"/>
  <c r="M938" i="2"/>
  <c r="K938" i="2"/>
  <c r="N938" i="2" s="1"/>
  <c r="O937" i="2"/>
  <c r="M937" i="2"/>
  <c r="K937" i="2"/>
  <c r="O936" i="2"/>
  <c r="N936" i="2"/>
  <c r="M936" i="2"/>
  <c r="K936" i="2"/>
  <c r="O935" i="2"/>
  <c r="M935" i="2"/>
  <c r="N935" i="2" s="1"/>
  <c r="K935" i="2"/>
  <c r="O934" i="2"/>
  <c r="M934" i="2"/>
  <c r="K934" i="2"/>
  <c r="N934" i="2" s="1"/>
  <c r="O933" i="2"/>
  <c r="M933" i="2"/>
  <c r="K933" i="2"/>
  <c r="N933" i="2" s="1"/>
  <c r="O932" i="2"/>
  <c r="M932" i="2"/>
  <c r="K932" i="2"/>
  <c r="N932" i="2" s="1"/>
  <c r="O931" i="2"/>
  <c r="M931" i="2"/>
  <c r="K931" i="2"/>
  <c r="N931" i="2" s="1"/>
  <c r="O930" i="2"/>
  <c r="M930" i="2"/>
  <c r="N930" i="2" s="1"/>
  <c r="K930" i="2"/>
  <c r="O929" i="2"/>
  <c r="M929" i="2"/>
  <c r="K929" i="2"/>
  <c r="N929" i="2" s="1"/>
  <c r="O928" i="2"/>
  <c r="N928" i="2"/>
  <c r="M928" i="2"/>
  <c r="K928" i="2"/>
  <c r="O927" i="2"/>
  <c r="M927" i="2"/>
  <c r="K927" i="2"/>
  <c r="O926" i="2"/>
  <c r="M926" i="2"/>
  <c r="N926" i="2" s="1"/>
  <c r="K926" i="2"/>
  <c r="O925" i="2"/>
  <c r="M925" i="2"/>
  <c r="N925" i="2" s="1"/>
  <c r="K925" i="2"/>
  <c r="O924" i="2"/>
  <c r="M924" i="2"/>
  <c r="K924" i="2"/>
  <c r="O923" i="2"/>
  <c r="M923" i="2"/>
  <c r="N923" i="2" s="1"/>
  <c r="K923" i="2"/>
  <c r="O922" i="2"/>
  <c r="M922" i="2"/>
  <c r="K922" i="2"/>
  <c r="O921" i="2"/>
  <c r="N921" i="2"/>
  <c r="M921" i="2"/>
  <c r="K921" i="2"/>
  <c r="O920" i="2"/>
  <c r="N920" i="2"/>
  <c r="M920" i="2"/>
  <c r="K920" i="2"/>
  <c r="O919" i="2"/>
  <c r="M919" i="2"/>
  <c r="K919" i="2"/>
  <c r="N919" i="2" s="1"/>
  <c r="O918" i="2"/>
  <c r="M918" i="2"/>
  <c r="K918" i="2"/>
  <c r="N918" i="2" s="1"/>
  <c r="O917" i="2"/>
  <c r="M917" i="2"/>
  <c r="K917" i="2"/>
  <c r="N917" i="2" s="1"/>
  <c r="O916" i="2"/>
  <c r="M916" i="2"/>
  <c r="K916" i="2"/>
  <c r="N916" i="2" s="1"/>
  <c r="O915" i="2"/>
  <c r="M915" i="2"/>
  <c r="N915" i="2" s="1"/>
  <c r="K915" i="2"/>
  <c r="O914" i="2"/>
  <c r="M914" i="2"/>
  <c r="N914" i="2" s="1"/>
  <c r="K914" i="2"/>
  <c r="O913" i="2"/>
  <c r="M913" i="2"/>
  <c r="K913" i="2"/>
  <c r="N913" i="2" s="1"/>
  <c r="O912" i="2"/>
  <c r="M912" i="2"/>
  <c r="K912" i="2"/>
  <c r="N912" i="2" s="1"/>
  <c r="O911" i="2"/>
  <c r="N911" i="2"/>
  <c r="M911" i="2"/>
  <c r="K911" i="2"/>
  <c r="O910" i="2"/>
  <c r="M910" i="2"/>
  <c r="N910" i="2" s="1"/>
  <c r="K910" i="2"/>
  <c r="O909" i="2"/>
  <c r="M909" i="2"/>
  <c r="K909" i="2"/>
  <c r="N909" i="2" s="1"/>
  <c r="O908" i="2"/>
  <c r="M908" i="2"/>
  <c r="K908" i="2"/>
  <c r="N908" i="2" s="1"/>
  <c r="O907" i="2"/>
  <c r="M907" i="2"/>
  <c r="K907" i="2"/>
  <c r="O906" i="2"/>
  <c r="M906" i="2"/>
  <c r="N906" i="2" s="1"/>
  <c r="K906" i="2"/>
  <c r="O905" i="2"/>
  <c r="M905" i="2"/>
  <c r="N905" i="2" s="1"/>
  <c r="K905" i="2"/>
  <c r="O904" i="2"/>
  <c r="M904" i="2"/>
  <c r="K904" i="2"/>
  <c r="N904" i="2" s="1"/>
  <c r="O903" i="2"/>
  <c r="M903" i="2"/>
  <c r="K903" i="2"/>
  <c r="N903" i="2" s="1"/>
  <c r="O902" i="2"/>
  <c r="M902" i="2"/>
  <c r="K902" i="2"/>
  <c r="N902" i="2" s="1"/>
  <c r="O901" i="2"/>
  <c r="M901" i="2"/>
  <c r="K901" i="2"/>
  <c r="N901" i="2" s="1"/>
  <c r="O900" i="2"/>
  <c r="M900" i="2"/>
  <c r="N900" i="2" s="1"/>
  <c r="K900" i="2"/>
  <c r="O899" i="2"/>
  <c r="N899" i="2"/>
  <c r="M899" i="2"/>
  <c r="K899" i="2"/>
  <c r="O898" i="2"/>
  <c r="M898" i="2"/>
  <c r="N898" i="2" s="1"/>
  <c r="K898" i="2"/>
  <c r="O897" i="2"/>
  <c r="M897" i="2"/>
  <c r="K897" i="2"/>
  <c r="N897" i="2" s="1"/>
  <c r="O896" i="2"/>
  <c r="M896" i="2"/>
  <c r="K896" i="2"/>
  <c r="N896" i="2" s="1"/>
  <c r="O895" i="2"/>
  <c r="M895" i="2"/>
  <c r="N895" i="2" s="1"/>
  <c r="K895" i="2"/>
  <c r="O894" i="2"/>
  <c r="M894" i="2"/>
  <c r="N894" i="2" s="1"/>
  <c r="K894" i="2"/>
  <c r="O893" i="2"/>
  <c r="M893" i="2"/>
  <c r="K893" i="2"/>
  <c r="N893" i="2" s="1"/>
  <c r="O892" i="2"/>
  <c r="M892" i="2"/>
  <c r="K892" i="2"/>
  <c r="N892" i="2" s="1"/>
  <c r="O891" i="2"/>
  <c r="N891" i="2"/>
  <c r="M891" i="2"/>
  <c r="K891" i="2"/>
  <c r="O890" i="2"/>
  <c r="N890" i="2"/>
  <c r="M890" i="2"/>
  <c r="K890" i="2"/>
  <c r="O889" i="2"/>
  <c r="M889" i="2"/>
  <c r="K889" i="2"/>
  <c r="O888" i="2"/>
  <c r="M888" i="2"/>
  <c r="K888" i="2"/>
  <c r="N888" i="2" s="1"/>
  <c r="O887" i="2"/>
  <c r="M887" i="2"/>
  <c r="K887" i="2"/>
  <c r="O886" i="2"/>
  <c r="M886" i="2"/>
  <c r="N886" i="2" s="1"/>
  <c r="K886" i="2"/>
  <c r="O885" i="2"/>
  <c r="N885" i="2"/>
  <c r="M885" i="2"/>
  <c r="K885" i="2"/>
  <c r="O884" i="2"/>
  <c r="N884" i="2"/>
  <c r="M884" i="2"/>
  <c r="K884" i="2"/>
  <c r="O883" i="2"/>
  <c r="M883" i="2"/>
  <c r="K883" i="2"/>
  <c r="N883" i="2" s="1"/>
  <c r="O882" i="2"/>
  <c r="M882" i="2"/>
  <c r="K882" i="2"/>
  <c r="N882" i="2" s="1"/>
  <c r="O881" i="2"/>
  <c r="N881" i="2"/>
  <c r="M881" i="2"/>
  <c r="K881" i="2"/>
  <c r="O880" i="2"/>
  <c r="M880" i="2"/>
  <c r="N880" i="2" s="1"/>
  <c r="K880" i="2"/>
  <c r="O879" i="2"/>
  <c r="M879" i="2"/>
  <c r="K879" i="2"/>
  <c r="O878" i="2"/>
  <c r="N878" i="2"/>
  <c r="M878" i="2"/>
  <c r="K878" i="2"/>
  <c r="O877" i="2"/>
  <c r="M877" i="2"/>
  <c r="K877" i="2"/>
  <c r="N877" i="2" s="1"/>
  <c r="O876" i="2"/>
  <c r="N876" i="2"/>
  <c r="M876" i="2"/>
  <c r="K876" i="2"/>
  <c r="O875" i="2"/>
  <c r="M875" i="2"/>
  <c r="N875" i="2" s="1"/>
  <c r="K875" i="2"/>
  <c r="O874" i="2"/>
  <c r="M874" i="2"/>
  <c r="K874" i="2"/>
  <c r="N874" i="2" s="1"/>
  <c r="O873" i="2"/>
  <c r="N873" i="2"/>
  <c r="M873" i="2"/>
  <c r="K873" i="2"/>
  <c r="O872" i="2"/>
  <c r="M872" i="2"/>
  <c r="K872" i="2"/>
  <c r="O871" i="2"/>
  <c r="M871" i="2"/>
  <c r="K871" i="2"/>
  <c r="N871" i="2" s="1"/>
  <c r="O870" i="2"/>
  <c r="N870" i="2"/>
  <c r="M870" i="2"/>
  <c r="K870" i="2"/>
  <c r="O869" i="2"/>
  <c r="N869" i="2"/>
  <c r="M869" i="2"/>
  <c r="K869" i="2"/>
  <c r="O868" i="2"/>
  <c r="M868" i="2"/>
  <c r="K868" i="2"/>
  <c r="N868" i="2" s="1"/>
  <c r="O867" i="2"/>
  <c r="M867" i="2"/>
  <c r="K867" i="2"/>
  <c r="N867" i="2" s="1"/>
  <c r="O866" i="2"/>
  <c r="M866" i="2"/>
  <c r="K866" i="2"/>
  <c r="O865" i="2"/>
  <c r="M865" i="2"/>
  <c r="N865" i="2" s="1"/>
  <c r="K865" i="2"/>
  <c r="O864" i="2"/>
  <c r="N864" i="2"/>
  <c r="M864" i="2"/>
  <c r="K864" i="2"/>
  <c r="O863" i="2"/>
  <c r="M863" i="2"/>
  <c r="K863" i="2"/>
  <c r="N863" i="2" s="1"/>
  <c r="O862" i="2"/>
  <c r="M862" i="2"/>
  <c r="K862" i="2"/>
  <c r="N862" i="2" s="1"/>
  <c r="O861" i="2"/>
  <c r="N861" i="2"/>
  <c r="M861" i="2"/>
  <c r="K861" i="2"/>
  <c r="O860" i="2"/>
  <c r="N860" i="2"/>
  <c r="M860" i="2"/>
  <c r="K860" i="2"/>
  <c r="O859" i="2"/>
  <c r="M859" i="2"/>
  <c r="K859" i="2"/>
  <c r="N859" i="2" s="1"/>
  <c r="O858" i="2"/>
  <c r="N858" i="2"/>
  <c r="M858" i="2"/>
  <c r="K858" i="2"/>
  <c r="O857" i="2"/>
  <c r="M857" i="2"/>
  <c r="K857" i="2"/>
  <c r="N857" i="2" s="1"/>
  <c r="O856" i="2"/>
  <c r="M856" i="2"/>
  <c r="N856" i="2" s="1"/>
  <c r="K856" i="2"/>
  <c r="O855" i="2"/>
  <c r="N855" i="2"/>
  <c r="M855" i="2"/>
  <c r="K855" i="2"/>
  <c r="O854" i="2"/>
  <c r="M854" i="2"/>
  <c r="K854" i="2"/>
  <c r="N854" i="2" s="1"/>
  <c r="O853" i="2"/>
  <c r="M853" i="2"/>
  <c r="K853" i="2"/>
  <c r="N853" i="2" s="1"/>
  <c r="O852" i="2"/>
  <c r="M852" i="2"/>
  <c r="K852" i="2"/>
  <c r="N852" i="2" s="1"/>
  <c r="O851" i="2"/>
  <c r="M851" i="2"/>
  <c r="K851" i="2"/>
  <c r="N851" i="2" s="1"/>
  <c r="O850" i="2"/>
  <c r="M850" i="2"/>
  <c r="N850" i="2" s="1"/>
  <c r="K850" i="2"/>
  <c r="O849" i="2"/>
  <c r="N849" i="2"/>
  <c r="M849" i="2"/>
  <c r="K849" i="2"/>
  <c r="O848" i="2"/>
  <c r="M848" i="2"/>
  <c r="K848" i="2"/>
  <c r="N848" i="2" s="1"/>
  <c r="O847" i="2"/>
  <c r="M847" i="2"/>
  <c r="K847" i="2"/>
  <c r="N847" i="2" s="1"/>
  <c r="O846" i="2"/>
  <c r="M846" i="2"/>
  <c r="K846" i="2"/>
  <c r="N846" i="2" s="1"/>
  <c r="O845" i="2"/>
  <c r="M845" i="2"/>
  <c r="N845" i="2" s="1"/>
  <c r="K845" i="2"/>
  <c r="O844" i="2"/>
  <c r="M844" i="2"/>
  <c r="N844" i="2" s="1"/>
  <c r="K844" i="2"/>
  <c r="O843" i="2"/>
  <c r="M843" i="2"/>
  <c r="N843" i="2" s="1"/>
  <c r="K843" i="2"/>
  <c r="O842" i="2"/>
  <c r="M842" i="2"/>
  <c r="K842" i="2"/>
  <c r="N842" i="2" s="1"/>
  <c r="O841" i="2"/>
  <c r="N841" i="2"/>
  <c r="M841" i="2"/>
  <c r="K841" i="2"/>
  <c r="O840" i="2"/>
  <c r="N840" i="2"/>
  <c r="M840" i="2"/>
  <c r="K840" i="2"/>
  <c r="O839" i="2"/>
  <c r="M839" i="2"/>
  <c r="K839" i="2"/>
  <c r="N839" i="2" s="1"/>
  <c r="O838" i="2"/>
  <c r="M838" i="2"/>
  <c r="K838" i="2"/>
  <c r="O837" i="2"/>
  <c r="M837" i="2"/>
  <c r="K837" i="2"/>
  <c r="N837" i="2" s="1"/>
  <c r="O836" i="2"/>
  <c r="M836" i="2"/>
  <c r="N836" i="2" s="1"/>
  <c r="K836" i="2"/>
  <c r="O835" i="2"/>
  <c r="N835" i="2"/>
  <c r="M835" i="2"/>
  <c r="K835" i="2"/>
  <c r="O834" i="2"/>
  <c r="M834" i="2"/>
  <c r="K834" i="2"/>
  <c r="N834" i="2" s="1"/>
  <c r="O833" i="2"/>
  <c r="M833" i="2"/>
  <c r="K833" i="2"/>
  <c r="N833" i="2" s="1"/>
  <c r="O832" i="2"/>
  <c r="M832" i="2"/>
  <c r="K832" i="2"/>
  <c r="N832" i="2" s="1"/>
  <c r="O831" i="2"/>
  <c r="M831" i="2"/>
  <c r="K831" i="2"/>
  <c r="N831" i="2" s="1"/>
  <c r="O830" i="2"/>
  <c r="M830" i="2"/>
  <c r="N830" i="2" s="1"/>
  <c r="K830" i="2"/>
  <c r="O829" i="2"/>
  <c r="M829" i="2"/>
  <c r="K829" i="2"/>
  <c r="N829" i="2" s="1"/>
  <c r="O828" i="2"/>
  <c r="N828" i="2"/>
  <c r="M828" i="2"/>
  <c r="K828" i="2"/>
  <c r="O827" i="2"/>
  <c r="M827" i="2"/>
  <c r="K827" i="2"/>
  <c r="N827" i="2" s="1"/>
  <c r="O826" i="2"/>
  <c r="M826" i="2"/>
  <c r="K826" i="2"/>
  <c r="N826" i="2" s="1"/>
  <c r="O825" i="2"/>
  <c r="M825" i="2"/>
  <c r="N825" i="2" s="1"/>
  <c r="K825" i="2"/>
  <c r="O824" i="2"/>
  <c r="M824" i="2"/>
  <c r="K824" i="2"/>
  <c r="N824" i="2" s="1"/>
  <c r="O823" i="2"/>
  <c r="N823" i="2"/>
  <c r="M823" i="2"/>
  <c r="K823" i="2"/>
  <c r="O822" i="2"/>
  <c r="M822" i="2"/>
  <c r="K822" i="2"/>
  <c r="N822" i="2" s="1"/>
  <c r="O821" i="2"/>
  <c r="M821" i="2"/>
  <c r="N821" i="2" s="1"/>
  <c r="K821" i="2"/>
  <c r="O820" i="2"/>
  <c r="N820" i="2"/>
  <c r="M820" i="2"/>
  <c r="K820" i="2"/>
  <c r="O819" i="2"/>
  <c r="M819" i="2"/>
  <c r="K819" i="2"/>
  <c r="N819" i="2" s="1"/>
  <c r="O818" i="2"/>
  <c r="M818" i="2"/>
  <c r="K818" i="2"/>
  <c r="O817" i="2"/>
  <c r="M817" i="2"/>
  <c r="K817" i="2"/>
  <c r="N817" i="2" s="1"/>
  <c r="O816" i="2"/>
  <c r="M816" i="2"/>
  <c r="K816" i="2"/>
  <c r="N816" i="2" s="1"/>
  <c r="O815" i="2"/>
  <c r="M815" i="2"/>
  <c r="N815" i="2" s="1"/>
  <c r="K815" i="2"/>
  <c r="O814" i="2"/>
  <c r="N814" i="2"/>
  <c r="M814" i="2"/>
  <c r="K814" i="2"/>
  <c r="O813" i="2"/>
  <c r="M813" i="2"/>
  <c r="N813" i="2" s="1"/>
  <c r="K813" i="2"/>
  <c r="O812" i="2"/>
  <c r="M812" i="2"/>
  <c r="K812" i="2"/>
  <c r="N812" i="2" s="1"/>
  <c r="O811" i="2"/>
  <c r="M811" i="2"/>
  <c r="K811" i="2"/>
  <c r="N811" i="2" s="1"/>
  <c r="O810" i="2"/>
  <c r="N810" i="2"/>
  <c r="M810" i="2"/>
  <c r="K810" i="2"/>
  <c r="O809" i="2"/>
  <c r="M809" i="2"/>
  <c r="K809" i="2"/>
  <c r="N809" i="2" s="1"/>
  <c r="O808" i="2"/>
  <c r="M808" i="2"/>
  <c r="K808" i="2"/>
  <c r="N808" i="2" s="1"/>
  <c r="O807" i="2"/>
  <c r="M807" i="2"/>
  <c r="K807" i="2"/>
  <c r="N807" i="2" s="1"/>
  <c r="O806" i="2"/>
  <c r="M806" i="2"/>
  <c r="N806" i="2" s="1"/>
  <c r="K806" i="2"/>
  <c r="O805" i="2"/>
  <c r="N805" i="2"/>
  <c r="M805" i="2"/>
  <c r="K805" i="2"/>
  <c r="O804" i="2"/>
  <c r="M804" i="2"/>
  <c r="K804" i="2"/>
  <c r="N804" i="2" s="1"/>
  <c r="O803" i="2"/>
  <c r="M803" i="2"/>
  <c r="K803" i="2"/>
  <c r="O802" i="2"/>
  <c r="M802" i="2"/>
  <c r="K802" i="2"/>
  <c r="N802" i="2" s="1"/>
  <c r="O801" i="2"/>
  <c r="M801" i="2"/>
  <c r="K801" i="2"/>
  <c r="N801" i="2" s="1"/>
  <c r="O800" i="2"/>
  <c r="M800" i="2"/>
  <c r="N800" i="2" s="1"/>
  <c r="K800" i="2"/>
  <c r="O799" i="2"/>
  <c r="N799" i="2"/>
  <c r="M799" i="2"/>
  <c r="K799" i="2"/>
  <c r="O798" i="2"/>
  <c r="N798" i="2"/>
  <c r="M798" i="2"/>
  <c r="K798" i="2"/>
  <c r="O797" i="2"/>
  <c r="M797" i="2"/>
  <c r="K797" i="2"/>
  <c r="N797" i="2" s="1"/>
  <c r="O796" i="2"/>
  <c r="M796" i="2"/>
  <c r="K796" i="2"/>
  <c r="N796" i="2" s="1"/>
  <c r="O795" i="2"/>
  <c r="M795" i="2"/>
  <c r="N795" i="2" s="1"/>
  <c r="K795" i="2"/>
  <c r="O794" i="2"/>
  <c r="N794" i="2"/>
  <c r="M794" i="2"/>
  <c r="K794" i="2"/>
  <c r="O793" i="2"/>
  <c r="M793" i="2"/>
  <c r="N793" i="2" s="1"/>
  <c r="K793" i="2"/>
  <c r="O792" i="2"/>
  <c r="M792" i="2"/>
  <c r="K792" i="2"/>
  <c r="N792" i="2" s="1"/>
  <c r="O791" i="2"/>
  <c r="N791" i="2"/>
  <c r="M791" i="2"/>
  <c r="K791" i="2"/>
  <c r="O790" i="2"/>
  <c r="N790" i="2"/>
  <c r="M790" i="2"/>
  <c r="K790" i="2"/>
  <c r="O789" i="2"/>
  <c r="M789" i="2"/>
  <c r="K789" i="2"/>
  <c r="N789" i="2" s="1"/>
  <c r="O788" i="2"/>
  <c r="M788" i="2"/>
  <c r="K788" i="2"/>
  <c r="O787" i="2"/>
  <c r="M787" i="2"/>
  <c r="K787" i="2"/>
  <c r="N787" i="2" s="1"/>
  <c r="O786" i="2"/>
  <c r="M786" i="2"/>
  <c r="N786" i="2" s="1"/>
  <c r="K786" i="2"/>
  <c r="O785" i="2"/>
  <c r="N785" i="2"/>
  <c r="M785" i="2"/>
  <c r="K785" i="2"/>
  <c r="O784" i="2"/>
  <c r="N784" i="2"/>
  <c r="M784" i="2"/>
  <c r="K784" i="2"/>
  <c r="O783" i="2"/>
  <c r="M783" i="2"/>
  <c r="K783" i="2"/>
  <c r="N783" i="2" s="1"/>
  <c r="O782" i="2"/>
  <c r="M782" i="2"/>
  <c r="K782" i="2"/>
  <c r="N782" i="2" s="1"/>
  <c r="O781" i="2"/>
  <c r="N781" i="2"/>
  <c r="M781" i="2"/>
  <c r="K781" i="2"/>
  <c r="O780" i="2"/>
  <c r="M780" i="2"/>
  <c r="N780" i="2" s="1"/>
  <c r="K780" i="2"/>
  <c r="O779" i="2"/>
  <c r="M779" i="2"/>
  <c r="N779" i="2" s="1"/>
  <c r="K779" i="2"/>
  <c r="O778" i="2"/>
  <c r="N778" i="2"/>
  <c r="M778" i="2"/>
  <c r="K778" i="2"/>
  <c r="O777" i="2"/>
  <c r="M777" i="2"/>
  <c r="K777" i="2"/>
  <c r="N777" i="2" s="1"/>
  <c r="O776" i="2"/>
  <c r="M776" i="2"/>
  <c r="K776" i="2"/>
  <c r="N776" i="2" s="1"/>
  <c r="O775" i="2"/>
  <c r="M775" i="2"/>
  <c r="N775" i="2" s="1"/>
  <c r="K775" i="2"/>
  <c r="O774" i="2"/>
  <c r="M774" i="2"/>
  <c r="K774" i="2"/>
  <c r="N774" i="2" s="1"/>
  <c r="O773" i="2"/>
  <c r="N773" i="2"/>
  <c r="M773" i="2"/>
  <c r="K773" i="2"/>
  <c r="O772" i="2"/>
  <c r="M772" i="2"/>
  <c r="K772" i="2"/>
  <c r="N772" i="2" s="1"/>
  <c r="O771" i="2"/>
  <c r="M771" i="2"/>
  <c r="K771" i="2"/>
  <c r="N771" i="2" s="1"/>
  <c r="O770" i="2"/>
  <c r="N770" i="2"/>
  <c r="M770" i="2"/>
  <c r="K770" i="2"/>
  <c r="O769" i="2"/>
  <c r="N769" i="2"/>
  <c r="M769" i="2"/>
  <c r="K769" i="2"/>
  <c r="O768" i="2"/>
  <c r="M768" i="2"/>
  <c r="N768" i="2" s="1"/>
  <c r="K768" i="2"/>
  <c r="O767" i="2"/>
  <c r="M767" i="2"/>
  <c r="K767" i="2"/>
  <c r="N767" i="2" s="1"/>
  <c r="O766" i="2"/>
  <c r="M766" i="2"/>
  <c r="K766" i="2"/>
  <c r="O765" i="2"/>
  <c r="M765" i="2"/>
  <c r="N765" i="2" s="1"/>
  <c r="K765" i="2"/>
  <c r="O764" i="2"/>
  <c r="M764" i="2"/>
  <c r="N764" i="2" s="1"/>
  <c r="K764" i="2"/>
  <c r="O763" i="2"/>
  <c r="M763" i="2"/>
  <c r="K763" i="2"/>
  <c r="N763" i="2" s="1"/>
  <c r="O762" i="2"/>
  <c r="M762" i="2"/>
  <c r="K762" i="2"/>
  <c r="N762" i="2" s="1"/>
  <c r="O761" i="2"/>
  <c r="M761" i="2"/>
  <c r="K761" i="2"/>
  <c r="N761" i="2" s="1"/>
  <c r="O760" i="2"/>
  <c r="M760" i="2"/>
  <c r="N760" i="2" s="1"/>
  <c r="K760" i="2"/>
  <c r="O759" i="2"/>
  <c r="M759" i="2"/>
  <c r="K759" i="2"/>
  <c r="O758" i="2"/>
  <c r="M758" i="2"/>
  <c r="K758" i="2"/>
  <c r="N758" i="2" s="1"/>
  <c r="O757" i="2"/>
  <c r="M757" i="2"/>
  <c r="K757" i="2"/>
  <c r="N757" i="2" s="1"/>
  <c r="O756" i="2"/>
  <c r="N756" i="2"/>
  <c r="M756" i="2"/>
  <c r="K756" i="2"/>
  <c r="O755" i="2"/>
  <c r="N755" i="2"/>
  <c r="M755" i="2"/>
  <c r="K755" i="2"/>
  <c r="O754" i="2"/>
  <c r="M754" i="2"/>
  <c r="K754" i="2"/>
  <c r="N754" i="2" s="1"/>
  <c r="O753" i="2"/>
  <c r="M753" i="2"/>
  <c r="K753" i="2"/>
  <c r="N753" i="2" s="1"/>
  <c r="O752" i="2"/>
  <c r="M752" i="2"/>
  <c r="K752" i="2"/>
  <c r="N752" i="2" s="1"/>
  <c r="O751" i="2"/>
  <c r="M751" i="2"/>
  <c r="K751" i="2"/>
  <c r="O750" i="2"/>
  <c r="N750" i="2"/>
  <c r="M750" i="2"/>
  <c r="K750" i="2"/>
  <c r="O749" i="2"/>
  <c r="N749" i="2"/>
  <c r="M749" i="2"/>
  <c r="K749" i="2"/>
  <c r="O748" i="2"/>
  <c r="M748" i="2"/>
  <c r="K748" i="2"/>
  <c r="N748" i="2" s="1"/>
  <c r="O747" i="2"/>
  <c r="M747" i="2"/>
  <c r="K747" i="2"/>
  <c r="N747" i="2" s="1"/>
  <c r="O746" i="2"/>
  <c r="M746" i="2"/>
  <c r="K746" i="2"/>
  <c r="N746" i="2" s="1"/>
  <c r="O745" i="2"/>
  <c r="M745" i="2"/>
  <c r="N745" i="2" s="1"/>
  <c r="K745" i="2"/>
  <c r="O744" i="2"/>
  <c r="M744" i="2"/>
  <c r="N744" i="2" s="1"/>
  <c r="K744" i="2"/>
  <c r="O743" i="2"/>
  <c r="N743" i="2"/>
  <c r="M743" i="2"/>
  <c r="K743" i="2"/>
  <c r="O742" i="2"/>
  <c r="M742" i="2"/>
  <c r="K742" i="2"/>
  <c r="N742" i="2" s="1"/>
  <c r="O741" i="2"/>
  <c r="N741" i="2"/>
  <c r="M741" i="2"/>
  <c r="K741" i="2"/>
  <c r="O740" i="2"/>
  <c r="N740" i="2"/>
  <c r="M740" i="2"/>
  <c r="K740" i="2"/>
  <c r="O739" i="2"/>
  <c r="N739" i="2"/>
  <c r="M739" i="2"/>
  <c r="K739" i="2"/>
  <c r="O738" i="2"/>
  <c r="M738" i="2"/>
  <c r="K738" i="2"/>
  <c r="N738" i="2" s="1"/>
  <c r="O737" i="2"/>
  <c r="M737" i="2"/>
  <c r="K737" i="2"/>
  <c r="N737" i="2" s="1"/>
  <c r="O736" i="2"/>
  <c r="N736" i="2"/>
  <c r="M736" i="2"/>
  <c r="K736" i="2"/>
  <c r="O735" i="2"/>
  <c r="M735" i="2"/>
  <c r="N735" i="2" s="1"/>
  <c r="K735" i="2"/>
  <c r="O734" i="2"/>
  <c r="N734" i="2"/>
  <c r="M734" i="2"/>
  <c r="K734" i="2"/>
  <c r="O733" i="2"/>
  <c r="M733" i="2"/>
  <c r="K733" i="2"/>
  <c r="N733" i="2" s="1"/>
  <c r="O732" i="2"/>
  <c r="M732" i="2"/>
  <c r="K732" i="2"/>
  <c r="N732" i="2" s="1"/>
  <c r="O731" i="2"/>
  <c r="N731" i="2"/>
  <c r="M731" i="2"/>
  <c r="K731" i="2"/>
  <c r="O730" i="2"/>
  <c r="M730" i="2"/>
  <c r="N730" i="2" s="1"/>
  <c r="K730" i="2"/>
  <c r="O729" i="2"/>
  <c r="N729" i="2"/>
  <c r="M729" i="2"/>
  <c r="K729" i="2"/>
  <c r="O728" i="2"/>
  <c r="N728" i="2"/>
  <c r="M728" i="2"/>
  <c r="K728" i="2"/>
  <c r="O727" i="2"/>
  <c r="M727" i="2"/>
  <c r="K727" i="2"/>
  <c r="N727" i="2" s="1"/>
  <c r="O726" i="2"/>
  <c r="M726" i="2"/>
  <c r="K726" i="2"/>
  <c r="N726" i="2" s="1"/>
  <c r="O725" i="2"/>
  <c r="M725" i="2"/>
  <c r="N725" i="2" s="1"/>
  <c r="K725" i="2"/>
  <c r="O724" i="2"/>
  <c r="M724" i="2"/>
  <c r="K724" i="2"/>
  <c r="O723" i="2"/>
  <c r="N723" i="2"/>
  <c r="M723" i="2"/>
  <c r="K723" i="2"/>
  <c r="O722" i="2"/>
  <c r="M722" i="2"/>
  <c r="K722" i="2"/>
  <c r="N722" i="2" s="1"/>
  <c r="O721" i="2"/>
  <c r="M721" i="2"/>
  <c r="K721" i="2"/>
  <c r="N721" i="2" s="1"/>
  <c r="O720" i="2"/>
  <c r="N720" i="2"/>
  <c r="M720" i="2"/>
  <c r="K720" i="2"/>
  <c r="O719" i="2"/>
  <c r="M719" i="2"/>
  <c r="K719" i="2"/>
  <c r="N719" i="2" s="1"/>
  <c r="O718" i="2"/>
  <c r="M718" i="2"/>
  <c r="K718" i="2"/>
  <c r="N718" i="2" s="1"/>
  <c r="O717" i="2"/>
  <c r="M717" i="2"/>
  <c r="K717" i="2"/>
  <c r="N717" i="2" s="1"/>
  <c r="O716" i="2"/>
  <c r="M716" i="2"/>
  <c r="K716" i="2"/>
  <c r="N716" i="2" s="1"/>
  <c r="O715" i="2"/>
  <c r="M715" i="2"/>
  <c r="N715" i="2" s="1"/>
  <c r="K715" i="2"/>
  <c r="O714" i="2"/>
  <c r="M714" i="2"/>
  <c r="N714" i="2" s="1"/>
  <c r="K714" i="2"/>
  <c r="O713" i="2"/>
  <c r="M713" i="2"/>
  <c r="N713" i="2" s="1"/>
  <c r="K713" i="2"/>
  <c r="O712" i="2"/>
  <c r="M712" i="2"/>
  <c r="K712" i="2"/>
  <c r="N712" i="2" s="1"/>
  <c r="O711" i="2"/>
  <c r="M711" i="2"/>
  <c r="K711" i="2"/>
  <c r="N711" i="2" s="1"/>
  <c r="O710" i="2"/>
  <c r="N710" i="2"/>
  <c r="M710" i="2"/>
  <c r="K710" i="2"/>
  <c r="O709" i="2"/>
  <c r="M709" i="2"/>
  <c r="K709" i="2"/>
  <c r="O708" i="2"/>
  <c r="M708" i="2"/>
  <c r="K708" i="2"/>
  <c r="N708" i="2" s="1"/>
  <c r="O707" i="2"/>
  <c r="M707" i="2"/>
  <c r="K707" i="2"/>
  <c r="N707" i="2" s="1"/>
  <c r="O706" i="2"/>
  <c r="N706" i="2"/>
  <c r="M706" i="2"/>
  <c r="K706" i="2"/>
  <c r="O705" i="2"/>
  <c r="M705" i="2"/>
  <c r="N705" i="2" s="1"/>
  <c r="K705" i="2"/>
  <c r="O704" i="2"/>
  <c r="M704" i="2"/>
  <c r="K704" i="2"/>
  <c r="N704" i="2" s="1"/>
  <c r="O703" i="2"/>
  <c r="M703" i="2"/>
  <c r="K703" i="2"/>
  <c r="N703" i="2" s="1"/>
  <c r="O702" i="2"/>
  <c r="M702" i="2"/>
  <c r="K702" i="2"/>
  <c r="N702" i="2" s="1"/>
  <c r="O701" i="2"/>
  <c r="M701" i="2"/>
  <c r="K701" i="2"/>
  <c r="O700" i="2"/>
  <c r="N700" i="2"/>
  <c r="M700" i="2"/>
  <c r="K700" i="2"/>
  <c r="O699" i="2"/>
  <c r="N699" i="2"/>
  <c r="M699" i="2"/>
  <c r="K699" i="2"/>
  <c r="O698" i="2"/>
  <c r="M698" i="2"/>
  <c r="K698" i="2"/>
  <c r="N698" i="2" s="1"/>
  <c r="O697" i="2"/>
  <c r="M697" i="2"/>
  <c r="K697" i="2"/>
  <c r="N697" i="2" s="1"/>
  <c r="O696" i="2"/>
  <c r="M696" i="2"/>
  <c r="K696" i="2"/>
  <c r="N696" i="2" s="1"/>
  <c r="O695" i="2"/>
  <c r="M695" i="2"/>
  <c r="N695" i="2" s="1"/>
  <c r="K695" i="2"/>
  <c r="O694" i="2"/>
  <c r="M694" i="2"/>
  <c r="N694" i="2" s="1"/>
  <c r="K694" i="2"/>
  <c r="O693" i="2"/>
  <c r="M693" i="2"/>
  <c r="N693" i="2" s="1"/>
  <c r="K693" i="2"/>
  <c r="O692" i="2"/>
  <c r="M692" i="2"/>
  <c r="K692" i="2"/>
  <c r="N692" i="2" s="1"/>
  <c r="O691" i="2"/>
  <c r="N691" i="2"/>
  <c r="M691" i="2"/>
  <c r="K691" i="2"/>
  <c r="O690" i="2"/>
  <c r="N690" i="2"/>
  <c r="M690" i="2"/>
  <c r="K690" i="2"/>
  <c r="O689" i="2"/>
  <c r="M689" i="2"/>
  <c r="K689" i="2"/>
  <c r="N689" i="2" s="1"/>
  <c r="O688" i="2"/>
  <c r="M688" i="2"/>
  <c r="K688" i="2"/>
  <c r="O687" i="2"/>
  <c r="M687" i="2"/>
  <c r="K687" i="2"/>
  <c r="N687" i="2" s="1"/>
  <c r="O686" i="2"/>
  <c r="N686" i="2"/>
  <c r="M686" i="2"/>
  <c r="K686" i="2"/>
  <c r="O685" i="2"/>
  <c r="N685" i="2"/>
  <c r="M685" i="2"/>
  <c r="K685" i="2"/>
  <c r="O684" i="2"/>
  <c r="N684" i="2"/>
  <c r="M684" i="2"/>
  <c r="K684" i="2"/>
  <c r="O683" i="2"/>
  <c r="M683" i="2"/>
  <c r="K683" i="2"/>
  <c r="N683" i="2" s="1"/>
  <c r="O682" i="2"/>
  <c r="M682" i="2"/>
  <c r="K682" i="2"/>
  <c r="N682" i="2" s="1"/>
  <c r="O681" i="2"/>
  <c r="N681" i="2"/>
  <c r="M681" i="2"/>
  <c r="K681" i="2"/>
  <c r="O680" i="2"/>
  <c r="M680" i="2"/>
  <c r="N680" i="2" s="1"/>
  <c r="K680" i="2"/>
  <c r="O679" i="2"/>
  <c r="M679" i="2"/>
  <c r="K679" i="2"/>
  <c r="O678" i="2"/>
  <c r="N678" i="2"/>
  <c r="M678" i="2"/>
  <c r="K678" i="2"/>
  <c r="O677" i="2"/>
  <c r="M677" i="2"/>
  <c r="K677" i="2"/>
  <c r="N677" i="2" s="1"/>
  <c r="O676" i="2"/>
  <c r="N676" i="2"/>
  <c r="M676" i="2"/>
  <c r="K676" i="2"/>
  <c r="O675" i="2"/>
  <c r="M675" i="2"/>
  <c r="N675" i="2" s="1"/>
  <c r="K675" i="2"/>
  <c r="O674" i="2"/>
  <c r="M674" i="2"/>
  <c r="K674" i="2"/>
  <c r="N674" i="2" s="1"/>
  <c r="O673" i="2"/>
  <c r="N673" i="2"/>
  <c r="M673" i="2"/>
  <c r="K673" i="2"/>
  <c r="O672" i="2"/>
  <c r="M672" i="2"/>
  <c r="K672" i="2"/>
  <c r="N672" i="2" s="1"/>
  <c r="O671" i="2"/>
  <c r="M671" i="2"/>
  <c r="K671" i="2"/>
  <c r="N671" i="2" s="1"/>
  <c r="O670" i="2"/>
  <c r="N670" i="2"/>
  <c r="M670" i="2"/>
  <c r="K670" i="2"/>
  <c r="O669" i="2"/>
  <c r="M669" i="2"/>
  <c r="K669" i="2"/>
  <c r="N669" i="2" s="1"/>
  <c r="O668" i="2"/>
  <c r="M668" i="2"/>
  <c r="K668" i="2"/>
  <c r="N668" i="2" s="1"/>
  <c r="O667" i="2"/>
  <c r="M667" i="2"/>
  <c r="K667" i="2"/>
  <c r="N667" i="2" s="1"/>
  <c r="O666" i="2"/>
  <c r="M666" i="2"/>
  <c r="K666" i="2"/>
  <c r="O665" i="2"/>
  <c r="M665" i="2"/>
  <c r="N665" i="2" s="1"/>
  <c r="K665" i="2"/>
  <c r="O664" i="2"/>
  <c r="N664" i="2"/>
  <c r="M664" i="2"/>
  <c r="K664" i="2"/>
  <c r="O663" i="2"/>
  <c r="M663" i="2"/>
  <c r="K663" i="2"/>
  <c r="O662" i="2"/>
  <c r="M662" i="2"/>
  <c r="K662" i="2"/>
  <c r="N662" i="2" s="1"/>
  <c r="O661" i="2"/>
  <c r="N661" i="2"/>
  <c r="M661" i="2"/>
  <c r="K661" i="2"/>
  <c r="O660" i="2"/>
  <c r="N660" i="2"/>
  <c r="M660" i="2"/>
  <c r="K660" i="2"/>
  <c r="O659" i="2"/>
  <c r="M659" i="2"/>
  <c r="K659" i="2"/>
  <c r="N659" i="2" s="1"/>
  <c r="O658" i="2"/>
  <c r="M658" i="2"/>
  <c r="K658" i="2"/>
  <c r="O657" i="2"/>
  <c r="M657" i="2"/>
  <c r="K657" i="2"/>
  <c r="N657" i="2" s="1"/>
  <c r="O656" i="2"/>
  <c r="N656" i="2"/>
  <c r="M656" i="2"/>
  <c r="K656" i="2"/>
  <c r="O655" i="2"/>
  <c r="N655" i="2"/>
  <c r="M655" i="2"/>
  <c r="K655" i="2"/>
  <c r="O654" i="2"/>
  <c r="M654" i="2"/>
  <c r="K654" i="2"/>
  <c r="N654" i="2" s="1"/>
  <c r="O653" i="2"/>
  <c r="M653" i="2"/>
  <c r="K653" i="2"/>
  <c r="N653" i="2" s="1"/>
  <c r="O652" i="2"/>
  <c r="M652" i="2"/>
  <c r="K652" i="2"/>
  <c r="N652" i="2" s="1"/>
  <c r="O651" i="2"/>
  <c r="M651" i="2"/>
  <c r="K651" i="2"/>
  <c r="O650" i="2"/>
  <c r="N650" i="2"/>
  <c r="M650" i="2"/>
  <c r="K650" i="2"/>
  <c r="O649" i="2"/>
  <c r="N649" i="2"/>
  <c r="M649" i="2"/>
  <c r="K649" i="2"/>
  <c r="O648" i="2"/>
  <c r="M648" i="2"/>
  <c r="K648" i="2"/>
  <c r="N648" i="2" s="1"/>
  <c r="O647" i="2"/>
  <c r="M647" i="2"/>
  <c r="K647" i="2"/>
  <c r="N647" i="2" s="1"/>
  <c r="O646" i="2"/>
  <c r="M646" i="2"/>
  <c r="K646" i="2"/>
  <c r="N646" i="2" s="1"/>
  <c r="O645" i="2"/>
  <c r="M645" i="2"/>
  <c r="N645" i="2" s="1"/>
  <c r="K645" i="2"/>
  <c r="O644" i="2"/>
  <c r="M644" i="2"/>
  <c r="N644" i="2" s="1"/>
  <c r="K644" i="2"/>
  <c r="O643" i="2"/>
  <c r="M643" i="2"/>
  <c r="N643" i="2" s="1"/>
  <c r="K643" i="2"/>
  <c r="O642" i="2"/>
  <c r="M642" i="2"/>
  <c r="K642" i="2"/>
  <c r="N642" i="2" s="1"/>
  <c r="O641" i="2"/>
  <c r="N641" i="2"/>
  <c r="M641" i="2"/>
  <c r="K641" i="2"/>
  <c r="O640" i="2"/>
  <c r="N640" i="2"/>
  <c r="M640" i="2"/>
  <c r="K640" i="2"/>
  <c r="O639" i="2"/>
  <c r="M639" i="2"/>
  <c r="K639" i="2"/>
  <c r="O638" i="2"/>
  <c r="M638" i="2"/>
  <c r="K638" i="2"/>
  <c r="O637" i="2"/>
  <c r="M637" i="2"/>
  <c r="K637" i="2"/>
  <c r="N637" i="2" s="1"/>
  <c r="O636" i="2"/>
  <c r="M636" i="2"/>
  <c r="N636" i="2" s="1"/>
  <c r="K636" i="2"/>
  <c r="O635" i="2"/>
  <c r="N635" i="2"/>
  <c r="M635" i="2"/>
  <c r="K635" i="2"/>
  <c r="O634" i="2"/>
  <c r="M634" i="2"/>
  <c r="N634" i="2" s="1"/>
  <c r="K634" i="2"/>
  <c r="O633" i="2"/>
  <c r="M633" i="2"/>
  <c r="K633" i="2"/>
  <c r="N633" i="2" s="1"/>
  <c r="O632" i="2"/>
  <c r="M632" i="2"/>
  <c r="K632" i="2"/>
  <c r="N632" i="2" s="1"/>
  <c r="O631" i="2"/>
  <c r="M631" i="2"/>
  <c r="N631" i="2" s="1"/>
  <c r="K631" i="2"/>
  <c r="O630" i="2"/>
  <c r="M630" i="2"/>
  <c r="N630" i="2" s="1"/>
  <c r="K630" i="2"/>
  <c r="O629" i="2"/>
  <c r="M629" i="2"/>
  <c r="K629" i="2"/>
  <c r="O628" i="2"/>
  <c r="N628" i="2"/>
  <c r="M628" i="2"/>
  <c r="K628" i="2"/>
  <c r="O627" i="2"/>
  <c r="M627" i="2"/>
  <c r="K627" i="2"/>
  <c r="N627" i="2" s="1"/>
  <c r="O626" i="2"/>
  <c r="N626" i="2"/>
  <c r="M626" i="2"/>
  <c r="K626" i="2"/>
  <c r="O625" i="2"/>
  <c r="M625" i="2"/>
  <c r="N625" i="2" s="1"/>
  <c r="K625" i="2"/>
  <c r="O624" i="2"/>
  <c r="M624" i="2"/>
  <c r="K624" i="2"/>
  <c r="N624" i="2" s="1"/>
  <c r="O623" i="2"/>
  <c r="N623" i="2"/>
  <c r="M623" i="2"/>
  <c r="K623" i="2"/>
  <c r="O622" i="2"/>
  <c r="M622" i="2"/>
  <c r="K622" i="2"/>
  <c r="N622" i="2" s="1"/>
  <c r="O621" i="2"/>
  <c r="M621" i="2"/>
  <c r="K621" i="2"/>
  <c r="N621" i="2" s="1"/>
  <c r="O620" i="2"/>
  <c r="N620" i="2"/>
  <c r="M620" i="2"/>
  <c r="K620" i="2"/>
  <c r="O619" i="2"/>
  <c r="N619" i="2"/>
  <c r="M619" i="2"/>
  <c r="K619" i="2"/>
  <c r="O618" i="2"/>
  <c r="M618" i="2"/>
  <c r="K618" i="2"/>
  <c r="N618" i="2" s="1"/>
  <c r="O617" i="2"/>
  <c r="M617" i="2"/>
  <c r="K617" i="2"/>
  <c r="N617" i="2" s="1"/>
  <c r="O616" i="2"/>
  <c r="M616" i="2"/>
  <c r="K616" i="2"/>
  <c r="O615" i="2"/>
  <c r="M615" i="2"/>
  <c r="N615" i="2" s="1"/>
  <c r="K615" i="2"/>
  <c r="O614" i="2"/>
  <c r="N614" i="2"/>
  <c r="M614" i="2"/>
  <c r="K614" i="2"/>
  <c r="O613" i="2"/>
  <c r="M613" i="2"/>
  <c r="K613" i="2"/>
  <c r="O612" i="2"/>
  <c r="M612" i="2"/>
  <c r="K612" i="2"/>
  <c r="N612" i="2" s="1"/>
  <c r="O611" i="2"/>
  <c r="N611" i="2"/>
  <c r="M611" i="2"/>
  <c r="K611" i="2"/>
  <c r="O610" i="2"/>
  <c r="N610" i="2"/>
  <c r="M610" i="2"/>
  <c r="K610" i="2"/>
  <c r="O609" i="2"/>
  <c r="M609" i="2"/>
  <c r="K609" i="2"/>
  <c r="N609" i="2" s="1"/>
  <c r="O608" i="2"/>
  <c r="N608" i="2"/>
  <c r="M608" i="2"/>
  <c r="K608" i="2"/>
  <c r="O607" i="2"/>
  <c r="M607" i="2"/>
  <c r="K607" i="2"/>
  <c r="N607" i="2" s="1"/>
  <c r="O606" i="2"/>
  <c r="M606" i="2"/>
  <c r="N606" i="2" s="1"/>
  <c r="K606" i="2"/>
  <c r="O605" i="2"/>
  <c r="N605" i="2"/>
  <c r="M605" i="2"/>
  <c r="K605" i="2"/>
  <c r="O604" i="2"/>
  <c r="M604" i="2"/>
  <c r="K604" i="2"/>
  <c r="N604" i="2" s="1"/>
  <c r="O603" i="2"/>
  <c r="M603" i="2"/>
  <c r="K603" i="2"/>
  <c r="O602" i="2"/>
  <c r="M602" i="2"/>
  <c r="K602" i="2"/>
  <c r="N602" i="2" s="1"/>
  <c r="O601" i="2"/>
  <c r="M601" i="2"/>
  <c r="K601" i="2"/>
  <c r="N601" i="2" s="1"/>
  <c r="O600" i="2"/>
  <c r="M600" i="2"/>
  <c r="N600" i="2" s="1"/>
  <c r="K600" i="2"/>
  <c r="O599" i="2"/>
  <c r="N599" i="2"/>
  <c r="M599" i="2"/>
  <c r="K599" i="2"/>
  <c r="O598" i="2"/>
  <c r="N598" i="2"/>
  <c r="M598" i="2"/>
  <c r="K598" i="2"/>
  <c r="O597" i="2"/>
  <c r="M597" i="2"/>
  <c r="K597" i="2"/>
  <c r="N597" i="2" s="1"/>
  <c r="O596" i="2"/>
  <c r="M596" i="2"/>
  <c r="K596" i="2"/>
  <c r="N596" i="2" s="1"/>
  <c r="O595" i="2"/>
  <c r="M595" i="2"/>
  <c r="N595" i="2" s="1"/>
  <c r="K595" i="2"/>
  <c r="O594" i="2"/>
  <c r="N594" i="2"/>
  <c r="M594" i="2"/>
  <c r="K594" i="2"/>
  <c r="O593" i="2"/>
  <c r="M593" i="2"/>
  <c r="N593" i="2" s="1"/>
  <c r="K593" i="2"/>
  <c r="O592" i="2"/>
  <c r="M592" i="2"/>
  <c r="K592" i="2"/>
  <c r="N592" i="2" s="1"/>
  <c r="O591" i="2"/>
  <c r="N591" i="2"/>
  <c r="M591" i="2"/>
  <c r="K591" i="2"/>
  <c r="O590" i="2"/>
  <c r="N590" i="2"/>
  <c r="M590" i="2"/>
  <c r="K590" i="2"/>
  <c r="O589" i="2"/>
  <c r="M589" i="2"/>
  <c r="K589" i="2"/>
  <c r="N589" i="2" s="1"/>
  <c r="O588" i="2"/>
  <c r="M588" i="2"/>
  <c r="K588" i="2"/>
  <c r="O587" i="2"/>
  <c r="M587" i="2"/>
  <c r="K587" i="2"/>
  <c r="N587" i="2" s="1"/>
  <c r="O586" i="2"/>
  <c r="M586" i="2"/>
  <c r="N586" i="2" s="1"/>
  <c r="K586" i="2"/>
  <c r="O585" i="2"/>
  <c r="N585" i="2"/>
  <c r="M585" i="2"/>
  <c r="K585" i="2"/>
  <c r="O584" i="2"/>
  <c r="M584" i="2"/>
  <c r="K584" i="2"/>
  <c r="N584" i="2" s="1"/>
  <c r="O583" i="2"/>
  <c r="M583" i="2"/>
  <c r="K583" i="2"/>
  <c r="N583" i="2" s="1"/>
  <c r="O582" i="2"/>
  <c r="M582" i="2"/>
  <c r="K582" i="2"/>
  <c r="N582" i="2" s="1"/>
  <c r="O581" i="2"/>
  <c r="M581" i="2"/>
  <c r="K581" i="2"/>
  <c r="O580" i="2"/>
  <c r="M580" i="2"/>
  <c r="N580" i="2" s="1"/>
  <c r="K580" i="2"/>
  <c r="O579" i="2"/>
  <c r="M579" i="2"/>
  <c r="K579" i="2"/>
  <c r="N579" i="2" s="1"/>
  <c r="O578" i="2"/>
  <c r="N578" i="2"/>
  <c r="M578" i="2"/>
  <c r="K578" i="2"/>
  <c r="O577" i="2"/>
  <c r="M577" i="2"/>
  <c r="K577" i="2"/>
  <c r="N577" i="2" s="1"/>
  <c r="O576" i="2"/>
  <c r="M576" i="2"/>
  <c r="K576" i="2"/>
  <c r="N576" i="2" s="1"/>
  <c r="O575" i="2"/>
  <c r="M575" i="2"/>
  <c r="N575" i="2" s="1"/>
  <c r="K575" i="2"/>
  <c r="O574" i="2"/>
  <c r="M574" i="2"/>
  <c r="K574" i="2"/>
  <c r="O573" i="2"/>
  <c r="N573" i="2"/>
  <c r="M573" i="2"/>
  <c r="K573" i="2"/>
  <c r="O572" i="2"/>
  <c r="M572" i="2"/>
  <c r="K572" i="2"/>
  <c r="N572" i="2" s="1"/>
  <c r="O571" i="2"/>
  <c r="N571" i="2"/>
  <c r="M571" i="2"/>
  <c r="K571" i="2"/>
  <c r="O570" i="2"/>
  <c r="N570" i="2"/>
  <c r="M570" i="2"/>
  <c r="K570" i="2"/>
  <c r="O569" i="2"/>
  <c r="M569" i="2"/>
  <c r="K569" i="2"/>
  <c r="N569" i="2" s="1"/>
  <c r="O568" i="2"/>
  <c r="M568" i="2"/>
  <c r="K568" i="2"/>
  <c r="O567" i="2"/>
  <c r="M567" i="2"/>
  <c r="K567" i="2"/>
  <c r="N567" i="2" s="1"/>
  <c r="O566" i="2"/>
  <c r="M566" i="2"/>
  <c r="K566" i="2"/>
  <c r="N566" i="2" s="1"/>
  <c r="O565" i="2"/>
  <c r="M565" i="2"/>
  <c r="N565" i="2" s="1"/>
  <c r="K565" i="2"/>
  <c r="O564" i="2"/>
  <c r="M564" i="2"/>
  <c r="N564" i="2" s="1"/>
  <c r="K564" i="2"/>
  <c r="O563" i="2"/>
  <c r="M563" i="2"/>
  <c r="N563" i="2" s="1"/>
  <c r="K563" i="2"/>
  <c r="O562" i="2"/>
  <c r="M562" i="2"/>
  <c r="K562" i="2"/>
  <c r="N562" i="2" s="1"/>
  <c r="O561" i="2"/>
  <c r="M561" i="2"/>
  <c r="K561" i="2"/>
  <c r="N561" i="2" s="1"/>
  <c r="O560" i="2"/>
  <c r="N560" i="2"/>
  <c r="M560" i="2"/>
  <c r="K560" i="2"/>
  <c r="O559" i="2"/>
  <c r="M559" i="2"/>
  <c r="K559" i="2"/>
  <c r="N559" i="2" s="1"/>
  <c r="O558" i="2"/>
  <c r="M558" i="2"/>
  <c r="K558" i="2"/>
  <c r="O557" i="2"/>
  <c r="M557" i="2"/>
  <c r="K557" i="2"/>
  <c r="N557" i="2" s="1"/>
  <c r="O556" i="2"/>
  <c r="M556" i="2"/>
  <c r="N556" i="2" s="1"/>
  <c r="K556" i="2"/>
  <c r="O555" i="2"/>
  <c r="N555" i="2"/>
  <c r="M555" i="2"/>
  <c r="K555" i="2"/>
  <c r="O554" i="2"/>
  <c r="M554" i="2"/>
  <c r="K554" i="2"/>
  <c r="N554" i="2" s="1"/>
  <c r="O553" i="2"/>
  <c r="M553" i="2"/>
  <c r="K553" i="2"/>
  <c r="N553" i="2" s="1"/>
  <c r="O552" i="2"/>
  <c r="M552" i="2"/>
  <c r="K552" i="2"/>
  <c r="N552" i="2" s="1"/>
  <c r="O551" i="2"/>
  <c r="M551" i="2"/>
  <c r="K551" i="2"/>
  <c r="N551" i="2" s="1"/>
  <c r="O550" i="2"/>
  <c r="M550" i="2"/>
  <c r="N550" i="2" s="1"/>
  <c r="K550" i="2"/>
  <c r="O549" i="2"/>
  <c r="N549" i="2"/>
  <c r="M549" i="2"/>
  <c r="K549" i="2"/>
  <c r="O548" i="2"/>
  <c r="N548" i="2"/>
  <c r="M548" i="2"/>
  <c r="K548" i="2"/>
  <c r="O547" i="2"/>
  <c r="M547" i="2"/>
  <c r="K547" i="2"/>
  <c r="N547" i="2" s="1"/>
  <c r="O546" i="2"/>
  <c r="M546" i="2"/>
  <c r="K546" i="2"/>
  <c r="N546" i="2" s="1"/>
  <c r="O545" i="2"/>
  <c r="M545" i="2"/>
  <c r="N545" i="2" s="1"/>
  <c r="K545" i="2"/>
  <c r="O544" i="2"/>
  <c r="M544" i="2"/>
  <c r="N544" i="2" s="1"/>
  <c r="K544" i="2"/>
  <c r="O543" i="2"/>
  <c r="M543" i="2"/>
  <c r="N543" i="2" s="1"/>
  <c r="K543" i="2"/>
  <c r="O542" i="2"/>
  <c r="M542" i="2"/>
  <c r="K542" i="2"/>
  <c r="N542" i="2" s="1"/>
  <c r="O541" i="2"/>
  <c r="N541" i="2"/>
  <c r="M541" i="2"/>
  <c r="K541" i="2"/>
  <c r="O540" i="2"/>
  <c r="N540" i="2"/>
  <c r="M540" i="2"/>
  <c r="K540" i="2"/>
  <c r="O539" i="2"/>
  <c r="M539" i="2"/>
  <c r="K539" i="2"/>
  <c r="N539" i="2" s="1"/>
  <c r="O538" i="2"/>
  <c r="M538" i="2"/>
  <c r="K538" i="2"/>
  <c r="O537" i="2"/>
  <c r="M537" i="2"/>
  <c r="K537" i="2"/>
  <c r="N537" i="2" s="1"/>
  <c r="O536" i="2"/>
  <c r="M536" i="2"/>
  <c r="N536" i="2" s="1"/>
  <c r="K536" i="2"/>
  <c r="O535" i="2"/>
  <c r="N535" i="2"/>
  <c r="M535" i="2"/>
  <c r="K535" i="2"/>
  <c r="O534" i="2"/>
  <c r="N534" i="2"/>
  <c r="M534" i="2"/>
  <c r="K534" i="2"/>
  <c r="O533" i="2"/>
  <c r="M533" i="2"/>
  <c r="K533" i="2"/>
  <c r="N533" i="2" s="1"/>
  <c r="O532" i="2"/>
  <c r="M532" i="2"/>
  <c r="K532" i="2"/>
  <c r="N532" i="2" s="1"/>
  <c r="O531" i="2"/>
  <c r="N531" i="2"/>
  <c r="M531" i="2"/>
  <c r="K531" i="2"/>
  <c r="O530" i="2"/>
  <c r="M530" i="2"/>
  <c r="N530" i="2" s="1"/>
  <c r="K530" i="2"/>
  <c r="O529" i="2"/>
  <c r="M529" i="2"/>
  <c r="N529" i="2" s="1"/>
  <c r="K529" i="2"/>
  <c r="O528" i="2"/>
  <c r="N528" i="2"/>
  <c r="M528" i="2"/>
  <c r="K528" i="2"/>
  <c r="O527" i="2"/>
  <c r="M527" i="2"/>
  <c r="K527" i="2"/>
  <c r="N527" i="2" s="1"/>
  <c r="O526" i="2"/>
  <c r="N526" i="2"/>
  <c r="M526" i="2"/>
  <c r="K526" i="2"/>
  <c r="O525" i="2"/>
  <c r="M525" i="2"/>
  <c r="N525" i="2" s="1"/>
  <c r="K525" i="2"/>
  <c r="O524" i="2"/>
  <c r="M524" i="2"/>
  <c r="K524" i="2"/>
  <c r="N524" i="2" s="1"/>
  <c r="O523" i="2"/>
  <c r="N523" i="2"/>
  <c r="M523" i="2"/>
  <c r="K523" i="2"/>
  <c r="O522" i="2"/>
  <c r="M522" i="2"/>
  <c r="K522" i="2"/>
  <c r="N522" i="2" s="1"/>
  <c r="O521" i="2"/>
  <c r="M521" i="2"/>
  <c r="K521" i="2"/>
  <c r="N521" i="2" s="1"/>
  <c r="O520" i="2"/>
  <c r="N520" i="2"/>
  <c r="M520" i="2"/>
  <c r="K520" i="2"/>
  <c r="O519" i="2"/>
  <c r="N519" i="2"/>
  <c r="M519" i="2"/>
  <c r="K519" i="2"/>
  <c r="O518" i="2"/>
  <c r="M518" i="2"/>
  <c r="N518" i="2" s="1"/>
  <c r="K518" i="2"/>
  <c r="O517" i="2"/>
  <c r="M517" i="2"/>
  <c r="K517" i="2"/>
  <c r="N517" i="2" s="1"/>
  <c r="O516" i="2"/>
  <c r="M516" i="2"/>
  <c r="K516" i="2"/>
  <c r="O515" i="2"/>
  <c r="M515" i="2"/>
  <c r="N515" i="2" s="1"/>
  <c r="K515" i="2"/>
  <c r="O514" i="2"/>
  <c r="M514" i="2"/>
  <c r="N514" i="2" s="1"/>
  <c r="K514" i="2"/>
  <c r="O513" i="2"/>
  <c r="M513" i="2"/>
  <c r="K513" i="2"/>
  <c r="N513" i="2" s="1"/>
  <c r="O512" i="2"/>
  <c r="M512" i="2"/>
  <c r="K512" i="2"/>
  <c r="N512" i="2" s="1"/>
  <c r="O511" i="2"/>
  <c r="N511" i="2"/>
  <c r="M511" i="2"/>
  <c r="K511" i="2"/>
  <c r="O510" i="2"/>
  <c r="M510" i="2"/>
  <c r="N510" i="2" s="1"/>
  <c r="K510" i="2"/>
  <c r="O509" i="2"/>
  <c r="M509" i="2"/>
  <c r="K509" i="2"/>
  <c r="O508" i="2"/>
  <c r="M508" i="2"/>
  <c r="K508" i="2"/>
  <c r="N508" i="2" s="1"/>
  <c r="O507" i="2"/>
  <c r="M507" i="2"/>
  <c r="K507" i="2"/>
  <c r="N507" i="2" s="1"/>
  <c r="O506" i="2"/>
  <c r="N506" i="2"/>
  <c r="M506" i="2"/>
  <c r="K506" i="2"/>
  <c r="O505" i="2"/>
  <c r="M505" i="2"/>
  <c r="N505" i="2" s="1"/>
  <c r="K505" i="2"/>
  <c r="O504" i="2"/>
  <c r="M504" i="2"/>
  <c r="K504" i="2"/>
  <c r="N504" i="2" s="1"/>
  <c r="O503" i="2"/>
  <c r="M503" i="2"/>
  <c r="K503" i="2"/>
  <c r="N503" i="2" s="1"/>
  <c r="O502" i="2"/>
  <c r="M502" i="2"/>
  <c r="K502" i="2"/>
  <c r="N502" i="2" s="1"/>
  <c r="O501" i="2"/>
  <c r="M501" i="2"/>
  <c r="K501" i="2"/>
  <c r="O500" i="2"/>
  <c r="N500" i="2"/>
  <c r="M500" i="2"/>
  <c r="K500" i="2"/>
  <c r="O499" i="2"/>
  <c r="N499" i="2"/>
  <c r="M499" i="2"/>
  <c r="K499" i="2"/>
  <c r="O498" i="2"/>
  <c r="M498" i="2"/>
  <c r="K498" i="2"/>
  <c r="N498" i="2" s="1"/>
  <c r="O497" i="2"/>
  <c r="M497" i="2"/>
  <c r="K497" i="2"/>
  <c r="N497" i="2" s="1"/>
  <c r="O496" i="2"/>
  <c r="M496" i="2"/>
  <c r="K496" i="2"/>
  <c r="N496" i="2" s="1"/>
  <c r="O495" i="2"/>
  <c r="M495" i="2"/>
  <c r="N495" i="2" s="1"/>
  <c r="K495" i="2"/>
  <c r="O494" i="2"/>
  <c r="M494" i="2"/>
  <c r="N494" i="2" s="1"/>
  <c r="K494" i="2"/>
  <c r="O493" i="2"/>
  <c r="M493" i="2"/>
  <c r="N493" i="2" s="1"/>
  <c r="K493" i="2"/>
  <c r="O492" i="2"/>
  <c r="M492" i="2"/>
  <c r="K492" i="2"/>
  <c r="N492" i="2" s="1"/>
  <c r="O491" i="2"/>
  <c r="N491" i="2"/>
  <c r="M491" i="2"/>
  <c r="K491" i="2"/>
  <c r="O490" i="2"/>
  <c r="N490" i="2"/>
  <c r="M490" i="2"/>
  <c r="K490" i="2"/>
  <c r="O489" i="2"/>
  <c r="M489" i="2"/>
  <c r="K489" i="2"/>
  <c r="N489" i="2" s="1"/>
  <c r="O488" i="2"/>
  <c r="M488" i="2"/>
  <c r="K488" i="2"/>
  <c r="N488" i="2" s="1"/>
  <c r="O487" i="2"/>
  <c r="M487" i="2"/>
  <c r="K487" i="2"/>
  <c r="N487" i="2" s="1"/>
  <c r="O486" i="2"/>
  <c r="N486" i="2"/>
  <c r="M486" i="2"/>
  <c r="K486" i="2"/>
  <c r="O485" i="2"/>
  <c r="M485" i="2"/>
  <c r="N485" i="2" s="1"/>
  <c r="K485" i="2"/>
  <c r="O484" i="2"/>
  <c r="M484" i="2"/>
  <c r="K484" i="2"/>
  <c r="N484" i="2" s="1"/>
  <c r="O483" i="2"/>
  <c r="M483" i="2"/>
  <c r="K483" i="2"/>
  <c r="N483" i="2" s="1"/>
  <c r="O482" i="2"/>
  <c r="M482" i="2"/>
  <c r="K482" i="2"/>
  <c r="N482" i="2" s="1"/>
  <c r="O481" i="2"/>
  <c r="M481" i="2"/>
  <c r="K481" i="2"/>
  <c r="N481" i="2" s="1"/>
  <c r="O480" i="2"/>
  <c r="M480" i="2"/>
  <c r="N480" i="2" s="1"/>
  <c r="K480" i="2"/>
  <c r="O479" i="2"/>
  <c r="M479" i="2"/>
  <c r="N479" i="2" s="1"/>
  <c r="K479" i="2"/>
  <c r="O478" i="2"/>
  <c r="N478" i="2"/>
  <c r="M478" i="2"/>
  <c r="K478" i="2"/>
  <c r="O477" i="2"/>
  <c r="M477" i="2"/>
  <c r="K477" i="2"/>
  <c r="N477" i="2" s="1"/>
  <c r="O476" i="2"/>
  <c r="M476" i="2"/>
  <c r="K476" i="2"/>
  <c r="N476" i="2" s="1"/>
  <c r="O475" i="2"/>
  <c r="M475" i="2"/>
  <c r="N475" i="2" s="1"/>
  <c r="K475" i="2"/>
  <c r="O474" i="2"/>
  <c r="M474" i="2"/>
  <c r="K474" i="2"/>
  <c r="O473" i="2"/>
  <c r="N473" i="2"/>
  <c r="M473" i="2"/>
  <c r="K473" i="2"/>
  <c r="O472" i="2"/>
  <c r="M472" i="2"/>
  <c r="K472" i="2"/>
  <c r="N472" i="2" s="1"/>
  <c r="O471" i="2"/>
  <c r="N471" i="2"/>
  <c r="M471" i="2"/>
  <c r="K471" i="2"/>
  <c r="O470" i="2"/>
  <c r="N470" i="2"/>
  <c r="M470" i="2"/>
  <c r="K470" i="2"/>
  <c r="O469" i="2"/>
  <c r="M469" i="2"/>
  <c r="K469" i="2"/>
  <c r="N469" i="2" s="1"/>
  <c r="O468" i="2"/>
  <c r="M468" i="2"/>
  <c r="K468" i="2"/>
  <c r="N468" i="2" s="1"/>
  <c r="O467" i="2"/>
  <c r="M467" i="2"/>
  <c r="K467" i="2"/>
  <c r="N467" i="2" s="1"/>
  <c r="O466" i="2"/>
  <c r="M466" i="2"/>
  <c r="K466" i="2"/>
  <c r="N466" i="2" s="1"/>
  <c r="O465" i="2"/>
  <c r="M465" i="2"/>
  <c r="N465" i="2" s="1"/>
  <c r="K465" i="2"/>
  <c r="O464" i="2"/>
  <c r="M464" i="2"/>
  <c r="N464" i="2" s="1"/>
  <c r="K464" i="2"/>
  <c r="O463" i="2"/>
  <c r="M463" i="2"/>
  <c r="N463" i="2" s="1"/>
  <c r="K463" i="2"/>
  <c r="O462" i="2"/>
  <c r="M462" i="2"/>
  <c r="K462" i="2"/>
  <c r="N462" i="2" s="1"/>
  <c r="O461" i="2"/>
  <c r="M461" i="2"/>
  <c r="K461" i="2"/>
  <c r="N461" i="2" s="1"/>
  <c r="O460" i="2"/>
  <c r="N460" i="2"/>
  <c r="M460" i="2"/>
  <c r="K460" i="2"/>
  <c r="O459" i="2"/>
  <c r="M459" i="2"/>
  <c r="K459" i="2"/>
  <c r="O458" i="2"/>
  <c r="M458" i="2"/>
  <c r="K458" i="2"/>
  <c r="N458" i="2" s="1"/>
  <c r="O457" i="2"/>
  <c r="M457" i="2"/>
  <c r="K457" i="2"/>
  <c r="N457" i="2" s="1"/>
  <c r="O456" i="2"/>
  <c r="N456" i="2"/>
  <c r="M456" i="2"/>
  <c r="K456" i="2"/>
  <c r="O455" i="2"/>
  <c r="M455" i="2"/>
  <c r="N455" i="2" s="1"/>
  <c r="K455" i="2"/>
  <c r="O454" i="2"/>
  <c r="M454" i="2"/>
  <c r="K454" i="2"/>
  <c r="N454" i="2" s="1"/>
  <c r="O453" i="2"/>
  <c r="M453" i="2"/>
  <c r="K453" i="2"/>
  <c r="N453" i="2" s="1"/>
  <c r="O452" i="2"/>
  <c r="M452" i="2"/>
  <c r="K452" i="2"/>
  <c r="N452" i="2" s="1"/>
  <c r="O451" i="2"/>
  <c r="M451" i="2"/>
  <c r="K451" i="2"/>
  <c r="O450" i="2"/>
  <c r="N450" i="2"/>
  <c r="M450" i="2"/>
  <c r="K450" i="2"/>
  <c r="O449" i="2"/>
  <c r="N449" i="2"/>
  <c r="M449" i="2"/>
  <c r="K449" i="2"/>
  <c r="O448" i="2"/>
  <c r="N448" i="2"/>
  <c r="M448" i="2"/>
  <c r="K448" i="2"/>
  <c r="O447" i="2"/>
  <c r="M447" i="2"/>
  <c r="K447" i="2"/>
  <c r="N447" i="2" s="1"/>
  <c r="O446" i="2"/>
  <c r="M446" i="2"/>
  <c r="K446" i="2"/>
  <c r="N446" i="2" s="1"/>
  <c r="O445" i="2"/>
  <c r="M445" i="2"/>
  <c r="N445" i="2" s="1"/>
  <c r="K445" i="2"/>
  <c r="O444" i="2"/>
  <c r="M444" i="2"/>
  <c r="N444" i="2" s="1"/>
  <c r="K444" i="2"/>
  <c r="O443" i="2"/>
  <c r="M443" i="2"/>
  <c r="N443" i="2" s="1"/>
  <c r="K443" i="2"/>
  <c r="O442" i="2"/>
  <c r="M442" i="2"/>
  <c r="K442" i="2"/>
  <c r="N442" i="2" s="1"/>
  <c r="O441" i="2"/>
  <c r="N441" i="2"/>
  <c r="M441" i="2"/>
  <c r="K441" i="2"/>
  <c r="O440" i="2"/>
  <c r="N440" i="2"/>
  <c r="M440" i="2"/>
  <c r="K440" i="2"/>
  <c r="O439" i="2"/>
  <c r="M439" i="2"/>
  <c r="K439" i="2"/>
  <c r="N439" i="2" s="1"/>
  <c r="O438" i="2"/>
  <c r="M438" i="2"/>
  <c r="K438" i="2"/>
  <c r="O437" i="2"/>
  <c r="M437" i="2"/>
  <c r="K437" i="2"/>
  <c r="N437" i="2" s="1"/>
  <c r="O436" i="2"/>
  <c r="N436" i="2"/>
  <c r="M436" i="2"/>
  <c r="K436" i="2"/>
  <c r="O435" i="2"/>
  <c r="N435" i="2"/>
  <c r="M435" i="2"/>
  <c r="K435" i="2"/>
  <c r="O434" i="2"/>
  <c r="N434" i="2"/>
  <c r="M434" i="2"/>
  <c r="K434" i="2"/>
  <c r="O433" i="2"/>
  <c r="M433" i="2"/>
  <c r="K433" i="2"/>
  <c r="N433" i="2" s="1"/>
  <c r="O432" i="2"/>
  <c r="M432" i="2"/>
  <c r="K432" i="2"/>
  <c r="N432" i="2" s="1"/>
  <c r="O431" i="2"/>
  <c r="N431" i="2"/>
  <c r="M431" i="2"/>
  <c r="K431" i="2"/>
  <c r="O430" i="2"/>
  <c r="M430" i="2"/>
  <c r="N430" i="2" s="1"/>
  <c r="K430" i="2"/>
  <c r="O429" i="2"/>
  <c r="M429" i="2"/>
  <c r="K429" i="2"/>
  <c r="O428" i="2"/>
  <c r="N428" i="2"/>
  <c r="M428" i="2"/>
  <c r="K428" i="2"/>
  <c r="O427" i="2"/>
  <c r="M427" i="2"/>
  <c r="K427" i="2"/>
  <c r="N427" i="2" s="1"/>
  <c r="O426" i="2"/>
  <c r="N426" i="2"/>
  <c r="M426" i="2"/>
  <c r="K426" i="2"/>
  <c r="O425" i="2"/>
  <c r="M425" i="2"/>
  <c r="N425" i="2" s="1"/>
  <c r="K425" i="2"/>
  <c r="O424" i="2"/>
  <c r="M424" i="2"/>
  <c r="K424" i="2"/>
  <c r="N424" i="2" s="1"/>
  <c r="O423" i="2"/>
  <c r="N423" i="2"/>
  <c r="M423" i="2"/>
  <c r="K423" i="2"/>
  <c r="O422" i="2"/>
  <c r="M422" i="2"/>
  <c r="K422" i="2"/>
  <c r="N422" i="2" s="1"/>
  <c r="O421" i="2"/>
  <c r="M421" i="2"/>
  <c r="K421" i="2"/>
  <c r="N421" i="2" s="1"/>
  <c r="O420" i="2"/>
  <c r="N420" i="2"/>
  <c r="M420" i="2"/>
  <c r="K420" i="2"/>
  <c r="O419" i="2"/>
  <c r="M419" i="2"/>
  <c r="K419" i="2"/>
  <c r="N419" i="2" s="1"/>
  <c r="O418" i="2"/>
  <c r="M418" i="2"/>
  <c r="K418" i="2"/>
  <c r="N418" i="2" s="1"/>
  <c r="O417" i="2"/>
  <c r="M417" i="2"/>
  <c r="K417" i="2"/>
  <c r="N417" i="2" s="1"/>
  <c r="O416" i="2"/>
  <c r="M416" i="2"/>
  <c r="K416" i="2"/>
  <c r="O415" i="2"/>
  <c r="M415" i="2"/>
  <c r="N415" i="2" s="1"/>
  <c r="K415" i="2"/>
  <c r="O414" i="2"/>
  <c r="M414" i="2"/>
  <c r="N414" i="2" s="1"/>
  <c r="K414" i="2"/>
  <c r="O413" i="2"/>
  <c r="M413" i="2"/>
  <c r="K413" i="2"/>
  <c r="N413" i="2" s="1"/>
  <c r="O412" i="2"/>
  <c r="M412" i="2"/>
  <c r="K412" i="2"/>
  <c r="N412" i="2" s="1"/>
  <c r="O411" i="2"/>
  <c r="N411" i="2"/>
  <c r="M411" i="2"/>
  <c r="K411" i="2"/>
  <c r="O410" i="2"/>
  <c r="M410" i="2"/>
  <c r="N410" i="2" s="1"/>
  <c r="K410" i="2"/>
  <c r="O409" i="2"/>
  <c r="M409" i="2"/>
  <c r="K409" i="2"/>
  <c r="N409" i="2" s="1"/>
  <c r="O408" i="2"/>
  <c r="M408" i="2"/>
  <c r="K408" i="2"/>
  <c r="O407" i="2"/>
  <c r="M407" i="2"/>
  <c r="K407" i="2"/>
  <c r="N407" i="2" s="1"/>
  <c r="O406" i="2"/>
  <c r="N406" i="2"/>
  <c r="M406" i="2"/>
  <c r="K406" i="2"/>
  <c r="O405" i="2"/>
  <c r="N405" i="2"/>
  <c r="M405" i="2"/>
  <c r="K405" i="2"/>
  <c r="O404" i="2"/>
  <c r="M404" i="2"/>
  <c r="K404" i="2"/>
  <c r="N404" i="2" s="1"/>
  <c r="O403" i="2"/>
  <c r="M403" i="2"/>
  <c r="K403" i="2"/>
  <c r="N403" i="2" s="1"/>
  <c r="O402" i="2"/>
  <c r="M402" i="2"/>
  <c r="K402" i="2"/>
  <c r="N402" i="2" s="1"/>
  <c r="O401" i="2"/>
  <c r="M401" i="2"/>
  <c r="K401" i="2"/>
  <c r="N401" i="2" s="1"/>
  <c r="O400" i="2"/>
  <c r="N400" i="2"/>
  <c r="M400" i="2"/>
  <c r="K400" i="2"/>
  <c r="O399" i="2"/>
  <c r="N399" i="2"/>
  <c r="M399" i="2"/>
  <c r="K399" i="2"/>
  <c r="O398" i="2"/>
  <c r="N398" i="2"/>
  <c r="M398" i="2"/>
  <c r="K398" i="2"/>
  <c r="O397" i="2"/>
  <c r="M397" i="2"/>
  <c r="K397" i="2"/>
  <c r="N397" i="2" s="1"/>
  <c r="O396" i="2"/>
  <c r="M396" i="2"/>
  <c r="K396" i="2"/>
  <c r="N396" i="2" s="1"/>
  <c r="O395" i="2"/>
  <c r="M395" i="2"/>
  <c r="N395" i="2" s="1"/>
  <c r="K395" i="2"/>
  <c r="O394" i="2"/>
  <c r="M394" i="2"/>
  <c r="N394" i="2" s="1"/>
  <c r="K394" i="2"/>
  <c r="O393" i="2"/>
  <c r="M393" i="2"/>
  <c r="N393" i="2" s="1"/>
  <c r="K393" i="2"/>
  <c r="O392" i="2"/>
  <c r="M392" i="2"/>
  <c r="K392" i="2"/>
  <c r="N392" i="2" s="1"/>
  <c r="O391" i="2"/>
  <c r="N391" i="2"/>
  <c r="M391" i="2"/>
  <c r="K391" i="2"/>
  <c r="O390" i="2"/>
  <c r="N390" i="2"/>
  <c r="M390" i="2"/>
  <c r="K390" i="2"/>
  <c r="O389" i="2"/>
  <c r="M389" i="2"/>
  <c r="K389" i="2"/>
  <c r="N389" i="2" s="1"/>
  <c r="O388" i="2"/>
  <c r="M388" i="2"/>
  <c r="K388" i="2"/>
  <c r="O387" i="2"/>
  <c r="M387" i="2"/>
  <c r="K387" i="2"/>
  <c r="N387" i="2" s="1"/>
  <c r="O386" i="2"/>
  <c r="M386" i="2"/>
  <c r="N386" i="2" s="1"/>
  <c r="K386" i="2"/>
  <c r="O385" i="2"/>
  <c r="N385" i="2"/>
  <c r="M385" i="2"/>
  <c r="K385" i="2"/>
  <c r="O384" i="2"/>
  <c r="M384" i="2"/>
  <c r="N384" i="2" s="1"/>
  <c r="K384" i="2"/>
  <c r="O383" i="2"/>
  <c r="M383" i="2"/>
  <c r="K383" i="2"/>
  <c r="N383" i="2" s="1"/>
  <c r="O382" i="2"/>
  <c r="M382" i="2"/>
  <c r="K382" i="2"/>
  <c r="N382" i="2" s="1"/>
  <c r="O381" i="2"/>
  <c r="M381" i="2"/>
  <c r="N381" i="2" s="1"/>
  <c r="K381" i="2"/>
  <c r="O380" i="2"/>
  <c r="M380" i="2"/>
  <c r="N380" i="2" s="1"/>
  <c r="K380" i="2"/>
  <c r="O379" i="2"/>
  <c r="M379" i="2"/>
  <c r="K379" i="2"/>
  <c r="O378" i="2"/>
  <c r="N378" i="2"/>
  <c r="M378" i="2"/>
  <c r="K378" i="2"/>
  <c r="O377" i="2"/>
  <c r="M377" i="2"/>
  <c r="K377" i="2"/>
  <c r="N377" i="2" s="1"/>
  <c r="O376" i="2"/>
  <c r="N376" i="2"/>
  <c r="M376" i="2"/>
  <c r="K376" i="2"/>
  <c r="O375" i="2"/>
  <c r="M375" i="2"/>
  <c r="N375" i="2" s="1"/>
  <c r="K375" i="2"/>
  <c r="O374" i="2"/>
  <c r="M374" i="2"/>
  <c r="K374" i="2"/>
  <c r="N374" i="2" s="1"/>
  <c r="O373" i="2"/>
  <c r="N373" i="2"/>
  <c r="M373" i="2"/>
  <c r="K373" i="2"/>
  <c r="O372" i="2"/>
  <c r="M372" i="2"/>
  <c r="K372" i="2"/>
  <c r="N372" i="2" s="1"/>
  <c r="O371" i="2"/>
  <c r="M371" i="2"/>
  <c r="K371" i="2"/>
  <c r="O370" i="2"/>
  <c r="N370" i="2"/>
  <c r="M370" i="2"/>
  <c r="K370" i="2"/>
  <c r="O369" i="2"/>
  <c r="N369" i="2"/>
  <c r="M369" i="2"/>
  <c r="K369" i="2"/>
  <c r="O368" i="2"/>
  <c r="M368" i="2"/>
  <c r="K368" i="2"/>
  <c r="N368" i="2" s="1"/>
  <c r="O367" i="2"/>
  <c r="M367" i="2"/>
  <c r="K367" i="2"/>
  <c r="N367" i="2" s="1"/>
  <c r="O366" i="2"/>
  <c r="M366" i="2"/>
  <c r="K366" i="2"/>
  <c r="O365" i="2"/>
  <c r="M365" i="2"/>
  <c r="N365" i="2" s="1"/>
  <c r="K365" i="2"/>
  <c r="O364" i="2"/>
  <c r="N364" i="2"/>
  <c r="M364" i="2"/>
  <c r="K364" i="2"/>
  <c r="O363" i="2"/>
  <c r="M363" i="2"/>
  <c r="K363" i="2"/>
  <c r="O362" i="2"/>
  <c r="M362" i="2"/>
  <c r="K362" i="2"/>
  <c r="N362" i="2" s="1"/>
  <c r="O361" i="2"/>
  <c r="N361" i="2"/>
  <c r="M361" i="2"/>
  <c r="K361" i="2"/>
  <c r="O360" i="2"/>
  <c r="N360" i="2"/>
  <c r="M360" i="2"/>
  <c r="K360" i="2"/>
  <c r="O359" i="2"/>
  <c r="M359" i="2"/>
  <c r="K359" i="2"/>
  <c r="N359" i="2" s="1"/>
  <c r="O358" i="2"/>
  <c r="N358" i="2"/>
  <c r="M358" i="2"/>
  <c r="K358" i="2"/>
  <c r="O357" i="2"/>
  <c r="M357" i="2"/>
  <c r="K357" i="2"/>
  <c r="N357" i="2" s="1"/>
  <c r="O356" i="2"/>
  <c r="M356" i="2"/>
  <c r="N356" i="2" s="1"/>
  <c r="K356" i="2"/>
  <c r="O355" i="2"/>
  <c r="N355" i="2"/>
  <c r="M355" i="2"/>
  <c r="K355" i="2"/>
  <c r="O354" i="2"/>
  <c r="M354" i="2"/>
  <c r="K354" i="2"/>
  <c r="N354" i="2" s="1"/>
  <c r="O353" i="2"/>
  <c r="M353" i="2"/>
  <c r="K353" i="2"/>
  <c r="N353" i="2" s="1"/>
  <c r="O352" i="2"/>
  <c r="M352" i="2"/>
  <c r="K352" i="2"/>
  <c r="N352" i="2" s="1"/>
  <c r="N331" i="2"/>
  <c r="O330" i="2"/>
  <c r="O329" i="2"/>
  <c r="O331" i="2" s="1"/>
  <c r="O327" i="2"/>
  <c r="N327" i="2"/>
  <c r="O324" i="2"/>
  <c r="O323" i="2"/>
  <c r="O322" i="2"/>
  <c r="J321" i="2"/>
  <c r="I321" i="2"/>
  <c r="O325" i="2" s="1"/>
  <c r="H321" i="2"/>
  <c r="O320" i="2"/>
  <c r="N320" i="2"/>
  <c r="M320" i="2"/>
  <c r="K320" i="2"/>
  <c r="O319" i="2"/>
  <c r="M319" i="2"/>
  <c r="K319" i="2"/>
  <c r="N319" i="2" s="1"/>
  <c r="M318" i="2"/>
  <c r="K318" i="2"/>
  <c r="N317" i="2"/>
  <c r="O317" i="2" s="1"/>
  <c r="M317" i="2"/>
  <c r="K317" i="2"/>
  <c r="O316" i="2"/>
  <c r="N316" i="2"/>
  <c r="M316" i="2"/>
  <c r="K316" i="2"/>
  <c r="M315" i="2"/>
  <c r="K315" i="2"/>
  <c r="N315" i="2" s="1"/>
  <c r="O315" i="2" s="1"/>
  <c r="M314" i="2"/>
  <c r="K314" i="2"/>
  <c r="N314" i="2" s="1"/>
  <c r="O314" i="2" s="1"/>
  <c r="M313" i="2"/>
  <c r="K313" i="2"/>
  <c r="N313" i="2" s="1"/>
  <c r="O313" i="2" s="1"/>
  <c r="M312" i="2"/>
  <c r="K312" i="2"/>
  <c r="N312" i="2" s="1"/>
  <c r="O312" i="2" s="1"/>
  <c r="N311" i="2"/>
  <c r="O311" i="2" s="1"/>
  <c r="M311" i="2"/>
  <c r="K311" i="2"/>
  <c r="M310" i="2"/>
  <c r="N310" i="2" s="1"/>
  <c r="O310" i="2" s="1"/>
  <c r="K310" i="2"/>
  <c r="O309" i="2"/>
  <c r="N309" i="2"/>
  <c r="M309" i="2"/>
  <c r="K309" i="2"/>
  <c r="M308" i="2"/>
  <c r="K308" i="2"/>
  <c r="N308" i="2" s="1"/>
  <c r="O308" i="2" s="1"/>
  <c r="M307" i="2"/>
  <c r="K307" i="2"/>
  <c r="N307" i="2" s="1"/>
  <c r="O307" i="2" s="1"/>
  <c r="N306" i="2"/>
  <c r="O306" i="2" s="1"/>
  <c r="M306" i="2"/>
  <c r="K306" i="2"/>
  <c r="M305" i="2"/>
  <c r="K305" i="2"/>
  <c r="N305" i="2" s="1"/>
  <c r="O305" i="2" s="1"/>
  <c r="M304" i="2"/>
  <c r="K304" i="2"/>
  <c r="N304" i="2" s="1"/>
  <c r="O304" i="2" s="1"/>
  <c r="M303" i="2"/>
  <c r="K303" i="2"/>
  <c r="N303" i="2" s="1"/>
  <c r="O303" i="2" s="1"/>
  <c r="N302" i="2"/>
  <c r="O302" i="2" s="1"/>
  <c r="M302" i="2"/>
  <c r="K302" i="2"/>
  <c r="N301" i="2"/>
  <c r="O301" i="2" s="1"/>
  <c r="M301" i="2"/>
  <c r="K301" i="2"/>
  <c r="M300" i="2"/>
  <c r="K300" i="2"/>
  <c r="N300" i="2" s="1"/>
  <c r="O300" i="2" s="1"/>
  <c r="M299" i="2"/>
  <c r="N299" i="2" s="1"/>
  <c r="O299" i="2" s="1"/>
  <c r="K299" i="2"/>
  <c r="M298" i="2"/>
  <c r="K298" i="2"/>
  <c r="M297" i="2"/>
  <c r="K297" i="2"/>
  <c r="N296" i="2"/>
  <c r="O296" i="2" s="1"/>
  <c r="M296" i="2"/>
  <c r="K296" i="2"/>
  <c r="N295" i="2"/>
  <c r="O295" i="2" s="1"/>
  <c r="M295" i="2"/>
  <c r="K295" i="2"/>
  <c r="M294" i="2"/>
  <c r="K294" i="2"/>
  <c r="N294" i="2" s="1"/>
  <c r="O294" i="2" s="1"/>
  <c r="M293" i="2"/>
  <c r="K293" i="2"/>
  <c r="N293" i="2" s="1"/>
  <c r="O293" i="2" s="1"/>
  <c r="N292" i="2"/>
  <c r="O292" i="2" s="1"/>
  <c r="M292" i="2"/>
  <c r="K292" i="2"/>
  <c r="N291" i="2"/>
  <c r="O291" i="2" s="1"/>
  <c r="M291" i="2"/>
  <c r="K291" i="2"/>
  <c r="N290" i="2"/>
  <c r="O290" i="2" s="1"/>
  <c r="M290" i="2"/>
  <c r="K290" i="2"/>
  <c r="M289" i="2"/>
  <c r="K289" i="2"/>
  <c r="M288" i="2"/>
  <c r="K288" i="2"/>
  <c r="N288" i="2" s="1"/>
  <c r="O288" i="2" s="1"/>
  <c r="N287" i="2"/>
  <c r="O287" i="2" s="1"/>
  <c r="M287" i="2"/>
  <c r="K287" i="2"/>
  <c r="N286" i="2"/>
  <c r="O286" i="2" s="1"/>
  <c r="M286" i="2"/>
  <c r="K286" i="2"/>
  <c r="N285" i="2"/>
  <c r="O285" i="2" s="1"/>
  <c r="M285" i="2"/>
  <c r="K285" i="2"/>
  <c r="N284" i="2"/>
  <c r="O284" i="2" s="1"/>
  <c r="M284" i="2"/>
  <c r="K284" i="2"/>
  <c r="M283" i="2"/>
  <c r="K283" i="2"/>
  <c r="N283" i="2" s="1"/>
  <c r="O283" i="2" s="1"/>
  <c r="M282" i="2"/>
  <c r="K282" i="2"/>
  <c r="N282" i="2" s="1"/>
  <c r="O282" i="2" s="1"/>
  <c r="O281" i="2"/>
  <c r="N281" i="2"/>
  <c r="M281" i="2"/>
  <c r="K281" i="2"/>
  <c r="O280" i="2"/>
  <c r="N280" i="2"/>
  <c r="M280" i="2"/>
  <c r="K280" i="2"/>
  <c r="N279" i="2"/>
  <c r="O279" i="2" s="1"/>
  <c r="M279" i="2"/>
  <c r="K279" i="2"/>
  <c r="M278" i="2"/>
  <c r="K278" i="2"/>
  <c r="N278" i="2" s="1"/>
  <c r="O278" i="2" s="1"/>
  <c r="N277" i="2"/>
  <c r="O277" i="2" s="1"/>
  <c r="M277" i="2"/>
  <c r="K277" i="2"/>
  <c r="N276" i="2"/>
  <c r="O276" i="2" s="1"/>
  <c r="M276" i="2"/>
  <c r="K276" i="2"/>
  <c r="M275" i="2"/>
  <c r="K275" i="2"/>
  <c r="M274" i="2"/>
  <c r="K274" i="2"/>
  <c r="N274" i="2" s="1"/>
  <c r="O274" i="2" s="1"/>
  <c r="M273" i="2"/>
  <c r="K273" i="2"/>
  <c r="N273" i="2" s="1"/>
  <c r="O273" i="2" s="1"/>
  <c r="M272" i="2"/>
  <c r="K272" i="2"/>
  <c r="N271" i="2"/>
  <c r="O271" i="2" s="1"/>
  <c r="M271" i="2"/>
  <c r="K271" i="2"/>
  <c r="N270" i="2"/>
  <c r="O270" i="2" s="1"/>
  <c r="M270" i="2"/>
  <c r="K270" i="2"/>
  <c r="N269" i="2"/>
  <c r="O269" i="2" s="1"/>
  <c r="M269" i="2"/>
  <c r="K269" i="2"/>
  <c r="M268" i="2"/>
  <c r="K268" i="2"/>
  <c r="O267" i="2"/>
  <c r="N267" i="2"/>
  <c r="M267" i="2"/>
  <c r="K267" i="2"/>
  <c r="N266" i="2"/>
  <c r="O266" i="2" s="1"/>
  <c r="M266" i="2"/>
  <c r="K266" i="2"/>
  <c r="O265" i="2"/>
  <c r="M265" i="2"/>
  <c r="K265" i="2"/>
  <c r="N265" i="2" s="1"/>
  <c r="M264" i="2"/>
  <c r="K264" i="2"/>
  <c r="M263" i="2"/>
  <c r="K263" i="2"/>
  <c r="N263" i="2" s="1"/>
  <c r="O263" i="2" s="1"/>
  <c r="M262" i="2"/>
  <c r="K262" i="2"/>
  <c r="N262" i="2" s="1"/>
  <c r="O262" i="2" s="1"/>
  <c r="N261" i="2"/>
  <c r="O261" i="2" s="1"/>
  <c r="M261" i="2"/>
  <c r="K261" i="2"/>
  <c r="N260" i="2"/>
  <c r="O260" i="2" s="1"/>
  <c r="M260" i="2"/>
  <c r="K260" i="2"/>
  <c r="O259" i="2"/>
  <c r="N259" i="2"/>
  <c r="M259" i="2"/>
  <c r="K259" i="2"/>
  <c r="M258" i="2"/>
  <c r="K258" i="2"/>
  <c r="M257" i="2"/>
  <c r="N257" i="2" s="1"/>
  <c r="O257" i="2" s="1"/>
  <c r="K257" i="2"/>
  <c r="N256" i="2"/>
  <c r="O256" i="2" s="1"/>
  <c r="M256" i="2"/>
  <c r="K256" i="2"/>
  <c r="M255" i="2"/>
  <c r="K255" i="2"/>
  <c r="N255" i="2" s="1"/>
  <c r="O255" i="2" s="1"/>
  <c r="M254" i="2"/>
  <c r="N254" i="2" s="1"/>
  <c r="O254" i="2" s="1"/>
  <c r="K254" i="2"/>
  <c r="M253" i="2"/>
  <c r="K253" i="2"/>
  <c r="N253" i="2" s="1"/>
  <c r="O253" i="2" s="1"/>
  <c r="M252" i="2"/>
  <c r="K252" i="2"/>
  <c r="N252" i="2" s="1"/>
  <c r="O252" i="2" s="1"/>
  <c r="N251" i="2"/>
  <c r="O251" i="2" s="1"/>
  <c r="M251" i="2"/>
  <c r="K251" i="2"/>
  <c r="M250" i="2"/>
  <c r="K250" i="2"/>
  <c r="N250" i="2" s="1"/>
  <c r="O250" i="2" s="1"/>
  <c r="M249" i="2"/>
  <c r="K249" i="2"/>
  <c r="M248" i="2"/>
  <c r="K248" i="2"/>
  <c r="N248" i="2" s="1"/>
  <c r="O248" i="2" s="1"/>
  <c r="M247" i="2"/>
  <c r="K247" i="2"/>
  <c r="N247" i="2" s="1"/>
  <c r="O247" i="2" s="1"/>
  <c r="N246" i="2"/>
  <c r="O246" i="2" s="1"/>
  <c r="M246" i="2"/>
  <c r="K246" i="2"/>
  <c r="N245" i="2"/>
  <c r="O245" i="2" s="1"/>
  <c r="M245" i="2"/>
  <c r="K245" i="2"/>
  <c r="M244" i="2"/>
  <c r="K244" i="2"/>
  <c r="N244" i="2" s="1"/>
  <c r="O244" i="2" s="1"/>
  <c r="M243" i="2"/>
  <c r="K243" i="2"/>
  <c r="N243" i="2" s="1"/>
  <c r="O243" i="2" s="1"/>
  <c r="N242" i="2"/>
  <c r="O242" i="2" s="1"/>
  <c r="M242" i="2"/>
  <c r="K242" i="2"/>
  <c r="N241" i="2"/>
  <c r="O241" i="2" s="1"/>
  <c r="M241" i="2"/>
  <c r="K241" i="2"/>
  <c r="M240" i="2"/>
  <c r="K240" i="2"/>
  <c r="N240" i="2" s="1"/>
  <c r="O240" i="2" s="1"/>
  <c r="M239" i="2"/>
  <c r="K239" i="2"/>
  <c r="N239" i="2" s="1"/>
  <c r="O239" i="2" s="1"/>
  <c r="M238" i="2"/>
  <c r="K238" i="2"/>
  <c r="N238" i="2" s="1"/>
  <c r="O238" i="2" s="1"/>
  <c r="M237" i="2"/>
  <c r="K237" i="2"/>
  <c r="N237" i="2" s="1"/>
  <c r="O237" i="2" s="1"/>
  <c r="N236" i="2"/>
  <c r="O236" i="2" s="1"/>
  <c r="M236" i="2"/>
  <c r="K236" i="2"/>
  <c r="M235" i="2"/>
  <c r="N235" i="2" s="1"/>
  <c r="O235" i="2" s="1"/>
  <c r="K235" i="2"/>
  <c r="N234" i="2"/>
  <c r="O234" i="2" s="1"/>
  <c r="M234" i="2"/>
  <c r="K234" i="2"/>
  <c r="M233" i="2"/>
  <c r="K233" i="2"/>
  <c r="N233" i="2" s="1"/>
  <c r="O233" i="2" s="1"/>
  <c r="M232" i="2"/>
  <c r="K232" i="2"/>
  <c r="N232" i="2" s="1"/>
  <c r="O232" i="2" s="1"/>
  <c r="N231" i="2"/>
  <c r="O231" i="2" s="1"/>
  <c r="M231" i="2"/>
  <c r="K231" i="2"/>
  <c r="M230" i="2"/>
  <c r="K230" i="2"/>
  <c r="N230" i="2" s="1"/>
  <c r="O230" i="2" s="1"/>
  <c r="M229" i="2"/>
  <c r="N229" i="2" s="1"/>
  <c r="O229" i="2" s="1"/>
  <c r="K229" i="2"/>
  <c r="M228" i="2"/>
  <c r="K228" i="2"/>
  <c r="N228" i="2" s="1"/>
  <c r="O228" i="2" s="1"/>
  <c r="O227" i="2"/>
  <c r="M227" i="2"/>
  <c r="K227" i="2"/>
  <c r="N227" i="2" s="1"/>
  <c r="O226" i="2"/>
  <c r="N226" i="2"/>
  <c r="M226" i="2"/>
  <c r="K226" i="2"/>
  <c r="M225" i="2"/>
  <c r="K225" i="2"/>
  <c r="N224" i="2"/>
  <c r="O224" i="2" s="1"/>
  <c r="M224" i="2"/>
  <c r="K224" i="2"/>
  <c r="M223" i="2"/>
  <c r="K223" i="2"/>
  <c r="N223" i="2" s="1"/>
  <c r="O223" i="2" s="1"/>
  <c r="M222" i="2"/>
  <c r="K222" i="2"/>
  <c r="N222" i="2" s="1"/>
  <c r="O222" i="2" s="1"/>
  <c r="N221" i="2"/>
  <c r="O221" i="2" s="1"/>
  <c r="M221" i="2"/>
  <c r="K221" i="2"/>
  <c r="O220" i="2"/>
  <c r="N220" i="2"/>
  <c r="M220" i="2"/>
  <c r="K220" i="2"/>
  <c r="M219" i="2"/>
  <c r="K219" i="2"/>
  <c r="N219" i="2" s="1"/>
  <c r="O219" i="2" s="1"/>
  <c r="M218" i="2"/>
  <c r="K218" i="2"/>
  <c r="O217" i="2"/>
  <c r="N217" i="2"/>
  <c r="M217" i="2"/>
  <c r="K217" i="2"/>
  <c r="O216" i="2"/>
  <c r="N216" i="2"/>
  <c r="M216" i="2"/>
  <c r="K216" i="2"/>
  <c r="M215" i="2"/>
  <c r="K215" i="2"/>
  <c r="N215" i="2" s="1"/>
  <c r="O215" i="2" s="1"/>
  <c r="M214" i="2"/>
  <c r="K214" i="2"/>
  <c r="N214" i="2" s="1"/>
  <c r="O214" i="2" s="1"/>
  <c r="M213" i="2"/>
  <c r="K213" i="2"/>
  <c r="N213" i="2" s="1"/>
  <c r="O213" i="2" s="1"/>
  <c r="M212" i="2"/>
  <c r="N212" i="2" s="1"/>
  <c r="O212" i="2" s="1"/>
  <c r="K212" i="2"/>
  <c r="N211" i="2"/>
  <c r="O211" i="2" s="1"/>
  <c r="M211" i="2"/>
  <c r="K211" i="2"/>
  <c r="M210" i="2"/>
  <c r="K210" i="2"/>
  <c r="N210" i="2" s="1"/>
  <c r="O210" i="2" s="1"/>
  <c r="N209" i="2"/>
  <c r="O209" i="2" s="1"/>
  <c r="M209" i="2"/>
  <c r="K209" i="2"/>
  <c r="M208" i="2"/>
  <c r="K208" i="2"/>
  <c r="M207" i="2"/>
  <c r="K207" i="2"/>
  <c r="N207" i="2" s="1"/>
  <c r="O207" i="2" s="1"/>
  <c r="O206" i="2"/>
  <c r="N206" i="2"/>
  <c r="M206" i="2"/>
  <c r="K206" i="2"/>
  <c r="M205" i="2"/>
  <c r="K205" i="2"/>
  <c r="N205" i="2" s="1"/>
  <c r="O205" i="2" s="1"/>
  <c r="M204" i="2"/>
  <c r="K204" i="2"/>
  <c r="N204" i="2" s="1"/>
  <c r="O204" i="2" s="1"/>
  <c r="M203" i="2"/>
  <c r="K203" i="2"/>
  <c r="N203" i="2" s="1"/>
  <c r="O203" i="2" s="1"/>
  <c r="N202" i="2"/>
  <c r="O202" i="2" s="1"/>
  <c r="M202" i="2"/>
  <c r="K202" i="2"/>
  <c r="O201" i="2"/>
  <c r="N201" i="2"/>
  <c r="M201" i="2"/>
  <c r="K201" i="2"/>
  <c r="M200" i="2"/>
  <c r="K200" i="2"/>
  <c r="M199" i="2"/>
  <c r="K199" i="2"/>
  <c r="N199" i="2" s="1"/>
  <c r="O199" i="2" s="1"/>
  <c r="M198" i="2"/>
  <c r="K198" i="2"/>
  <c r="N198" i="2" s="1"/>
  <c r="O198" i="2" s="1"/>
  <c r="M197" i="2"/>
  <c r="K197" i="2"/>
  <c r="M196" i="2"/>
  <c r="N196" i="2" s="1"/>
  <c r="O196" i="2" s="1"/>
  <c r="K196" i="2"/>
  <c r="N195" i="2"/>
  <c r="O195" i="2" s="1"/>
  <c r="M195" i="2"/>
  <c r="K195" i="2"/>
  <c r="M194" i="2"/>
  <c r="K194" i="2"/>
  <c r="N194" i="2" s="1"/>
  <c r="O194" i="2" s="1"/>
  <c r="M193" i="2"/>
  <c r="K193" i="2"/>
  <c r="M192" i="2"/>
  <c r="K192" i="2"/>
  <c r="N192" i="2" s="1"/>
  <c r="O192" i="2" s="1"/>
  <c r="M191" i="2"/>
  <c r="N191" i="2" s="1"/>
  <c r="O191" i="2" s="1"/>
  <c r="K191" i="2"/>
  <c r="M190" i="2"/>
  <c r="N190" i="2" s="1"/>
  <c r="O190" i="2" s="1"/>
  <c r="K190" i="2"/>
  <c r="N189" i="2"/>
  <c r="O189" i="2" s="1"/>
  <c r="M189" i="2"/>
  <c r="K189" i="2"/>
  <c r="M188" i="2"/>
  <c r="K188" i="2"/>
  <c r="N188" i="2" s="1"/>
  <c r="O188" i="2" s="1"/>
  <c r="O187" i="2"/>
  <c r="M187" i="2"/>
  <c r="K187" i="2"/>
  <c r="N187" i="2" s="1"/>
  <c r="M186" i="2"/>
  <c r="K186" i="2"/>
  <c r="N186" i="2" s="1"/>
  <c r="O186" i="2" s="1"/>
  <c r="N185" i="2"/>
  <c r="O185" i="2" s="1"/>
  <c r="M185" i="2"/>
  <c r="K185" i="2"/>
  <c r="M184" i="2"/>
  <c r="N184" i="2" s="1"/>
  <c r="O184" i="2" s="1"/>
  <c r="K184" i="2"/>
  <c r="M183" i="2"/>
  <c r="K183" i="2"/>
  <c r="N183" i="2" s="1"/>
  <c r="O183" i="2" s="1"/>
  <c r="M182" i="2"/>
  <c r="K182" i="2"/>
  <c r="N182" i="2" s="1"/>
  <c r="O182" i="2" s="1"/>
  <c r="M181" i="2"/>
  <c r="K181" i="2"/>
  <c r="O180" i="2"/>
  <c r="M180" i="2"/>
  <c r="N180" i="2" s="1"/>
  <c r="K180" i="2"/>
  <c r="N179" i="2"/>
  <c r="O179" i="2" s="1"/>
  <c r="M179" i="2"/>
  <c r="K179" i="2"/>
  <c r="N178" i="2"/>
  <c r="O178" i="2" s="1"/>
  <c r="M178" i="2"/>
  <c r="K178" i="2"/>
  <c r="M177" i="2"/>
  <c r="K177" i="2"/>
  <c r="N177" i="2" s="1"/>
  <c r="O177" i="2" s="1"/>
  <c r="M176" i="2"/>
  <c r="K176" i="2"/>
  <c r="O175" i="2"/>
  <c r="N175" i="2"/>
  <c r="M175" i="2"/>
  <c r="K175" i="2"/>
  <c r="M174" i="2"/>
  <c r="N174" i="2" s="1"/>
  <c r="O174" i="2" s="1"/>
  <c r="K174" i="2"/>
  <c r="M173" i="2"/>
  <c r="N173" i="2" s="1"/>
  <c r="O173" i="2" s="1"/>
  <c r="K173" i="2"/>
  <c r="M172" i="2"/>
  <c r="K172" i="2"/>
  <c r="N172" i="2" s="1"/>
  <c r="O172" i="2" s="1"/>
  <c r="M171" i="2"/>
  <c r="K171" i="2"/>
  <c r="N171" i="2" s="1"/>
  <c r="O171" i="2" s="1"/>
  <c r="M170" i="2"/>
  <c r="N170" i="2" s="1"/>
  <c r="O170" i="2" s="1"/>
  <c r="K170" i="2"/>
  <c r="N169" i="2"/>
  <c r="O169" i="2" s="1"/>
  <c r="M169" i="2"/>
  <c r="K169" i="2"/>
  <c r="M168" i="2"/>
  <c r="N168" i="2" s="1"/>
  <c r="O168" i="2" s="1"/>
  <c r="K168" i="2"/>
  <c r="O167" i="2"/>
  <c r="M167" i="2"/>
  <c r="K167" i="2"/>
  <c r="N167" i="2" s="1"/>
  <c r="O166" i="2"/>
  <c r="M166" i="2"/>
  <c r="K166" i="2"/>
  <c r="N166" i="2" s="1"/>
  <c r="M165" i="2"/>
  <c r="N165" i="2" s="1"/>
  <c r="O165" i="2" s="1"/>
  <c r="K165" i="2"/>
  <c r="M164" i="2"/>
  <c r="N164" i="2" s="1"/>
  <c r="O164" i="2" s="1"/>
  <c r="K164" i="2"/>
  <c r="M163" i="2"/>
  <c r="K163" i="2"/>
  <c r="O162" i="2"/>
  <c r="M162" i="2"/>
  <c r="K162" i="2"/>
  <c r="N162" i="2" s="1"/>
  <c r="M161" i="2"/>
  <c r="K161" i="2"/>
  <c r="M160" i="2"/>
  <c r="N160" i="2" s="1"/>
  <c r="O160" i="2" s="1"/>
  <c r="K160" i="2"/>
  <c r="M159" i="2"/>
  <c r="N159" i="2" s="1"/>
  <c r="O159" i="2" s="1"/>
  <c r="K159" i="2"/>
  <c r="N158" i="2"/>
  <c r="O158" i="2" s="1"/>
  <c r="M158" i="2"/>
  <c r="K158" i="2"/>
  <c r="M157" i="2"/>
  <c r="K157" i="2"/>
  <c r="N157" i="2" s="1"/>
  <c r="O157" i="2" s="1"/>
  <c r="M156" i="2"/>
  <c r="K156" i="2"/>
  <c r="N156" i="2" s="1"/>
  <c r="O156" i="2" s="1"/>
  <c r="N155" i="2"/>
  <c r="O155" i="2" s="1"/>
  <c r="M155" i="2"/>
  <c r="K155" i="2"/>
  <c r="M154" i="2"/>
  <c r="N154" i="2" s="1"/>
  <c r="O154" i="2" s="1"/>
  <c r="K154" i="2"/>
  <c r="M153" i="2"/>
  <c r="K153" i="2"/>
  <c r="N153" i="2" s="1"/>
  <c r="O153" i="2" s="1"/>
  <c r="M152" i="2"/>
  <c r="K152" i="2"/>
  <c r="N152" i="2" s="1"/>
  <c r="O152" i="2" s="1"/>
  <c r="M151" i="2"/>
  <c r="K151" i="2"/>
  <c r="M150" i="2"/>
  <c r="N150" i="2" s="1"/>
  <c r="O150" i="2" s="1"/>
  <c r="K150" i="2"/>
  <c r="M149" i="2"/>
  <c r="N149" i="2" s="1"/>
  <c r="O149" i="2" s="1"/>
  <c r="K149" i="2"/>
  <c r="M148" i="2"/>
  <c r="K148" i="2"/>
  <c r="N148" i="2" s="1"/>
  <c r="O148" i="2" s="1"/>
  <c r="M147" i="2"/>
  <c r="K147" i="2"/>
  <c r="N147" i="2" s="1"/>
  <c r="O147" i="2" s="1"/>
  <c r="M146" i="2"/>
  <c r="K146" i="2"/>
  <c r="N146" i="2" s="1"/>
  <c r="O146" i="2" s="1"/>
  <c r="N145" i="2"/>
  <c r="O145" i="2" s="1"/>
  <c r="M145" i="2"/>
  <c r="K145" i="2"/>
  <c r="N144" i="2"/>
  <c r="O144" i="2" s="1"/>
  <c r="M144" i="2"/>
  <c r="K144" i="2"/>
  <c r="O143" i="2"/>
  <c r="M143" i="2"/>
  <c r="N143" i="2" s="1"/>
  <c r="K143" i="2"/>
  <c r="O142" i="2"/>
  <c r="M142" i="2"/>
  <c r="K142" i="2"/>
  <c r="N142" i="2" s="1"/>
  <c r="O141" i="2"/>
  <c r="M141" i="2"/>
  <c r="K141" i="2"/>
  <c r="N141" i="2" s="1"/>
  <c r="M140" i="2"/>
  <c r="N140" i="2" s="1"/>
  <c r="O140" i="2" s="1"/>
  <c r="K140" i="2"/>
  <c r="N139" i="2"/>
  <c r="O139" i="2" s="1"/>
  <c r="M139" i="2"/>
  <c r="K139" i="2"/>
  <c r="M138" i="2"/>
  <c r="K138" i="2"/>
  <c r="N138" i="2" s="1"/>
  <c r="O138" i="2" s="1"/>
  <c r="O137" i="2"/>
  <c r="M137" i="2"/>
  <c r="K137" i="2"/>
  <c r="N137" i="2" s="1"/>
  <c r="M136" i="2"/>
  <c r="K136" i="2"/>
  <c r="N136" i="2" s="1"/>
  <c r="O136" i="2" s="1"/>
  <c r="M135" i="2"/>
  <c r="N135" i="2" s="1"/>
  <c r="O135" i="2" s="1"/>
  <c r="K135" i="2"/>
  <c r="M134" i="2"/>
  <c r="N134" i="2" s="1"/>
  <c r="O134" i="2" s="1"/>
  <c r="K134" i="2"/>
  <c r="M133" i="2"/>
  <c r="K133" i="2"/>
  <c r="O132" i="2"/>
  <c r="M132" i="2"/>
  <c r="K132" i="2"/>
  <c r="N132" i="2" s="1"/>
  <c r="M131" i="2"/>
  <c r="K131" i="2"/>
  <c r="M130" i="2"/>
  <c r="N130" i="2" s="1"/>
  <c r="O130" i="2" s="1"/>
  <c r="K130" i="2"/>
  <c r="M129" i="2"/>
  <c r="N129" i="2" s="1"/>
  <c r="O129" i="2" s="1"/>
  <c r="K129" i="2"/>
  <c r="M128" i="2"/>
  <c r="K128" i="2"/>
  <c r="N128" i="2" s="1"/>
  <c r="O128" i="2" s="1"/>
  <c r="M127" i="2"/>
  <c r="K127" i="2"/>
  <c r="N127" i="2" s="1"/>
  <c r="O127" i="2" s="1"/>
  <c r="M126" i="2"/>
  <c r="K126" i="2"/>
  <c r="N125" i="2"/>
  <c r="O125" i="2" s="1"/>
  <c r="M125" i="2"/>
  <c r="K125" i="2"/>
  <c r="M124" i="2"/>
  <c r="N124" i="2" s="1"/>
  <c r="O124" i="2" s="1"/>
  <c r="K124" i="2"/>
  <c r="M123" i="2"/>
  <c r="K123" i="2"/>
  <c r="N123" i="2" s="1"/>
  <c r="O123" i="2" s="1"/>
  <c r="M122" i="2"/>
  <c r="K122" i="2"/>
  <c r="N122" i="2" s="1"/>
  <c r="O122" i="2" s="1"/>
  <c r="M121" i="2"/>
  <c r="K121" i="2"/>
  <c r="N121" i="2" s="1"/>
  <c r="O121" i="2" s="1"/>
  <c r="M120" i="2"/>
  <c r="N120" i="2" s="1"/>
  <c r="O120" i="2" s="1"/>
  <c r="K120" i="2"/>
  <c r="N119" i="2"/>
  <c r="O119" i="2" s="1"/>
  <c r="M119" i="2"/>
  <c r="K119" i="2"/>
  <c r="N118" i="2"/>
  <c r="O118" i="2" s="1"/>
  <c r="M118" i="2"/>
  <c r="K118" i="2"/>
  <c r="M117" i="2"/>
  <c r="K117" i="2"/>
  <c r="N117" i="2" s="1"/>
  <c r="O117" i="2" s="1"/>
  <c r="O116" i="2"/>
  <c r="M116" i="2"/>
  <c r="K116" i="2"/>
  <c r="N116" i="2" s="1"/>
  <c r="M115" i="2"/>
  <c r="N115" i="2" s="1"/>
  <c r="O115" i="2" s="1"/>
  <c r="K115" i="2"/>
  <c r="M114" i="2"/>
  <c r="N114" i="2" s="1"/>
  <c r="O114" i="2" s="1"/>
  <c r="K114" i="2"/>
  <c r="M113" i="2"/>
  <c r="K113" i="2"/>
  <c r="N113" i="2" s="1"/>
  <c r="O113" i="2" s="1"/>
  <c r="M112" i="2"/>
  <c r="K112" i="2"/>
  <c r="N112" i="2" s="1"/>
  <c r="O112" i="2" s="1"/>
  <c r="M111" i="2"/>
  <c r="K111" i="2"/>
  <c r="N111" i="2" s="1"/>
  <c r="O111" i="2" s="1"/>
  <c r="M110" i="2"/>
  <c r="N110" i="2" s="1"/>
  <c r="O110" i="2" s="1"/>
  <c r="K110" i="2"/>
  <c r="N109" i="2"/>
  <c r="O109" i="2" s="1"/>
  <c r="M109" i="2"/>
  <c r="K109" i="2"/>
  <c r="O108" i="2"/>
  <c r="M108" i="2"/>
  <c r="K108" i="2"/>
  <c r="N108" i="2" s="1"/>
  <c r="M107" i="2"/>
  <c r="K107" i="2"/>
  <c r="N107" i="2" s="1"/>
  <c r="O107" i="2" s="1"/>
  <c r="M106" i="2"/>
  <c r="K106" i="2"/>
  <c r="N105" i="2"/>
  <c r="O105" i="2" s="1"/>
  <c r="M105" i="2"/>
  <c r="K105" i="2"/>
  <c r="M104" i="2"/>
  <c r="N104" i="2" s="1"/>
  <c r="O104" i="2" s="1"/>
  <c r="K104" i="2"/>
  <c r="N103" i="2"/>
  <c r="O103" i="2" s="1"/>
  <c r="M103" i="2"/>
  <c r="K103" i="2"/>
  <c r="O102" i="2"/>
  <c r="M102" i="2"/>
  <c r="K102" i="2"/>
  <c r="N102" i="2" s="1"/>
  <c r="M101" i="2"/>
  <c r="K101" i="2"/>
  <c r="M100" i="2"/>
  <c r="N100" i="2" s="1"/>
  <c r="O100" i="2" s="1"/>
  <c r="K100" i="2"/>
  <c r="M99" i="2"/>
  <c r="N99" i="2" s="1"/>
  <c r="O99" i="2" s="1"/>
  <c r="K99" i="2"/>
  <c r="M98" i="2"/>
  <c r="K98" i="2"/>
  <c r="N98" i="2" s="1"/>
  <c r="O98" i="2" s="1"/>
  <c r="M97" i="2"/>
  <c r="K97" i="2"/>
  <c r="N97" i="2" s="1"/>
  <c r="O97" i="2" s="1"/>
  <c r="M96" i="2"/>
  <c r="K96" i="2"/>
  <c r="N96" i="2" s="1"/>
  <c r="O96" i="2" s="1"/>
  <c r="N95" i="2"/>
  <c r="O95" i="2" s="1"/>
  <c r="M95" i="2"/>
  <c r="K95" i="2"/>
  <c r="N94" i="2"/>
  <c r="O94" i="2" s="1"/>
  <c r="M94" i="2"/>
  <c r="K94" i="2"/>
  <c r="O93" i="2"/>
  <c r="N93" i="2"/>
  <c r="M93" i="2"/>
  <c r="K93" i="2"/>
  <c r="M92" i="2"/>
  <c r="K92" i="2"/>
  <c r="N92" i="2" s="1"/>
  <c r="O92" i="2" s="1"/>
  <c r="O91" i="2"/>
  <c r="M91" i="2"/>
  <c r="K91" i="2"/>
  <c r="N91" i="2" s="1"/>
  <c r="O90" i="2"/>
  <c r="N90" i="2"/>
  <c r="M90" i="2"/>
  <c r="K90" i="2"/>
  <c r="N89" i="2"/>
  <c r="O89" i="2" s="1"/>
  <c r="M89" i="2"/>
  <c r="K89" i="2"/>
  <c r="M88" i="2"/>
  <c r="K88" i="2"/>
  <c r="N88" i="2" s="1"/>
  <c r="O88" i="2" s="1"/>
  <c r="O87" i="2"/>
  <c r="M87" i="2"/>
  <c r="K87" i="2"/>
  <c r="N87" i="2" s="1"/>
  <c r="M86" i="2"/>
  <c r="K86" i="2"/>
  <c r="N86" i="2" s="1"/>
  <c r="O86" i="2" s="1"/>
  <c r="M85" i="2"/>
  <c r="N85" i="2" s="1"/>
  <c r="O85" i="2" s="1"/>
  <c r="K85" i="2"/>
  <c r="N84" i="2"/>
  <c r="O84" i="2" s="1"/>
  <c r="M84" i="2"/>
  <c r="K84" i="2"/>
  <c r="M83" i="2"/>
  <c r="K83" i="2"/>
  <c r="N83" i="2" s="1"/>
  <c r="O83" i="2" s="1"/>
  <c r="O82" i="2"/>
  <c r="M82" i="2"/>
  <c r="K82" i="2"/>
  <c r="N82" i="2" s="1"/>
  <c r="M81" i="2"/>
  <c r="K81" i="2"/>
  <c r="O80" i="2"/>
  <c r="M80" i="2"/>
  <c r="N80" i="2" s="1"/>
  <c r="K80" i="2"/>
  <c r="M79" i="2"/>
  <c r="N79" i="2" s="1"/>
  <c r="O79" i="2" s="1"/>
  <c r="K79" i="2"/>
  <c r="N78" i="2"/>
  <c r="O78" i="2" s="1"/>
  <c r="M78" i="2"/>
  <c r="K78" i="2"/>
  <c r="M77" i="2"/>
  <c r="K77" i="2"/>
  <c r="N77" i="2" s="1"/>
  <c r="O77" i="2" s="1"/>
  <c r="M76" i="2"/>
  <c r="K76" i="2"/>
  <c r="N76" i="2" s="1"/>
  <c r="O76" i="2" s="1"/>
  <c r="O75" i="2"/>
  <c r="N75" i="2"/>
  <c r="M75" i="2"/>
  <c r="K75" i="2"/>
  <c r="M74" i="2"/>
  <c r="N74" i="2" s="1"/>
  <c r="O74" i="2" s="1"/>
  <c r="K74" i="2"/>
  <c r="M73" i="2"/>
  <c r="K73" i="2"/>
  <c r="O72" i="2"/>
  <c r="M72" i="2"/>
  <c r="K72" i="2"/>
  <c r="N72" i="2" s="1"/>
  <c r="M71" i="2"/>
  <c r="K71" i="2"/>
  <c r="N70" i="2"/>
  <c r="O70" i="2" s="1"/>
  <c r="M70" i="2"/>
  <c r="K70" i="2"/>
  <c r="N69" i="2"/>
  <c r="O69" i="2" s="1"/>
  <c r="M69" i="2"/>
  <c r="K69" i="2"/>
  <c r="M68" i="2"/>
  <c r="N68" i="2" s="1"/>
  <c r="O68" i="2" s="1"/>
  <c r="K68" i="2"/>
  <c r="O67" i="2"/>
  <c r="M67" i="2"/>
  <c r="K67" i="2"/>
  <c r="N67" i="2" s="1"/>
  <c r="M66" i="2"/>
  <c r="K66" i="2"/>
  <c r="N66" i="2" s="1"/>
  <c r="O66" i="2" s="1"/>
  <c r="N65" i="2"/>
  <c r="O65" i="2" s="1"/>
  <c r="M65" i="2"/>
  <c r="K65" i="2"/>
  <c r="M64" i="2"/>
  <c r="N64" i="2" s="1"/>
  <c r="O64" i="2" s="1"/>
  <c r="K64" i="2"/>
  <c r="M63" i="2"/>
  <c r="K63" i="2"/>
  <c r="N63" i="2" s="1"/>
  <c r="O63" i="2" s="1"/>
  <c r="M62" i="2"/>
  <c r="K62" i="2"/>
  <c r="N62" i="2" s="1"/>
  <c r="O62" i="2" s="1"/>
  <c r="O61" i="2"/>
  <c r="M61" i="2"/>
  <c r="K61" i="2"/>
  <c r="N61" i="2" s="1"/>
  <c r="O60" i="2"/>
  <c r="M60" i="2"/>
  <c r="N60" i="2" s="1"/>
  <c r="K60" i="2"/>
  <c r="M59" i="2"/>
  <c r="N59" i="2" s="1"/>
  <c r="O59" i="2" s="1"/>
  <c r="K59" i="2"/>
  <c r="O58" i="2"/>
  <c r="N58" i="2"/>
  <c r="M58" i="2"/>
  <c r="K58" i="2"/>
  <c r="M57" i="2"/>
  <c r="K57" i="2"/>
  <c r="N57" i="2" s="1"/>
  <c r="O57" i="2" s="1"/>
  <c r="M56" i="2"/>
  <c r="K56" i="2"/>
  <c r="N56" i="2" s="1"/>
  <c r="O56" i="2" s="1"/>
  <c r="N55" i="2"/>
  <c r="O55" i="2" s="1"/>
  <c r="M55" i="2"/>
  <c r="K55" i="2"/>
  <c r="M54" i="2"/>
  <c r="N54" i="2" s="1"/>
  <c r="O54" i="2" s="1"/>
  <c r="K54" i="2"/>
  <c r="M53" i="2"/>
  <c r="K53" i="2"/>
  <c r="N53" i="2" s="1"/>
  <c r="O53" i="2" s="1"/>
  <c r="M52" i="2"/>
  <c r="K52" i="2"/>
  <c r="N52" i="2" s="1"/>
  <c r="O52" i="2" s="1"/>
  <c r="M51" i="2"/>
  <c r="K51" i="2"/>
  <c r="M50" i="2"/>
  <c r="N50" i="2" s="1"/>
  <c r="O50" i="2" s="1"/>
  <c r="K50" i="2"/>
  <c r="N49" i="2"/>
  <c r="O49" i="2" s="1"/>
  <c r="M49" i="2"/>
  <c r="K49" i="2"/>
  <c r="M48" i="2"/>
  <c r="K48" i="2"/>
  <c r="N48" i="2" s="1"/>
  <c r="O48" i="2" s="1"/>
  <c r="M47" i="2"/>
  <c r="K47" i="2"/>
  <c r="N47" i="2" s="1"/>
  <c r="O47" i="2" s="1"/>
  <c r="M46" i="2"/>
  <c r="K46" i="2"/>
  <c r="N46" i="2" s="1"/>
  <c r="O46" i="2" s="1"/>
  <c r="N45" i="2"/>
  <c r="O45" i="2" s="1"/>
  <c r="M45" i="2"/>
  <c r="K45" i="2"/>
  <c r="N44" i="2"/>
  <c r="O44" i="2" s="1"/>
  <c r="M44" i="2"/>
  <c r="K44" i="2"/>
  <c r="O43" i="2"/>
  <c r="M43" i="2"/>
  <c r="N43" i="2" s="1"/>
  <c r="K43" i="2"/>
  <c r="O42" i="2"/>
  <c r="M42" i="2"/>
  <c r="K42" i="2"/>
  <c r="N42" i="2" s="1"/>
  <c r="M41" i="2"/>
  <c r="K41" i="2"/>
  <c r="M40" i="2"/>
  <c r="N40" i="2" s="1"/>
  <c r="O40" i="2" s="1"/>
  <c r="K40" i="2"/>
  <c r="N39" i="2"/>
  <c r="O39" i="2" s="1"/>
  <c r="M39" i="2"/>
  <c r="K39" i="2"/>
  <c r="M38" i="2"/>
  <c r="K38" i="2"/>
  <c r="N38" i="2" s="1"/>
  <c r="O38" i="2" s="1"/>
  <c r="O37" i="2"/>
  <c r="M37" i="2"/>
  <c r="K37" i="2"/>
  <c r="N37" i="2" s="1"/>
  <c r="O36" i="2"/>
  <c r="M36" i="2"/>
  <c r="K36" i="2"/>
  <c r="N36" i="2" s="1"/>
  <c r="O35" i="2"/>
  <c r="N35" i="2"/>
  <c r="M35" i="2"/>
  <c r="K35" i="2"/>
  <c r="M34" i="2"/>
  <c r="N34" i="2" s="1"/>
  <c r="O34" i="2" s="1"/>
  <c r="K34" i="2"/>
  <c r="M33" i="2"/>
  <c r="K33" i="2"/>
  <c r="O32" i="2"/>
  <c r="M32" i="2"/>
  <c r="K32" i="2"/>
  <c r="N32" i="2" s="1"/>
  <c r="M31" i="2"/>
  <c r="K31" i="2"/>
  <c r="O30" i="2"/>
  <c r="M30" i="2"/>
  <c r="N30" i="2" s="1"/>
  <c r="K30" i="2"/>
  <c r="M29" i="2"/>
  <c r="N29" i="2" s="1"/>
  <c r="O29" i="2" s="1"/>
  <c r="K29" i="2"/>
  <c r="M28" i="2"/>
  <c r="K28" i="2"/>
  <c r="N28" i="2" s="1"/>
  <c r="O28" i="2" s="1"/>
  <c r="M27" i="2"/>
  <c r="K27" i="2"/>
  <c r="N27" i="2" s="1"/>
  <c r="O27" i="2" s="1"/>
  <c r="O26" i="2"/>
  <c r="M26" i="2"/>
  <c r="K26" i="2"/>
  <c r="N26" i="2" s="1"/>
  <c r="O25" i="2"/>
  <c r="N25" i="2"/>
  <c r="M25" i="2"/>
  <c r="K25" i="2"/>
  <c r="M24" i="2"/>
  <c r="N24" i="2" s="1"/>
  <c r="O24" i="2" s="1"/>
  <c r="K24" i="2"/>
  <c r="M23" i="2"/>
  <c r="K23" i="2"/>
  <c r="N23" i="2" s="1"/>
  <c r="O23" i="2" s="1"/>
  <c r="O22" i="2"/>
  <c r="M22" i="2"/>
  <c r="K22" i="2"/>
  <c r="N22" i="2" s="1"/>
  <c r="M21" i="2"/>
  <c r="K21" i="2"/>
  <c r="N20" i="2"/>
  <c r="O20" i="2" s="1"/>
  <c r="M20" i="2"/>
  <c r="K20" i="2"/>
  <c r="N19" i="2"/>
  <c r="O19" i="2" s="1"/>
  <c r="M19" i="2"/>
  <c r="K19" i="2"/>
  <c r="M18" i="2"/>
  <c r="K18" i="2"/>
  <c r="N18" i="2" s="1"/>
  <c r="O18" i="2" s="1"/>
  <c r="M17" i="2"/>
  <c r="K17" i="2"/>
  <c r="N17" i="2" s="1"/>
  <c r="O17" i="2" s="1"/>
  <c r="O16" i="2"/>
  <c r="M16" i="2"/>
  <c r="K16" i="2"/>
  <c r="N16" i="2" s="1"/>
  <c r="N15" i="2"/>
  <c r="O15" i="2" s="1"/>
  <c r="M15" i="2"/>
  <c r="K15" i="2"/>
  <c r="N14" i="2"/>
  <c r="O14" i="2" s="1"/>
  <c r="M14" i="2"/>
  <c r="K14" i="2"/>
  <c r="O13" i="2"/>
  <c r="M13" i="2"/>
  <c r="K13" i="2"/>
  <c r="N13" i="2" s="1"/>
  <c r="O12" i="2"/>
  <c r="M12" i="2"/>
  <c r="K12" i="2"/>
  <c r="N12" i="2" s="1"/>
  <c r="M11" i="2"/>
  <c r="K11" i="2"/>
  <c r="M10" i="2"/>
  <c r="N10" i="2" s="1"/>
  <c r="O10" i="2" s="1"/>
  <c r="K10" i="2"/>
  <c r="M9" i="2"/>
  <c r="N9" i="2" s="1"/>
  <c r="O9" i="2" s="1"/>
  <c r="K9" i="2"/>
  <c r="M8" i="2"/>
  <c r="K8" i="2"/>
  <c r="N304" i="1"/>
  <c r="O303" i="1"/>
  <c r="N300" i="1"/>
  <c r="O300" i="1" s="1"/>
  <c r="O297" i="1"/>
  <c r="O296" i="1"/>
  <c r="J294" i="1"/>
  <c r="I294" i="1"/>
  <c r="O302" i="1" s="1"/>
  <c r="H294" i="1"/>
  <c r="M293" i="1"/>
  <c r="K293" i="1"/>
  <c r="N293" i="1" s="1"/>
  <c r="O293" i="1" s="1"/>
  <c r="M292" i="1"/>
  <c r="K292" i="1"/>
  <c r="N292" i="1" s="1"/>
  <c r="O292" i="1" s="1"/>
  <c r="N291" i="1"/>
  <c r="O291" i="1" s="1"/>
  <c r="M291" i="1"/>
  <c r="K291" i="1"/>
  <c r="N290" i="1"/>
  <c r="O290" i="1" s="1"/>
  <c r="M290" i="1"/>
  <c r="K290" i="1"/>
  <c r="M289" i="1"/>
  <c r="K289" i="1"/>
  <c r="N289" i="1" s="1"/>
  <c r="O289" i="1" s="1"/>
  <c r="M288" i="1"/>
  <c r="K288" i="1"/>
  <c r="N288" i="1" s="1"/>
  <c r="O288" i="1" s="1"/>
  <c r="M287" i="1"/>
  <c r="K287" i="1"/>
  <c r="M286" i="1"/>
  <c r="N286" i="1" s="1"/>
  <c r="O286" i="1" s="1"/>
  <c r="K286" i="1"/>
  <c r="N285" i="1"/>
  <c r="O285" i="1" s="1"/>
  <c r="M285" i="1"/>
  <c r="K285" i="1"/>
  <c r="N284" i="1"/>
  <c r="O284" i="1" s="1"/>
  <c r="M284" i="1"/>
  <c r="K284" i="1"/>
  <c r="M283" i="1"/>
  <c r="K283" i="1"/>
  <c r="N283" i="1" s="1"/>
  <c r="O283" i="1" s="1"/>
  <c r="M282" i="1"/>
  <c r="K282" i="1"/>
  <c r="N282" i="1" s="1"/>
  <c r="O282" i="1" s="1"/>
  <c r="M281" i="1"/>
  <c r="N281" i="1" s="1"/>
  <c r="O281" i="1" s="1"/>
  <c r="K281" i="1"/>
  <c r="N280" i="1"/>
  <c r="O280" i="1" s="1"/>
  <c r="M280" i="1"/>
  <c r="K280" i="1"/>
  <c r="O279" i="1"/>
  <c r="M279" i="1"/>
  <c r="K279" i="1"/>
  <c r="N279" i="1" s="1"/>
  <c r="N278" i="1"/>
  <c r="O278" i="1" s="1"/>
  <c r="M278" i="1"/>
  <c r="K278" i="1"/>
  <c r="M277" i="1"/>
  <c r="K277" i="1"/>
  <c r="N276" i="1"/>
  <c r="O276" i="1" s="1"/>
  <c r="M276" i="1"/>
  <c r="K276" i="1"/>
  <c r="N275" i="1"/>
  <c r="O275" i="1" s="1"/>
  <c r="M275" i="1"/>
  <c r="K275" i="1"/>
  <c r="O274" i="1"/>
  <c r="N274" i="1"/>
  <c r="M274" i="1"/>
  <c r="K274" i="1"/>
  <c r="M273" i="1"/>
  <c r="N273" i="1" s="1"/>
  <c r="O273" i="1" s="1"/>
  <c r="K273" i="1"/>
  <c r="M272" i="1"/>
  <c r="K272" i="1"/>
  <c r="N272" i="1" s="1"/>
  <c r="O272" i="1" s="1"/>
  <c r="M271" i="1"/>
  <c r="K271" i="1"/>
  <c r="N271" i="1" s="1"/>
  <c r="O271" i="1" s="1"/>
  <c r="O270" i="1"/>
  <c r="N270" i="1"/>
  <c r="M270" i="1"/>
  <c r="K270" i="1"/>
  <c r="N269" i="1"/>
  <c r="O269" i="1" s="1"/>
  <c r="M269" i="1"/>
  <c r="K269" i="1"/>
  <c r="M268" i="1"/>
  <c r="N268" i="1" s="1"/>
  <c r="O268" i="1" s="1"/>
  <c r="K268" i="1"/>
  <c r="M267" i="1"/>
  <c r="K267" i="1"/>
  <c r="M266" i="1"/>
  <c r="K266" i="1"/>
  <c r="N266" i="1" s="1"/>
  <c r="O266" i="1" s="1"/>
  <c r="N265" i="1"/>
  <c r="O265" i="1" s="1"/>
  <c r="M265" i="1"/>
  <c r="K265" i="1"/>
  <c r="M264" i="1"/>
  <c r="K264" i="1"/>
  <c r="N264" i="1" s="1"/>
  <c r="O264" i="1" s="1"/>
  <c r="N263" i="1"/>
  <c r="O263" i="1" s="1"/>
  <c r="M263" i="1"/>
  <c r="K263" i="1"/>
  <c r="M262" i="1"/>
  <c r="K262" i="1"/>
  <c r="M261" i="1"/>
  <c r="K261" i="1"/>
  <c r="N261" i="1" s="1"/>
  <c r="O261" i="1" s="1"/>
  <c r="N260" i="1"/>
  <c r="O260" i="1" s="1"/>
  <c r="M260" i="1"/>
  <c r="K260" i="1"/>
  <c r="O259" i="1"/>
  <c r="N259" i="1"/>
  <c r="M259" i="1"/>
  <c r="K259" i="1"/>
  <c r="M258" i="1"/>
  <c r="K258" i="1"/>
  <c r="N258" i="1" s="1"/>
  <c r="O258" i="1" s="1"/>
  <c r="M257" i="1"/>
  <c r="K257" i="1"/>
  <c r="N257" i="1" s="1"/>
  <c r="O257" i="1" s="1"/>
  <c r="M256" i="1"/>
  <c r="K256" i="1"/>
  <c r="N256" i="1" s="1"/>
  <c r="O256" i="1" s="1"/>
  <c r="N255" i="1"/>
  <c r="O255" i="1" s="1"/>
  <c r="M255" i="1"/>
  <c r="K255" i="1"/>
  <c r="M254" i="1"/>
  <c r="K254" i="1"/>
  <c r="N254" i="1" s="1"/>
  <c r="O254" i="1" s="1"/>
  <c r="M253" i="1"/>
  <c r="K253" i="1"/>
  <c r="N253" i="1" s="1"/>
  <c r="O253" i="1" s="1"/>
  <c r="M252" i="1"/>
  <c r="K252" i="1"/>
  <c r="N252" i="1" s="1"/>
  <c r="O252" i="1" s="1"/>
  <c r="M251" i="1"/>
  <c r="N251" i="1" s="1"/>
  <c r="O251" i="1" s="1"/>
  <c r="K251" i="1"/>
  <c r="N250" i="1"/>
  <c r="O250" i="1" s="1"/>
  <c r="M250" i="1"/>
  <c r="K250" i="1"/>
  <c r="M249" i="1"/>
  <c r="K249" i="1"/>
  <c r="N249" i="1" s="1"/>
  <c r="O249" i="1" s="1"/>
  <c r="M248" i="1"/>
  <c r="K248" i="1"/>
  <c r="N248" i="1" s="1"/>
  <c r="O248" i="1" s="1"/>
  <c r="M247" i="1"/>
  <c r="K247" i="1"/>
  <c r="M246" i="1"/>
  <c r="N246" i="1" s="1"/>
  <c r="O246" i="1" s="1"/>
  <c r="K246" i="1"/>
  <c r="N245" i="1"/>
  <c r="O245" i="1" s="1"/>
  <c r="M245" i="1"/>
  <c r="K245" i="1"/>
  <c r="O244" i="1"/>
  <c r="M244" i="1"/>
  <c r="K244" i="1"/>
  <c r="N244" i="1" s="1"/>
  <c r="N243" i="1"/>
  <c r="O243" i="1" s="1"/>
  <c r="M243" i="1"/>
  <c r="K243" i="1"/>
  <c r="M242" i="1"/>
  <c r="K242" i="1"/>
  <c r="N242" i="1" s="1"/>
  <c r="O242" i="1" s="1"/>
  <c r="N241" i="1"/>
  <c r="O241" i="1" s="1"/>
  <c r="M241" i="1"/>
  <c r="K241" i="1"/>
  <c r="N240" i="1"/>
  <c r="O240" i="1" s="1"/>
  <c r="M240" i="1"/>
  <c r="K240" i="1"/>
  <c r="O239" i="1"/>
  <c r="M239" i="1"/>
  <c r="K239" i="1"/>
  <c r="N239" i="1" s="1"/>
  <c r="M238" i="1"/>
  <c r="K238" i="1"/>
  <c r="N238" i="1" s="1"/>
  <c r="O238" i="1" s="1"/>
  <c r="M237" i="1"/>
  <c r="K237" i="1"/>
  <c r="M236" i="1"/>
  <c r="N236" i="1" s="1"/>
  <c r="O236" i="1" s="1"/>
  <c r="K236" i="1"/>
  <c r="N235" i="1"/>
  <c r="O235" i="1" s="1"/>
  <c r="M235" i="1"/>
  <c r="K235" i="1"/>
  <c r="N234" i="1"/>
  <c r="O234" i="1" s="1"/>
  <c r="M234" i="1"/>
  <c r="K234" i="1"/>
  <c r="M233" i="1"/>
  <c r="K233" i="1"/>
  <c r="N233" i="1" s="1"/>
  <c r="O233" i="1" s="1"/>
  <c r="M232" i="1"/>
  <c r="K232" i="1"/>
  <c r="N232" i="1" s="1"/>
  <c r="O232" i="1" s="1"/>
  <c r="M231" i="1"/>
  <c r="K231" i="1"/>
  <c r="N231" i="1" s="1"/>
  <c r="O231" i="1" s="1"/>
  <c r="N230" i="1"/>
  <c r="O230" i="1" s="1"/>
  <c r="M230" i="1"/>
  <c r="K230" i="1"/>
  <c r="M229" i="1"/>
  <c r="K229" i="1"/>
  <c r="N229" i="1" s="1"/>
  <c r="O229" i="1" s="1"/>
  <c r="M228" i="1"/>
  <c r="N228" i="1" s="1"/>
  <c r="O228" i="1" s="1"/>
  <c r="K228" i="1"/>
  <c r="M227" i="1"/>
  <c r="K227" i="1"/>
  <c r="N226" i="1"/>
  <c r="O226" i="1" s="1"/>
  <c r="M226" i="1"/>
  <c r="K226" i="1"/>
  <c r="O225" i="1"/>
  <c r="N225" i="1"/>
  <c r="M225" i="1"/>
  <c r="K225" i="1"/>
  <c r="N224" i="1"/>
  <c r="O224" i="1" s="1"/>
  <c r="M224" i="1"/>
  <c r="K224" i="1"/>
  <c r="M223" i="1"/>
  <c r="K223" i="1"/>
  <c r="N223" i="1" s="1"/>
  <c r="O223" i="1" s="1"/>
  <c r="M222" i="1"/>
  <c r="K222" i="1"/>
  <c r="N221" i="1"/>
  <c r="O221" i="1" s="1"/>
  <c r="M221" i="1"/>
  <c r="K221" i="1"/>
  <c r="O220" i="1"/>
  <c r="N220" i="1"/>
  <c r="M220" i="1"/>
  <c r="K220" i="1"/>
  <c r="N219" i="1"/>
  <c r="O219" i="1" s="1"/>
  <c r="M219" i="1"/>
  <c r="K219" i="1"/>
  <c r="N218" i="1"/>
  <c r="O218" i="1" s="1"/>
  <c r="M218" i="1"/>
  <c r="K218" i="1"/>
  <c r="M217" i="1"/>
  <c r="K217" i="1"/>
  <c r="M216" i="1"/>
  <c r="K216" i="1"/>
  <c r="N216" i="1" s="1"/>
  <c r="O216" i="1" s="1"/>
  <c r="O215" i="1"/>
  <c r="N215" i="1"/>
  <c r="M215" i="1"/>
  <c r="K215" i="1"/>
  <c r="N214" i="1"/>
  <c r="O214" i="1" s="1"/>
  <c r="M214" i="1"/>
  <c r="K214" i="1"/>
  <c r="M213" i="1"/>
  <c r="N213" i="1" s="1"/>
  <c r="O213" i="1" s="1"/>
  <c r="K213" i="1"/>
  <c r="M212" i="1"/>
  <c r="K212" i="1"/>
  <c r="N212" i="1" s="1"/>
  <c r="O212" i="1" s="1"/>
  <c r="M211" i="1"/>
  <c r="K211" i="1"/>
  <c r="N211" i="1" s="1"/>
  <c r="O211" i="1" s="1"/>
  <c r="O210" i="1"/>
  <c r="N210" i="1"/>
  <c r="M210" i="1"/>
  <c r="K210" i="1"/>
  <c r="O209" i="1"/>
  <c r="N209" i="1"/>
  <c r="M209" i="1"/>
  <c r="K209" i="1"/>
  <c r="N208" i="1"/>
  <c r="O208" i="1" s="1"/>
  <c r="M208" i="1"/>
  <c r="K208" i="1"/>
  <c r="M207" i="1"/>
  <c r="K207" i="1"/>
  <c r="N207" i="1" s="1"/>
  <c r="O207" i="1" s="1"/>
  <c r="M206" i="1"/>
  <c r="N206" i="1" s="1"/>
  <c r="O206" i="1" s="1"/>
  <c r="K206" i="1"/>
  <c r="N205" i="1"/>
  <c r="O205" i="1" s="1"/>
  <c r="M205" i="1"/>
  <c r="K205" i="1"/>
  <c r="M204" i="1"/>
  <c r="K204" i="1"/>
  <c r="N204" i="1" s="1"/>
  <c r="O204" i="1" s="1"/>
  <c r="M203" i="1"/>
  <c r="K203" i="1"/>
  <c r="N203" i="1" s="1"/>
  <c r="O203" i="1" s="1"/>
  <c r="M202" i="1"/>
  <c r="K202" i="1"/>
  <c r="N202" i="1" s="1"/>
  <c r="O202" i="1" s="1"/>
  <c r="M201" i="1"/>
  <c r="K201" i="1"/>
  <c r="N201" i="1" s="1"/>
  <c r="O201" i="1" s="1"/>
  <c r="N200" i="1"/>
  <c r="O200" i="1" s="1"/>
  <c r="M200" i="1"/>
  <c r="K200" i="1"/>
  <c r="O199" i="1"/>
  <c r="M199" i="1"/>
  <c r="K199" i="1"/>
  <c r="N199" i="1" s="1"/>
  <c r="M198" i="1"/>
  <c r="K198" i="1"/>
  <c r="N198" i="1" s="1"/>
  <c r="O198" i="1" s="1"/>
  <c r="M197" i="1"/>
  <c r="K197" i="1"/>
  <c r="M196" i="1"/>
  <c r="K196" i="1"/>
  <c r="N196" i="1" s="1"/>
  <c r="O196" i="1" s="1"/>
  <c r="O195" i="1"/>
  <c r="N195" i="1"/>
  <c r="M195" i="1"/>
  <c r="K195" i="1"/>
  <c r="M194" i="1"/>
  <c r="K194" i="1"/>
  <c r="N194" i="1" s="1"/>
  <c r="O194" i="1" s="1"/>
  <c r="M193" i="1"/>
  <c r="N193" i="1" s="1"/>
  <c r="O193" i="1" s="1"/>
  <c r="K193" i="1"/>
  <c r="M192" i="1"/>
  <c r="K192" i="1"/>
  <c r="N192" i="1" s="1"/>
  <c r="O192" i="1" s="1"/>
  <c r="M191" i="1"/>
  <c r="N191" i="1" s="1"/>
  <c r="O191" i="1" s="1"/>
  <c r="K191" i="1"/>
  <c r="O190" i="1"/>
  <c r="N190" i="1"/>
  <c r="M190" i="1"/>
  <c r="K190" i="1"/>
  <c r="M189" i="1"/>
  <c r="K189" i="1"/>
  <c r="N189" i="1" s="1"/>
  <c r="O189" i="1" s="1"/>
  <c r="M188" i="1"/>
  <c r="K188" i="1"/>
  <c r="N188" i="1" s="1"/>
  <c r="O188" i="1" s="1"/>
  <c r="M187" i="1"/>
  <c r="K187" i="1"/>
  <c r="N187" i="1" s="1"/>
  <c r="O187" i="1" s="1"/>
  <c r="N186" i="1"/>
  <c r="O186" i="1" s="1"/>
  <c r="M186" i="1"/>
  <c r="K186" i="1"/>
  <c r="N185" i="1"/>
  <c r="O185" i="1" s="1"/>
  <c r="M185" i="1"/>
  <c r="K185" i="1"/>
  <c r="M184" i="1"/>
  <c r="K184" i="1"/>
  <c r="N184" i="1" s="1"/>
  <c r="O184" i="1" s="1"/>
  <c r="M183" i="1"/>
  <c r="N183" i="1" s="1"/>
  <c r="O183" i="1" s="1"/>
  <c r="K183" i="1"/>
  <c r="M182" i="1"/>
  <c r="K182" i="1"/>
  <c r="N182" i="1" s="1"/>
  <c r="O182" i="1" s="1"/>
  <c r="M181" i="1"/>
  <c r="K181" i="1"/>
  <c r="N181" i="1" s="1"/>
  <c r="O181" i="1" s="1"/>
  <c r="O180" i="1"/>
  <c r="N180" i="1"/>
  <c r="M180" i="1"/>
  <c r="K180" i="1"/>
  <c r="M179" i="1"/>
  <c r="K179" i="1"/>
  <c r="N179" i="1" s="1"/>
  <c r="O179" i="1" s="1"/>
  <c r="M178" i="1"/>
  <c r="K178" i="1"/>
  <c r="M177" i="1"/>
  <c r="K177" i="1"/>
  <c r="N177" i="1" s="1"/>
  <c r="O177" i="1" s="1"/>
  <c r="N176" i="1"/>
  <c r="O176" i="1" s="1"/>
  <c r="M176" i="1"/>
  <c r="K176" i="1"/>
  <c r="N175" i="1"/>
  <c r="O175" i="1" s="1"/>
  <c r="M175" i="1"/>
  <c r="K175" i="1"/>
  <c r="M174" i="1"/>
  <c r="K174" i="1"/>
  <c r="N174" i="1" s="1"/>
  <c r="O174" i="1" s="1"/>
  <c r="M173" i="1"/>
  <c r="N173" i="1" s="1"/>
  <c r="O173" i="1" s="1"/>
  <c r="K173" i="1"/>
  <c r="M172" i="1"/>
  <c r="K172" i="1"/>
  <c r="M171" i="1"/>
  <c r="N171" i="1" s="1"/>
  <c r="O171" i="1" s="1"/>
  <c r="K171" i="1"/>
  <c r="O170" i="1"/>
  <c r="N170" i="1"/>
  <c r="M170" i="1"/>
  <c r="K170" i="1"/>
  <c r="M169" i="1"/>
  <c r="K169" i="1"/>
  <c r="N169" i="1" s="1"/>
  <c r="O169" i="1" s="1"/>
  <c r="O168" i="1"/>
  <c r="M168" i="1"/>
  <c r="N168" i="1" s="1"/>
  <c r="K168" i="1"/>
  <c r="M167" i="1"/>
  <c r="K167" i="1"/>
  <c r="N167" i="1" s="1"/>
  <c r="O167" i="1" s="1"/>
  <c r="N166" i="1"/>
  <c r="O166" i="1" s="1"/>
  <c r="M166" i="1"/>
  <c r="K166" i="1"/>
  <c r="O165" i="1"/>
  <c r="N165" i="1"/>
  <c r="M165" i="1"/>
  <c r="K165" i="1"/>
  <c r="M164" i="1"/>
  <c r="K164" i="1"/>
  <c r="N164" i="1" s="1"/>
  <c r="O164" i="1" s="1"/>
  <c r="O163" i="1"/>
  <c r="M163" i="1"/>
  <c r="K163" i="1"/>
  <c r="N163" i="1" s="1"/>
  <c r="M162" i="1"/>
  <c r="K162" i="1"/>
  <c r="M161" i="1"/>
  <c r="K161" i="1"/>
  <c r="N160" i="1"/>
  <c r="O160" i="1" s="1"/>
  <c r="M160" i="1"/>
  <c r="K160" i="1"/>
  <c r="N159" i="1"/>
  <c r="O159" i="1" s="1"/>
  <c r="M159" i="1"/>
  <c r="K159" i="1"/>
  <c r="M158" i="1"/>
  <c r="K158" i="1"/>
  <c r="N158" i="1" s="1"/>
  <c r="O158" i="1" s="1"/>
  <c r="M157" i="1"/>
  <c r="K157" i="1"/>
  <c r="N157" i="1" s="1"/>
  <c r="O157" i="1" s="1"/>
  <c r="M156" i="1"/>
  <c r="K156" i="1"/>
  <c r="N156" i="1" s="1"/>
  <c r="O156" i="1" s="1"/>
  <c r="N155" i="1"/>
  <c r="O155" i="1" s="1"/>
  <c r="M155" i="1"/>
  <c r="K155" i="1"/>
  <c r="M154" i="1"/>
  <c r="K154" i="1"/>
  <c r="N154" i="1" s="1"/>
  <c r="O154" i="1" s="1"/>
  <c r="N153" i="1"/>
  <c r="O153" i="1" s="1"/>
  <c r="M153" i="1"/>
  <c r="K153" i="1"/>
  <c r="M152" i="1"/>
  <c r="K152" i="1"/>
  <c r="M151" i="1"/>
  <c r="K151" i="1"/>
  <c r="N151" i="1" s="1"/>
  <c r="O151" i="1" s="1"/>
  <c r="O150" i="1"/>
  <c r="N150" i="1"/>
  <c r="M150" i="1"/>
  <c r="K150" i="1"/>
  <c r="M149" i="1"/>
  <c r="K149" i="1"/>
  <c r="N149" i="1" s="1"/>
  <c r="O149" i="1" s="1"/>
  <c r="M148" i="1"/>
  <c r="N148" i="1" s="1"/>
  <c r="O148" i="1" s="1"/>
  <c r="K148" i="1"/>
  <c r="M147" i="1"/>
  <c r="K147" i="1"/>
  <c r="M146" i="1"/>
  <c r="K146" i="1"/>
  <c r="N146" i="1" s="1"/>
  <c r="O146" i="1" s="1"/>
  <c r="O145" i="1"/>
  <c r="N145" i="1"/>
  <c r="M145" i="1"/>
  <c r="K145" i="1"/>
  <c r="N144" i="1"/>
  <c r="O144" i="1" s="1"/>
  <c r="M144" i="1"/>
  <c r="K144" i="1"/>
  <c r="M143" i="1"/>
  <c r="K143" i="1"/>
  <c r="N143" i="1" s="1"/>
  <c r="O143" i="1" s="1"/>
  <c r="M142" i="1"/>
  <c r="K142" i="1"/>
  <c r="N142" i="1" s="1"/>
  <c r="O142" i="1" s="1"/>
  <c r="M141" i="1"/>
  <c r="N141" i="1" s="1"/>
  <c r="O141" i="1" s="1"/>
  <c r="K141" i="1"/>
  <c r="N140" i="1"/>
  <c r="O140" i="1" s="1"/>
  <c r="M140" i="1"/>
  <c r="K140" i="1"/>
  <c r="N139" i="1"/>
  <c r="O139" i="1" s="1"/>
  <c r="M139" i="1"/>
  <c r="K139" i="1"/>
  <c r="M138" i="1"/>
  <c r="K138" i="1"/>
  <c r="M137" i="1"/>
  <c r="K137" i="1"/>
  <c r="N137" i="1" s="1"/>
  <c r="O137" i="1" s="1"/>
  <c r="N136" i="1"/>
  <c r="O136" i="1" s="1"/>
  <c r="M136" i="1"/>
  <c r="K136" i="1"/>
  <c r="O135" i="1"/>
  <c r="N135" i="1"/>
  <c r="M135" i="1"/>
  <c r="K135" i="1"/>
  <c r="M134" i="1"/>
  <c r="K134" i="1"/>
  <c r="N134" i="1" s="1"/>
  <c r="O134" i="1" s="1"/>
  <c r="M133" i="1"/>
  <c r="N133" i="1" s="1"/>
  <c r="O133" i="1" s="1"/>
  <c r="K133" i="1"/>
  <c r="M132" i="1"/>
  <c r="K132" i="1"/>
  <c r="N132" i="1" s="1"/>
  <c r="O132" i="1" s="1"/>
  <c r="M131" i="1"/>
  <c r="K131" i="1"/>
  <c r="N130" i="1"/>
  <c r="O130" i="1" s="1"/>
  <c r="M130" i="1"/>
  <c r="K130" i="1"/>
  <c r="M129" i="1"/>
  <c r="K129" i="1"/>
  <c r="N129" i="1" s="1"/>
  <c r="O129" i="1" s="1"/>
  <c r="M128" i="1"/>
  <c r="K128" i="1"/>
  <c r="M127" i="1"/>
  <c r="K127" i="1"/>
  <c r="N126" i="1"/>
  <c r="O126" i="1" s="1"/>
  <c r="M126" i="1"/>
  <c r="K126" i="1"/>
  <c r="O125" i="1"/>
  <c r="N125" i="1"/>
  <c r="M125" i="1"/>
  <c r="K125" i="1"/>
  <c r="N124" i="1"/>
  <c r="O124" i="1" s="1"/>
  <c r="M124" i="1"/>
  <c r="K124" i="1"/>
  <c r="M123" i="1"/>
  <c r="K123" i="1"/>
  <c r="M122" i="1"/>
  <c r="K122" i="1"/>
  <c r="N122" i="1" s="1"/>
  <c r="O122" i="1" s="1"/>
  <c r="M121" i="1"/>
  <c r="K121" i="1"/>
  <c r="N121" i="1" s="1"/>
  <c r="O121" i="1" s="1"/>
  <c r="O120" i="1"/>
  <c r="N120" i="1"/>
  <c r="M120" i="1"/>
  <c r="K120" i="1"/>
  <c r="M119" i="1"/>
  <c r="K119" i="1"/>
  <c r="N119" i="1" s="1"/>
  <c r="O119" i="1" s="1"/>
  <c r="M118" i="1"/>
  <c r="N118" i="1" s="1"/>
  <c r="O118" i="1" s="1"/>
  <c r="K118" i="1"/>
  <c r="M117" i="1"/>
  <c r="K117" i="1"/>
  <c r="N117" i="1" s="1"/>
  <c r="O117" i="1" s="1"/>
  <c r="N116" i="1"/>
  <c r="O116" i="1" s="1"/>
  <c r="M116" i="1"/>
  <c r="K116" i="1"/>
  <c r="O115" i="1"/>
  <c r="N115" i="1"/>
  <c r="M115" i="1"/>
  <c r="K115" i="1"/>
  <c r="M114" i="1"/>
  <c r="K114" i="1"/>
  <c r="N114" i="1" s="1"/>
  <c r="O114" i="1" s="1"/>
  <c r="O113" i="1"/>
  <c r="M113" i="1"/>
  <c r="K113" i="1"/>
  <c r="N113" i="1" s="1"/>
  <c r="M112" i="1"/>
  <c r="K112" i="1"/>
  <c r="M111" i="1"/>
  <c r="K111" i="1"/>
  <c r="N111" i="1" s="1"/>
  <c r="O111" i="1" s="1"/>
  <c r="N110" i="1"/>
  <c r="O110" i="1" s="1"/>
  <c r="M110" i="1"/>
  <c r="K110" i="1"/>
  <c r="O109" i="1"/>
  <c r="N109" i="1"/>
  <c r="M109" i="1"/>
  <c r="K109" i="1"/>
  <c r="M108" i="1"/>
  <c r="K108" i="1"/>
  <c r="N108" i="1" s="1"/>
  <c r="O108" i="1" s="1"/>
  <c r="M107" i="1"/>
  <c r="K107" i="1"/>
  <c r="N106" i="1"/>
  <c r="O106" i="1" s="1"/>
  <c r="M106" i="1"/>
  <c r="K106" i="1"/>
  <c r="N105" i="1"/>
  <c r="O105" i="1" s="1"/>
  <c r="M105" i="1"/>
  <c r="K105" i="1"/>
  <c r="N104" i="1"/>
  <c r="O104" i="1" s="1"/>
  <c r="M104" i="1"/>
  <c r="K104" i="1"/>
  <c r="N103" i="1"/>
  <c r="O103" i="1" s="1"/>
  <c r="M103" i="1"/>
  <c r="K103" i="1"/>
  <c r="M102" i="1"/>
  <c r="K102" i="1"/>
  <c r="M101" i="1"/>
  <c r="K101" i="1"/>
  <c r="N100" i="1"/>
  <c r="O100" i="1" s="1"/>
  <c r="M100" i="1"/>
  <c r="K100" i="1"/>
  <c r="O99" i="1"/>
  <c r="N99" i="1"/>
  <c r="M99" i="1"/>
  <c r="K99" i="1"/>
  <c r="M98" i="1"/>
  <c r="K98" i="1"/>
  <c r="N98" i="1" s="1"/>
  <c r="O98" i="1" s="1"/>
  <c r="M97" i="1"/>
  <c r="K97" i="1"/>
  <c r="N96" i="1"/>
  <c r="O96" i="1" s="1"/>
  <c r="M96" i="1"/>
  <c r="K96" i="1"/>
  <c r="N95" i="1"/>
  <c r="O95" i="1" s="1"/>
  <c r="M95" i="1"/>
  <c r="K95" i="1"/>
  <c r="M94" i="1"/>
  <c r="K94" i="1"/>
  <c r="N94" i="1" s="1"/>
  <c r="O94" i="1" s="1"/>
  <c r="M93" i="1"/>
  <c r="K93" i="1"/>
  <c r="N93" i="1" s="1"/>
  <c r="O93" i="1" s="1"/>
  <c r="M92" i="1"/>
  <c r="K92" i="1"/>
  <c r="M91" i="1"/>
  <c r="N91" i="1" s="1"/>
  <c r="O91" i="1" s="1"/>
  <c r="K91" i="1"/>
  <c r="N90" i="1"/>
  <c r="O90" i="1" s="1"/>
  <c r="M90" i="1"/>
  <c r="K90" i="1"/>
  <c r="O89" i="1"/>
  <c r="M89" i="1"/>
  <c r="K89" i="1"/>
  <c r="N89" i="1" s="1"/>
  <c r="M88" i="1"/>
  <c r="K88" i="1"/>
  <c r="M87" i="1"/>
  <c r="K87" i="1"/>
  <c r="M86" i="1"/>
  <c r="K86" i="1"/>
  <c r="N86" i="1" s="1"/>
  <c r="O86" i="1" s="1"/>
  <c r="N85" i="1"/>
  <c r="O85" i="1" s="1"/>
  <c r="M85" i="1"/>
  <c r="K85" i="1"/>
  <c r="N84" i="1"/>
  <c r="O84" i="1" s="1"/>
  <c r="M84" i="1"/>
  <c r="K84" i="1"/>
  <c r="M83" i="1"/>
  <c r="K83" i="1"/>
  <c r="N83" i="1" s="1"/>
  <c r="O83" i="1" s="1"/>
  <c r="M82" i="1"/>
  <c r="K82" i="1"/>
  <c r="N82" i="1" s="1"/>
  <c r="O82" i="1" s="1"/>
  <c r="M81" i="1"/>
  <c r="N81" i="1" s="1"/>
  <c r="O81" i="1" s="1"/>
  <c r="K81" i="1"/>
  <c r="N80" i="1"/>
  <c r="O80" i="1" s="1"/>
  <c r="M80" i="1"/>
  <c r="K80" i="1"/>
  <c r="M79" i="1"/>
  <c r="K79" i="1"/>
  <c r="N79" i="1" s="1"/>
  <c r="O79" i="1" s="1"/>
  <c r="N78" i="1"/>
  <c r="O78" i="1" s="1"/>
  <c r="M78" i="1"/>
  <c r="K78" i="1"/>
  <c r="M77" i="1"/>
  <c r="K77" i="1"/>
  <c r="M76" i="1"/>
  <c r="K76" i="1"/>
  <c r="N76" i="1" s="1"/>
  <c r="O76" i="1" s="1"/>
  <c r="N75" i="1"/>
  <c r="O75" i="1" s="1"/>
  <c r="M75" i="1"/>
  <c r="K75" i="1"/>
  <c r="M74" i="1"/>
  <c r="K74" i="1"/>
  <c r="N74" i="1" s="1"/>
  <c r="O74" i="1" s="1"/>
  <c r="M73" i="1"/>
  <c r="K73" i="1"/>
  <c r="N73" i="1" s="1"/>
  <c r="O73" i="1" s="1"/>
  <c r="M72" i="1"/>
  <c r="K72" i="1"/>
  <c r="M71" i="1"/>
  <c r="K71" i="1"/>
  <c r="N71" i="1" s="1"/>
  <c r="O71" i="1" s="1"/>
  <c r="N70" i="1"/>
  <c r="O70" i="1" s="1"/>
  <c r="M70" i="1"/>
  <c r="K70" i="1"/>
  <c r="M69" i="1"/>
  <c r="K69" i="1"/>
  <c r="M68" i="1"/>
  <c r="K68" i="1"/>
  <c r="N68" i="1" s="1"/>
  <c r="O68" i="1" s="1"/>
  <c r="M67" i="1"/>
  <c r="K67" i="1"/>
  <c r="N67" i="1" s="1"/>
  <c r="O67" i="1" s="1"/>
  <c r="M66" i="1"/>
  <c r="K66" i="1"/>
  <c r="N66" i="1" s="1"/>
  <c r="O66" i="1" s="1"/>
  <c r="N65" i="1"/>
  <c r="O65" i="1" s="1"/>
  <c r="M65" i="1"/>
  <c r="K65" i="1"/>
  <c r="M64" i="1"/>
  <c r="K64" i="1"/>
  <c r="N64" i="1" s="1"/>
  <c r="O64" i="1" s="1"/>
  <c r="M63" i="1"/>
  <c r="K63" i="1"/>
  <c r="N63" i="1" s="1"/>
  <c r="O63" i="1" s="1"/>
  <c r="M62" i="1"/>
  <c r="K62" i="1"/>
  <c r="N62" i="1" s="1"/>
  <c r="O62" i="1" s="1"/>
  <c r="N61" i="1"/>
  <c r="O61" i="1" s="1"/>
  <c r="M61" i="1"/>
  <c r="K61" i="1"/>
  <c r="O60" i="1"/>
  <c r="N60" i="1"/>
  <c r="M60" i="1"/>
  <c r="K60" i="1"/>
  <c r="N59" i="1"/>
  <c r="O59" i="1" s="1"/>
  <c r="M59" i="1"/>
  <c r="K59" i="1"/>
  <c r="O58" i="1"/>
  <c r="M58" i="1"/>
  <c r="N58" i="1" s="1"/>
  <c r="K58" i="1"/>
  <c r="M57" i="1"/>
  <c r="K57" i="1"/>
  <c r="N57" i="1" s="1"/>
  <c r="O57" i="1" s="1"/>
  <c r="N56" i="1"/>
  <c r="O56" i="1" s="1"/>
  <c r="M56" i="1"/>
  <c r="K56" i="1"/>
  <c r="N55" i="1"/>
  <c r="O55" i="1" s="1"/>
  <c r="M55" i="1"/>
  <c r="K55" i="1"/>
  <c r="N54" i="1"/>
  <c r="O54" i="1" s="1"/>
  <c r="M54" i="1"/>
  <c r="K54" i="1"/>
  <c r="N53" i="1"/>
  <c r="O53" i="1" s="1"/>
  <c r="M53" i="1"/>
  <c r="K53" i="1"/>
  <c r="M52" i="1"/>
  <c r="K52" i="1"/>
  <c r="M51" i="1"/>
  <c r="K51" i="1"/>
  <c r="N51" i="1" s="1"/>
  <c r="O51" i="1" s="1"/>
  <c r="M50" i="1"/>
  <c r="N50" i="1" s="1"/>
  <c r="O50" i="1" s="1"/>
  <c r="K50" i="1"/>
  <c r="O49" i="1"/>
  <c r="N49" i="1"/>
  <c r="M49" i="1"/>
  <c r="K49" i="1"/>
  <c r="M48" i="1"/>
  <c r="K48" i="1"/>
  <c r="N48" i="1" s="1"/>
  <c r="O48" i="1" s="1"/>
  <c r="M47" i="1"/>
  <c r="N47" i="1" s="1"/>
  <c r="O47" i="1" s="1"/>
  <c r="K47" i="1"/>
  <c r="M46" i="1"/>
  <c r="K46" i="1"/>
  <c r="N46" i="1" s="1"/>
  <c r="O46" i="1" s="1"/>
  <c r="M45" i="1"/>
  <c r="K45" i="1"/>
  <c r="O44" i="1"/>
  <c r="N44" i="1"/>
  <c r="M44" i="1"/>
  <c r="K44" i="1"/>
  <c r="M43" i="1"/>
  <c r="N43" i="1" s="1"/>
  <c r="O43" i="1" s="1"/>
  <c r="K43" i="1"/>
  <c r="M42" i="1"/>
  <c r="K42" i="1"/>
  <c r="N41" i="1"/>
  <c r="O41" i="1" s="1"/>
  <c r="M41" i="1"/>
  <c r="K41" i="1"/>
  <c r="M40" i="1"/>
  <c r="K40" i="1"/>
  <c r="N40" i="1" s="1"/>
  <c r="O40" i="1" s="1"/>
  <c r="M39" i="1"/>
  <c r="K39" i="1"/>
  <c r="N39" i="1" s="1"/>
  <c r="O39" i="1" s="1"/>
  <c r="O38" i="1"/>
  <c r="M38" i="1"/>
  <c r="K38" i="1"/>
  <c r="N38" i="1" s="1"/>
  <c r="M37" i="1"/>
  <c r="K37" i="1"/>
  <c r="N37" i="1" s="1"/>
  <c r="O37" i="1" s="1"/>
  <c r="M36" i="1"/>
  <c r="K36" i="1"/>
  <c r="N36" i="1" s="1"/>
  <c r="O36" i="1" s="1"/>
  <c r="M35" i="1"/>
  <c r="N35" i="1" s="1"/>
  <c r="O35" i="1" s="1"/>
  <c r="K35" i="1"/>
  <c r="M34" i="1"/>
  <c r="K34" i="1"/>
  <c r="N34" i="1" s="1"/>
  <c r="O34" i="1" s="1"/>
  <c r="M33" i="1"/>
  <c r="K33" i="1"/>
  <c r="N33" i="1" s="1"/>
  <c r="O33" i="1" s="1"/>
  <c r="O32" i="1"/>
  <c r="M32" i="1"/>
  <c r="K32" i="1"/>
  <c r="N32" i="1" s="1"/>
  <c r="M31" i="1"/>
  <c r="K31" i="1"/>
  <c r="N31" i="1" s="1"/>
  <c r="O31" i="1" s="1"/>
  <c r="M30" i="1"/>
  <c r="K30" i="1"/>
  <c r="N30" i="1" s="1"/>
  <c r="O30" i="1" s="1"/>
  <c r="N29" i="1"/>
  <c r="O29" i="1" s="1"/>
  <c r="M29" i="1"/>
  <c r="K29" i="1"/>
  <c r="N28" i="1"/>
  <c r="O28" i="1" s="1"/>
  <c r="M28" i="1"/>
  <c r="K28" i="1"/>
  <c r="M27" i="1"/>
  <c r="K27" i="1"/>
  <c r="N27" i="1" s="1"/>
  <c r="O27" i="1" s="1"/>
  <c r="N26" i="1"/>
  <c r="O26" i="1" s="1"/>
  <c r="M26" i="1"/>
  <c r="K26" i="1"/>
  <c r="M25" i="1"/>
  <c r="K25" i="1"/>
  <c r="N25" i="1" s="1"/>
  <c r="O25" i="1" s="1"/>
  <c r="M24" i="1"/>
  <c r="K24" i="1"/>
  <c r="N24" i="1" s="1"/>
  <c r="O24" i="1" s="1"/>
  <c r="M23" i="1"/>
  <c r="K23" i="1"/>
  <c r="N23" i="1" s="1"/>
  <c r="O23" i="1" s="1"/>
  <c r="M22" i="1"/>
  <c r="N22" i="1" s="1"/>
  <c r="O22" i="1" s="1"/>
  <c r="K22" i="1"/>
  <c r="M21" i="1"/>
  <c r="K21" i="1"/>
  <c r="N21" i="1" s="1"/>
  <c r="O21" i="1" s="1"/>
  <c r="M20" i="1"/>
  <c r="N20" i="1" s="1"/>
  <c r="O20" i="1" s="1"/>
  <c r="K20" i="1"/>
  <c r="M19" i="1"/>
  <c r="K19" i="1"/>
  <c r="N19" i="1" s="1"/>
  <c r="O19" i="1" s="1"/>
  <c r="M18" i="1"/>
  <c r="N18" i="1" s="1"/>
  <c r="O18" i="1" s="1"/>
  <c r="K18" i="1"/>
  <c r="M17" i="1"/>
  <c r="K17" i="1"/>
  <c r="M16" i="1"/>
  <c r="K16" i="1"/>
  <c r="N16" i="1" s="1"/>
  <c r="O16" i="1" s="1"/>
  <c r="O15" i="1"/>
  <c r="N15" i="1"/>
  <c r="M15" i="1"/>
  <c r="K15" i="1"/>
  <c r="N14" i="1"/>
  <c r="O14" i="1" s="1"/>
  <c r="M14" i="1"/>
  <c r="K14" i="1"/>
  <c r="M13" i="1"/>
  <c r="K13" i="1"/>
  <c r="N13" i="1" s="1"/>
  <c r="O13" i="1" s="1"/>
  <c r="N12" i="1"/>
  <c r="O12" i="1" s="1"/>
  <c r="M12" i="1"/>
  <c r="K12" i="1"/>
  <c r="M11" i="1"/>
  <c r="K11" i="1"/>
  <c r="N11" i="1" s="1"/>
  <c r="O11" i="1" s="1"/>
  <c r="M10" i="1"/>
  <c r="K10" i="1"/>
  <c r="N10" i="1" s="1"/>
  <c r="O10" i="1" s="1"/>
  <c r="O9" i="1"/>
  <c r="M9" i="1"/>
  <c r="K9" i="1"/>
  <c r="N9" i="1" s="1"/>
  <c r="M8" i="1"/>
  <c r="K8" i="1"/>
  <c r="N8" i="1" s="1"/>
  <c r="N311" i="4"/>
  <c r="O309" i="4"/>
  <c r="O307" i="4"/>
  <c r="N307" i="4"/>
  <c r="J301" i="4"/>
  <c r="I301" i="4"/>
  <c r="H301" i="4"/>
  <c r="M300" i="4"/>
  <c r="K300" i="4"/>
  <c r="N300" i="4" s="1"/>
  <c r="O300" i="4" s="1"/>
  <c r="N299" i="4"/>
  <c r="O299" i="4" s="1"/>
  <c r="M299" i="4"/>
  <c r="K299" i="4"/>
  <c r="N298" i="4"/>
  <c r="O298" i="4" s="1"/>
  <c r="M298" i="4"/>
  <c r="K298" i="4"/>
  <c r="M297" i="4"/>
  <c r="K297" i="4"/>
  <c r="N297" i="4" s="1"/>
  <c r="O297" i="4" s="1"/>
  <c r="O296" i="4"/>
  <c r="M296" i="4"/>
  <c r="K296" i="4"/>
  <c r="N296" i="4" s="1"/>
  <c r="M295" i="4"/>
  <c r="N295" i="4" s="1"/>
  <c r="O295" i="4" s="1"/>
  <c r="K295" i="4"/>
  <c r="N294" i="4"/>
  <c r="O294" i="4" s="1"/>
  <c r="M294" i="4"/>
  <c r="K294" i="4"/>
  <c r="N293" i="4"/>
  <c r="O293" i="4" s="1"/>
  <c r="M293" i="4"/>
  <c r="K293" i="4"/>
  <c r="M292" i="4"/>
  <c r="K292" i="4"/>
  <c r="N292" i="4" s="1"/>
  <c r="O292" i="4" s="1"/>
  <c r="M291" i="4"/>
  <c r="K291" i="4"/>
  <c r="N291" i="4" s="1"/>
  <c r="O291" i="4" s="1"/>
  <c r="M290" i="4"/>
  <c r="N290" i="4" s="1"/>
  <c r="O290" i="4" s="1"/>
  <c r="K290" i="4"/>
  <c r="M289" i="4"/>
  <c r="N289" i="4" s="1"/>
  <c r="O289" i="4" s="1"/>
  <c r="K289" i="4"/>
  <c r="M288" i="4"/>
  <c r="K288" i="4"/>
  <c r="N288" i="4" s="1"/>
  <c r="O288" i="4" s="1"/>
  <c r="M287" i="4"/>
  <c r="N287" i="4" s="1"/>
  <c r="O287" i="4" s="1"/>
  <c r="K287" i="4"/>
  <c r="M286" i="4"/>
  <c r="K286" i="4"/>
  <c r="M285" i="4"/>
  <c r="K285" i="4"/>
  <c r="N285" i="4" s="1"/>
  <c r="O285" i="4" s="1"/>
  <c r="M284" i="4"/>
  <c r="N284" i="4" s="1"/>
  <c r="O284" i="4" s="1"/>
  <c r="K284" i="4"/>
  <c r="N283" i="4"/>
  <c r="O283" i="4" s="1"/>
  <c r="M283" i="4"/>
  <c r="K283" i="4"/>
  <c r="M282" i="4"/>
  <c r="K282" i="4"/>
  <c r="N282" i="4" s="1"/>
  <c r="O282" i="4" s="1"/>
  <c r="O281" i="4"/>
  <c r="M281" i="4"/>
  <c r="K281" i="4"/>
  <c r="N281" i="4" s="1"/>
  <c r="N280" i="4"/>
  <c r="O280" i="4" s="1"/>
  <c r="M280" i="4"/>
  <c r="K280" i="4"/>
  <c r="N279" i="4"/>
  <c r="O279" i="4" s="1"/>
  <c r="M279" i="4"/>
  <c r="K279" i="4"/>
  <c r="M278" i="4"/>
  <c r="K278" i="4"/>
  <c r="N278" i="4" s="1"/>
  <c r="O278" i="4" s="1"/>
  <c r="N277" i="4"/>
  <c r="O277" i="4" s="1"/>
  <c r="M277" i="4"/>
  <c r="K277" i="4"/>
  <c r="M276" i="4"/>
  <c r="K276" i="4"/>
  <c r="M275" i="4"/>
  <c r="K275" i="4"/>
  <c r="N275" i="4" s="1"/>
  <c r="O275" i="4" s="1"/>
  <c r="M274" i="4"/>
  <c r="N274" i="4" s="1"/>
  <c r="O274" i="4" s="1"/>
  <c r="K274" i="4"/>
  <c r="N273" i="4"/>
  <c r="O273" i="4" s="1"/>
  <c r="M273" i="4"/>
  <c r="K273" i="4"/>
  <c r="M272" i="4"/>
  <c r="K272" i="4"/>
  <c r="N272" i="4" s="1"/>
  <c r="O272" i="4" s="1"/>
  <c r="M271" i="4"/>
  <c r="K271" i="4"/>
  <c r="N271" i="4" s="1"/>
  <c r="O271" i="4" s="1"/>
  <c r="M270" i="4"/>
  <c r="N270" i="4" s="1"/>
  <c r="O270" i="4" s="1"/>
  <c r="K270" i="4"/>
  <c r="N269" i="4"/>
  <c r="O269" i="4" s="1"/>
  <c r="M269" i="4"/>
  <c r="K269" i="4"/>
  <c r="M268" i="4"/>
  <c r="K268" i="4"/>
  <c r="N268" i="4" s="1"/>
  <c r="O268" i="4" s="1"/>
  <c r="M267" i="4"/>
  <c r="K267" i="4"/>
  <c r="N267" i="4" s="1"/>
  <c r="O267" i="4" s="1"/>
  <c r="M266" i="4"/>
  <c r="K266" i="4"/>
  <c r="M265" i="4"/>
  <c r="K265" i="4"/>
  <c r="N265" i="4" s="1"/>
  <c r="O265" i="4" s="1"/>
  <c r="M264" i="4"/>
  <c r="N264" i="4" s="1"/>
  <c r="O264" i="4" s="1"/>
  <c r="K264" i="4"/>
  <c r="M263" i="4"/>
  <c r="K263" i="4"/>
  <c r="N263" i="4" s="1"/>
  <c r="O263" i="4" s="1"/>
  <c r="M262" i="4"/>
  <c r="N262" i="4" s="1"/>
  <c r="O262" i="4" s="1"/>
  <c r="K262" i="4"/>
  <c r="M261" i="4"/>
  <c r="K261" i="4"/>
  <c r="M260" i="4"/>
  <c r="K260" i="4"/>
  <c r="N260" i="4" s="1"/>
  <c r="O260" i="4" s="1"/>
  <c r="M259" i="4"/>
  <c r="N259" i="4" s="1"/>
  <c r="O259" i="4" s="1"/>
  <c r="K259" i="4"/>
  <c r="M258" i="4"/>
  <c r="K258" i="4"/>
  <c r="N258" i="4" s="1"/>
  <c r="O258" i="4" s="1"/>
  <c r="M257" i="4"/>
  <c r="K257" i="4"/>
  <c r="N257" i="4" s="1"/>
  <c r="O257" i="4" s="1"/>
  <c r="O256" i="4"/>
  <c r="M256" i="4"/>
  <c r="K256" i="4"/>
  <c r="N256" i="4" s="1"/>
  <c r="M255" i="4"/>
  <c r="K255" i="4"/>
  <c r="N255" i="4" s="1"/>
  <c r="O255" i="4" s="1"/>
  <c r="M254" i="4"/>
  <c r="N254" i="4" s="1"/>
  <c r="O254" i="4" s="1"/>
  <c r="K254" i="4"/>
  <c r="M253" i="4"/>
  <c r="K253" i="4"/>
  <c r="N253" i="4" s="1"/>
  <c r="O253" i="4" s="1"/>
  <c r="M252" i="4"/>
  <c r="K252" i="4"/>
  <c r="N252" i="4" s="1"/>
  <c r="O252" i="4" s="1"/>
  <c r="M251" i="4"/>
  <c r="K251" i="4"/>
  <c r="N251" i="4" s="1"/>
  <c r="O251" i="4" s="1"/>
  <c r="M250" i="4"/>
  <c r="K250" i="4"/>
  <c r="N250" i="4" s="1"/>
  <c r="O250" i="4" s="1"/>
  <c r="M249" i="4"/>
  <c r="N249" i="4" s="1"/>
  <c r="O249" i="4" s="1"/>
  <c r="K249" i="4"/>
  <c r="O248" i="4"/>
  <c r="N248" i="4"/>
  <c r="M248" i="4"/>
  <c r="K248" i="4"/>
  <c r="M247" i="4"/>
  <c r="K247" i="4"/>
  <c r="N247" i="4" s="1"/>
  <c r="O247" i="4" s="1"/>
  <c r="M246" i="4"/>
  <c r="K246" i="4"/>
  <c r="N246" i="4" s="1"/>
  <c r="O246" i="4" s="1"/>
  <c r="M245" i="4"/>
  <c r="N245" i="4" s="1"/>
  <c r="O245" i="4" s="1"/>
  <c r="K245" i="4"/>
  <c r="N244" i="4"/>
  <c r="O244" i="4" s="1"/>
  <c r="M244" i="4"/>
  <c r="K244" i="4"/>
  <c r="M243" i="4"/>
  <c r="K243" i="4"/>
  <c r="N243" i="4" s="1"/>
  <c r="O243" i="4" s="1"/>
  <c r="O242" i="4"/>
  <c r="M242" i="4"/>
  <c r="K242" i="4"/>
  <c r="N242" i="4" s="1"/>
  <c r="M241" i="4"/>
  <c r="K241" i="4"/>
  <c r="N241" i="4" s="1"/>
  <c r="O241" i="4" s="1"/>
  <c r="M240" i="4"/>
  <c r="K240" i="4"/>
  <c r="N240" i="4" s="1"/>
  <c r="O240" i="4" s="1"/>
  <c r="M239" i="4"/>
  <c r="N239" i="4" s="1"/>
  <c r="O239" i="4" s="1"/>
  <c r="K239" i="4"/>
  <c r="N238" i="4"/>
  <c r="O238" i="4" s="1"/>
  <c r="M238" i="4"/>
  <c r="K238" i="4"/>
  <c r="N237" i="4"/>
  <c r="O237" i="4" s="1"/>
  <c r="M237" i="4"/>
  <c r="K237" i="4"/>
  <c r="M236" i="4"/>
  <c r="K236" i="4"/>
  <c r="M235" i="4"/>
  <c r="N235" i="4" s="1"/>
  <c r="O235" i="4" s="1"/>
  <c r="K235" i="4"/>
  <c r="M234" i="4"/>
  <c r="N234" i="4" s="1"/>
  <c r="O234" i="4" s="1"/>
  <c r="K234" i="4"/>
  <c r="M233" i="4"/>
  <c r="K233" i="4"/>
  <c r="N233" i="4" s="1"/>
  <c r="O233" i="4" s="1"/>
  <c r="O232" i="4"/>
  <c r="N232" i="4"/>
  <c r="M232" i="4"/>
  <c r="K232" i="4"/>
  <c r="O231" i="4"/>
  <c r="M231" i="4"/>
  <c r="K231" i="4"/>
  <c r="N231" i="4" s="1"/>
  <c r="M230" i="4"/>
  <c r="K230" i="4"/>
  <c r="N230" i="4" s="1"/>
  <c r="O230" i="4" s="1"/>
  <c r="N229" i="4"/>
  <c r="O229" i="4" s="1"/>
  <c r="M229" i="4"/>
  <c r="K229" i="4"/>
  <c r="M228" i="4"/>
  <c r="K228" i="4"/>
  <c r="N228" i="4" s="1"/>
  <c r="O228" i="4" s="1"/>
  <c r="M227" i="4"/>
  <c r="K227" i="4"/>
  <c r="N227" i="4" s="1"/>
  <c r="O227" i="4" s="1"/>
  <c r="M226" i="4"/>
  <c r="K226" i="4"/>
  <c r="M225" i="4"/>
  <c r="K225" i="4"/>
  <c r="N225" i="4" s="1"/>
  <c r="O225" i="4" s="1"/>
  <c r="N224" i="4"/>
  <c r="O224" i="4" s="1"/>
  <c r="M224" i="4"/>
  <c r="K224" i="4"/>
  <c r="N223" i="4"/>
  <c r="O223" i="4" s="1"/>
  <c r="M223" i="4"/>
  <c r="K223" i="4"/>
  <c r="M222" i="4"/>
  <c r="K222" i="4"/>
  <c r="N222" i="4" s="1"/>
  <c r="O222" i="4" s="1"/>
  <c r="M221" i="4"/>
  <c r="K221" i="4"/>
  <c r="N221" i="4" s="1"/>
  <c r="O221" i="4" s="1"/>
  <c r="M220" i="4"/>
  <c r="N220" i="4" s="1"/>
  <c r="O220" i="4" s="1"/>
  <c r="K220" i="4"/>
  <c r="N219" i="4"/>
  <c r="O219" i="4" s="1"/>
  <c r="M219" i="4"/>
  <c r="K219" i="4"/>
  <c r="M218" i="4"/>
  <c r="K218" i="4"/>
  <c r="N218" i="4" s="1"/>
  <c r="O218" i="4" s="1"/>
  <c r="M217" i="4"/>
  <c r="K217" i="4"/>
  <c r="N217" i="4" s="1"/>
  <c r="O217" i="4" s="1"/>
  <c r="M216" i="4"/>
  <c r="K216" i="4"/>
  <c r="M215" i="4"/>
  <c r="K215" i="4"/>
  <c r="N215" i="4" s="1"/>
  <c r="O215" i="4" s="1"/>
  <c r="M214" i="4"/>
  <c r="N214" i="4" s="1"/>
  <c r="O214" i="4" s="1"/>
  <c r="K214" i="4"/>
  <c r="M213" i="4"/>
  <c r="K213" i="4"/>
  <c r="N213" i="4" s="1"/>
  <c r="O213" i="4" s="1"/>
  <c r="M212" i="4"/>
  <c r="N212" i="4" s="1"/>
  <c r="O212" i="4" s="1"/>
  <c r="K212" i="4"/>
  <c r="M211" i="4"/>
  <c r="K211" i="4"/>
  <c r="N211" i="4" s="1"/>
  <c r="O211" i="4" s="1"/>
  <c r="M210" i="4"/>
  <c r="K210" i="4"/>
  <c r="N210" i="4" s="1"/>
  <c r="O210" i="4" s="1"/>
  <c r="M209" i="4"/>
  <c r="N209" i="4" s="1"/>
  <c r="O209" i="4" s="1"/>
  <c r="K209" i="4"/>
  <c r="M208" i="4"/>
  <c r="K208" i="4"/>
  <c r="N208" i="4" s="1"/>
  <c r="O208" i="4" s="1"/>
  <c r="M207" i="4"/>
  <c r="K207" i="4"/>
  <c r="N207" i="4" s="1"/>
  <c r="O207" i="4" s="1"/>
  <c r="O206" i="4"/>
  <c r="M206" i="4"/>
  <c r="K206" i="4"/>
  <c r="N206" i="4" s="1"/>
  <c r="M205" i="4"/>
  <c r="K205" i="4"/>
  <c r="N205" i="4" s="1"/>
  <c r="O205" i="4" s="1"/>
  <c r="M204" i="4"/>
  <c r="N204" i="4" s="1"/>
  <c r="O204" i="4" s="1"/>
  <c r="K204" i="4"/>
  <c r="M203" i="4"/>
  <c r="K203" i="4"/>
  <c r="N203" i="4" s="1"/>
  <c r="O203" i="4" s="1"/>
  <c r="M202" i="4"/>
  <c r="K202" i="4"/>
  <c r="N202" i="4" s="1"/>
  <c r="O202" i="4" s="1"/>
  <c r="M201" i="4"/>
  <c r="K201" i="4"/>
  <c r="N201" i="4" s="1"/>
  <c r="O201" i="4" s="1"/>
  <c r="M200" i="4"/>
  <c r="K200" i="4"/>
  <c r="N200" i="4" s="1"/>
  <c r="O200" i="4" s="1"/>
  <c r="N199" i="4"/>
  <c r="O199" i="4" s="1"/>
  <c r="M199" i="4"/>
  <c r="K199" i="4"/>
  <c r="N198" i="4"/>
  <c r="O198" i="4" s="1"/>
  <c r="M198" i="4"/>
  <c r="K198" i="4"/>
  <c r="M197" i="4"/>
  <c r="K197" i="4"/>
  <c r="N197" i="4" s="1"/>
  <c r="O197" i="4" s="1"/>
  <c r="M196" i="4"/>
  <c r="K196" i="4"/>
  <c r="N196" i="4" s="1"/>
  <c r="O196" i="4" s="1"/>
  <c r="M195" i="4"/>
  <c r="N195" i="4" s="1"/>
  <c r="O195" i="4" s="1"/>
  <c r="K195" i="4"/>
  <c r="N194" i="4"/>
  <c r="O194" i="4" s="1"/>
  <c r="M194" i="4"/>
  <c r="K194" i="4"/>
  <c r="M193" i="4"/>
  <c r="K193" i="4"/>
  <c r="N193" i="4" s="1"/>
  <c r="O193" i="4" s="1"/>
  <c r="M192" i="4"/>
  <c r="K192" i="4"/>
  <c r="N192" i="4" s="1"/>
  <c r="O192" i="4" s="1"/>
  <c r="O191" i="4"/>
  <c r="M191" i="4"/>
  <c r="K191" i="4"/>
  <c r="N191" i="4" s="1"/>
  <c r="M190" i="4"/>
  <c r="K190" i="4"/>
  <c r="N190" i="4" s="1"/>
  <c r="O190" i="4" s="1"/>
  <c r="M189" i="4"/>
  <c r="N189" i="4" s="1"/>
  <c r="O189" i="4" s="1"/>
  <c r="K189" i="4"/>
  <c r="N188" i="4"/>
  <c r="O188" i="4" s="1"/>
  <c r="M188" i="4"/>
  <c r="K188" i="4"/>
  <c r="N187" i="4"/>
  <c r="O187" i="4" s="1"/>
  <c r="M187" i="4"/>
  <c r="K187" i="4"/>
  <c r="M186" i="4"/>
  <c r="K186" i="4"/>
  <c r="N186" i="4" s="1"/>
  <c r="O186" i="4" s="1"/>
  <c r="M185" i="4"/>
  <c r="N185" i="4" s="1"/>
  <c r="O185" i="4" s="1"/>
  <c r="K185" i="4"/>
  <c r="M184" i="4"/>
  <c r="N184" i="4" s="1"/>
  <c r="O184" i="4" s="1"/>
  <c r="K184" i="4"/>
  <c r="M183" i="4"/>
  <c r="K183" i="4"/>
  <c r="N183" i="4" s="1"/>
  <c r="O183" i="4" s="1"/>
  <c r="N182" i="4"/>
  <c r="O182" i="4" s="1"/>
  <c r="M182" i="4"/>
  <c r="K182" i="4"/>
  <c r="O181" i="4"/>
  <c r="M181" i="4"/>
  <c r="K181" i="4"/>
  <c r="N181" i="4" s="1"/>
  <c r="M180" i="4"/>
  <c r="K180" i="4"/>
  <c r="N180" i="4" s="1"/>
  <c r="O180" i="4" s="1"/>
  <c r="O179" i="4"/>
  <c r="N179" i="4"/>
  <c r="M179" i="4"/>
  <c r="K179" i="4"/>
  <c r="M178" i="4"/>
  <c r="K178" i="4"/>
  <c r="N178" i="4" s="1"/>
  <c r="O178" i="4" s="1"/>
  <c r="M177" i="4"/>
  <c r="K177" i="4"/>
  <c r="N177" i="4" s="1"/>
  <c r="O177" i="4" s="1"/>
  <c r="O176" i="4"/>
  <c r="M176" i="4"/>
  <c r="K176" i="4"/>
  <c r="N176" i="4" s="1"/>
  <c r="M175" i="4"/>
  <c r="K175" i="4"/>
  <c r="N175" i="4" s="1"/>
  <c r="O175" i="4" s="1"/>
  <c r="M174" i="4"/>
  <c r="N174" i="4" s="1"/>
  <c r="O174" i="4" s="1"/>
  <c r="K174" i="4"/>
  <c r="N173" i="4"/>
  <c r="O173" i="4" s="1"/>
  <c r="M173" i="4"/>
  <c r="K173" i="4"/>
  <c r="M172" i="4"/>
  <c r="K172" i="4"/>
  <c r="N172" i="4" s="1"/>
  <c r="O172" i="4" s="1"/>
  <c r="M171" i="4"/>
  <c r="K171" i="4"/>
  <c r="N171" i="4" s="1"/>
  <c r="O171" i="4" s="1"/>
  <c r="M170" i="4"/>
  <c r="N170" i="4" s="1"/>
  <c r="O170" i="4" s="1"/>
  <c r="K170" i="4"/>
  <c r="M169" i="4"/>
  <c r="N169" i="4" s="1"/>
  <c r="O169" i="4" s="1"/>
  <c r="K169" i="4"/>
  <c r="M168" i="4"/>
  <c r="K168" i="4"/>
  <c r="N168" i="4" s="1"/>
  <c r="O168" i="4" s="1"/>
  <c r="O167" i="4"/>
  <c r="M167" i="4"/>
  <c r="K167" i="4"/>
  <c r="N167" i="4" s="1"/>
  <c r="M166" i="4"/>
  <c r="K166" i="4"/>
  <c r="N166" i="4" s="1"/>
  <c r="O166" i="4" s="1"/>
  <c r="M165" i="4"/>
  <c r="K165" i="4"/>
  <c r="N165" i="4" s="1"/>
  <c r="O165" i="4" s="1"/>
  <c r="O164" i="4"/>
  <c r="M164" i="4"/>
  <c r="N164" i="4" s="1"/>
  <c r="K164" i="4"/>
  <c r="M163" i="4"/>
  <c r="K163" i="4"/>
  <c r="N163" i="4" s="1"/>
  <c r="O163" i="4" s="1"/>
  <c r="M162" i="4"/>
  <c r="N162" i="4" s="1"/>
  <c r="O162" i="4" s="1"/>
  <c r="K162" i="4"/>
  <c r="M161" i="4"/>
  <c r="K161" i="4"/>
  <c r="N161" i="4" s="1"/>
  <c r="O161" i="4" s="1"/>
  <c r="M160" i="4"/>
  <c r="K160" i="4"/>
  <c r="N160" i="4" s="1"/>
  <c r="O160" i="4" s="1"/>
  <c r="M159" i="4"/>
  <c r="N159" i="4" s="1"/>
  <c r="O159" i="4" s="1"/>
  <c r="K159" i="4"/>
  <c r="M158" i="4"/>
  <c r="K158" i="4"/>
  <c r="N158" i="4" s="1"/>
  <c r="O158" i="4" s="1"/>
  <c r="M157" i="4"/>
  <c r="K157" i="4"/>
  <c r="N157" i="4" s="1"/>
  <c r="O157" i="4" s="1"/>
  <c r="O156" i="4"/>
  <c r="M156" i="4"/>
  <c r="K156" i="4"/>
  <c r="N156" i="4" s="1"/>
  <c r="M155" i="4"/>
  <c r="K155" i="4"/>
  <c r="N155" i="4" s="1"/>
  <c r="O155" i="4" s="1"/>
  <c r="M154" i="4"/>
  <c r="N154" i="4" s="1"/>
  <c r="O154" i="4" s="1"/>
  <c r="K154" i="4"/>
  <c r="M153" i="4"/>
  <c r="K153" i="4"/>
  <c r="N153" i="4" s="1"/>
  <c r="O153" i="4" s="1"/>
  <c r="M152" i="4"/>
  <c r="N152" i="4" s="1"/>
  <c r="O152" i="4" s="1"/>
  <c r="K152" i="4"/>
  <c r="M151" i="4"/>
  <c r="K151" i="4"/>
  <c r="N151" i="4" s="1"/>
  <c r="O151" i="4" s="1"/>
  <c r="M150" i="4"/>
  <c r="K150" i="4"/>
  <c r="N150" i="4" s="1"/>
  <c r="O150" i="4" s="1"/>
  <c r="M149" i="4"/>
  <c r="N149" i="4" s="1"/>
  <c r="O149" i="4" s="1"/>
  <c r="K149" i="4"/>
  <c r="N148" i="4"/>
  <c r="O148" i="4" s="1"/>
  <c r="M148" i="4"/>
  <c r="K148" i="4"/>
  <c r="M147" i="4"/>
  <c r="K147" i="4"/>
  <c r="N147" i="4" s="1"/>
  <c r="O147" i="4" s="1"/>
  <c r="M146" i="4"/>
  <c r="K146" i="4"/>
  <c r="N146" i="4" s="1"/>
  <c r="O146" i="4" s="1"/>
  <c r="M145" i="4"/>
  <c r="N145" i="4" s="1"/>
  <c r="O145" i="4" s="1"/>
  <c r="K145" i="4"/>
  <c r="N144" i="4"/>
  <c r="O144" i="4" s="1"/>
  <c r="M144" i="4"/>
  <c r="K144" i="4"/>
  <c r="M143" i="4"/>
  <c r="K143" i="4"/>
  <c r="N143" i="4" s="1"/>
  <c r="O143" i="4" s="1"/>
  <c r="M142" i="4"/>
  <c r="K142" i="4"/>
  <c r="N142" i="4" s="1"/>
  <c r="O142" i="4" s="1"/>
  <c r="M141" i="4"/>
  <c r="K141" i="4"/>
  <c r="N141" i="4" s="1"/>
  <c r="O141" i="4" s="1"/>
  <c r="M140" i="4"/>
  <c r="K140" i="4"/>
  <c r="O139" i="4"/>
  <c r="M139" i="4"/>
  <c r="N139" i="4" s="1"/>
  <c r="K139" i="4"/>
  <c r="M138" i="4"/>
  <c r="K138" i="4"/>
  <c r="N138" i="4" s="1"/>
  <c r="O138" i="4" s="1"/>
  <c r="M137" i="4"/>
  <c r="N137" i="4" s="1"/>
  <c r="O137" i="4" s="1"/>
  <c r="K137" i="4"/>
  <c r="M136" i="4"/>
  <c r="K136" i="4"/>
  <c r="N136" i="4" s="1"/>
  <c r="O136" i="4" s="1"/>
  <c r="M135" i="4"/>
  <c r="K135" i="4"/>
  <c r="N135" i="4" s="1"/>
  <c r="O135" i="4" s="1"/>
  <c r="M134" i="4"/>
  <c r="N134" i="4" s="1"/>
  <c r="O134" i="4" s="1"/>
  <c r="K134" i="4"/>
  <c r="N133" i="4"/>
  <c r="O133" i="4" s="1"/>
  <c r="M133" i="4"/>
  <c r="K133" i="4"/>
  <c r="M132" i="4"/>
  <c r="K132" i="4"/>
  <c r="N132" i="4" s="1"/>
  <c r="O132" i="4" s="1"/>
  <c r="O131" i="4"/>
  <c r="M131" i="4"/>
  <c r="K131" i="4"/>
  <c r="N131" i="4" s="1"/>
  <c r="N130" i="4"/>
  <c r="O130" i="4" s="1"/>
  <c r="M130" i="4"/>
  <c r="K130" i="4"/>
  <c r="N129" i="4"/>
  <c r="O129" i="4" s="1"/>
  <c r="M129" i="4"/>
  <c r="K129" i="4"/>
  <c r="M128" i="4"/>
  <c r="K128" i="4"/>
  <c r="N128" i="4" s="1"/>
  <c r="O128" i="4" s="1"/>
  <c r="M127" i="4"/>
  <c r="K127" i="4"/>
  <c r="N127" i="4" s="1"/>
  <c r="O127" i="4" s="1"/>
  <c r="M126" i="4"/>
  <c r="K126" i="4"/>
  <c r="N126" i="4" s="1"/>
  <c r="O126" i="4" s="1"/>
  <c r="M125" i="4"/>
  <c r="K125" i="4"/>
  <c r="N125" i="4" s="1"/>
  <c r="O125" i="4" s="1"/>
  <c r="N124" i="4"/>
  <c r="O124" i="4" s="1"/>
  <c r="M124" i="4"/>
  <c r="K124" i="4"/>
  <c r="N123" i="4"/>
  <c r="O123" i="4" s="1"/>
  <c r="M123" i="4"/>
  <c r="K123" i="4"/>
  <c r="M122" i="4"/>
  <c r="K122" i="4"/>
  <c r="N122" i="4" s="1"/>
  <c r="O122" i="4" s="1"/>
  <c r="O121" i="4"/>
  <c r="M121" i="4"/>
  <c r="K121" i="4"/>
  <c r="N121" i="4" s="1"/>
  <c r="M120" i="4"/>
  <c r="N120" i="4" s="1"/>
  <c r="O120" i="4" s="1"/>
  <c r="K120" i="4"/>
  <c r="M119" i="4"/>
  <c r="N119" i="4" s="1"/>
  <c r="O119" i="4" s="1"/>
  <c r="K119" i="4"/>
  <c r="N118" i="4"/>
  <c r="O118" i="4" s="1"/>
  <c r="M118" i="4"/>
  <c r="K118" i="4"/>
  <c r="M117" i="4"/>
  <c r="K117" i="4"/>
  <c r="N117" i="4" s="1"/>
  <c r="O117" i="4" s="1"/>
  <c r="M116" i="4"/>
  <c r="K116" i="4"/>
  <c r="N116" i="4" s="1"/>
  <c r="O116" i="4" s="1"/>
  <c r="M115" i="4"/>
  <c r="N115" i="4" s="1"/>
  <c r="O115" i="4" s="1"/>
  <c r="K115" i="4"/>
  <c r="M114" i="4"/>
  <c r="N114" i="4" s="1"/>
  <c r="O114" i="4" s="1"/>
  <c r="K114" i="4"/>
  <c r="M113" i="4"/>
  <c r="K113" i="4"/>
  <c r="N113" i="4" s="1"/>
  <c r="O113" i="4" s="1"/>
  <c r="N112" i="4"/>
  <c r="O112" i="4" s="1"/>
  <c r="M112" i="4"/>
  <c r="K112" i="4"/>
  <c r="M111" i="4"/>
  <c r="K111" i="4"/>
  <c r="N111" i="4" s="1"/>
  <c r="O111" i="4" s="1"/>
  <c r="M110" i="4"/>
  <c r="K110" i="4"/>
  <c r="N110" i="4" s="1"/>
  <c r="O110" i="4" s="1"/>
  <c r="N109" i="4"/>
  <c r="O109" i="4" s="1"/>
  <c r="M109" i="4"/>
  <c r="K109" i="4"/>
  <c r="M108" i="4"/>
  <c r="K108" i="4"/>
  <c r="N108" i="4" s="1"/>
  <c r="O108" i="4" s="1"/>
  <c r="M107" i="4"/>
  <c r="K107" i="4"/>
  <c r="N107" i="4" s="1"/>
  <c r="O107" i="4" s="1"/>
  <c r="O106" i="4"/>
  <c r="M106" i="4"/>
  <c r="K106" i="4"/>
  <c r="N106" i="4" s="1"/>
  <c r="M105" i="4"/>
  <c r="K105" i="4"/>
  <c r="N105" i="4" s="1"/>
  <c r="O105" i="4" s="1"/>
  <c r="M104" i="4"/>
  <c r="N104" i="4" s="1"/>
  <c r="O104" i="4" s="1"/>
  <c r="K104" i="4"/>
  <c r="O103" i="4"/>
  <c r="M103" i="4"/>
  <c r="K103" i="4"/>
  <c r="N103" i="4" s="1"/>
  <c r="M102" i="4"/>
  <c r="K102" i="4"/>
  <c r="N102" i="4" s="1"/>
  <c r="O102" i="4" s="1"/>
  <c r="M101" i="4"/>
  <c r="K101" i="4"/>
  <c r="N101" i="4" s="1"/>
  <c r="O101" i="4" s="1"/>
  <c r="M100" i="4"/>
  <c r="K100" i="4"/>
  <c r="N100" i="4" s="1"/>
  <c r="O100" i="4" s="1"/>
  <c r="M99" i="4"/>
  <c r="N99" i="4" s="1"/>
  <c r="O99" i="4" s="1"/>
  <c r="K99" i="4"/>
  <c r="N98" i="4"/>
  <c r="O98" i="4" s="1"/>
  <c r="M98" i="4"/>
  <c r="K98" i="4"/>
  <c r="N97" i="4"/>
  <c r="O97" i="4" s="1"/>
  <c r="M97" i="4"/>
  <c r="K97" i="4"/>
  <c r="M96" i="4"/>
  <c r="K96" i="4"/>
  <c r="N96" i="4" s="1"/>
  <c r="O96" i="4" s="1"/>
  <c r="M95" i="4"/>
  <c r="N95" i="4" s="1"/>
  <c r="O95" i="4" s="1"/>
  <c r="K95" i="4"/>
  <c r="M94" i="4"/>
  <c r="N94" i="4" s="1"/>
  <c r="O94" i="4" s="1"/>
  <c r="K94" i="4"/>
  <c r="M93" i="4"/>
  <c r="K93" i="4"/>
  <c r="N93" i="4" s="1"/>
  <c r="O93" i="4" s="1"/>
  <c r="M92" i="4"/>
  <c r="K92" i="4"/>
  <c r="N92" i="4" s="1"/>
  <c r="O92" i="4" s="1"/>
  <c r="M91" i="4"/>
  <c r="K91" i="4"/>
  <c r="N91" i="4" s="1"/>
  <c r="O91" i="4" s="1"/>
  <c r="M90" i="4"/>
  <c r="K90" i="4"/>
  <c r="N90" i="4" s="1"/>
  <c r="O90" i="4" s="1"/>
  <c r="O89" i="4"/>
  <c r="M89" i="4"/>
  <c r="N89" i="4" s="1"/>
  <c r="K89" i="4"/>
  <c r="M88" i="4"/>
  <c r="K88" i="4"/>
  <c r="N88" i="4" s="1"/>
  <c r="O88" i="4" s="1"/>
  <c r="M87" i="4"/>
  <c r="N87" i="4" s="1"/>
  <c r="O87" i="4" s="1"/>
  <c r="K87" i="4"/>
  <c r="M86" i="4"/>
  <c r="K86" i="4"/>
  <c r="N86" i="4" s="1"/>
  <c r="O86" i="4" s="1"/>
  <c r="N85" i="4"/>
  <c r="O85" i="4" s="1"/>
  <c r="M85" i="4"/>
  <c r="K85" i="4"/>
  <c r="M84" i="4"/>
  <c r="N84" i="4" s="1"/>
  <c r="O84" i="4" s="1"/>
  <c r="K84" i="4"/>
  <c r="M83" i="4"/>
  <c r="K83" i="4"/>
  <c r="N83" i="4" s="1"/>
  <c r="O83" i="4" s="1"/>
  <c r="M82" i="4"/>
  <c r="N82" i="4" s="1"/>
  <c r="O82" i="4" s="1"/>
  <c r="K82" i="4"/>
  <c r="O81" i="4"/>
  <c r="M81" i="4"/>
  <c r="K81" i="4"/>
  <c r="N81" i="4" s="1"/>
  <c r="M80" i="4"/>
  <c r="K80" i="4"/>
  <c r="N80" i="4" s="1"/>
  <c r="O80" i="4" s="1"/>
  <c r="M79" i="4"/>
  <c r="N79" i="4" s="1"/>
  <c r="O79" i="4" s="1"/>
  <c r="K79" i="4"/>
  <c r="M78" i="4"/>
  <c r="K78" i="4"/>
  <c r="N78" i="4" s="1"/>
  <c r="O78" i="4" s="1"/>
  <c r="M77" i="4"/>
  <c r="K77" i="4"/>
  <c r="N77" i="4" s="1"/>
  <c r="O77" i="4" s="1"/>
  <c r="M76" i="4"/>
  <c r="K76" i="4"/>
  <c r="N76" i="4" s="1"/>
  <c r="O76" i="4" s="1"/>
  <c r="M75" i="4"/>
  <c r="K75" i="4"/>
  <c r="N75" i="4" s="1"/>
  <c r="O75" i="4" s="1"/>
  <c r="N74" i="4"/>
  <c r="O74" i="4" s="1"/>
  <c r="M74" i="4"/>
  <c r="K74" i="4"/>
  <c r="N73" i="4"/>
  <c r="O73" i="4" s="1"/>
  <c r="M73" i="4"/>
  <c r="K73" i="4"/>
  <c r="M72" i="4"/>
  <c r="K72" i="4"/>
  <c r="N72" i="4" s="1"/>
  <c r="O72" i="4" s="1"/>
  <c r="M71" i="4"/>
  <c r="K71" i="4"/>
  <c r="N71" i="4" s="1"/>
  <c r="O71" i="4" s="1"/>
  <c r="M70" i="4"/>
  <c r="N70" i="4" s="1"/>
  <c r="O70" i="4" s="1"/>
  <c r="K70" i="4"/>
  <c r="N69" i="4"/>
  <c r="O69" i="4" s="1"/>
  <c r="M69" i="4"/>
  <c r="K69" i="4"/>
  <c r="M68" i="4"/>
  <c r="K68" i="4"/>
  <c r="N68" i="4" s="1"/>
  <c r="O68" i="4" s="1"/>
  <c r="O67" i="4"/>
  <c r="M67" i="4"/>
  <c r="K67" i="4"/>
  <c r="N67" i="4" s="1"/>
  <c r="O66" i="4"/>
  <c r="M66" i="4"/>
  <c r="K66" i="4"/>
  <c r="N66" i="4" s="1"/>
  <c r="M65" i="4"/>
  <c r="K65" i="4"/>
  <c r="N65" i="4" s="1"/>
  <c r="O65" i="4" s="1"/>
  <c r="M64" i="4"/>
  <c r="N64" i="4" s="1"/>
  <c r="O64" i="4" s="1"/>
  <c r="K64" i="4"/>
  <c r="N63" i="4"/>
  <c r="O63" i="4" s="1"/>
  <c r="M63" i="4"/>
  <c r="K63" i="4"/>
  <c r="N62" i="4"/>
  <c r="O62" i="4" s="1"/>
  <c r="M62" i="4"/>
  <c r="K62" i="4"/>
  <c r="M61" i="4"/>
  <c r="K61" i="4"/>
  <c r="N61" i="4" s="1"/>
  <c r="O61" i="4" s="1"/>
  <c r="M60" i="4"/>
  <c r="N60" i="4" s="1"/>
  <c r="O60" i="4" s="1"/>
  <c r="K60" i="4"/>
  <c r="M59" i="4"/>
  <c r="N59" i="4" s="1"/>
  <c r="O59" i="4" s="1"/>
  <c r="K59" i="4"/>
  <c r="M58" i="4"/>
  <c r="K58" i="4"/>
  <c r="N58" i="4" s="1"/>
  <c r="O58" i="4" s="1"/>
  <c r="N57" i="4"/>
  <c r="O57" i="4" s="1"/>
  <c r="M57" i="4"/>
  <c r="K57" i="4"/>
  <c r="M56" i="4"/>
  <c r="K56" i="4"/>
  <c r="N56" i="4" s="1"/>
  <c r="O56" i="4" s="1"/>
  <c r="M55" i="4"/>
  <c r="K55" i="4"/>
  <c r="N55" i="4" s="1"/>
  <c r="O55" i="4" s="1"/>
  <c r="N54" i="4"/>
  <c r="O54" i="4" s="1"/>
  <c r="M54" i="4"/>
  <c r="K54" i="4"/>
  <c r="M53" i="4"/>
  <c r="K53" i="4"/>
  <c r="N53" i="4" s="1"/>
  <c r="O53" i="4" s="1"/>
  <c r="M52" i="4"/>
  <c r="N52" i="4" s="1"/>
  <c r="O52" i="4" s="1"/>
  <c r="K52" i="4"/>
  <c r="O51" i="4"/>
  <c r="M51" i="4"/>
  <c r="K51" i="4"/>
  <c r="N51" i="4" s="1"/>
  <c r="M50" i="4"/>
  <c r="K50" i="4"/>
  <c r="N50" i="4" s="1"/>
  <c r="O50" i="4" s="1"/>
  <c r="M49" i="4"/>
  <c r="N49" i="4" s="1"/>
  <c r="O49" i="4" s="1"/>
  <c r="K49" i="4"/>
  <c r="N48" i="4"/>
  <c r="O48" i="4" s="1"/>
  <c r="M48" i="4"/>
  <c r="K48" i="4"/>
  <c r="M47" i="4"/>
  <c r="K47" i="4"/>
  <c r="N47" i="4" s="1"/>
  <c r="O47" i="4" s="1"/>
  <c r="M46" i="4"/>
  <c r="K46" i="4"/>
  <c r="N46" i="4" s="1"/>
  <c r="O46" i="4" s="1"/>
  <c r="N45" i="4"/>
  <c r="O45" i="4" s="1"/>
  <c r="M45" i="4"/>
  <c r="K45" i="4"/>
  <c r="M44" i="4"/>
  <c r="N44" i="4" s="1"/>
  <c r="O44" i="4" s="1"/>
  <c r="K44" i="4"/>
  <c r="M43" i="4"/>
  <c r="K43" i="4"/>
  <c r="N43" i="4" s="1"/>
  <c r="O43" i="4" s="1"/>
  <c r="M42" i="4"/>
  <c r="K42" i="4"/>
  <c r="N42" i="4" s="1"/>
  <c r="O42" i="4" s="1"/>
  <c r="M41" i="4"/>
  <c r="K41" i="4"/>
  <c r="N41" i="4" s="1"/>
  <c r="O41" i="4" s="1"/>
  <c r="M40" i="4"/>
  <c r="K40" i="4"/>
  <c r="N40" i="4" s="1"/>
  <c r="O40" i="4" s="1"/>
  <c r="O39" i="4"/>
  <c r="M39" i="4"/>
  <c r="N39" i="4" s="1"/>
  <c r="K39" i="4"/>
  <c r="M38" i="4"/>
  <c r="K38" i="4"/>
  <c r="N38" i="4" s="1"/>
  <c r="O38" i="4" s="1"/>
  <c r="N37" i="4"/>
  <c r="O37" i="4" s="1"/>
  <c r="M37" i="4"/>
  <c r="K37" i="4"/>
  <c r="M36" i="4"/>
  <c r="K36" i="4"/>
  <c r="N36" i="4" s="1"/>
  <c r="O36" i="4" s="1"/>
  <c r="M35" i="4"/>
  <c r="K35" i="4"/>
  <c r="N35" i="4" s="1"/>
  <c r="O35" i="4" s="1"/>
  <c r="M34" i="4"/>
  <c r="N34" i="4" s="1"/>
  <c r="O34" i="4" s="1"/>
  <c r="K34" i="4"/>
  <c r="M33" i="4"/>
  <c r="K33" i="4"/>
  <c r="N33" i="4" s="1"/>
  <c r="O33" i="4" s="1"/>
  <c r="M32" i="4"/>
  <c r="K32" i="4"/>
  <c r="N32" i="4" s="1"/>
  <c r="O32" i="4" s="1"/>
  <c r="O31" i="4"/>
  <c r="M31" i="4"/>
  <c r="K31" i="4"/>
  <c r="N31" i="4" s="1"/>
  <c r="M30" i="4"/>
  <c r="K30" i="4"/>
  <c r="N30" i="4" s="1"/>
  <c r="O30" i="4" s="1"/>
  <c r="M29" i="4"/>
  <c r="N29" i="4" s="1"/>
  <c r="O29" i="4" s="1"/>
  <c r="K29" i="4"/>
  <c r="O28" i="4"/>
  <c r="M28" i="4"/>
  <c r="K28" i="4"/>
  <c r="N28" i="4" s="1"/>
  <c r="M27" i="4"/>
  <c r="K27" i="4"/>
  <c r="N27" i="4" s="1"/>
  <c r="O27" i="4" s="1"/>
  <c r="M26" i="4"/>
  <c r="K26" i="4"/>
  <c r="N26" i="4" s="1"/>
  <c r="O26" i="4" s="1"/>
  <c r="M25" i="4"/>
  <c r="K25" i="4"/>
  <c r="N25" i="4" s="1"/>
  <c r="O25" i="4" s="1"/>
  <c r="M24" i="4"/>
  <c r="N24" i="4" s="1"/>
  <c r="O24" i="4" s="1"/>
  <c r="K24" i="4"/>
  <c r="N23" i="4"/>
  <c r="O23" i="4" s="1"/>
  <c r="M23" i="4"/>
  <c r="K23" i="4"/>
  <c r="N22" i="4"/>
  <c r="O22" i="4" s="1"/>
  <c r="M22" i="4"/>
  <c r="K22" i="4"/>
  <c r="M21" i="4"/>
  <c r="K21" i="4"/>
  <c r="N21" i="4" s="1"/>
  <c r="O21" i="4" s="1"/>
  <c r="M20" i="4"/>
  <c r="N20" i="4" s="1"/>
  <c r="O20" i="4" s="1"/>
  <c r="K20" i="4"/>
  <c r="N19" i="4"/>
  <c r="O19" i="4" s="1"/>
  <c r="M19" i="4"/>
  <c r="K19" i="4"/>
  <c r="M18" i="4"/>
  <c r="K18" i="4"/>
  <c r="N18" i="4" s="1"/>
  <c r="O18" i="4" s="1"/>
  <c r="O17" i="4"/>
  <c r="M17" i="4"/>
  <c r="K17" i="4"/>
  <c r="N17" i="4" s="1"/>
  <c r="O16" i="4"/>
  <c r="M16" i="4"/>
  <c r="K16" i="4"/>
  <c r="N16" i="4" s="1"/>
  <c r="M15" i="4"/>
  <c r="K15" i="4"/>
  <c r="N15" i="4" s="1"/>
  <c r="O15" i="4" s="1"/>
  <c r="M14" i="4"/>
  <c r="N14" i="4" s="1"/>
  <c r="O14" i="4" s="1"/>
  <c r="K14" i="4"/>
  <c r="O13" i="4"/>
  <c r="N13" i="4"/>
  <c r="M13" i="4"/>
  <c r="K13" i="4"/>
  <c r="M12" i="4"/>
  <c r="N12" i="4" s="1"/>
  <c r="O12" i="4" s="1"/>
  <c r="K12" i="4"/>
  <c r="M11" i="4"/>
  <c r="K11" i="4"/>
  <c r="N11" i="4" s="1"/>
  <c r="O11" i="4" s="1"/>
  <c r="N10" i="4"/>
  <c r="O10" i="4" s="1"/>
  <c r="M10" i="4"/>
  <c r="K10" i="4"/>
  <c r="M9" i="4"/>
  <c r="K9" i="4"/>
  <c r="M8" i="4"/>
  <c r="K8" i="4"/>
  <c r="N45" i="1" l="1"/>
  <c r="O45" i="1" s="1"/>
  <c r="N178" i="1"/>
  <c r="O178" i="1" s="1"/>
  <c r="K301" i="4"/>
  <c r="N8" i="4"/>
  <c r="N42" i="1"/>
  <c r="O42" i="1" s="1"/>
  <c r="M301" i="4"/>
  <c r="N140" i="4"/>
  <c r="O140" i="4" s="1"/>
  <c r="N128" i="1"/>
  <c r="O128" i="1" s="1"/>
  <c r="N258" i="2"/>
  <c r="O258" i="2" s="1"/>
  <c r="N429" i="2"/>
  <c r="O310" i="4"/>
  <c r="O311" i="4" s="1"/>
  <c r="O305" i="4"/>
  <c r="O303" i="4"/>
  <c r="N55" i="3"/>
  <c r="O55" i="3" s="1"/>
  <c r="N266" i="4"/>
  <c r="O266" i="4" s="1"/>
  <c r="N276" i="4"/>
  <c r="O276" i="4" s="1"/>
  <c r="N88" i="1"/>
  <c r="O88" i="1" s="1"/>
  <c r="N101" i="1"/>
  <c r="O101" i="1" s="1"/>
  <c r="N161" i="1"/>
  <c r="O161" i="1" s="1"/>
  <c r="N9" i="4"/>
  <c r="O9" i="4" s="1"/>
  <c r="O8" i="1"/>
  <c r="M321" i="2"/>
  <c r="N574" i="2"/>
  <c r="M294" i="1"/>
  <c r="N8" i="2"/>
  <c r="N216" i="4"/>
  <c r="O216" i="4" s="1"/>
  <c r="N226" i="4"/>
  <c r="O226" i="4" s="1"/>
  <c r="O304" i="4"/>
  <c r="N127" i="1"/>
  <c r="O127" i="1" s="1"/>
  <c r="N131" i="1"/>
  <c r="O131" i="1" s="1"/>
  <c r="N222" i="1"/>
  <c r="O222" i="1" s="1"/>
  <c r="N73" i="2"/>
  <c r="O73" i="2" s="1"/>
  <c r="N581" i="2"/>
  <c r="N236" i="4"/>
  <c r="O236" i="4" s="1"/>
  <c r="N261" i="4"/>
  <c r="O261" i="4" s="1"/>
  <c r="N286" i="4"/>
  <c r="O286" i="4" s="1"/>
  <c r="N17" i="1"/>
  <c r="O17" i="1" s="1"/>
  <c r="N52" i="1"/>
  <c r="O52" i="1" s="1"/>
  <c r="N102" i="1"/>
  <c r="O102" i="1" s="1"/>
  <c r="N112" i="1"/>
  <c r="O112" i="1" s="1"/>
  <c r="N152" i="1"/>
  <c r="O152" i="1" s="1"/>
  <c r="N262" i="1"/>
  <c r="O262" i="1" s="1"/>
  <c r="K294" i="1"/>
  <c r="N21" i="2"/>
  <c r="O21" i="2" s="1"/>
  <c r="N161" i="2"/>
  <c r="O161" i="2" s="1"/>
  <c r="N197" i="2"/>
  <c r="O197" i="2" s="1"/>
  <c r="N298" i="2"/>
  <c r="O298" i="2" s="1"/>
  <c r="N379" i="2"/>
  <c r="N603" i="2"/>
  <c r="N639" i="2"/>
  <c r="N307" i="3"/>
  <c r="O307" i="3" s="1"/>
  <c r="N69" i="1"/>
  <c r="O69" i="1" s="1"/>
  <c r="N87" i="1"/>
  <c r="O87" i="1" s="1"/>
  <c r="N123" i="1"/>
  <c r="O123" i="1" s="1"/>
  <c r="N237" i="1"/>
  <c r="O237" i="1" s="1"/>
  <c r="N267" i="1"/>
  <c r="O267" i="1" s="1"/>
  <c r="N277" i="1"/>
  <c r="O277" i="1" s="1"/>
  <c r="N126" i="2"/>
  <c r="O126" i="2" s="1"/>
  <c r="N133" i="2"/>
  <c r="O133" i="2" s="1"/>
  <c r="N264" i="2"/>
  <c r="O264" i="2" s="1"/>
  <c r="N371" i="2"/>
  <c r="N558" i="2"/>
  <c r="N679" i="2"/>
  <c r="N438" i="2"/>
  <c r="N501" i="2"/>
  <c r="N538" i="2"/>
  <c r="N688" i="2"/>
  <c r="N751" i="2"/>
  <c r="N788" i="2"/>
  <c r="N56" i="3"/>
  <c r="O56" i="3" s="1"/>
  <c r="N77" i="1"/>
  <c r="O77" i="1" s="1"/>
  <c r="N92" i="1"/>
  <c r="O92" i="1" s="1"/>
  <c r="N107" i="1"/>
  <c r="O107" i="1" s="1"/>
  <c r="N138" i="1"/>
  <c r="O138" i="1" s="1"/>
  <c r="N162" i="1"/>
  <c r="O162" i="1" s="1"/>
  <c r="N217" i="1"/>
  <c r="O217" i="1" s="1"/>
  <c r="N287" i="1"/>
  <c r="O287" i="1" s="1"/>
  <c r="N41" i="2"/>
  <c r="O41" i="2" s="1"/>
  <c r="N163" i="2"/>
  <c r="O163" i="2" s="1"/>
  <c r="N176" i="2"/>
  <c r="O176" i="2" s="1"/>
  <c r="N249" i="2"/>
  <c r="O249" i="2" s="1"/>
  <c r="N272" i="2"/>
  <c r="O272" i="2" s="1"/>
  <c r="N289" i="2"/>
  <c r="O289" i="2" s="1"/>
  <c r="N318" i="2"/>
  <c r="O318" i="2" s="1"/>
  <c r="N363" i="2"/>
  <c r="N516" i="2"/>
  <c r="N613" i="2"/>
  <c r="N766" i="2"/>
  <c r="N872" i="2"/>
  <c r="N977" i="2"/>
  <c r="N651" i="2"/>
  <c r="N663" i="2"/>
  <c r="N803" i="2"/>
  <c r="N887" i="2"/>
  <c r="N72" i="1"/>
  <c r="O72" i="1" s="1"/>
  <c r="N172" i="1"/>
  <c r="O172" i="1" s="1"/>
  <c r="N227" i="1"/>
  <c r="O227" i="1" s="1"/>
  <c r="K321" i="2"/>
  <c r="N11" i="2"/>
  <c r="O11" i="2" s="1"/>
  <c r="N33" i="2"/>
  <c r="O33" i="2" s="1"/>
  <c r="N71" i="2"/>
  <c r="O71" i="2" s="1"/>
  <c r="N106" i="2"/>
  <c r="O106" i="2" s="1"/>
  <c r="N200" i="2"/>
  <c r="O200" i="2" s="1"/>
  <c r="N474" i="2"/>
  <c r="N568" i="2"/>
  <c r="N724" i="2"/>
  <c r="N818" i="2"/>
  <c r="K309" i="3"/>
  <c r="N408" i="2"/>
  <c r="N451" i="2"/>
  <c r="N629" i="2"/>
  <c r="N658" i="2"/>
  <c r="N701" i="2"/>
  <c r="N879" i="2"/>
  <c r="N26" i="5"/>
  <c r="O26" i="5" s="1"/>
  <c r="N51" i="2"/>
  <c r="O51" i="2" s="1"/>
  <c r="N101" i="2"/>
  <c r="O101" i="2" s="1"/>
  <c r="N151" i="2"/>
  <c r="O151" i="2" s="1"/>
  <c r="N208" i="2"/>
  <c r="O208" i="2" s="1"/>
  <c r="N268" i="2"/>
  <c r="O268" i="2" s="1"/>
  <c r="N275" i="2"/>
  <c r="O275" i="2" s="1"/>
  <c r="N388" i="2"/>
  <c r="N416" i="2"/>
  <c r="N509" i="2"/>
  <c r="N638" i="2"/>
  <c r="N666" i="2"/>
  <c r="N759" i="2"/>
  <c r="N144" i="3"/>
  <c r="O144" i="3" s="1"/>
  <c r="N97" i="1"/>
  <c r="O97" i="1" s="1"/>
  <c r="N147" i="1"/>
  <c r="O147" i="1" s="1"/>
  <c r="N197" i="1"/>
  <c r="O197" i="1" s="1"/>
  <c r="N247" i="1"/>
  <c r="O247" i="1" s="1"/>
  <c r="O304" i="1"/>
  <c r="N31" i="2"/>
  <c r="O31" i="2" s="1"/>
  <c r="N81" i="2"/>
  <c r="O81" i="2" s="1"/>
  <c r="N131" i="2"/>
  <c r="O131" i="2" s="1"/>
  <c r="N181" i="2"/>
  <c r="O181" i="2" s="1"/>
  <c r="N193" i="2"/>
  <c r="O193" i="2" s="1"/>
  <c r="N218" i="2"/>
  <c r="O218" i="2" s="1"/>
  <c r="N225" i="2"/>
  <c r="O225" i="2" s="1"/>
  <c r="N297" i="2"/>
  <c r="O297" i="2" s="1"/>
  <c r="N366" i="2"/>
  <c r="N459" i="2"/>
  <c r="N588" i="2"/>
  <c r="N616" i="2"/>
  <c r="N709" i="2"/>
  <c r="N838" i="2"/>
  <c r="N866" i="2"/>
  <c r="N889" i="2"/>
  <c r="N924" i="2"/>
  <c r="N11" i="3"/>
  <c r="O11" i="3" s="1"/>
  <c r="N70" i="3"/>
  <c r="O70" i="3" s="1"/>
  <c r="N953" i="2"/>
  <c r="N85" i="3"/>
  <c r="O85" i="3" s="1"/>
  <c r="N134" i="3"/>
  <c r="O134" i="3" s="1"/>
  <c r="N51" i="5"/>
  <c r="O51" i="5" s="1"/>
  <c r="N66" i="5"/>
  <c r="O66" i="5" s="1"/>
  <c r="N101" i="5"/>
  <c r="O101" i="5" s="1"/>
  <c r="N922" i="2"/>
  <c r="N8" i="5"/>
  <c r="K270" i="5"/>
  <c r="N36" i="5"/>
  <c r="O36" i="5" s="1"/>
  <c r="N937" i="2"/>
  <c r="N951" i="2"/>
  <c r="N963" i="2"/>
  <c r="N985" i="2"/>
  <c r="N41" i="3"/>
  <c r="O41" i="3" s="1"/>
  <c r="N121" i="3"/>
  <c r="O121" i="3" s="1"/>
  <c r="N164" i="3"/>
  <c r="O164" i="3" s="1"/>
  <c r="N927" i="2"/>
  <c r="N22" i="3"/>
  <c r="O22" i="3" s="1"/>
  <c r="N50" i="3"/>
  <c r="O50" i="3" s="1"/>
  <c r="N242" i="3"/>
  <c r="O242" i="3" s="1"/>
  <c r="N285" i="3"/>
  <c r="O285" i="3" s="1"/>
  <c r="N41" i="5"/>
  <c r="O41" i="5" s="1"/>
  <c r="N132" i="5"/>
  <c r="O132" i="5" s="1"/>
  <c r="N229" i="5"/>
  <c r="O229" i="5" s="1"/>
  <c r="N162" i="5"/>
  <c r="O162" i="5" s="1"/>
  <c r="M270" i="5"/>
  <c r="N907" i="2"/>
  <c r="N957" i="2"/>
  <c r="N10" i="3"/>
  <c r="N35" i="3"/>
  <c r="O35" i="3" s="1"/>
  <c r="N120" i="3"/>
  <c r="O120" i="3" s="1"/>
  <c r="N200" i="3"/>
  <c r="O200" i="3" s="1"/>
  <c r="N235" i="3"/>
  <c r="O235" i="3" s="1"/>
  <c r="O317" i="3"/>
  <c r="O313" i="3"/>
  <c r="O311" i="3"/>
  <c r="O318" i="3"/>
  <c r="O312" i="3"/>
  <c r="N16" i="5"/>
  <c r="O16" i="5" s="1"/>
  <c r="N152" i="5"/>
  <c r="O152" i="5" s="1"/>
  <c r="N25" i="3"/>
  <c r="O25" i="3" s="1"/>
  <c r="N80" i="3"/>
  <c r="O80" i="3" s="1"/>
  <c r="N130" i="3"/>
  <c r="O130" i="3" s="1"/>
  <c r="N207" i="3"/>
  <c r="O207" i="3" s="1"/>
  <c r="N31" i="5"/>
  <c r="O31" i="5" s="1"/>
  <c r="N56" i="5"/>
  <c r="O56" i="5" s="1"/>
  <c r="N81" i="5"/>
  <c r="O81" i="5" s="1"/>
  <c r="N106" i="5"/>
  <c r="O106" i="5" s="1"/>
  <c r="N968" i="2"/>
  <c r="N75" i="3"/>
  <c r="O75" i="3" s="1"/>
  <c r="N125" i="3"/>
  <c r="O125" i="3" s="1"/>
  <c r="N195" i="3"/>
  <c r="O195" i="3" s="1"/>
  <c r="N230" i="3"/>
  <c r="O230" i="3" s="1"/>
  <c r="N165" i="3"/>
  <c r="O165" i="3" s="1"/>
  <c r="N190" i="3"/>
  <c r="O190" i="3" s="1"/>
  <c r="N215" i="3"/>
  <c r="O215" i="3" s="1"/>
  <c r="N265" i="3"/>
  <c r="O265" i="3" s="1"/>
  <c r="N295" i="3"/>
  <c r="O295" i="3" s="1"/>
  <c r="N126" i="5"/>
  <c r="O126" i="5" s="1"/>
  <c r="N136" i="5"/>
  <c r="O136" i="5" s="1"/>
  <c r="N146" i="5"/>
  <c r="O146" i="5" s="1"/>
  <c r="N156" i="5"/>
  <c r="O156" i="5" s="1"/>
  <c r="N166" i="5"/>
  <c r="O166" i="5" s="1"/>
  <c r="N176" i="5"/>
  <c r="O176" i="5" s="1"/>
  <c r="N186" i="5"/>
  <c r="O186" i="5" s="1"/>
  <c r="N196" i="5"/>
  <c r="O196" i="5" s="1"/>
  <c r="N206" i="5"/>
  <c r="O206" i="5" s="1"/>
  <c r="N231" i="5"/>
  <c r="O231" i="5" s="1"/>
  <c r="N234" i="5"/>
  <c r="O234" i="5" s="1"/>
  <c r="N256" i="5"/>
  <c r="O256" i="5" s="1"/>
  <c r="N259" i="5"/>
  <c r="O259" i="5" s="1"/>
  <c r="N180" i="3"/>
  <c r="O180" i="3" s="1"/>
  <c r="N205" i="3"/>
  <c r="O205" i="3" s="1"/>
  <c r="N225" i="3"/>
  <c r="O225" i="3" s="1"/>
  <c r="N275" i="3"/>
  <c r="O275" i="3" s="1"/>
  <c r="N290" i="3"/>
  <c r="O290" i="3" s="1"/>
  <c r="N17" i="5"/>
  <c r="O17" i="5" s="1"/>
  <c r="N27" i="5"/>
  <c r="O27" i="5" s="1"/>
  <c r="N37" i="5"/>
  <c r="O37" i="5" s="1"/>
  <c r="N47" i="5"/>
  <c r="O47" i="5" s="1"/>
  <c r="N57" i="5"/>
  <c r="O57" i="5" s="1"/>
  <c r="N67" i="5"/>
  <c r="O67" i="5" s="1"/>
  <c r="N77" i="5"/>
  <c r="O77" i="5" s="1"/>
  <c r="N87" i="5"/>
  <c r="O87" i="5" s="1"/>
  <c r="N97" i="5"/>
  <c r="O97" i="5" s="1"/>
  <c r="N107" i="5"/>
  <c r="O107" i="5" s="1"/>
  <c r="N117" i="5"/>
  <c r="O117" i="5" s="1"/>
  <c r="N211" i="5"/>
  <c r="O211" i="5" s="1"/>
  <c r="N236" i="5"/>
  <c r="O236" i="5" s="1"/>
  <c r="N239" i="5"/>
  <c r="O239" i="5" s="1"/>
  <c r="N261" i="5"/>
  <c r="O261" i="5" s="1"/>
  <c r="N264" i="5"/>
  <c r="O264" i="5" s="1"/>
  <c r="O273" i="5"/>
  <c r="O274" i="5"/>
  <c r="O278" i="5"/>
  <c r="O279" i="5"/>
  <c r="O272" i="5"/>
  <c r="N321" i="2" l="1"/>
  <c r="O8" i="2"/>
  <c r="N301" i="4"/>
  <c r="O8" i="4"/>
  <c r="N270" i="5"/>
  <c r="O8" i="5"/>
  <c r="N294" i="1"/>
  <c r="O10" i="3"/>
  <c r="N309" i="3"/>
  <c r="O280" i="5"/>
  <c r="O319" i="3"/>
  <c r="N321" i="3" l="1"/>
  <c r="N322" i="3" s="1"/>
  <c r="O309" i="3"/>
  <c r="N306" i="1"/>
  <c r="N307" i="1" s="1"/>
  <c r="O294" i="1"/>
  <c r="N282" i="5"/>
  <c r="N283" i="5" s="1"/>
  <c r="O270" i="5"/>
  <c r="N313" i="4"/>
  <c r="N314" i="4" s="1"/>
  <c r="O301" i="4"/>
  <c r="N333" i="2"/>
  <c r="N334" i="2" s="1"/>
  <c r="O321" i="2"/>
</calcChain>
</file>

<file path=xl/sharedStrings.xml><?xml version="1.0" encoding="utf-8"?>
<sst xmlns="http://schemas.openxmlformats.org/spreadsheetml/2006/main" count="5227" uniqueCount="2426">
  <si>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</si>
  <si>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</si>
  <si>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</si>
  <si>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</si>
  <si>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</si>
  <si>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</si>
  <si>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</si>
  <si>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</si>
  <si>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</si>
  <si>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</si>
  <si>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</si>
  <si>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</si>
  <si>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</si>
  <si>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</si>
  <si>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</si>
  <si>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</si>
  <si>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</si>
  <si>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</si>
  <si>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</si>
  <si>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</si>
  <si>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</si>
  <si>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</si>
  <si>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</si>
  <si>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</si>
  <si>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</si>
  <si>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</si>
  <si>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</si>
  <si>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</si>
  <si>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</si>
  <si>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</si>
  <si>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</si>
  <si>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</si>
  <si>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</si>
  <si>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</si>
  <si>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</si>
  <si>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</si>
  <si>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</si>
  <si>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</si>
  <si>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</si>
  <si>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</si>
  <si>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</si>
  <si>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</si>
  <si>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</si>
  <si>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</si>
  <si>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</si>
  <si>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</si>
  <si>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</si>
  <si>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</si>
  <si>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</si>
  <si>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</si>
  <si>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</si>
  <si>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</si>
  <si>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</si>
  <si>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</si>
  <si>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</si>
  <si>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</si>
  <si>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</si>
  <si>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</si>
  <si>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</si>
  <si>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</si>
  <si>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</si>
  <si>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</si>
  <si>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</si>
  <si>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</si>
  <si>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</si>
  <si>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</si>
  <si>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</si>
  <si>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</si>
  <si>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</si>
  <si>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</si>
  <si>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</si>
  <si>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</si>
  <si>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</si>
  <si>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</si>
  <si>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</si>
  <si>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</si>
  <si>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</si>
  <si>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</si>
  <si>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</si>
  <si>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</si>
  <si>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</si>
  <si>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</si>
  <si>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</si>
  <si>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</si>
  <si>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</si>
  <si>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</si>
  <si>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</si>
  <si>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</si>
  <si>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</si>
  <si>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</si>
  <si>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</si>
  <si>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</si>
  <si>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</si>
  <si>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</si>
  <si>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</si>
  <si>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</si>
  <si>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</si>
  <si>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</si>
  <si>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</si>
  <si>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</si>
  <si>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</si>
  <si>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</si>
  <si>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</si>
  <si>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</si>
  <si>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</si>
  <si>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</si>
  <si>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</si>
  <si>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</si>
  <si>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</si>
  <si>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</si>
  <si>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</si>
  <si>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</si>
  <si>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</si>
  <si>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</si>
  <si>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</si>
  <si>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</si>
  <si>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</si>
  <si>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</si>
  <si>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</si>
  <si>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</si>
  <si>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</si>
  <si>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</si>
  <si>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</si>
  <si>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</si>
  <si>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</si>
  <si>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</si>
  <si>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</si>
  <si>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</si>
  <si>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</si>
  <si>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</si>
  <si>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</si>
  <si>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</si>
  <si>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</si>
  <si>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</si>
  <si>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</si>
  <si>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</si>
  <si>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</si>
  <si>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</si>
  <si>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</si>
  <si>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</si>
  <si>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</si>
  <si>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</si>
  <si>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</si>
  <si>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</si>
  <si>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</si>
  <si>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</si>
  <si>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</si>
  <si>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</si>
  <si>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</si>
  <si>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</si>
  <si>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</si>
  <si>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</si>
  <si>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</si>
  <si>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</si>
  <si>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</si>
  <si>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</si>
  <si>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</si>
  <si>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</si>
  <si>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</si>
  <si>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</si>
  <si>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</si>
  <si>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</si>
  <si>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</si>
  <si>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</si>
  <si>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</si>
  <si>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</si>
  <si>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</si>
  <si>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</si>
  <si>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</si>
  <si>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</si>
  <si>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</si>
  <si>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</si>
  <si>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</si>
  <si>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</si>
  <si>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</si>
  <si>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</si>
  <si>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</si>
  <si>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</si>
  <si>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</si>
  <si>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</si>
  <si>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</si>
  <si>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</si>
  <si>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</si>
  <si>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</si>
  <si>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</si>
  <si>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</si>
  <si>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</si>
  <si>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</si>
  <si>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</si>
  <si>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</si>
  <si>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</si>
  <si>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</si>
  <si>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</si>
  <si>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</si>
  <si>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</si>
  <si>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</si>
  <si>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</si>
  <si>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</si>
  <si>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</si>
  <si>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</si>
  <si>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</si>
  <si>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</si>
  <si>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</si>
  <si>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</si>
  <si>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</si>
  <si>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</si>
  <si>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</si>
  <si>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</si>
  <si>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</si>
  <si>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</si>
  <si>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</si>
  <si>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</si>
  <si>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</si>
  <si>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</si>
  <si>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</si>
  <si>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</si>
  <si>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</si>
  <si>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</si>
  <si>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</si>
  <si>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</si>
  <si>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</si>
  <si>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</si>
  <si>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</si>
  <si>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</si>
  <si>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</si>
  <si>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</si>
  <si>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</si>
  <si>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</si>
  <si>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</si>
  <si>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</si>
  <si>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</si>
  <si>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</si>
  <si>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</si>
  <si>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</si>
  <si>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</si>
  <si>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</si>
  <si>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</si>
  <si>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</si>
  <si>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</si>
  <si>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</si>
  <si>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</si>
  <si>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</si>
  <si>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</si>
  <si>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</si>
  <si>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</si>
  <si>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</si>
  <si>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</si>
  <si>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</si>
  <si>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</si>
  <si>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</si>
  <si>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</si>
  <si>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</si>
  <si>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</si>
  <si>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</si>
  <si>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</si>
  <si>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</si>
  <si>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</si>
  <si>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</si>
  <si>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</si>
  <si>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</si>
  <si>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</si>
  <si>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</si>
  <si>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</si>
  <si>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</si>
  <si>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</si>
  <si>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</si>
  <si>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</si>
  <si>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</si>
  <si>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</si>
  <si>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</si>
  <si>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</si>
  <si>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</si>
  <si>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</si>
  <si>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</si>
  <si>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</si>
  <si>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</si>
  <si>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</si>
  <si>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</si>
  <si>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</si>
  <si>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</si>
  <si>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</si>
  <si>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</si>
  <si>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</si>
  <si>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</si>
  <si>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</si>
  <si>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</si>
  <si>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</si>
  <si>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</si>
  <si>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</si>
  <si>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</si>
  <si>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</si>
  <si>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</si>
  <si>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</si>
  <si>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</si>
  <si>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</si>
  <si>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</si>
  <si>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</si>
  <si>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</si>
  <si>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</si>
  <si>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</si>
  <si>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</si>
  <si>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</si>
  <si>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</si>
  <si>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</si>
  <si>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</si>
  <si>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</si>
  <si>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</si>
  <si>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</si>
  <si>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</si>
  <si>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</si>
  <si>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</si>
  <si>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</si>
  <si>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</si>
  <si>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</si>
  <si>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</si>
  <si>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</si>
  <si>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</si>
  <si>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</si>
  <si>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</si>
  <si>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</si>
  <si>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</si>
  <si>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</si>
  <si>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</si>
  <si>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</si>
  <si>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</si>
  <si>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</si>
  <si>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</si>
  <si>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</si>
  <si>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</si>
  <si>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</si>
  <si>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</si>
  <si>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</si>
  <si>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</si>
  <si>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</si>
  <si>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</si>
  <si>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</si>
  <si>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</si>
  <si>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</si>
  <si>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</si>
  <si>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</si>
  <si>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</si>
  <si>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</si>
  <si>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</si>
  <si>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</si>
  <si>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</si>
  <si>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</si>
  <si>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</si>
  <si>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</si>
  <si>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</si>
  <si>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</si>
  <si>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</si>
  <si>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</si>
  <si>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</si>
  <si>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</si>
  <si>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</si>
  <si>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</si>
  <si>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</si>
  <si>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</si>
  <si>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</si>
  <si>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</si>
  <si>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</si>
  <si>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</si>
  <si>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</si>
  <si>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</si>
  <si>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</si>
  <si>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</si>
  <si>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</si>
  <si>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</si>
  <si>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</si>
  <si>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</si>
  <si>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</si>
  <si>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</si>
  <si>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</si>
  <si>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</si>
  <si>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</si>
  <si>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</si>
  <si>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</si>
  <si>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</si>
  <si>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</si>
  <si>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</si>
  <si>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</si>
  <si>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</si>
  <si>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</si>
  <si>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</si>
  <si>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</si>
  <si>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</si>
  <si>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</si>
  <si>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</si>
  <si>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</si>
  <si>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</si>
  <si>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</si>
  <si>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</si>
  <si>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</si>
  <si>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</si>
  <si>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</si>
  <si>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</si>
  <si>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</si>
  <si>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</si>
  <si>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</si>
  <si>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</si>
  <si>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</si>
  <si>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</si>
  <si>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</si>
  <si>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</si>
  <si>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</si>
  <si>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</si>
  <si>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</si>
  <si>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</si>
  <si>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</si>
  <si>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</si>
  <si>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</si>
  <si>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</si>
  <si>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</si>
  <si>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</si>
  <si>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</si>
  <si>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</si>
  <si>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</si>
  <si>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</si>
  <si>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</si>
  <si>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</si>
  <si>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</si>
  <si>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</si>
  <si>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</si>
  <si>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</si>
  <si>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</si>
  <si>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</si>
  <si>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</si>
  <si>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</si>
  <si>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</si>
  <si>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</si>
  <si>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</si>
  <si>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</si>
  <si>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</si>
  <si>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</si>
  <si>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</si>
  <si>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</si>
  <si>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</si>
  <si>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</si>
  <si>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</si>
  <si>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</si>
  <si>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</si>
  <si>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</si>
  <si>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</si>
  <si>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</si>
  <si>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</si>
  <si>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</si>
  <si>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</si>
  <si>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</si>
  <si>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</si>
  <si>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</si>
  <si>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</si>
  <si>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</si>
  <si>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</si>
  <si>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</si>
  <si>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</si>
  <si>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</si>
  <si>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</si>
  <si>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</si>
  <si>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</si>
  <si>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</si>
  <si>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</si>
  <si>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</si>
  <si>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</si>
  <si>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</si>
  <si>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</si>
  <si>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</si>
  <si>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</si>
  <si>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</si>
  <si>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</si>
  <si>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</si>
  <si>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</si>
  <si>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</si>
  <si>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</si>
  <si>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</si>
  <si>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</si>
  <si>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</si>
  <si>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</si>
  <si>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</si>
  <si>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</si>
  <si>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</si>
  <si>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</si>
  <si>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</si>
  <si>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</si>
  <si>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</si>
  <si>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</si>
  <si>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</si>
  <si>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</si>
  <si>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</si>
  <si>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</si>
  <si>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</si>
  <si>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</si>
  <si>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</si>
  <si>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</si>
  <si>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</si>
  <si>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</si>
  <si>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</si>
  <si>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</si>
  <si>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</si>
  <si>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</si>
  <si>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</si>
  <si>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</si>
  <si>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</si>
  <si>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</si>
  <si>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</si>
  <si>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</si>
  <si>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</si>
  <si>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</si>
  <si>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</si>
  <si>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</si>
  <si>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</si>
  <si>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</si>
  <si>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</si>
  <si>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</si>
  <si>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</si>
  <si>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</si>
  <si>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</si>
  <si>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</si>
  <si>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</si>
  <si>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</si>
  <si>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</si>
  <si>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</si>
  <si>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</si>
  <si>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</si>
  <si>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</si>
  <si>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</si>
  <si>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</si>
  <si>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</si>
  <si>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</si>
  <si>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</si>
  <si>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</si>
  <si>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</si>
  <si>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</si>
  <si>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</si>
  <si>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</si>
  <si>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</si>
  <si>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</si>
  <si>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</si>
  <si>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</si>
  <si>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</si>
  <si>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</si>
  <si>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</si>
  <si>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</si>
  <si>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</si>
  <si>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</si>
  <si>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</si>
  <si>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</si>
  <si>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</si>
  <si>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</si>
  <si>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</si>
  <si>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</si>
  <si>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</si>
  <si>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</si>
  <si>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</si>
  <si>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</si>
  <si>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</si>
  <si>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</si>
  <si>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</si>
  <si>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</si>
  <si>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</si>
  <si>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</si>
  <si>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</si>
  <si>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</si>
  <si>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</si>
  <si>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</si>
  <si>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</si>
  <si>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</si>
  <si>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</si>
  <si>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</si>
  <si>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</si>
  <si>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</si>
  <si>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</si>
  <si>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</si>
  <si>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</si>
  <si>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</si>
  <si>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</si>
  <si>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</si>
  <si>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</si>
  <si>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</si>
  <si>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</si>
  <si>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</si>
  <si>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</si>
  <si>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</si>
  <si>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</si>
  <si>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</si>
  <si>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</si>
  <si>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</si>
  <si>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</si>
  <si>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</si>
  <si>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</si>
  <si>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</si>
  <si>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</si>
  <si>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</si>
  <si>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</si>
  <si>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</si>
  <si>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</si>
  <si>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</si>
  <si>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</si>
  <si>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</si>
  <si>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</si>
  <si>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</si>
  <si>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</si>
  <si>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</si>
  <si>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</si>
  <si>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</si>
  <si>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</si>
  <si>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</si>
  <si>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</si>
  <si>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</si>
  <si>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</si>
  <si>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</si>
  <si>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</si>
  <si>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</si>
  <si>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</si>
  <si>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</si>
  <si>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</si>
  <si>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</si>
  <si>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</si>
  <si>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</si>
  <si>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</si>
  <si>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</si>
  <si>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</si>
  <si>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</si>
  <si>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</si>
  <si>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</si>
  <si>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</si>
  <si>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</si>
  <si>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</si>
  <si>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</si>
  <si>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</si>
  <si>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</si>
  <si>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</si>
  <si>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</si>
  <si>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</si>
  <si>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</si>
  <si>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</si>
  <si>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</si>
  <si>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</si>
  <si>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</si>
  <si>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</si>
  <si>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</si>
  <si>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</si>
  <si>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</si>
  <si>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</si>
  <si>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</si>
  <si>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</si>
  <si>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</si>
  <si>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</si>
  <si>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</si>
  <si>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</si>
  <si>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</si>
  <si>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</si>
  <si>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</si>
  <si>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</si>
  <si>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</si>
  <si>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</si>
  <si>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</si>
  <si>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</si>
  <si>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</si>
  <si>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</si>
  <si>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</si>
  <si>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</si>
  <si>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</si>
  <si>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</si>
  <si>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</si>
  <si>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</si>
  <si>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</si>
  <si>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</si>
  <si>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</si>
  <si>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</si>
  <si>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</si>
  <si>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</si>
  <si>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</si>
  <si>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</si>
  <si>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</si>
  <si>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</si>
  <si>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</si>
  <si>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</si>
  <si>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</si>
  <si>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</si>
  <si>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</si>
  <si>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</si>
  <si>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</si>
  <si>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</si>
  <si>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</si>
  <si>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</si>
  <si>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</si>
  <si>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</si>
  <si>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</si>
  <si>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</si>
  <si>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</si>
  <si>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</si>
  <si>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</si>
  <si>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</si>
  <si>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</si>
  <si>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</si>
  <si>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</si>
  <si>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</si>
  <si>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</si>
  <si>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</si>
  <si>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</si>
  <si>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</si>
  <si>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</si>
  <si>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</si>
  <si>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</si>
  <si>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</si>
  <si>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</si>
  <si>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</si>
  <si>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</si>
  <si>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</si>
  <si>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</si>
  <si>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</si>
  <si>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</si>
  <si>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</si>
  <si>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</si>
  <si>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</si>
  <si>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</si>
  <si>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</si>
  <si>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</si>
  <si>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</si>
  <si>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</si>
  <si>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</si>
  <si>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</si>
  <si>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</si>
  <si>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</si>
  <si>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</si>
  <si>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</si>
  <si>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</si>
  <si>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</si>
  <si>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</si>
  <si>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</si>
  <si>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</si>
  <si>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</si>
  <si>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</si>
  <si>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</si>
  <si>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</si>
  <si>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</si>
  <si>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</si>
  <si>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</si>
  <si>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</si>
  <si>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</si>
  <si>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</si>
  <si>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</si>
  <si>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</si>
  <si>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</si>
  <si>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</si>
  <si>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</si>
  <si>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</si>
  <si>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</si>
  <si>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</si>
  <si>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</si>
  <si>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</si>
  <si>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</si>
  <si>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</si>
  <si>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</si>
  <si>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</si>
  <si>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</si>
  <si>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</si>
  <si>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</si>
  <si>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</si>
  <si>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</si>
  <si>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</si>
  <si>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</si>
  <si>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</si>
  <si>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</si>
  <si>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</si>
  <si>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</si>
  <si>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</si>
  <si>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</si>
  <si>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</si>
  <si>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</si>
  <si>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</si>
  <si>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</si>
  <si>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</si>
  <si>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</si>
  <si>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</si>
  <si>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</si>
  <si>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</si>
  <si>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</si>
  <si>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</si>
  <si>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</si>
  <si>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</si>
  <si>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</si>
  <si>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</si>
  <si>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</si>
  <si>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</si>
  <si>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</si>
  <si>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</si>
  <si>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</si>
  <si>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</si>
  <si>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</si>
  <si>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</si>
  <si>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</si>
  <si>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</si>
  <si>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</si>
  <si>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</si>
  <si>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</si>
  <si>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</si>
  <si>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</si>
  <si>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</si>
  <si>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</si>
  <si>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</si>
  <si>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</si>
  <si>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</si>
  <si>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</si>
  <si>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</si>
  <si>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</si>
  <si>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</si>
  <si>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</si>
  <si>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</si>
  <si>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</si>
  <si>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</si>
  <si>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</si>
  <si>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</si>
  <si>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</si>
  <si>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</si>
  <si>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</si>
  <si>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</si>
  <si>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</si>
  <si>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</si>
  <si>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</si>
  <si>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</si>
  <si>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</si>
  <si>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</si>
  <si>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</si>
  <si>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</si>
  <si>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</si>
  <si>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</si>
  <si>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</si>
  <si>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</si>
  <si>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</si>
  <si>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</si>
  <si>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</si>
  <si>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</si>
  <si>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</si>
  <si>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</si>
  <si>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</si>
  <si>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</si>
  <si>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</si>
  <si>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</si>
  <si>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</si>
  <si>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</si>
  <si>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</si>
  <si>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</si>
  <si>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</si>
  <si>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</si>
  <si>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</si>
  <si>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</si>
  <si>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</si>
  <si>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</si>
  <si>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</si>
  <si>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</si>
  <si>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</si>
  <si>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</si>
  <si>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</si>
  <si>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</si>
  <si>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</si>
  <si>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</si>
  <si>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</si>
  <si>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</si>
  <si>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</si>
  <si>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</si>
  <si>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</si>
  <si>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</si>
  <si>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</si>
  <si>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</si>
  <si>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</si>
  <si>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</si>
  <si>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</si>
  <si>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</si>
  <si>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</si>
  <si>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</si>
  <si>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</si>
  <si>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</si>
  <si>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</si>
  <si>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</si>
  <si>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</si>
  <si>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</si>
  <si>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</si>
  <si>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</si>
  <si>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</si>
  <si>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</si>
  <si>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</si>
  <si>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</si>
  <si>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</si>
  <si>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</si>
  <si>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</si>
  <si>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</si>
  <si>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</si>
  <si>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</si>
  <si>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</si>
  <si>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</si>
  <si>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</si>
  <si>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</si>
  <si>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</si>
  <si>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</si>
  <si>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</si>
  <si>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</si>
  <si>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</si>
  <si>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</si>
  <si>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</si>
  <si>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</si>
  <si>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</si>
  <si>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</si>
  <si>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</si>
  <si>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</si>
  <si>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</si>
  <si>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</si>
  <si>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</si>
  <si>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</si>
  <si>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</si>
  <si>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</si>
  <si>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</si>
  <si>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</si>
  <si>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</si>
  <si>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</si>
  <si>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</si>
  <si>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</si>
  <si>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</si>
  <si>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</si>
  <si>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</si>
  <si>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</si>
  <si>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</si>
  <si>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</si>
  <si>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</si>
  <si>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</si>
  <si>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</si>
  <si>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</si>
  <si>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</si>
  <si>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</si>
  <si>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</si>
  <si>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</si>
  <si>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</si>
  <si>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</si>
  <si>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</si>
  <si>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</si>
  <si>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</si>
  <si>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</si>
  <si>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</si>
  <si>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</si>
  <si>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</si>
  <si>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</si>
  <si>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</si>
  <si>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</si>
  <si>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</si>
  <si>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</si>
  <si>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</si>
  <si>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</si>
  <si>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</si>
  <si>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</si>
  <si>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</si>
  <si>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</si>
  <si>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</si>
  <si>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</si>
  <si>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</si>
  <si>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</si>
  <si>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</si>
  <si>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</si>
  <si>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</si>
  <si>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</si>
  <si>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</si>
  <si>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</si>
  <si>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</si>
  <si>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</si>
  <si>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</si>
  <si>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</si>
  <si>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</si>
  <si>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</si>
  <si>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</si>
  <si>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</si>
  <si>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</si>
  <si>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</si>
  <si>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</si>
  <si>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</si>
  <si>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</si>
  <si>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</si>
  <si>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</si>
  <si>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</si>
  <si>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</si>
  <si>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</si>
  <si>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</si>
  <si>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</si>
  <si>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</si>
  <si>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</si>
  <si>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</si>
  <si>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</si>
  <si>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</si>
  <si>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</si>
  <si>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</si>
  <si>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</si>
  <si>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</si>
  <si>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</si>
  <si>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</si>
  <si>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</si>
  <si>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</si>
  <si>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</si>
  <si>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</si>
  <si>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</si>
  <si>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</si>
  <si>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</si>
  <si>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</si>
  <si>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</si>
  <si>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</si>
  <si>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</si>
  <si>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</si>
  <si>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</si>
  <si>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</si>
  <si>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</si>
  <si>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</si>
  <si>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</si>
  <si>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</si>
  <si>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</si>
  <si>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</si>
  <si>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</si>
  <si>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</si>
  <si>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</si>
  <si>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</si>
  <si>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</si>
  <si>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</si>
  <si>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</si>
  <si>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</si>
  <si>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</si>
  <si>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</si>
  <si>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</si>
  <si>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</si>
  <si>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</si>
  <si>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</si>
  <si>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</si>
  <si>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</si>
  <si>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</si>
  <si>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</si>
  <si>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</si>
  <si>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</si>
  <si>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</si>
  <si>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</si>
  <si>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</si>
  <si>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</si>
  <si>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</si>
  <si>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</si>
  <si>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</si>
  <si>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</si>
  <si>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</si>
  <si>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</si>
  <si>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</si>
  <si>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</si>
  <si>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</si>
  <si>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</si>
  <si>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</si>
  <si>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</si>
  <si>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</si>
  <si>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</si>
  <si>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</si>
  <si>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</si>
  <si>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</si>
  <si>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</si>
  <si>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</si>
  <si>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</si>
  <si>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</si>
  <si>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</si>
  <si>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</si>
  <si>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</si>
  <si>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</si>
  <si>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</si>
  <si>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</si>
  <si>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</si>
  <si>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</si>
  <si>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</si>
  <si>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</si>
  <si>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</si>
  <si>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</si>
  <si>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</si>
  <si>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</si>
  <si>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</si>
  <si>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</si>
  <si>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</si>
  <si>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</si>
  <si>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</si>
  <si>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</si>
  <si>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</si>
  <si>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</si>
  <si>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</si>
  <si>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</si>
  <si>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</si>
  <si>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</si>
  <si>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</si>
  <si>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</si>
  <si>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</si>
  <si>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</si>
  <si>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</si>
  <si>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</si>
  <si>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</si>
  <si>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</si>
  <si>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</si>
  <si>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</si>
  <si>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</si>
  <si>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</si>
  <si>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</si>
  <si>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</si>
  <si>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</si>
  <si>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</si>
  <si>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</si>
  <si>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</si>
  <si>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</si>
  <si>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</si>
  <si>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</si>
  <si>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</si>
  <si>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</si>
  <si>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</si>
  <si>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</si>
  <si>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</si>
  <si>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</si>
  <si>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</si>
  <si>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</si>
  <si>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</si>
  <si>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</si>
  <si>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</si>
  <si>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</si>
  <si>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</si>
  <si>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</si>
  <si>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</si>
  <si>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</si>
  <si>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</si>
  <si>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</si>
  <si>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</si>
  <si>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</si>
  <si>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</si>
  <si>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</si>
  <si>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</si>
  <si>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</si>
  <si>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</si>
  <si>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</si>
  <si>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</si>
  <si>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</si>
  <si>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</si>
  <si>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</si>
  <si>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</si>
  <si>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</si>
  <si>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</si>
  <si>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</si>
  <si>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</si>
  <si>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</si>
  <si>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</si>
  <si>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</si>
  <si>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</si>
  <si>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</si>
  <si>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</si>
  <si>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</si>
  <si>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</si>
  <si>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</si>
  <si>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</si>
  <si>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</si>
  <si>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</si>
  <si>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</si>
  <si>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</si>
  <si>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</si>
  <si>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</si>
  <si>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</si>
  <si>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</si>
  <si>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</si>
  <si>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</si>
  <si>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</si>
  <si>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</si>
  <si>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</si>
  <si>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</si>
  <si>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</si>
  <si>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</si>
  <si>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</si>
  <si>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</si>
  <si>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</si>
  <si>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</si>
  <si>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</si>
  <si>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</si>
  <si>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</si>
  <si>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</si>
  <si>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</si>
  <si>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</si>
  <si>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</si>
  <si>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</si>
  <si>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</si>
  <si>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</si>
  <si>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</si>
  <si>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</si>
  <si>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</si>
  <si>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</si>
  <si>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</si>
  <si>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</si>
  <si>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</si>
  <si>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</si>
  <si>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</si>
  <si>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</si>
  <si>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</si>
  <si>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</si>
  <si>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</si>
  <si>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</si>
  <si>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</si>
  <si>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</si>
  <si>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</si>
  <si>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</si>
  <si>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</si>
  <si>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</si>
  <si>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</si>
  <si>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</si>
  <si>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</si>
  <si>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</si>
  <si>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</si>
  <si>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</si>
  <si>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</si>
  <si>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</si>
  <si>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</si>
  <si>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</si>
  <si>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</si>
  <si>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</si>
  <si>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</si>
  <si>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</si>
  <si>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</si>
  <si>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</si>
  <si>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</si>
  <si>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</si>
  <si>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</si>
  <si>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</si>
  <si>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</si>
  <si>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</si>
  <si>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</si>
  <si>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</si>
  <si>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</si>
  <si>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</si>
  <si>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</si>
  <si>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</si>
  <si>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</si>
  <si>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</si>
  <si>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</si>
  <si>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</si>
  <si>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</si>
  <si>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</si>
  <si>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</si>
  <si>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</si>
  <si>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</si>
  <si>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</si>
  <si>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</si>
  <si>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</si>
  <si>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</si>
  <si>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</si>
  <si>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</si>
  <si>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</si>
  <si>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</si>
  <si>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</si>
  <si>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</si>
  <si>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</si>
  <si>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</si>
  <si>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</si>
  <si>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</si>
  <si>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</si>
  <si>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</si>
  <si>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</si>
  <si>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</si>
  <si>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</si>
  <si>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</si>
  <si>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</si>
  <si>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</si>
  <si>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</si>
  <si>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</si>
  <si>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</si>
  <si>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</si>
  <si>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</si>
  <si>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</si>
  <si>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</si>
  <si>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</si>
  <si>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</si>
  <si>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</si>
  <si>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</si>
  <si>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</si>
  <si>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</si>
  <si>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</si>
  <si>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</si>
  <si>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</si>
  <si>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</si>
  <si>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</si>
  <si>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</si>
  <si>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</si>
  <si>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</si>
  <si>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</si>
  <si>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</si>
  <si>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</si>
  <si>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</si>
  <si>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</si>
  <si>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</si>
  <si>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</si>
  <si>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</si>
  <si>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</si>
  <si>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</si>
  <si>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</si>
  <si>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</si>
  <si>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</si>
  <si>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</si>
  <si>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</si>
  <si>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</si>
  <si>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</si>
  <si>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</si>
  <si>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</si>
  <si>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</si>
  <si>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</si>
  <si>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</si>
  <si>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</si>
  <si>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</si>
  <si>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</si>
  <si>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</si>
  <si>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</si>
  <si>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</si>
  <si>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</si>
  <si>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</si>
  <si>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</si>
  <si>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</si>
  <si>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</si>
  <si>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</si>
  <si>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</si>
  <si>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</si>
  <si>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</si>
  <si>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</si>
  <si>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</si>
  <si>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</si>
  <si>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</si>
  <si>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</si>
  <si>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</si>
  <si>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</si>
  <si>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</si>
  <si>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</si>
  <si>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</si>
  <si>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</si>
  <si>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</si>
  <si>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</si>
  <si>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</si>
  <si>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</si>
  <si>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</si>
  <si>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</si>
  <si>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</si>
  <si>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</si>
  <si>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</si>
  <si>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</si>
  <si>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</si>
  <si>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</si>
  <si>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</si>
  <si>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</si>
  <si>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</si>
  <si>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</si>
  <si>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</si>
  <si>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</si>
  <si>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</si>
  <si>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</si>
  <si>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</si>
  <si>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</si>
  <si>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</si>
  <si>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</si>
  <si>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</si>
  <si>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</si>
  <si>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</si>
  <si>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</si>
  <si>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</si>
  <si>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</si>
  <si>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</si>
  <si>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</si>
  <si>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</si>
  <si>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</si>
  <si>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</si>
  <si>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</si>
  <si>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</si>
  <si>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</si>
  <si>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</si>
  <si>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</si>
  <si>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</si>
  <si>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</si>
  <si>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</si>
  <si>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</si>
  <si>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</si>
  <si>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</si>
  <si>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</si>
  <si>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</si>
  <si>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</si>
  <si>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</si>
  <si>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</si>
  <si>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</si>
  <si>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</si>
  <si>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</si>
  <si>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</si>
  <si>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</si>
  <si>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</si>
  <si>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</si>
  <si>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</si>
  <si>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</si>
  <si>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</si>
  <si>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</si>
  <si>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</si>
  <si>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</si>
  <si>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</si>
  <si>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</si>
  <si>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</si>
  <si>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</si>
  <si>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</si>
  <si>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</si>
  <si>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</si>
  <si>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</si>
  <si>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</si>
  <si>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</si>
  <si>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</si>
  <si>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</si>
  <si>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</si>
  <si>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</si>
  <si>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</si>
  <si>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</si>
  <si>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</si>
  <si>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</si>
  <si>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</si>
  <si>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</si>
  <si>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</si>
  <si>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</si>
  <si>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</si>
  <si>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</si>
  <si>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</si>
  <si>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</si>
  <si>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</si>
  <si>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</si>
  <si>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</si>
  <si>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</si>
  <si>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</si>
  <si>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</si>
  <si>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</si>
  <si>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</si>
  <si>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</si>
  <si>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</si>
  <si>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</si>
  <si>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</si>
  <si>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</si>
  <si>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</si>
  <si>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</si>
  <si>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</si>
  <si>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</si>
  <si>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</si>
  <si>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</si>
  <si>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</si>
  <si>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</si>
  <si>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</si>
  <si>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</si>
  <si>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</si>
  <si>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</si>
  <si>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</si>
  <si>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</si>
  <si>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</si>
  <si>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</si>
  <si>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</si>
  <si>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</si>
  <si>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</si>
  <si>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</si>
  <si>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</si>
  <si>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</si>
  <si>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</si>
  <si>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</si>
  <si>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</si>
  <si>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</si>
  <si>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</si>
  <si>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</si>
  <si>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</si>
  <si>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</si>
  <si>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</si>
  <si>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</si>
  <si>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</si>
  <si>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</si>
  <si>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</si>
  <si>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</si>
  <si>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</si>
  <si>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</si>
  <si>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</si>
  <si>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</si>
  <si>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</si>
  <si>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</si>
  <si>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</si>
  <si>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</si>
  <si>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</si>
  <si>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</si>
  <si>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</si>
  <si>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</si>
  <si>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</si>
  <si>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</si>
  <si>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</si>
  <si>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</si>
  <si>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</si>
  <si>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</si>
  <si>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</si>
  <si>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</si>
  <si>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</si>
  <si>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</si>
  <si>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</si>
  <si>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</si>
  <si>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</si>
  <si>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</si>
  <si>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</si>
  <si>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</si>
  <si>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</si>
  <si>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</si>
  <si>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</si>
  <si>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</si>
  <si>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</si>
  <si>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</si>
  <si>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</si>
  <si>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</si>
  <si>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</si>
  <si>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</si>
  <si>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</si>
  <si>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</si>
  <si>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</si>
  <si>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</si>
  <si>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</si>
  <si>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</si>
  <si>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</si>
  <si>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</si>
  <si>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</si>
  <si>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</si>
  <si>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</si>
  <si>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</si>
  <si>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</si>
  <si>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</si>
  <si>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</si>
  <si>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</si>
  <si>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</si>
  <si>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</si>
  <si>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</si>
  <si>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</si>
  <si>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</si>
  <si>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</si>
  <si>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</si>
  <si>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</si>
  <si>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</si>
  <si>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</si>
  <si>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</si>
  <si>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</si>
  <si>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</si>
  <si>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</si>
  <si>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</si>
  <si>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</si>
  <si>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</si>
  <si>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</si>
  <si>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</si>
  <si>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</si>
  <si>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</si>
  <si>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</si>
  <si>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</si>
  <si>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</si>
  <si>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</si>
  <si>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</si>
  <si>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</si>
  <si>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</si>
  <si>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</si>
  <si>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</si>
  <si>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</si>
  <si>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</si>
  <si>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</si>
  <si>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</si>
  <si>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</si>
  <si>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</si>
  <si>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</si>
  <si>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</si>
  <si>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</si>
  <si>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</si>
  <si>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</si>
  <si>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</si>
  <si>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</si>
  <si>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</si>
  <si>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</si>
  <si>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</si>
  <si>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</si>
  <si>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</si>
  <si>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</si>
  <si>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</si>
  <si>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</si>
  <si>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</si>
  <si>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</si>
  <si>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</si>
  <si>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</si>
  <si>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</si>
  <si>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</si>
  <si>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</si>
  <si>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</si>
  <si>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</si>
  <si>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</si>
  <si>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</si>
  <si>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</si>
  <si>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</si>
  <si>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</si>
  <si>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</si>
  <si>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</si>
  <si>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</si>
  <si>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</si>
  <si>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</si>
  <si>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</si>
  <si>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</si>
  <si>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</si>
  <si>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</si>
  <si>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</si>
  <si>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</si>
  <si>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</si>
  <si>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</si>
  <si>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</si>
  <si>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</si>
  <si>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</si>
  <si>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</si>
  <si>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</si>
  <si>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</si>
  <si>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</si>
  <si>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</si>
  <si>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</si>
  <si>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</si>
  <si>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</si>
  <si>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</si>
  <si>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</si>
  <si>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</si>
  <si>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</si>
  <si>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</si>
  <si>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</si>
  <si>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</si>
  <si>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</si>
  <si>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</si>
  <si>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</si>
  <si>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</si>
  <si>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</si>
  <si>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</si>
  <si>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</si>
  <si>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</si>
  <si>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</si>
  <si>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</si>
  <si>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</si>
  <si>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</si>
  <si>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</si>
  <si>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</si>
  <si>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</si>
  <si>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</si>
  <si>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</si>
  <si>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</si>
  <si>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</si>
  <si>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</si>
  <si>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</si>
  <si>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</si>
  <si>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</si>
  <si>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</si>
  <si>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</si>
  <si>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</si>
  <si>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</si>
  <si>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</si>
  <si>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</si>
  <si>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</si>
  <si>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</si>
  <si>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</si>
  <si>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</si>
  <si>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</si>
  <si>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</si>
  <si>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</si>
  <si>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</si>
  <si>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</si>
  <si>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</si>
  <si>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</si>
  <si>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</si>
  <si>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</si>
  <si>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</si>
  <si>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</si>
  <si>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</si>
  <si>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</si>
  <si>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</si>
  <si>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</si>
  <si>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</si>
  <si>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</si>
  <si>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</si>
  <si>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</si>
  <si>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</si>
  <si>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</si>
  <si>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</si>
  <si>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</si>
  <si>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</si>
  <si>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</si>
  <si>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</si>
  <si>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</si>
  <si>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</si>
  <si>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</si>
  <si>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</si>
  <si>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</si>
  <si>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</si>
  <si>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</si>
  <si>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</si>
  <si>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</si>
  <si>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</si>
  <si>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</si>
  <si>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</si>
  <si>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</si>
  <si>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</si>
  <si>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</si>
  <si>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</si>
  <si>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</si>
  <si>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</si>
  <si>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</si>
  <si>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</si>
  <si>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</si>
  <si>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</si>
  <si>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</si>
  <si>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</si>
  <si>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</si>
  <si>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</si>
  <si>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</si>
  <si>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</si>
  <si>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</si>
  <si>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</si>
  <si>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</si>
  <si>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</si>
  <si>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</si>
  <si>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</si>
  <si>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</si>
  <si>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</si>
  <si>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</si>
  <si>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</si>
  <si>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</si>
  <si>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</si>
  <si>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</si>
  <si>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</si>
  <si>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</si>
  <si>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</si>
  <si>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</si>
  <si>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</si>
  <si>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</si>
  <si>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</si>
  <si>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</si>
  <si>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</si>
  <si>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</si>
  <si>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</si>
  <si>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</si>
  <si>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</si>
  <si>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</si>
  <si>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</si>
  <si>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</si>
  <si>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</si>
  <si>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</si>
  <si>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</si>
  <si>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</si>
  <si>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</si>
  <si>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</si>
  <si>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</si>
  <si>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</si>
  <si>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</si>
  <si>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</si>
  <si>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</si>
  <si>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</si>
  <si>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</si>
  <si>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</si>
  <si>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</si>
  <si>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</si>
  <si>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</si>
  <si>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</si>
  <si>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</si>
  <si>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</si>
  <si>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</si>
  <si>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</si>
  <si>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</si>
  <si>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</si>
  <si>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</si>
  <si>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</si>
  <si>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</si>
  <si>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</si>
  <si>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</si>
  <si>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</si>
  <si>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</si>
  <si>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</si>
  <si>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</si>
  <si>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</si>
  <si>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</si>
  <si>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</si>
  <si>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</si>
  <si>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</si>
  <si>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</si>
  <si>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</si>
  <si>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</si>
  <si>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</si>
  <si>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</si>
  <si>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</si>
  <si>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</si>
  <si>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</si>
  <si>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</si>
  <si>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</si>
  <si>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</si>
  <si>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</si>
  <si>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</si>
  <si>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</si>
  <si>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</si>
  <si>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</si>
  <si>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</si>
  <si>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</si>
  <si>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</si>
  <si>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</si>
  <si>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</si>
  <si>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</si>
  <si>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</si>
  <si>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</si>
  <si>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</si>
  <si>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</si>
  <si>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</si>
  <si>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</si>
  <si>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</si>
  <si>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</si>
  <si>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</si>
  <si>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</si>
  <si>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</si>
  <si>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</si>
  <si>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</si>
  <si>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</si>
  <si>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</si>
  <si>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</si>
  <si>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</si>
  <si>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</si>
  <si>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</si>
  <si>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</si>
  <si>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</si>
  <si>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</si>
  <si>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</si>
  <si>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</si>
  <si>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</si>
  <si>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</si>
  <si>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</si>
  <si>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</si>
  <si>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</si>
  <si>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</si>
  <si>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</si>
  <si>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</si>
  <si>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</si>
  <si>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</si>
  <si>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</si>
  <si>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</si>
  <si>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</si>
  <si>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</si>
  <si>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</si>
  <si>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</si>
  <si>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</si>
  <si>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</si>
  <si>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</si>
  <si>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</si>
  <si>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</si>
  <si>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</si>
  <si>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</si>
  <si>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</si>
  <si>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</si>
  <si>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</si>
  <si>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</si>
  <si>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</si>
  <si>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</si>
  <si>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</si>
  <si>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</si>
  <si>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</si>
  <si>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</si>
  <si>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</si>
  <si>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</si>
  <si>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</si>
  <si>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</si>
  <si>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</si>
  <si>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</si>
  <si>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</si>
  <si>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</si>
  <si>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</si>
  <si>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</si>
  <si>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</si>
  <si>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</si>
  <si>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</si>
  <si>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</si>
  <si>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</si>
  <si>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</si>
  <si>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</si>
  <si>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</si>
  <si>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</si>
  <si>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</si>
  <si>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</si>
  <si>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</si>
  <si>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</si>
  <si>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</si>
  <si>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</si>
  <si>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</si>
  <si>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</si>
  <si>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</si>
  <si>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</si>
  <si>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</si>
  <si>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</si>
  <si>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</si>
  <si>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</si>
  <si>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</si>
  <si>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</si>
  <si>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</si>
  <si>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</si>
  <si>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</si>
  <si>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</si>
  <si>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</si>
  <si>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</si>
  <si>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</si>
  <si>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</si>
  <si>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</si>
  <si>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</si>
  <si>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</si>
  <si>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</si>
  <si>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</si>
  <si>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</si>
  <si>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</si>
  <si>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</si>
  <si>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</si>
  <si>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</si>
  <si>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</si>
  <si>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</si>
  <si>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</si>
  <si>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</si>
  <si>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</si>
  <si>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</si>
  <si>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</si>
  <si>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</si>
  <si>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</si>
  <si>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</si>
  <si>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</si>
  <si>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</si>
  <si>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</si>
  <si>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</si>
  <si>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</si>
  <si>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</si>
  <si>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</si>
  <si>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</si>
  <si>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</si>
  <si>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</si>
  <si>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</si>
  <si>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</si>
  <si>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</si>
  <si>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</si>
  <si>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</si>
  <si>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</si>
  <si>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</si>
  <si>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</si>
  <si>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</si>
  <si>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</si>
  <si>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</si>
  <si>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</si>
  <si>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</si>
  <si>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</si>
  <si>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</si>
  <si>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</si>
  <si>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</si>
  <si>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</si>
  <si>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</si>
  <si>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</si>
  <si>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</si>
  <si>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</si>
  <si>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</si>
  <si>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</si>
  <si>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</si>
  <si>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</si>
  <si>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</si>
  <si>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</si>
  <si>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</si>
  <si>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</si>
  <si>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</si>
  <si>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</si>
  <si>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</si>
  <si>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</si>
  <si>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</si>
  <si>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</si>
  <si>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</si>
  <si>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</si>
  <si>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</si>
  <si>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</si>
  <si>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</si>
  <si>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</si>
  <si>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</si>
  <si>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</si>
  <si>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</si>
  <si>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</si>
  <si>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</si>
  <si>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</si>
  <si>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</si>
  <si>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</si>
  <si>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</si>
  <si>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</si>
  <si>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</si>
  <si>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</si>
  <si>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</si>
  <si>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</si>
  <si>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</si>
  <si>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</si>
  <si>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</si>
  <si>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</si>
  <si>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</si>
  <si>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</si>
  <si>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</si>
  <si>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</si>
  <si>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</si>
  <si>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</si>
  <si>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</si>
  <si>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</si>
  <si>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</si>
  <si>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</si>
  <si>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</si>
  <si>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</si>
  <si>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</si>
  <si>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</si>
  <si>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</si>
  <si>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</si>
  <si>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</si>
  <si>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</si>
  <si>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</si>
  <si>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</si>
  <si>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</si>
  <si>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</si>
  <si>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</si>
  <si>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</si>
  <si>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</si>
  <si>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</si>
  <si>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</si>
  <si>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</si>
  <si>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</si>
  <si>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</si>
  <si>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</si>
  <si>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</si>
  <si>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</si>
  <si>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</si>
  <si>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</si>
  <si>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</si>
  <si>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</si>
  <si>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</si>
  <si>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</si>
  <si>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</si>
  <si>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</si>
  <si>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</si>
  <si>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</si>
  <si>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</si>
  <si>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</si>
  <si>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</si>
  <si>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</si>
  <si>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</si>
  <si>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</si>
  <si>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</si>
  <si>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</si>
  <si>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</si>
  <si>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</si>
  <si>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</si>
  <si>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</si>
  <si>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</si>
  <si>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</si>
  <si>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</si>
  <si>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</si>
  <si>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</si>
  <si>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</si>
  <si>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</si>
  <si>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</si>
  <si>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</si>
  <si>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</si>
  <si>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</si>
  <si>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</si>
  <si>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</si>
  <si>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</si>
  <si>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</si>
  <si>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</si>
  <si>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</si>
  <si>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</si>
  <si>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</si>
  <si>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</si>
  <si>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</si>
  <si>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</si>
  <si>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</si>
  <si>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</si>
  <si>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</si>
  <si>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</si>
  <si>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</si>
  <si>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</si>
  <si>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</si>
  <si>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</si>
  <si>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</si>
  <si>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</si>
  <si>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</si>
  <si>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</si>
  <si>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</si>
  <si>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</si>
  <si>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</si>
  <si>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</si>
  <si>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</si>
  <si>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</si>
  <si>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</si>
  <si>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</si>
  <si>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</si>
  <si>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</si>
  <si>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</si>
  <si>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</si>
  <si>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</si>
  <si>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</si>
  <si>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</si>
  <si>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</si>
  <si>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</si>
  <si>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</si>
  <si>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</si>
  <si>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</si>
  <si>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</si>
  <si>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</si>
  <si>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</si>
  <si>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</si>
  <si>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</si>
  <si>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</si>
  <si>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</si>
  <si>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</si>
  <si>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</si>
  <si>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</si>
  <si>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</si>
  <si>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</si>
  <si>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</si>
  <si>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</si>
  <si>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</si>
  <si>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</si>
  <si>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</si>
  <si>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</si>
  <si>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</si>
  <si>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</si>
  <si>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</si>
  <si>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</si>
  <si>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</si>
  <si>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</si>
  <si>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</si>
  <si>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</si>
  <si>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</si>
  <si>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</si>
  <si>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</si>
  <si>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</si>
  <si>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</si>
  <si>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</si>
  <si>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</si>
  <si>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</si>
  <si>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</si>
  <si>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</si>
  <si>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</si>
  <si>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</si>
  <si>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</si>
  <si>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</si>
  <si>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</si>
  <si>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</si>
  <si>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</si>
  <si>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</si>
  <si>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</si>
  <si>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</si>
  <si>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</si>
  <si>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</si>
  <si>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</si>
  <si>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</si>
  <si>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</si>
  <si>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</si>
  <si>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</si>
  <si>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</si>
  <si>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</si>
  <si>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</si>
  <si>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</si>
  <si>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</si>
  <si>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</si>
  <si>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</si>
  <si>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</si>
  <si>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</si>
  <si>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</si>
  <si>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</si>
  <si>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</si>
  <si>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</si>
  <si>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</si>
  <si>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</si>
  <si>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</si>
  <si>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</si>
  <si>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</si>
  <si>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</si>
  <si>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</si>
  <si>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</si>
  <si>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</si>
  <si>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</si>
  <si>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</si>
  <si>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</si>
  <si>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</si>
  <si>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</si>
  <si>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</si>
  <si>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</si>
  <si>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</si>
  <si>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</si>
  <si>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</si>
  <si>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</si>
  <si>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</si>
  <si>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</si>
  <si>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</si>
  <si>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</si>
  <si>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</si>
  <si>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</si>
  <si>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</si>
  <si>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</si>
  <si>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</si>
  <si>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</si>
  <si>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</si>
  <si>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</si>
  <si>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</si>
  <si>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</si>
  <si>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</si>
  <si>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</si>
  <si>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</si>
  <si>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</si>
  <si>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</si>
  <si>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</si>
  <si>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</si>
  <si>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</si>
  <si>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</si>
  <si>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</si>
  <si>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</si>
  <si>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</si>
  <si>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</si>
  <si>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</si>
  <si>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</si>
  <si>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</si>
  <si>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</si>
  <si>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</si>
  <si>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</si>
  <si>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</si>
  <si>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</si>
  <si>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</si>
  <si>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</si>
  <si>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</si>
  <si>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</si>
  <si>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</si>
  <si>
    <t>2026年08月から2026年08月</t>
  </si>
  <si>
    <t>8720689017688-a</t>
  </si>
  <si>
    <t>B0C5812GDQ</t>
  </si>
  <si>
    <t>アークティックパープル</t>
  </si>
  <si>
    <t>B0D3KS9J6F</t>
  </si>
  <si>
    <t>【3本セット】アース製薬 らくハピ お部屋の防カビ剤 カチッとおすだけ 無香料 60mL 約2カ月持続 防カビ カビ予防 除菌 ハウスダスト対策 燻煙不要 4～10畳</t>
  </si>
  <si>
    <t>バッファロー 外付けハードディスク 4TB テレビ録画/PC/PS4/4K対応 バッファロー製nasne™対応 静音&amp;コンパクト 日本製 故障予測 みまもり合図 HD-AD4U3</t>
  </si>
  <si>
    <t>b07bk6696f</t>
  </si>
  <si>
    <t>4981254047309-a</t>
  </si>
  <si>
    <t>ブラウン メンズシェーバー シリーズ9 SPORT 9360cc 6in1アルコール洗浄システム付 シェーバーケース付 ブラック 電動 髭剃り メンズ  防水設計 充電式 コードレス</t>
  </si>
  <si>
    <t>b0dsjb2627</t>
  </si>
  <si>
    <t>4987176283993-h-a</t>
  </si>
  <si>
    <t>B0DSJB2627</t>
  </si>
  <si>
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</si>
  <si>
    <t>b0ds2b3p2b</t>
  </si>
  <si>
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</si>
  <si>
    <t>b0hc1kzx44</t>
  </si>
  <si>
    <t>93-84SQ-JQ69-a</t>
  </si>
  <si>
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</si>
  <si>
    <t>b075ssnk1l</t>
  </si>
  <si>
    <t>3693/4780</t>
  </si>
  <si>
    <t>4987176309099-4-a</t>
  </si>
  <si>
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</si>
  <si>
    <t>b0915ngd2j-6</t>
  </si>
  <si>
    <t>4901301397355-6</t>
  </si>
  <si>
    <t>5487/2970-a</t>
  </si>
  <si>
    <t>サボン ボディスクラブ 600g(デリケートジャスミン・ラベンダーアップル) 化粧品 コスメ 体 ボディーケア ボディー</t>
  </si>
  <si>
    <t>ラベンダーアップル</t>
  </si>
  <si>
    <t>b0cxj4tsk8</t>
  </si>
  <si>
    <t>5995,8101/2915</t>
  </si>
  <si>
    <t>トランスペアレントレッド</t>
  </si>
  <si>
    <t>B0D3KSC8MK</t>
  </si>
  <si>
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</si>
  <si>
    <t>b0hd77wvwr</t>
  </si>
  <si>
    <t>SET-4169-4183-a</t>
  </si>
  <si>
    <t>ヤーマン 洗顔ブラシ ミーゼ mysé クレンズリフト ローズ MS70R 洗顔 リフトケア 美容</t>
  </si>
  <si>
    <t>b07yc8cj3y</t>
  </si>
  <si>
    <t>7835/8000-a</t>
  </si>
  <si>
    <t>B07YC8CJ3Y</t>
  </si>
  <si>
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</si>
  <si>
    <t>b0gvxq7xpv</t>
  </si>
  <si>
    <t>4580632133896-a</t>
  </si>
  <si>
    <t>B0C2S4K41G</t>
  </si>
  <si>
    <t>B0DWMPNCLC-1</t>
  </si>
  <si>
    <t>Anker Eufy ユーフィ SmartTrack Card E30×2個セット 充電式紛失防止トラッカー スマートタグ 盗難防止タグ スマホが見つかる スマホ鳴らす 充電対応</t>
  </si>
  <si>
    <t>0194644233532-2</t>
  </si>
  <si>
    <t>クーリア とうめいシールバインダー ホワイト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</si>
  <si>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Echo Show 5 (エコーショー5) 第3世代 - スマートディスプレイ with Alexa、2メガピクセルカメラ付き グレーシャーホワイト クラウドブルー チャコール ディスプレイ スマートフォトフレーム</t>
  </si>
  <si>
    <t>b09b2rlplv</t>
  </si>
  <si>
    <t>B09B2PF8S4</t>
  </si>
  <si>
    <t>パープル</t>
  </si>
  <si>
    <t>B0CP4RLMDB</t>
  </si>
  <si>
    <t>B09HSP95NG</t>
  </si>
  <si>
    <t>2927/2728-a</t>
  </si>
  <si>
    <t>B00NOXLDH4</t>
  </si>
  <si>
    <t>5510/1650-a</t>
  </si>
  <si>
    <t>4459/6630-a</t>
  </si>
  <si>
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</si>
  <si>
    <t>b0d8pmzsgc</t>
  </si>
  <si>
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</si>
  <si>
    <t>b0g4mfq7cw-2</t>
  </si>
  <si>
    <t>4987176364166-2</t>
  </si>
  <si>
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</si>
  <si>
    <t>b0d6g9rw9y-2</t>
  </si>
  <si>
    <t>4987176243928-2</t>
  </si>
  <si>
    <t>ブルー</t>
  </si>
  <si>
    <t>B0CX4ZPLPK</t>
  </si>
  <si>
    <t>B0CJLFPRMH</t>
  </si>
  <si>
    <t>レノア オードリュクス 香り付け専用ビーズ マインドフルネス サンデー 詰め替え 特大(855ml) 部屋干し 雨の日 部屋 かろやか 香る きれい 清潔 衣類 静電気 防臭 抗菌 赤ちゃん ベビー  洗濯</t>
  </si>
  <si>
    <t>b0cvxcgv99</t>
  </si>
  <si>
    <t>1160/860-a</t>
  </si>
  <si>
    <t>B0FNRM8LHT-1574</t>
  </si>
  <si>
    <t>7484/1242-a</t>
  </si>
  <si>
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</si>
  <si>
    <t>b01mrd6y9t</t>
  </si>
  <si>
    <t>4901080194619-3-a</t>
  </si>
  <si>
    <t>B0DNLR2NYN</t>
  </si>
  <si>
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</si>
  <si>
    <t>b0f9dzl2mg</t>
  </si>
  <si>
    <t>4533898731665-2</t>
  </si>
  <si>
    <t>タイムシークレット ミネラルエッセンス BB SPF25 PA++ 12g ナチュラルオークル/ミディアムオークル ファンデーション ファンデ</t>
  </si>
  <si>
    <t>ミディアムオークル</t>
  </si>
  <si>
    <t>b09871bcr4</t>
  </si>
  <si>
    <t>3649,3632/1188</t>
  </si>
  <si>
    <t>B0986W9XVZ</t>
  </si>
  <si>
    <t>5036/1273</t>
  </si>
  <si>
    <t>4215/1380</t>
  </si>
  <si>
    <t>B0CZXFSH7D-2</t>
  </si>
  <si>
    <t>1012/2211</t>
  </si>
  <si>
    <t>4987176260635-2</t>
  </si>
  <si>
    <t>3615/850-2-a</t>
  </si>
  <si>
    <t>0700/2172</t>
  </si>
  <si>
    <t>B01MZE6X6H-1</t>
  </si>
  <si>
    <t>コーエーテクモゲームス 信長の野望・大志 パワーアップキット Win版 ゲーム 戦国</t>
  </si>
  <si>
    <t>b07gy9vzc2</t>
  </si>
  <si>
    <t>8875/5293</t>
  </si>
  <si>
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</si>
  <si>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b00u2eyim0-1</t>
  </si>
  <si>
    <t>4901080186317-4-a</t>
  </si>
  <si>
    <t>B00U2EYIM0-1</t>
  </si>
  <si>
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</si>
  <si>
    <t>b0hb31z1y8</t>
  </si>
  <si>
    <t>4901477705435-2-a</t>
  </si>
  <si>
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</si>
  <si>
    <t>b0ckj4fcmh-2</t>
  </si>
  <si>
    <t>4987176194398-2-a</t>
  </si>
  <si>
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</si>
  <si>
    <t>b0hc1dp7rm</t>
  </si>
  <si>
    <t>AST-1759-1766-1773-1780-1797-a</t>
  </si>
  <si>
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</si>
  <si>
    <t>3214/1760-a</t>
  </si>
  <si>
    <t>B07Q6PWRKM</t>
  </si>
  <si>
    <t>B0F3D1NRYV</t>
  </si>
  <si>
    <t>AST-0009</t>
  </si>
  <si>
    <t>1415/828</t>
  </si>
  <si>
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</si>
  <si>
    <t>b07bgstt34</t>
  </si>
  <si>
    <t>4582300930752-2-a</t>
  </si>
  <si>
    <t>8507/2283-a</t>
  </si>
  <si>
    <t>B0C656JXKD</t>
  </si>
  <si>
    <t>ケイト リップモンスター １０４ 桜色のひと時 KATE プレゼント ギフト 限定 口紅 落ちにくい 高発色 保湿</t>
  </si>
  <si>
    <t>b0c4gbw2cr</t>
  </si>
  <si>
    <t>5687/2430-a</t>
  </si>
  <si>
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</si>
  <si>
    <t>b0dynl9bd5</t>
  </si>
  <si>
    <t>4533/2323-a</t>
  </si>
  <si>
    <t>レノア オードリュクス 柔軟剤 リリー&amp;ジャスミンの香り 詰め替え 1050ml×2個セット 約2.8か月分 部屋干し 雨の日 部屋 かろやか 香る きれい 清潔 衣類 静電気 防臭 抗菌 赤ちゃん ベビー  洗濯</t>
  </si>
  <si>
    <t>b0f62pwtlz</t>
  </si>
  <si>
    <t>8081/2126</t>
  </si>
  <si>
    <t>Anker 332 USB-C ハブ (5-in-1) 100W USB PD対応 4K HDMIポート5Gbps 高速データ転送 USB-C/USB-Aポート搭載</t>
  </si>
  <si>
    <t>b0bqmsxfp7</t>
  </si>
  <si>
    <t>4936201107612-2-a</t>
  </si>
  <si>
    <t>4987176286284-2</t>
  </si>
  <si>
    <t>チャオ (CIAO) CIAO (チャオ) こだわり焼かつおディナー かつお節入り ほたて味 30g×16袋 (ボール販売) ほたて 猫 パウチ ウェット キャットフード</t>
  </si>
  <si>
    <t>b0dhk76cmg</t>
  </si>
  <si>
    <t>3814/1152-a</t>
  </si>
  <si>
    <t>【セット品】 肌ラボ 白潤 美白化粧水 しっとりタイプ 本体400mL＋詰め替え170mL セット 化粧水 ケア 肌 肌ケア 保湿</t>
  </si>
  <si>
    <t>b0cwg8s8y8</t>
  </si>
  <si>
    <t>4490,7570/1999-a</t>
  </si>
  <si>
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</si>
  <si>
    <t>4901301438683-2</t>
  </si>
  <si>
    <t>ウルトラ・フレッシュ・シャボン</t>
  </si>
  <si>
    <t>B0CB68MNFL</t>
  </si>
  <si>
    <t>【セット品】NEXXUS ネクサス ケラフィックスリペア シャンプー トリートメント セット 440g×2 ダメージ補修 うねりケア ヘアケア ケラチン配合 サロン品質 まとまり ツヤ髪 美容室品質</t>
  </si>
  <si>
    <t>b0fnm4k5lr</t>
  </si>
  <si>
    <t>4512-a</t>
  </si>
  <si>
    <t>8723/768-a</t>
  </si>
  <si>
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</si>
  <si>
    <t>b0bkspc5sk-1</t>
  </si>
  <si>
    <t>4580632115106-2-a</t>
  </si>
  <si>
    <t>B0BKSPC5SK-1</t>
  </si>
  <si>
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</si>
  <si>
    <t>set-0007</t>
  </si>
  <si>
    <t>6307,6383/1736</t>
  </si>
  <si>
    <t>SET-0007</t>
  </si>
  <si>
    <t>しまえなが</t>
  </si>
  <si>
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</si>
  <si>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5183/2090-a</t>
  </si>
  <si>
    <t>アイスブルー</t>
  </si>
  <si>
    <t>B09FXXKNKZ</t>
  </si>
  <si>
    <t>ニベア ロイヤルブルーリップ しっとりなめらかタイプ【医薬部外品】 リップクリーム 2g 保湿 唇</t>
  </si>
  <si>
    <t>b08cb75nz3</t>
  </si>
  <si>
    <t>0853/584-a</t>
  </si>
  <si>
    <t>B000VICIPQ</t>
  </si>
  <si>
    <t>9656,8703/1584-a</t>
  </si>
  <si>
    <t>3530/780-a</t>
  </si>
  <si>
    <t>6117/522-a</t>
  </si>
  <si>
    <t>シッカロールキュア ペビーパウダー 赤ちゃん 汗疹 薬用 シッカロール</t>
  </si>
  <si>
    <t>b000v2fg38</t>
  </si>
  <si>
    <t>4987244145055-a</t>
  </si>
  <si>
    <t>B000V2FG38</t>
  </si>
  <si>
    <t>6737/1094-a</t>
  </si>
  <si>
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</si>
  <si>
    <t>b001ai51n2</t>
  </si>
  <si>
    <t>2330/1220-a</t>
  </si>
  <si>
    <t>B001AI51N2</t>
  </si>
  <si>
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</si>
  <si>
    <t>b07tr6ft6t</t>
  </si>
  <si>
    <t>3590/1099</t>
  </si>
  <si>
    <t>9577/1010-a</t>
  </si>
  <si>
    <t>4902111776637-a</t>
  </si>
  <si>
    <t>B0CTB8T88Q</t>
  </si>
  <si>
    <t>オーシャントリコ シークレットメイク BBクリーム カバー 30グラム×2個セット 化粧 下地 化粧下地 ケア 肌 肌ケア</t>
  </si>
  <si>
    <t>b0b7wm5n8n</t>
  </si>
  <si>
    <t>0331/438-a</t>
  </si>
  <si>
    <t>4901417788832-a</t>
  </si>
  <si>
    <t>B0F2HX697Z</t>
  </si>
  <si>
    <t>8485/835-a</t>
  </si>
  <si>
    <t>6001/858-a</t>
  </si>
  <si>
    <t>4901133441769-a</t>
  </si>
  <si>
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</si>
  <si>
    <t>AST-0010</t>
  </si>
  <si>
    <t>マルカン クマさんのジェルクッション 犬 犬用 人気 夏用 冷感 熱中症対策 ひんやり ベット シート マット 夏物 大型 小型 中型 超小型 水洗い</t>
  </si>
  <si>
    <t>b0c3zk69b1</t>
  </si>
  <si>
    <t>6624,6631/385,660-a</t>
  </si>
  <si>
    <t>B0C3ZK69B1</t>
  </si>
  <si>
    <t>つるつる 美肌の湯 2個入り×3個 お風呂 入浴剤 美肌 温泉 アトピー 冷え性 リウマチ 神経痛</t>
  </si>
  <si>
    <t>b07w752w8x</t>
  </si>
  <si>
    <t>6216/711-a</t>
  </si>
  <si>
    <t>【4個セット】デビフ おさんぽくん ササミ シニア犬用 60g（15g×4袋）×4袋セット 犬 おやつ 国産 小分け 高齢犬 シニア犬 ごほうび トレーニング 散歩 携帯用 おやつ 犬用スナック</t>
  </si>
  <si>
    <t>b0dq7zx95d</t>
  </si>
  <si>
    <t>3608/624-a</t>
  </si>
  <si>
    <t>0979/695-a</t>
  </si>
  <si>
    <t>ファブリーズ おそうじエイド ハウスダストをまとめて固めるスプレー 香料無添加 370ml 本体 除菌 P&amp;Gジャパン スプレー</t>
  </si>
  <si>
    <t>チョイでかＨＨささみチーズ入６０ｇ×3袋 犬 犬用 おやつ ジャーキー 人気 国産 ドックフード まとめ買い</t>
  </si>
  <si>
    <t>b00w3axuam</t>
  </si>
  <si>
    <t>6031/612-a</t>
  </si>
  <si>
    <t>B00W3AXUAM</t>
  </si>
  <si>
    <t>0811/1200-a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</si>
</sst>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  <xf numFmtId="0" fontId="5" fillId="5" borderId="0" xfId="0" applyFont="1" applyFill="1"/>
    <xf numFmtId="0" fontId="14" fillId="5" borderId="0" xfId="0" applyFont="1" applyFill="1"/>
    <xf numFmtId="0" fontId="1" fillId="5" borderId="0" xfId="0" applyFont="1" applyFill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286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31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293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topLeftCell="A288" workbookViewId="0">
      <selection sqref="A1:O316"/>
    </sheetView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2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2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2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2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2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2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2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2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2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2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2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2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2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2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2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2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2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2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2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2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2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2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2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2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2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2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2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2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2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2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2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2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2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2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2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2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2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2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2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2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2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2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2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2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2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2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2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2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2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2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2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2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2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2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2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2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2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2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2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2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2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2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2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2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2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2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2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2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2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2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2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2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2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2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2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2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2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2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2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2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2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2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2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2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2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2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2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2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2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2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2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2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2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2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2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2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2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2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2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2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2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2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2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2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2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2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2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2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2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2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2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2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2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2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2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2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2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2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2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1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2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2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2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2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2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2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2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2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2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2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2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2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2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2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2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2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2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2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2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2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2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2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2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2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2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2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2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2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2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2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2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2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2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2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2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2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2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2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2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2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2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2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2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2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2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2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2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2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2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2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2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2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2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2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2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2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2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2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2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2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2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2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2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2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2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2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2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2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2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2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2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2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2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2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2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2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2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2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2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2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2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2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2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2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2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2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2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2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2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2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2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2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2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2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2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2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2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2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2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2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2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2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2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2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2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2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2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2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2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2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2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2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2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2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2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2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2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2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2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2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3" t="s">
        <v>799</v>
      </c>
      <c r="C249" s="1" t="s">
        <v>800</v>
      </c>
      <c r="D249" s="42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802</v>
      </c>
      <c r="C250" s="1" t="s">
        <v>803</v>
      </c>
      <c r="D250" s="42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2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2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2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2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2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2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2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2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2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2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2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2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2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2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2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2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2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2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2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2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2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2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2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2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2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2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2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2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2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2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2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2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2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2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2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2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2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2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2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2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2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2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2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2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2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2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2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2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2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2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956</v>
      </c>
      <c r="N303" s="31">
        <v>76791</v>
      </c>
      <c r="O303" s="32">
        <f>SUM(N303/I301)</f>
        <v>2.3156232726908674E-2</v>
      </c>
    </row>
    <row r="304" spans="1:15" ht="17" customHeight="1">
      <c r="M304" s="33" t="s">
        <v>957</v>
      </c>
      <c r="N304" s="28">
        <v>96798</v>
      </c>
      <c r="O304" s="34">
        <f>SUM(N304/I301)</f>
        <v>2.9189319262664975E-2</v>
      </c>
    </row>
    <row r="305" spans="13:15" ht="17" customHeight="1">
      <c r="M305" s="33" t="s">
        <v>958</v>
      </c>
      <c r="N305" s="28">
        <v>11700</v>
      </c>
      <c r="O305" s="34">
        <f>SUM(N305/I301)</f>
        <v>3.528120781144034E-3</v>
      </c>
    </row>
    <row r="306" spans="13:15" ht="17" customHeight="1">
      <c r="M306" s="33" t="s">
        <v>959</v>
      </c>
      <c r="N306" s="28">
        <v>0</v>
      </c>
      <c r="O306" s="35"/>
    </row>
    <row r="307" spans="13:15" ht="17" customHeight="1">
      <c r="M307" s="33" t="s">
        <v>960</v>
      </c>
      <c r="N307" s="28">
        <f>SUM(N303:N306)</f>
        <v>185289</v>
      </c>
      <c r="O307" s="34">
        <f>SUM(N307/I301)</f>
        <v>5.5873672770717683E-2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28">
        <v>248314</v>
      </c>
      <c r="O309" s="34">
        <f>SUM(N309/I301)</f>
        <v>7.4878784927264921E-2</v>
      </c>
    </row>
    <row r="310" spans="13:15" ht="13" customHeight="1">
      <c r="M310" s="36" t="s">
        <v>962</v>
      </c>
      <c r="N310" s="1">
        <v>36608</v>
      </c>
      <c r="O310" s="34">
        <f>SUM(N310/I301)</f>
        <v>1.1039097910779555E-2</v>
      </c>
    </row>
    <row r="311" spans="13:15" ht="13" customHeight="1">
      <c r="M311" s="36" t="s">
        <v>960</v>
      </c>
      <c r="N311" s="1">
        <f>SUM(N309:N310)</f>
        <v>284922</v>
      </c>
      <c r="O311" s="34">
        <f>SUM(O309:O310)</f>
        <v>8.5917882838044482E-2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524285.05000000028</v>
      </c>
      <c r="O313" s="35"/>
    </row>
    <row r="314" spans="13:15" ht="13" customHeight="1">
      <c r="M314" s="37" t="s">
        <v>964</v>
      </c>
      <c r="N314" s="38">
        <f>IF(I301=0,"",N313/I301)</f>
        <v>0.15809751967078117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322"/>
  <sheetViews>
    <sheetView workbookViewId="0"/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2217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3194</v>
      </c>
      <c r="H8" s="1">
        <v>28</v>
      </c>
      <c r="I8" s="1">
        <v>89440</v>
      </c>
      <c r="J8" s="1">
        <v>18</v>
      </c>
      <c r="K8" s="1">
        <f t="shared" ref="K8:K71" si="0">SUM(I8*0.15)</f>
        <v>13416</v>
      </c>
      <c r="L8" s="6">
        <v>1300</v>
      </c>
      <c r="M8" s="6">
        <f t="shared" ref="M8:M71" si="1">SUM(H8*L8)</f>
        <v>36400</v>
      </c>
      <c r="N8" s="6">
        <f t="shared" ref="N8:N71" si="2">SUM(I8-K8-M8)</f>
        <v>39624</v>
      </c>
      <c r="O8" s="8">
        <f t="shared" ref="O8:O71" si="3">IF(I8=0,"",N8/I8)</f>
        <v>0.44302325581395346</v>
      </c>
    </row>
    <row r="9" spans="1:15" ht="15.75" customHeight="1">
      <c r="A9" s="1" t="s">
        <v>94</v>
      </c>
      <c r="C9" s="1" t="s">
        <v>95</v>
      </c>
      <c r="D9" s="42" t="s">
        <v>96</v>
      </c>
      <c r="E9" t="s">
        <v>97</v>
      </c>
      <c r="G9" s="1">
        <v>10980</v>
      </c>
      <c r="H9" s="1">
        <v>8</v>
      </c>
      <c r="I9" s="1">
        <v>87840</v>
      </c>
      <c r="J9" s="1">
        <v>7</v>
      </c>
      <c r="K9" s="1">
        <f t="shared" si="0"/>
        <v>13176</v>
      </c>
      <c r="L9" s="6">
        <v>8480</v>
      </c>
      <c r="M9" s="6">
        <f t="shared" si="1"/>
        <v>67840</v>
      </c>
      <c r="N9" s="6">
        <f t="shared" si="2"/>
        <v>6824</v>
      </c>
      <c r="O9" s="8">
        <f t="shared" si="3"/>
        <v>7.7686703096539161E-2</v>
      </c>
    </row>
    <row r="10" spans="1:15" ht="15.75" customHeight="1">
      <c r="A10" s="1" t="s">
        <v>1968</v>
      </c>
      <c r="B10" s="1"/>
      <c r="C10" s="1" t="s">
        <v>1969</v>
      </c>
      <c r="D10" s="42" t="s">
        <v>2218</v>
      </c>
      <c r="E10" s="1" t="s">
        <v>2219</v>
      </c>
      <c r="G10" s="1">
        <v>24980</v>
      </c>
      <c r="H10" s="1">
        <v>3</v>
      </c>
      <c r="I10" s="1">
        <v>74940</v>
      </c>
      <c r="J10" s="1">
        <v>3</v>
      </c>
      <c r="K10" s="1">
        <f t="shared" si="0"/>
        <v>11241</v>
      </c>
      <c r="L10" s="6">
        <v>15980</v>
      </c>
      <c r="M10" s="6">
        <f t="shared" si="1"/>
        <v>47940</v>
      </c>
      <c r="N10" s="6">
        <f t="shared" si="2"/>
        <v>15759</v>
      </c>
      <c r="O10" s="8">
        <f t="shared" si="3"/>
        <v>0.21028823058446758</v>
      </c>
    </row>
    <row r="11" spans="1:15" ht="15.75" customHeight="1">
      <c r="A11" s="1" t="s">
        <v>31</v>
      </c>
      <c r="B11" s="1"/>
      <c r="C11" s="1" t="s">
        <v>32</v>
      </c>
      <c r="D11" s="42" t="s">
        <v>33</v>
      </c>
      <c r="E11" s="1" t="s">
        <v>34</v>
      </c>
      <c r="G11" s="1">
        <v>12380</v>
      </c>
      <c r="H11" s="1">
        <v>6</v>
      </c>
      <c r="I11" s="1">
        <v>74280</v>
      </c>
      <c r="J11" s="1">
        <v>4</v>
      </c>
      <c r="K11" s="1">
        <f t="shared" si="0"/>
        <v>11142</v>
      </c>
      <c r="L11" s="6">
        <v>5200</v>
      </c>
      <c r="M11" s="6">
        <f t="shared" si="1"/>
        <v>31200</v>
      </c>
      <c r="N11" s="6">
        <f t="shared" si="2"/>
        <v>31938</v>
      </c>
      <c r="O11" s="8">
        <f t="shared" si="3"/>
        <v>0.429967689822294</v>
      </c>
    </row>
    <row r="12" spans="1:15" ht="15.75" customHeight="1">
      <c r="A12" s="1" t="s">
        <v>35</v>
      </c>
      <c r="C12" s="1" t="s">
        <v>36</v>
      </c>
      <c r="D12" s="42">
        <v>4902430898706</v>
      </c>
      <c r="E12" t="s">
        <v>36</v>
      </c>
      <c r="G12" s="1">
        <v>6480</v>
      </c>
      <c r="H12" s="1">
        <v>11</v>
      </c>
      <c r="I12" s="1">
        <v>71280</v>
      </c>
      <c r="J12" s="1">
        <v>10</v>
      </c>
      <c r="K12" s="1">
        <f t="shared" si="0"/>
        <v>10692</v>
      </c>
      <c r="L12" s="6">
        <v>4676</v>
      </c>
      <c r="M12" s="6">
        <f t="shared" si="1"/>
        <v>51436</v>
      </c>
      <c r="N12" s="6">
        <f t="shared" si="2"/>
        <v>9152</v>
      </c>
      <c r="O12" s="8">
        <f t="shared" si="3"/>
        <v>0.12839506172839507</v>
      </c>
    </row>
    <row r="13" spans="1:15" ht="15.75" customHeight="1">
      <c r="A13" s="1" t="s">
        <v>1620</v>
      </c>
      <c r="B13" t="s">
        <v>2220</v>
      </c>
      <c r="C13" s="1" t="s">
        <v>1069</v>
      </c>
      <c r="D13" s="42" t="s">
        <v>1070</v>
      </c>
      <c r="E13" t="s">
        <v>2221</v>
      </c>
      <c r="G13" s="1">
        <v>13480</v>
      </c>
      <c r="H13" s="1">
        <v>4</v>
      </c>
      <c r="I13" s="1">
        <v>53920</v>
      </c>
      <c r="J13" s="1">
        <v>4</v>
      </c>
      <c r="K13" s="1">
        <f t="shared" si="0"/>
        <v>8088</v>
      </c>
      <c r="L13" s="6">
        <v>9100</v>
      </c>
      <c r="M13" s="6">
        <f t="shared" si="1"/>
        <v>36400</v>
      </c>
      <c r="N13" s="6">
        <f t="shared" si="2"/>
        <v>9432</v>
      </c>
      <c r="O13" s="8">
        <f t="shared" si="3"/>
        <v>0.17492581602373888</v>
      </c>
    </row>
    <row r="14" spans="1:15" ht="15.75" customHeight="1">
      <c r="A14" s="1" t="s">
        <v>2222</v>
      </c>
      <c r="C14" s="1" t="s">
        <v>60</v>
      </c>
      <c r="D14" s="42" t="s">
        <v>61</v>
      </c>
      <c r="E14" t="s">
        <v>60</v>
      </c>
      <c r="G14" s="1">
        <v>2980</v>
      </c>
      <c r="H14" s="1">
        <v>18</v>
      </c>
      <c r="I14" s="1">
        <v>53640</v>
      </c>
      <c r="J14" s="1">
        <v>12</v>
      </c>
      <c r="K14" s="1">
        <f t="shared" si="0"/>
        <v>8046</v>
      </c>
      <c r="L14" s="6">
        <v>1659</v>
      </c>
      <c r="M14" s="6">
        <f t="shared" si="1"/>
        <v>29862</v>
      </c>
      <c r="N14" s="6">
        <f t="shared" si="2"/>
        <v>15732</v>
      </c>
      <c r="O14" s="8">
        <f t="shared" si="3"/>
        <v>0.29328859060402684</v>
      </c>
    </row>
    <row r="15" spans="1:15" ht="15.75" customHeight="1">
      <c r="A15" s="1" t="s">
        <v>2223</v>
      </c>
      <c r="C15" s="1" t="s">
        <v>2224</v>
      </c>
      <c r="D15" s="42" t="s">
        <v>2225</v>
      </c>
      <c r="E15" t="s">
        <v>2224</v>
      </c>
      <c r="G15" s="1">
        <v>26480</v>
      </c>
      <c r="H15" s="1">
        <v>2</v>
      </c>
      <c r="I15" s="1">
        <v>52960</v>
      </c>
      <c r="J15" s="1">
        <v>2</v>
      </c>
      <c r="K15" s="1">
        <f t="shared" si="0"/>
        <v>7944</v>
      </c>
      <c r="L15" s="6">
        <v>12730</v>
      </c>
      <c r="M15" s="6">
        <f t="shared" si="1"/>
        <v>25460</v>
      </c>
      <c r="N15" s="6">
        <f t="shared" si="2"/>
        <v>19556</v>
      </c>
      <c r="O15" s="8">
        <f t="shared" si="3"/>
        <v>0.36925981873111785</v>
      </c>
    </row>
    <row r="16" spans="1:15" ht="15.75" customHeight="1">
      <c r="A16" s="1" t="s">
        <v>51</v>
      </c>
      <c r="B16" t="s">
        <v>168</v>
      </c>
      <c r="C16" s="1" t="s">
        <v>53</v>
      </c>
      <c r="D16" s="42" t="s">
        <v>54</v>
      </c>
      <c r="E16" t="s">
        <v>313</v>
      </c>
      <c r="G16" s="1">
        <v>9480</v>
      </c>
      <c r="H16" s="1">
        <v>5</v>
      </c>
      <c r="I16" s="1">
        <v>47400</v>
      </c>
      <c r="J16" s="1">
        <v>5</v>
      </c>
      <c r="K16" s="1">
        <f t="shared" si="0"/>
        <v>7110</v>
      </c>
      <c r="L16" s="6">
        <v>6390</v>
      </c>
      <c r="M16" s="6">
        <f t="shared" si="1"/>
        <v>31950</v>
      </c>
      <c r="N16" s="6">
        <f t="shared" si="2"/>
        <v>8340</v>
      </c>
      <c r="O16" s="8">
        <f t="shared" si="3"/>
        <v>0.17594936708860759</v>
      </c>
    </row>
    <row r="17" spans="1:15" ht="15.75" customHeight="1">
      <c r="A17" s="1" t="s">
        <v>2226</v>
      </c>
      <c r="C17" s="1" t="s">
        <v>2227</v>
      </c>
      <c r="D17" s="42" t="s">
        <v>2228</v>
      </c>
      <c r="E17" t="s">
        <v>2229</v>
      </c>
      <c r="G17" s="1">
        <v>36800</v>
      </c>
      <c r="H17" s="1">
        <v>1</v>
      </c>
      <c r="I17" s="1">
        <v>36800</v>
      </c>
      <c r="J17" s="1">
        <v>1</v>
      </c>
      <c r="K17" s="1">
        <f t="shared" si="0"/>
        <v>5520</v>
      </c>
      <c r="L17" s="6">
        <v>29880</v>
      </c>
      <c r="M17" s="6">
        <f t="shared" si="1"/>
        <v>29880</v>
      </c>
      <c r="N17" s="6">
        <f t="shared" si="2"/>
        <v>1400</v>
      </c>
      <c r="O17" s="8">
        <f t="shared" si="3"/>
        <v>3.8043478260869568E-2</v>
      </c>
    </row>
    <row r="18" spans="1:15" ht="15.75" customHeight="1">
      <c r="A18" s="1" t="s">
        <v>213</v>
      </c>
      <c r="C18" s="1" t="s">
        <v>214</v>
      </c>
      <c r="D18" s="42" t="s">
        <v>215</v>
      </c>
      <c r="E18" t="s">
        <v>214</v>
      </c>
      <c r="G18" s="1">
        <v>4580</v>
      </c>
      <c r="H18" s="1">
        <v>8</v>
      </c>
      <c r="I18" s="1">
        <v>36640</v>
      </c>
      <c r="J18" s="1">
        <v>7</v>
      </c>
      <c r="K18" s="1">
        <f t="shared" si="0"/>
        <v>5496</v>
      </c>
      <c r="L18" s="6">
        <v>3376</v>
      </c>
      <c r="M18" s="6">
        <f t="shared" si="1"/>
        <v>27008</v>
      </c>
      <c r="N18" s="6">
        <f t="shared" si="2"/>
        <v>4136</v>
      </c>
      <c r="O18" s="8">
        <f t="shared" si="3"/>
        <v>0.112882096069869</v>
      </c>
    </row>
    <row r="19" spans="1:15" ht="15.75" customHeight="1">
      <c r="A19" s="1" t="s">
        <v>167</v>
      </c>
      <c r="B19" t="s">
        <v>168</v>
      </c>
      <c r="C19" s="1" t="s">
        <v>169</v>
      </c>
      <c r="D19" s="42" t="s">
        <v>170</v>
      </c>
      <c r="E19" t="s">
        <v>171</v>
      </c>
      <c r="G19" s="1">
        <v>8980</v>
      </c>
      <c r="H19" s="1">
        <v>4</v>
      </c>
      <c r="I19" s="1">
        <v>35920</v>
      </c>
      <c r="J19" s="1">
        <v>4</v>
      </c>
      <c r="K19" s="1">
        <f t="shared" si="0"/>
        <v>5388</v>
      </c>
      <c r="L19" s="6">
        <v>5890</v>
      </c>
      <c r="M19" s="6">
        <f t="shared" si="1"/>
        <v>23560</v>
      </c>
      <c r="N19" s="6">
        <f t="shared" si="2"/>
        <v>6972</v>
      </c>
      <c r="O19" s="8">
        <f t="shared" si="3"/>
        <v>0.19409799554565701</v>
      </c>
    </row>
    <row r="20" spans="1:15" ht="15.75" customHeight="1">
      <c r="A20" s="1" t="s">
        <v>204</v>
      </c>
      <c r="C20" s="1" t="s">
        <v>205</v>
      </c>
      <c r="D20" s="42" t="s">
        <v>206</v>
      </c>
      <c r="E20" t="s">
        <v>205</v>
      </c>
      <c r="G20" s="1">
        <v>2980</v>
      </c>
      <c r="H20" s="1">
        <v>12</v>
      </c>
      <c r="I20" s="1">
        <v>35760</v>
      </c>
      <c r="J20" s="1">
        <v>3</v>
      </c>
      <c r="K20" s="1">
        <f t="shared" si="0"/>
        <v>5364</v>
      </c>
      <c r="L20" s="6">
        <v>1287</v>
      </c>
      <c r="M20" s="6">
        <f t="shared" si="1"/>
        <v>15444</v>
      </c>
      <c r="N20" s="6">
        <f t="shared" si="2"/>
        <v>14952</v>
      </c>
      <c r="O20" s="8">
        <f t="shared" si="3"/>
        <v>0.41812080536912749</v>
      </c>
    </row>
    <row r="21" spans="1:15" ht="15.75" customHeight="1">
      <c r="A21" s="1" t="s">
        <v>106</v>
      </c>
      <c r="C21" s="1">
        <v>4550391042821</v>
      </c>
      <c r="D21" s="42" t="s">
        <v>107</v>
      </c>
      <c r="E21">
        <v>4550391042821</v>
      </c>
      <c r="G21" s="1">
        <v>4355</v>
      </c>
      <c r="H21" s="1">
        <v>8</v>
      </c>
      <c r="I21" s="1">
        <v>34840</v>
      </c>
      <c r="J21" s="1">
        <v>8</v>
      </c>
      <c r="K21" s="1">
        <f t="shared" si="0"/>
        <v>5226</v>
      </c>
      <c r="L21" s="6">
        <v>1160</v>
      </c>
      <c r="M21" s="6">
        <f t="shared" si="1"/>
        <v>9280</v>
      </c>
      <c r="N21" s="6">
        <f t="shared" si="2"/>
        <v>20334</v>
      </c>
      <c r="O21" s="8">
        <f t="shared" si="3"/>
        <v>0.58363949483352473</v>
      </c>
    </row>
    <row r="22" spans="1:15" ht="15.75" customHeight="1">
      <c r="A22" s="1" t="s">
        <v>2230</v>
      </c>
      <c r="B22" s="1"/>
      <c r="C22" s="1" t="s">
        <v>2231</v>
      </c>
      <c r="D22" s="42">
        <v>32780</v>
      </c>
      <c r="E22" s="1" t="s">
        <v>2231</v>
      </c>
      <c r="G22" s="1">
        <v>34800</v>
      </c>
      <c r="H22" s="1">
        <v>1</v>
      </c>
      <c r="I22" s="1">
        <v>34800</v>
      </c>
      <c r="J22" s="1">
        <v>1</v>
      </c>
      <c r="K22" s="1">
        <f t="shared" si="0"/>
        <v>5220</v>
      </c>
      <c r="L22" s="6">
        <v>32780</v>
      </c>
      <c r="M22" s="6">
        <f t="shared" si="1"/>
        <v>32780</v>
      </c>
      <c r="N22" s="6">
        <f t="shared" si="2"/>
        <v>-3200</v>
      </c>
      <c r="O22" s="8">
        <f t="shared" si="3"/>
        <v>-9.1954022988505746E-2</v>
      </c>
    </row>
    <row r="23" spans="1:15" ht="15.75" customHeight="1">
      <c r="A23" s="1" t="s">
        <v>2232</v>
      </c>
      <c r="C23" s="1" t="s">
        <v>2233</v>
      </c>
      <c r="D23" s="42" t="s">
        <v>2234</v>
      </c>
      <c r="E23" t="s">
        <v>2233</v>
      </c>
      <c r="G23" s="1">
        <v>2595</v>
      </c>
      <c r="H23" s="1">
        <v>13</v>
      </c>
      <c r="I23" s="1">
        <v>33740</v>
      </c>
      <c r="J23" s="1">
        <v>12</v>
      </c>
      <c r="K23" s="1">
        <f t="shared" si="0"/>
        <v>5061</v>
      </c>
      <c r="L23" s="44"/>
      <c r="M23" s="6">
        <f t="shared" si="1"/>
        <v>0</v>
      </c>
      <c r="N23" s="6">
        <f t="shared" si="2"/>
        <v>28679</v>
      </c>
      <c r="O23" s="8">
        <f t="shared" si="3"/>
        <v>0.85</v>
      </c>
    </row>
    <row r="24" spans="1:15" ht="15.75" customHeight="1">
      <c r="A24" s="1" t="s">
        <v>100</v>
      </c>
      <c r="C24" s="1" t="s">
        <v>101</v>
      </c>
      <c r="D24" s="42" t="s">
        <v>102</v>
      </c>
      <c r="E24" t="s">
        <v>101</v>
      </c>
      <c r="G24" s="1">
        <v>5280</v>
      </c>
      <c r="H24" s="1">
        <v>6</v>
      </c>
      <c r="I24" s="1">
        <v>31680</v>
      </c>
      <c r="J24" s="1">
        <v>6</v>
      </c>
      <c r="K24" s="1">
        <f t="shared" si="0"/>
        <v>4752</v>
      </c>
      <c r="L24" s="6">
        <v>3771</v>
      </c>
      <c r="M24" s="6">
        <f t="shared" si="1"/>
        <v>22626</v>
      </c>
      <c r="N24" s="6">
        <f t="shared" si="2"/>
        <v>4302</v>
      </c>
      <c r="O24" s="8">
        <f t="shared" si="3"/>
        <v>0.13579545454545455</v>
      </c>
    </row>
    <row r="25" spans="1:15" ht="15.75" customHeight="1">
      <c r="A25" s="1" t="s">
        <v>288</v>
      </c>
      <c r="B25" s="1" t="s">
        <v>1017</v>
      </c>
      <c r="C25" s="1" t="s">
        <v>290</v>
      </c>
      <c r="D25" s="42" t="s">
        <v>291</v>
      </c>
      <c r="E25" s="1" t="s">
        <v>1018</v>
      </c>
      <c r="G25" s="1">
        <v>9980</v>
      </c>
      <c r="H25" s="1">
        <v>3</v>
      </c>
      <c r="I25" s="1">
        <v>29940</v>
      </c>
      <c r="J25" s="1">
        <v>3</v>
      </c>
      <c r="K25" s="1">
        <f t="shared" si="0"/>
        <v>4491</v>
      </c>
      <c r="L25" s="6">
        <v>6490</v>
      </c>
      <c r="M25" s="6">
        <f t="shared" si="1"/>
        <v>19470</v>
      </c>
      <c r="N25" s="6">
        <f t="shared" si="2"/>
        <v>5979</v>
      </c>
      <c r="O25" s="8">
        <f t="shared" si="3"/>
        <v>0.19969939879759518</v>
      </c>
    </row>
    <row r="26" spans="1:15" ht="15.75" customHeight="1">
      <c r="A26" s="1" t="s">
        <v>185</v>
      </c>
      <c r="C26" s="1" t="s">
        <v>186</v>
      </c>
      <c r="D26" s="42" t="s">
        <v>187</v>
      </c>
      <c r="E26" t="s">
        <v>188</v>
      </c>
      <c r="G26" s="1">
        <v>2580</v>
      </c>
      <c r="H26" s="1">
        <v>11</v>
      </c>
      <c r="I26" s="1">
        <v>28380</v>
      </c>
      <c r="J26" s="1">
        <v>9</v>
      </c>
      <c r="K26" s="1">
        <f t="shared" si="0"/>
        <v>4257</v>
      </c>
      <c r="L26" s="6">
        <v>1630</v>
      </c>
      <c r="M26" s="6">
        <f t="shared" si="1"/>
        <v>17930</v>
      </c>
      <c r="N26" s="6">
        <f t="shared" si="2"/>
        <v>6193</v>
      </c>
      <c r="O26" s="8">
        <f t="shared" si="3"/>
        <v>0.21821705426356588</v>
      </c>
    </row>
    <row r="27" spans="1:15" ht="15.75" customHeight="1">
      <c r="A27" s="1" t="s">
        <v>2235</v>
      </c>
      <c r="C27" s="1" t="s">
        <v>2236</v>
      </c>
      <c r="D27" s="42" t="s">
        <v>2237</v>
      </c>
      <c r="E27" t="s">
        <v>2236</v>
      </c>
      <c r="G27" s="1">
        <v>6980</v>
      </c>
      <c r="H27" s="1">
        <v>4</v>
      </c>
      <c r="I27" s="1">
        <v>27920</v>
      </c>
      <c r="J27" s="1">
        <v>3</v>
      </c>
      <c r="K27" s="1">
        <f t="shared" si="0"/>
        <v>4188</v>
      </c>
      <c r="L27" s="6">
        <v>4780</v>
      </c>
      <c r="M27" s="6">
        <f t="shared" si="1"/>
        <v>19120</v>
      </c>
      <c r="N27" s="6">
        <f t="shared" si="2"/>
        <v>4612</v>
      </c>
      <c r="O27" s="8">
        <f t="shared" si="3"/>
        <v>0.1651862464183381</v>
      </c>
    </row>
    <row r="28" spans="1:15" ht="15.75" customHeight="1">
      <c r="A28" s="1" t="s">
        <v>65</v>
      </c>
      <c r="B28" s="1"/>
      <c r="C28" s="1" t="s">
        <v>66</v>
      </c>
      <c r="D28" s="42" t="s">
        <v>67</v>
      </c>
      <c r="E28" s="1" t="s">
        <v>66</v>
      </c>
      <c r="G28" s="1">
        <v>13480</v>
      </c>
      <c r="H28" s="1">
        <v>2</v>
      </c>
      <c r="I28" s="1">
        <v>26960</v>
      </c>
      <c r="J28" s="1">
        <v>2</v>
      </c>
      <c r="K28" s="1">
        <f t="shared" si="0"/>
        <v>4044</v>
      </c>
      <c r="L28" s="6">
        <v>8980</v>
      </c>
      <c r="M28" s="6">
        <f t="shared" si="1"/>
        <v>17960</v>
      </c>
      <c r="N28" s="6">
        <f t="shared" si="2"/>
        <v>4956</v>
      </c>
      <c r="O28" s="8">
        <f t="shared" si="3"/>
        <v>0.1838278931750742</v>
      </c>
    </row>
    <row r="29" spans="1:15" ht="15.75" customHeight="1">
      <c r="A29" s="1" t="s">
        <v>46</v>
      </c>
      <c r="C29" s="1" t="s">
        <v>47</v>
      </c>
      <c r="D29" s="42" t="s">
        <v>48</v>
      </c>
      <c r="E29" t="s">
        <v>47</v>
      </c>
      <c r="G29" s="1">
        <v>25980</v>
      </c>
      <c r="H29" s="1">
        <v>1</v>
      </c>
      <c r="I29" s="1">
        <v>25980</v>
      </c>
      <c r="J29" s="1">
        <v>1</v>
      </c>
      <c r="K29" s="1">
        <f t="shared" si="0"/>
        <v>3897</v>
      </c>
      <c r="L29" s="6">
        <v>10524</v>
      </c>
      <c r="M29" s="6">
        <f t="shared" si="1"/>
        <v>10524</v>
      </c>
      <c r="N29" s="6">
        <f t="shared" si="2"/>
        <v>11559</v>
      </c>
      <c r="O29" s="8">
        <f t="shared" si="3"/>
        <v>0.44491916859122405</v>
      </c>
    </row>
    <row r="30" spans="1:15" ht="15.75" customHeight="1">
      <c r="A30" s="1" t="s">
        <v>518</v>
      </c>
      <c r="B30" s="1"/>
      <c r="C30" s="1" t="s">
        <v>519</v>
      </c>
      <c r="D30" s="42" t="s">
        <v>2238</v>
      </c>
      <c r="E30" s="1" t="s">
        <v>519</v>
      </c>
      <c r="G30" s="1">
        <v>5064</v>
      </c>
      <c r="H30" s="1">
        <v>5</v>
      </c>
      <c r="I30" s="1">
        <v>25320</v>
      </c>
      <c r="J30" s="1">
        <v>5</v>
      </c>
      <c r="K30" s="1">
        <f t="shared" si="0"/>
        <v>3798</v>
      </c>
      <c r="L30" s="6">
        <v>3940</v>
      </c>
      <c r="M30" s="6">
        <f t="shared" si="1"/>
        <v>19700</v>
      </c>
      <c r="N30" s="6">
        <f t="shared" si="2"/>
        <v>1822</v>
      </c>
      <c r="O30" s="8">
        <f t="shared" si="3"/>
        <v>7.1958925750394948E-2</v>
      </c>
    </row>
    <row r="31" spans="1:15" ht="15.75" customHeight="1">
      <c r="A31" s="1" t="s">
        <v>157</v>
      </c>
      <c r="C31" s="1" t="s">
        <v>158</v>
      </c>
      <c r="D31" s="42" t="s">
        <v>159</v>
      </c>
      <c r="E31" t="s">
        <v>160</v>
      </c>
      <c r="G31" s="1">
        <v>999</v>
      </c>
      <c r="H31" s="1">
        <v>25</v>
      </c>
      <c r="I31" s="1">
        <v>24975</v>
      </c>
      <c r="J31" s="1">
        <v>13</v>
      </c>
      <c r="K31" s="1">
        <f t="shared" si="0"/>
        <v>3746.25</v>
      </c>
      <c r="L31" s="6">
        <v>396</v>
      </c>
      <c r="M31" s="6">
        <f t="shared" si="1"/>
        <v>9900</v>
      </c>
      <c r="N31" s="6">
        <f t="shared" si="2"/>
        <v>11328.75</v>
      </c>
      <c r="O31" s="8">
        <f t="shared" si="3"/>
        <v>0.45360360360360358</v>
      </c>
    </row>
    <row r="32" spans="1:15" ht="15.75" customHeight="1">
      <c r="A32" s="1" t="s">
        <v>75</v>
      </c>
      <c r="C32" s="1" t="s">
        <v>76</v>
      </c>
      <c r="D32" s="42" t="s">
        <v>77</v>
      </c>
      <c r="E32" t="s">
        <v>76</v>
      </c>
      <c r="G32" s="1">
        <v>11980</v>
      </c>
      <c r="H32" s="1">
        <v>2</v>
      </c>
      <c r="I32" s="1">
        <v>23960</v>
      </c>
      <c r="J32" s="1">
        <v>2</v>
      </c>
      <c r="K32" s="1">
        <f t="shared" si="0"/>
        <v>3594</v>
      </c>
      <c r="L32" s="6">
        <v>8480</v>
      </c>
      <c r="M32" s="6">
        <f t="shared" si="1"/>
        <v>16960</v>
      </c>
      <c r="N32" s="6">
        <f t="shared" si="2"/>
        <v>3406</v>
      </c>
      <c r="O32" s="8">
        <f t="shared" si="3"/>
        <v>0.14215358931552588</v>
      </c>
    </row>
    <row r="33" spans="1:15" ht="15.75" customHeight="1">
      <c r="A33" s="1" t="s">
        <v>2239</v>
      </c>
      <c r="C33" s="1" t="s">
        <v>2240</v>
      </c>
      <c r="D33" s="42" t="s">
        <v>2241</v>
      </c>
      <c r="E33" t="s">
        <v>2240</v>
      </c>
      <c r="G33" s="1">
        <v>7980</v>
      </c>
      <c r="H33" s="1">
        <v>3</v>
      </c>
      <c r="I33" s="1">
        <v>23940</v>
      </c>
      <c r="J33" s="1">
        <v>3</v>
      </c>
      <c r="K33" s="1">
        <f t="shared" si="0"/>
        <v>3591</v>
      </c>
      <c r="L33" s="44"/>
      <c r="M33" s="6">
        <f t="shared" si="1"/>
        <v>0</v>
      </c>
      <c r="N33" s="6">
        <f t="shared" si="2"/>
        <v>20349</v>
      </c>
      <c r="O33" s="8">
        <f t="shared" si="3"/>
        <v>0.85</v>
      </c>
    </row>
    <row r="34" spans="1:15" ht="15.75" customHeight="1">
      <c r="A34" s="1" t="s">
        <v>37</v>
      </c>
      <c r="C34" s="1" t="s">
        <v>38</v>
      </c>
      <c r="D34" s="42" t="s">
        <v>39</v>
      </c>
      <c r="E34" t="s">
        <v>38</v>
      </c>
      <c r="G34" s="1">
        <v>3647</v>
      </c>
      <c r="H34" s="1">
        <v>6</v>
      </c>
      <c r="I34" s="1">
        <v>21880</v>
      </c>
      <c r="J34" s="1">
        <v>6</v>
      </c>
      <c r="K34" s="1">
        <f t="shared" si="0"/>
        <v>3282</v>
      </c>
      <c r="L34" s="6">
        <v>1980</v>
      </c>
      <c r="M34" s="6">
        <f t="shared" si="1"/>
        <v>11880</v>
      </c>
      <c r="N34" s="6">
        <f t="shared" si="2"/>
        <v>6718</v>
      </c>
      <c r="O34" s="8">
        <f t="shared" si="3"/>
        <v>0.30703839122486287</v>
      </c>
    </row>
    <row r="35" spans="1:15" ht="15.75" customHeight="1">
      <c r="A35" s="1" t="s">
        <v>181</v>
      </c>
      <c r="C35" s="1" t="s">
        <v>182</v>
      </c>
      <c r="D35" s="42" t="s">
        <v>183</v>
      </c>
      <c r="E35" t="s">
        <v>184</v>
      </c>
      <c r="G35" s="1">
        <v>3480</v>
      </c>
      <c r="H35" s="1">
        <v>6</v>
      </c>
      <c r="I35" s="1">
        <v>20880</v>
      </c>
      <c r="J35" s="1">
        <v>5</v>
      </c>
      <c r="K35" s="1">
        <f t="shared" si="0"/>
        <v>3132</v>
      </c>
      <c r="L35" s="6">
        <v>358</v>
      </c>
      <c r="M35" s="6">
        <f t="shared" si="1"/>
        <v>2148</v>
      </c>
      <c r="N35" s="6">
        <f t="shared" si="2"/>
        <v>15600</v>
      </c>
      <c r="O35" s="8">
        <f t="shared" si="3"/>
        <v>0.74712643678160917</v>
      </c>
    </row>
    <row r="36" spans="1:15" ht="15.75" customHeight="1">
      <c r="A36" s="1" t="s">
        <v>746</v>
      </c>
      <c r="C36" s="1" t="s">
        <v>747</v>
      </c>
      <c r="D36" s="42" t="s">
        <v>748</v>
      </c>
      <c r="E36" t="s">
        <v>747</v>
      </c>
      <c r="G36" s="1">
        <v>2580</v>
      </c>
      <c r="H36" s="1">
        <v>8</v>
      </c>
      <c r="I36" s="1">
        <v>20640</v>
      </c>
      <c r="J36" s="1">
        <v>7</v>
      </c>
      <c r="K36" s="1">
        <f t="shared" si="0"/>
        <v>3096</v>
      </c>
      <c r="L36" s="6">
        <v>1267</v>
      </c>
      <c r="M36" s="6">
        <f t="shared" si="1"/>
        <v>10136</v>
      </c>
      <c r="N36" s="6">
        <f t="shared" si="2"/>
        <v>7408</v>
      </c>
      <c r="O36" s="8">
        <f t="shared" si="3"/>
        <v>0.35891472868217056</v>
      </c>
    </row>
    <row r="37" spans="1:15" ht="15.75" customHeight="1">
      <c r="A37" s="1" t="s">
        <v>40</v>
      </c>
      <c r="C37" s="1">
        <v>4550391012121</v>
      </c>
      <c r="D37" s="42" t="s">
        <v>41</v>
      </c>
      <c r="E37">
        <v>4550391012121</v>
      </c>
      <c r="G37" s="1">
        <v>4980</v>
      </c>
      <c r="H37" s="1">
        <v>4</v>
      </c>
      <c r="I37" s="1">
        <v>19920</v>
      </c>
      <c r="J37" s="1">
        <v>4</v>
      </c>
      <c r="K37" s="1">
        <f t="shared" si="0"/>
        <v>2988</v>
      </c>
      <c r="L37" s="6">
        <v>1020</v>
      </c>
      <c r="M37" s="6">
        <f t="shared" si="1"/>
        <v>4080</v>
      </c>
      <c r="N37" s="6">
        <f t="shared" si="2"/>
        <v>12852</v>
      </c>
      <c r="O37" s="8">
        <f t="shared" si="3"/>
        <v>0.64518072289156625</v>
      </c>
    </row>
    <row r="38" spans="1:15" ht="15.75" customHeight="1">
      <c r="A38" s="1" t="s">
        <v>238</v>
      </c>
      <c r="C38" s="1" t="s">
        <v>239</v>
      </c>
      <c r="D38" s="42" t="s">
        <v>240</v>
      </c>
      <c r="E38" t="s">
        <v>239</v>
      </c>
      <c r="G38" s="1">
        <v>3980</v>
      </c>
      <c r="H38" s="1">
        <v>5</v>
      </c>
      <c r="I38" s="1">
        <v>19900</v>
      </c>
      <c r="J38" s="1">
        <v>4</v>
      </c>
      <c r="K38" s="1">
        <f t="shared" si="0"/>
        <v>2985</v>
      </c>
      <c r="L38" s="6">
        <v>1978</v>
      </c>
      <c r="M38" s="6">
        <f t="shared" si="1"/>
        <v>9890</v>
      </c>
      <c r="N38" s="6">
        <f t="shared" si="2"/>
        <v>7025</v>
      </c>
      <c r="O38" s="8">
        <f t="shared" si="3"/>
        <v>0.35301507537688442</v>
      </c>
    </row>
    <row r="39" spans="1:15" ht="15.75" customHeight="1">
      <c r="A39" s="1" t="s">
        <v>150</v>
      </c>
      <c r="B39" t="s">
        <v>155</v>
      </c>
      <c r="C39" s="1" t="s">
        <v>152</v>
      </c>
      <c r="D39" s="42" t="s">
        <v>153</v>
      </c>
      <c r="E39" t="s">
        <v>156</v>
      </c>
      <c r="G39" s="1">
        <v>19800</v>
      </c>
      <c r="H39" s="1">
        <v>1</v>
      </c>
      <c r="I39" s="1">
        <v>19800</v>
      </c>
      <c r="J39" s="1">
        <v>1</v>
      </c>
      <c r="K39" s="1">
        <f t="shared" si="0"/>
        <v>2970</v>
      </c>
      <c r="L39" s="6">
        <v>13990</v>
      </c>
      <c r="M39" s="6">
        <f t="shared" si="1"/>
        <v>13990</v>
      </c>
      <c r="N39" s="6">
        <f t="shared" si="2"/>
        <v>2840</v>
      </c>
      <c r="O39" s="8">
        <f t="shared" si="3"/>
        <v>0.14343434343434344</v>
      </c>
    </row>
    <row r="40" spans="1:15" ht="15.75" customHeight="1">
      <c r="A40" s="1" t="s">
        <v>51</v>
      </c>
      <c r="B40" t="s">
        <v>125</v>
      </c>
      <c r="C40" s="1" t="s">
        <v>53</v>
      </c>
      <c r="D40" s="42" t="s">
        <v>54</v>
      </c>
      <c r="E40" t="s">
        <v>126</v>
      </c>
      <c r="G40" s="1">
        <v>9480</v>
      </c>
      <c r="H40" s="1">
        <v>2</v>
      </c>
      <c r="I40" s="1">
        <v>18960</v>
      </c>
      <c r="J40" s="1">
        <v>2</v>
      </c>
      <c r="K40" s="1">
        <f t="shared" si="0"/>
        <v>2844</v>
      </c>
      <c r="L40" s="6">
        <v>6390</v>
      </c>
      <c r="M40" s="6">
        <f t="shared" si="1"/>
        <v>12780</v>
      </c>
      <c r="N40" s="6">
        <f t="shared" si="2"/>
        <v>3336</v>
      </c>
      <c r="O40" s="8">
        <f t="shared" si="3"/>
        <v>0.17594936708860759</v>
      </c>
    </row>
    <row r="41" spans="1:15" ht="15.75" customHeight="1">
      <c r="A41" s="1" t="s">
        <v>87</v>
      </c>
      <c r="C41" s="1" t="s">
        <v>88</v>
      </c>
      <c r="D41" s="42" t="s">
        <v>89</v>
      </c>
      <c r="E41" t="s">
        <v>88</v>
      </c>
      <c r="G41" s="1">
        <v>2640</v>
      </c>
      <c r="H41" s="1">
        <v>7</v>
      </c>
      <c r="I41" s="1">
        <v>18480</v>
      </c>
      <c r="J41" s="1">
        <v>7</v>
      </c>
      <c r="K41" s="1">
        <f t="shared" si="0"/>
        <v>2772</v>
      </c>
      <c r="L41" s="6">
        <v>1576</v>
      </c>
      <c r="M41" s="6">
        <f t="shared" si="1"/>
        <v>11032</v>
      </c>
      <c r="N41" s="6">
        <f t="shared" si="2"/>
        <v>4676</v>
      </c>
      <c r="O41" s="8">
        <f t="shared" si="3"/>
        <v>0.25303030303030305</v>
      </c>
    </row>
    <row r="42" spans="1:15" ht="15.75" customHeight="1">
      <c r="A42" s="1" t="s">
        <v>27</v>
      </c>
      <c r="C42" s="1" t="s">
        <v>28</v>
      </c>
      <c r="D42" s="42" t="s">
        <v>29</v>
      </c>
      <c r="E42" t="s">
        <v>30</v>
      </c>
      <c r="G42" s="1">
        <v>6147</v>
      </c>
      <c r="H42" s="1">
        <v>3</v>
      </c>
      <c r="I42" s="1">
        <v>18440</v>
      </c>
      <c r="J42" s="1">
        <v>2</v>
      </c>
      <c r="K42" s="1">
        <f t="shared" si="0"/>
        <v>2766</v>
      </c>
      <c r="L42" s="6">
        <v>2600</v>
      </c>
      <c r="M42" s="6">
        <f t="shared" si="1"/>
        <v>7800</v>
      </c>
      <c r="N42" s="6">
        <f t="shared" si="2"/>
        <v>7874</v>
      </c>
      <c r="O42" s="8">
        <f t="shared" si="3"/>
        <v>0.42700650759219089</v>
      </c>
    </row>
    <row r="43" spans="1:15" ht="15.75" customHeight="1">
      <c r="A43" s="1" t="s">
        <v>322</v>
      </c>
      <c r="C43" s="1" t="s">
        <v>323</v>
      </c>
      <c r="D43" s="42">
        <v>840414684973</v>
      </c>
      <c r="E43" t="s">
        <v>323</v>
      </c>
      <c r="G43" s="1">
        <v>9180</v>
      </c>
      <c r="H43" s="1">
        <v>2</v>
      </c>
      <c r="I43" s="1">
        <v>18360</v>
      </c>
      <c r="J43" s="1">
        <v>2</v>
      </c>
      <c r="K43" s="1">
        <f t="shared" si="0"/>
        <v>2754</v>
      </c>
      <c r="L43" s="6">
        <v>5980</v>
      </c>
      <c r="M43" s="6">
        <f t="shared" si="1"/>
        <v>11960</v>
      </c>
      <c r="N43" s="6">
        <f t="shared" si="2"/>
        <v>3646</v>
      </c>
      <c r="O43" s="8">
        <f t="shared" si="3"/>
        <v>0.1985838779956427</v>
      </c>
    </row>
    <row r="44" spans="1:15" ht="15.75" customHeight="1">
      <c r="A44" s="1" t="s">
        <v>335</v>
      </c>
      <c r="C44" s="1" t="s">
        <v>336</v>
      </c>
      <c r="D44" s="42" t="s">
        <v>337</v>
      </c>
      <c r="E44" t="s">
        <v>336</v>
      </c>
      <c r="G44" s="1">
        <v>2980</v>
      </c>
      <c r="H44" s="1">
        <v>6</v>
      </c>
      <c r="I44" s="1">
        <v>17880</v>
      </c>
      <c r="J44" s="1">
        <v>5</v>
      </c>
      <c r="K44" s="1">
        <f t="shared" si="0"/>
        <v>2682</v>
      </c>
      <c r="L44" s="6">
        <v>1338</v>
      </c>
      <c r="M44" s="6">
        <f t="shared" si="1"/>
        <v>8028</v>
      </c>
      <c r="N44" s="6">
        <f t="shared" si="2"/>
        <v>7170</v>
      </c>
      <c r="O44" s="8">
        <f t="shared" si="3"/>
        <v>0.40100671140939598</v>
      </c>
    </row>
    <row r="45" spans="1:15" ht="15.75" customHeight="1">
      <c r="A45" s="1" t="s">
        <v>56</v>
      </c>
      <c r="C45" s="1" t="s">
        <v>57</v>
      </c>
      <c r="D45" s="42" t="s">
        <v>58</v>
      </c>
      <c r="E45" t="s">
        <v>57</v>
      </c>
      <c r="G45" s="1">
        <v>1980</v>
      </c>
      <c r="H45" s="1">
        <v>9</v>
      </c>
      <c r="I45" s="1">
        <v>17820</v>
      </c>
      <c r="J45" s="1">
        <v>4</v>
      </c>
      <c r="K45" s="1">
        <f t="shared" si="0"/>
        <v>2673</v>
      </c>
      <c r="L45" s="6">
        <v>852</v>
      </c>
      <c r="M45" s="6">
        <f t="shared" si="1"/>
        <v>7668</v>
      </c>
      <c r="N45" s="6">
        <f t="shared" si="2"/>
        <v>7479</v>
      </c>
      <c r="O45" s="8">
        <f t="shared" si="3"/>
        <v>0.41969696969696968</v>
      </c>
    </row>
    <row r="46" spans="1:15" ht="15.75" customHeight="1">
      <c r="A46" s="1" t="s">
        <v>62</v>
      </c>
      <c r="C46" s="1" t="s">
        <v>63</v>
      </c>
      <c r="D46" s="42" t="s">
        <v>64</v>
      </c>
      <c r="E46" t="s">
        <v>63</v>
      </c>
      <c r="G46" s="1">
        <v>3440</v>
      </c>
      <c r="H46" s="1">
        <v>5</v>
      </c>
      <c r="I46" s="1">
        <v>17200</v>
      </c>
      <c r="J46" s="1">
        <v>4</v>
      </c>
      <c r="K46" s="1">
        <f t="shared" si="0"/>
        <v>2580</v>
      </c>
      <c r="L46" s="6">
        <v>2230</v>
      </c>
      <c r="M46" s="6">
        <f t="shared" si="1"/>
        <v>11150</v>
      </c>
      <c r="N46" s="6">
        <f t="shared" si="2"/>
        <v>3470</v>
      </c>
      <c r="O46" s="8">
        <f t="shared" si="3"/>
        <v>0.20174418604651162</v>
      </c>
    </row>
    <row r="47" spans="1:15" ht="15.75" customHeight="1">
      <c r="A47" s="1" t="s">
        <v>1794</v>
      </c>
      <c r="C47" s="1" t="s">
        <v>1795</v>
      </c>
      <c r="D47" s="42" t="s">
        <v>2242</v>
      </c>
      <c r="E47" t="s">
        <v>1795</v>
      </c>
      <c r="G47" s="1">
        <v>3923</v>
      </c>
      <c r="H47" s="1">
        <v>4</v>
      </c>
      <c r="I47" s="1">
        <v>15693</v>
      </c>
      <c r="J47" s="1">
        <v>4</v>
      </c>
      <c r="K47" s="1">
        <f t="shared" si="0"/>
        <v>2353.9499999999998</v>
      </c>
      <c r="L47" s="6">
        <v>2970</v>
      </c>
      <c r="M47" s="6">
        <f t="shared" si="1"/>
        <v>11880</v>
      </c>
      <c r="N47" s="6">
        <f t="shared" si="2"/>
        <v>1459.0499999999993</v>
      </c>
      <c r="O47" s="8">
        <f t="shared" si="3"/>
        <v>9.2974574651118289E-2</v>
      </c>
    </row>
    <row r="48" spans="1:15" ht="15.75" customHeight="1">
      <c r="A48" s="1" t="s">
        <v>2243</v>
      </c>
      <c r="B48" t="s">
        <v>2244</v>
      </c>
      <c r="C48" s="1" t="s">
        <v>2245</v>
      </c>
      <c r="D48" s="42" t="s">
        <v>2246</v>
      </c>
      <c r="E48">
        <v>7290114048101</v>
      </c>
      <c r="G48" s="1">
        <v>7780</v>
      </c>
      <c r="H48" s="1">
        <v>2</v>
      </c>
      <c r="I48" s="1">
        <v>15560</v>
      </c>
      <c r="J48" s="1">
        <v>2</v>
      </c>
      <c r="K48" s="1">
        <f t="shared" si="0"/>
        <v>2334</v>
      </c>
      <c r="L48" s="6">
        <v>2915</v>
      </c>
      <c r="M48" s="6">
        <f t="shared" si="1"/>
        <v>5830</v>
      </c>
      <c r="N48" s="6">
        <f t="shared" si="2"/>
        <v>7396</v>
      </c>
      <c r="O48" s="8">
        <f t="shared" si="3"/>
        <v>0.47532133676092547</v>
      </c>
    </row>
    <row r="49" spans="1:15" ht="15.75" customHeight="1">
      <c r="A49" s="1" t="s">
        <v>2030</v>
      </c>
      <c r="C49" s="1" t="s">
        <v>2031</v>
      </c>
      <c r="D49" s="42" t="s">
        <v>2032</v>
      </c>
      <c r="E49" t="s">
        <v>2031</v>
      </c>
      <c r="G49" s="1">
        <v>7490</v>
      </c>
      <c r="H49" s="1">
        <v>2</v>
      </c>
      <c r="I49" s="1">
        <v>14980</v>
      </c>
      <c r="J49" s="1">
        <v>2</v>
      </c>
      <c r="K49" s="1">
        <f t="shared" si="0"/>
        <v>2247</v>
      </c>
      <c r="L49" s="6">
        <v>3849</v>
      </c>
      <c r="M49" s="6">
        <f t="shared" si="1"/>
        <v>7698</v>
      </c>
      <c r="N49" s="6">
        <f t="shared" si="2"/>
        <v>5035</v>
      </c>
      <c r="O49" s="8">
        <f t="shared" si="3"/>
        <v>0.33611481975967955</v>
      </c>
    </row>
    <row r="50" spans="1:15" ht="15.75" customHeight="1">
      <c r="A50" s="1" t="s">
        <v>500</v>
      </c>
      <c r="C50" s="1" t="s">
        <v>501</v>
      </c>
      <c r="D50" s="42" t="s">
        <v>502</v>
      </c>
      <c r="E50" t="s">
        <v>501</v>
      </c>
      <c r="G50" s="1">
        <v>4980</v>
      </c>
      <c r="H50" s="1">
        <v>3</v>
      </c>
      <c r="I50" s="1">
        <v>14940</v>
      </c>
      <c r="J50" s="1">
        <v>3</v>
      </c>
      <c r="K50" s="1">
        <f t="shared" si="0"/>
        <v>2241</v>
      </c>
      <c r="L50" s="6">
        <v>2588</v>
      </c>
      <c r="M50" s="6">
        <f t="shared" si="1"/>
        <v>7764</v>
      </c>
      <c r="N50" s="6">
        <f t="shared" si="2"/>
        <v>4935</v>
      </c>
      <c r="O50" s="8">
        <f t="shared" si="3"/>
        <v>0.33032128514056225</v>
      </c>
    </row>
    <row r="51" spans="1:15" ht="15.75" customHeight="1">
      <c r="A51" s="1" t="s">
        <v>117</v>
      </c>
      <c r="B51" s="1"/>
      <c r="C51" s="1" t="s">
        <v>118</v>
      </c>
      <c r="D51" s="42" t="s">
        <v>119</v>
      </c>
      <c r="E51" s="1" t="s">
        <v>118</v>
      </c>
      <c r="G51" s="1">
        <v>2480</v>
      </c>
      <c r="H51" s="1">
        <v>6</v>
      </c>
      <c r="I51" s="1">
        <v>14880</v>
      </c>
      <c r="J51" s="1">
        <v>5</v>
      </c>
      <c r="K51" s="1">
        <f t="shared" si="0"/>
        <v>2232</v>
      </c>
      <c r="L51" s="6">
        <v>1210</v>
      </c>
      <c r="M51" s="6">
        <f t="shared" si="1"/>
        <v>7260</v>
      </c>
      <c r="N51" s="6">
        <f t="shared" si="2"/>
        <v>5388</v>
      </c>
      <c r="O51" s="8">
        <f t="shared" si="3"/>
        <v>0.36209677419354841</v>
      </c>
    </row>
    <row r="52" spans="1:15" ht="15.75" customHeight="1">
      <c r="A52" s="1" t="s">
        <v>485</v>
      </c>
      <c r="C52" s="1" t="s">
        <v>486</v>
      </c>
      <c r="D52" s="42" t="s">
        <v>487</v>
      </c>
      <c r="E52" t="s">
        <v>486</v>
      </c>
      <c r="G52" s="1">
        <v>1780</v>
      </c>
      <c r="H52" s="1">
        <v>8</v>
      </c>
      <c r="I52" s="1">
        <v>14240</v>
      </c>
      <c r="J52" s="1">
        <v>7</v>
      </c>
      <c r="K52" s="1">
        <f t="shared" si="0"/>
        <v>2136</v>
      </c>
      <c r="L52" s="6">
        <v>874</v>
      </c>
      <c r="M52" s="6">
        <f t="shared" si="1"/>
        <v>6992</v>
      </c>
      <c r="N52" s="6">
        <f t="shared" si="2"/>
        <v>5112</v>
      </c>
      <c r="O52" s="8">
        <f t="shared" si="3"/>
        <v>0.35898876404494384</v>
      </c>
    </row>
    <row r="53" spans="1:15" ht="15.75" customHeight="1">
      <c r="A53" s="1" t="s">
        <v>1620</v>
      </c>
      <c r="B53" t="s">
        <v>2247</v>
      </c>
      <c r="C53" s="1" t="s">
        <v>1069</v>
      </c>
      <c r="D53" s="42" t="s">
        <v>1070</v>
      </c>
      <c r="E53" t="s">
        <v>2248</v>
      </c>
      <c r="G53" s="1">
        <v>13480</v>
      </c>
      <c r="H53" s="1">
        <v>1</v>
      </c>
      <c r="I53" s="1">
        <v>13480</v>
      </c>
      <c r="J53" s="1">
        <v>1</v>
      </c>
      <c r="K53" s="1">
        <f t="shared" si="0"/>
        <v>2022</v>
      </c>
      <c r="L53" s="6">
        <v>9100</v>
      </c>
      <c r="M53" s="6">
        <f t="shared" si="1"/>
        <v>9100</v>
      </c>
      <c r="N53" s="6">
        <f t="shared" si="2"/>
        <v>2358</v>
      </c>
      <c r="O53" s="8">
        <f t="shared" si="3"/>
        <v>0.17492581602373888</v>
      </c>
    </row>
    <row r="54" spans="1:15" ht="15.75" customHeight="1">
      <c r="A54" s="1" t="s">
        <v>223</v>
      </c>
      <c r="C54" s="1" t="s">
        <v>224</v>
      </c>
      <c r="D54" s="42" t="s">
        <v>225</v>
      </c>
      <c r="E54" t="s">
        <v>224</v>
      </c>
      <c r="G54" s="1">
        <v>6480</v>
      </c>
      <c r="H54" s="1">
        <v>2</v>
      </c>
      <c r="I54" s="1">
        <v>12960</v>
      </c>
      <c r="J54" s="1">
        <v>2</v>
      </c>
      <c r="K54" s="1">
        <f t="shared" si="0"/>
        <v>1944</v>
      </c>
      <c r="L54" s="6">
        <v>3882</v>
      </c>
      <c r="M54" s="6">
        <f t="shared" si="1"/>
        <v>7764</v>
      </c>
      <c r="N54" s="6">
        <f t="shared" si="2"/>
        <v>3252</v>
      </c>
      <c r="O54" s="8">
        <f t="shared" si="3"/>
        <v>0.25092592592592594</v>
      </c>
    </row>
    <row r="55" spans="1:15" ht="15.75" customHeight="1">
      <c r="A55" s="1" t="s">
        <v>141</v>
      </c>
      <c r="B55" s="1"/>
      <c r="C55" s="1" t="s">
        <v>142</v>
      </c>
      <c r="D55" s="42" t="s">
        <v>143</v>
      </c>
      <c r="E55" s="1" t="s">
        <v>142</v>
      </c>
      <c r="G55" s="1">
        <v>4280</v>
      </c>
      <c r="H55" s="1">
        <v>3</v>
      </c>
      <c r="I55" s="1">
        <v>12840</v>
      </c>
      <c r="J55" s="1">
        <v>3</v>
      </c>
      <c r="K55" s="1">
        <f t="shared" si="0"/>
        <v>1926</v>
      </c>
      <c r="L55" s="6">
        <v>2081</v>
      </c>
      <c r="M55" s="6">
        <f t="shared" si="1"/>
        <v>6243</v>
      </c>
      <c r="N55" s="6">
        <f t="shared" si="2"/>
        <v>4671</v>
      </c>
      <c r="O55" s="8">
        <f t="shared" si="3"/>
        <v>0.36378504672897194</v>
      </c>
    </row>
    <row r="56" spans="1:15" ht="15.75" customHeight="1">
      <c r="A56" s="1" t="s">
        <v>562</v>
      </c>
      <c r="C56" s="1" t="s">
        <v>563</v>
      </c>
      <c r="D56" s="42" t="s">
        <v>564</v>
      </c>
      <c r="E56" t="s">
        <v>565</v>
      </c>
      <c r="G56" s="1">
        <v>4218</v>
      </c>
      <c r="H56" s="1">
        <v>3</v>
      </c>
      <c r="I56" s="1">
        <v>12654</v>
      </c>
      <c r="J56" s="1">
        <v>3</v>
      </c>
      <c r="K56" s="1">
        <f t="shared" si="0"/>
        <v>1898.1</v>
      </c>
      <c r="L56" s="6">
        <v>3460</v>
      </c>
      <c r="M56" s="6">
        <f t="shared" si="1"/>
        <v>10380</v>
      </c>
      <c r="N56" s="6">
        <f t="shared" si="2"/>
        <v>375.89999999999964</v>
      </c>
      <c r="O56" s="8">
        <f t="shared" si="3"/>
        <v>2.9706021811284941E-2</v>
      </c>
    </row>
    <row r="57" spans="1:15" ht="15.75" customHeight="1">
      <c r="A57" s="1" t="s">
        <v>2249</v>
      </c>
      <c r="C57" s="1" t="s">
        <v>2250</v>
      </c>
      <c r="D57" s="42" t="s">
        <v>2251</v>
      </c>
      <c r="E57" t="s">
        <v>2250</v>
      </c>
      <c r="G57" s="1">
        <v>4180</v>
      </c>
      <c r="H57" s="1">
        <v>3</v>
      </c>
      <c r="I57" s="1">
        <v>12540</v>
      </c>
      <c r="J57" s="1">
        <v>2</v>
      </c>
      <c r="K57" s="1">
        <f t="shared" si="0"/>
        <v>1881</v>
      </c>
      <c r="L57" s="44"/>
      <c r="M57" s="6">
        <f t="shared" si="1"/>
        <v>0</v>
      </c>
      <c r="N57" s="6">
        <f t="shared" si="2"/>
        <v>10659</v>
      </c>
      <c r="O57" s="8">
        <f t="shared" si="3"/>
        <v>0.85</v>
      </c>
    </row>
    <row r="58" spans="1:15" ht="15.75" customHeight="1">
      <c r="A58" s="1" t="s">
        <v>226</v>
      </c>
      <c r="C58" s="1" t="s">
        <v>227</v>
      </c>
      <c r="D58" s="42" t="s">
        <v>228</v>
      </c>
      <c r="E58" t="s">
        <v>227</v>
      </c>
      <c r="G58" s="1">
        <v>1780</v>
      </c>
      <c r="H58" s="1">
        <v>7</v>
      </c>
      <c r="I58" s="1">
        <v>12460</v>
      </c>
      <c r="J58" s="1">
        <v>6</v>
      </c>
      <c r="K58" s="1">
        <f t="shared" si="0"/>
        <v>1869</v>
      </c>
      <c r="L58" s="6">
        <v>970</v>
      </c>
      <c r="M58" s="6">
        <f t="shared" si="1"/>
        <v>6790</v>
      </c>
      <c r="N58" s="6">
        <f t="shared" si="2"/>
        <v>3801</v>
      </c>
      <c r="O58" s="8">
        <f t="shared" si="3"/>
        <v>0.30505617977528088</v>
      </c>
    </row>
    <row r="59" spans="1:15" ht="15.75" customHeight="1">
      <c r="A59" s="1" t="s">
        <v>2252</v>
      </c>
      <c r="C59" s="1" t="s">
        <v>2253</v>
      </c>
      <c r="D59" s="42" t="s">
        <v>2254</v>
      </c>
      <c r="E59" t="s">
        <v>2255</v>
      </c>
      <c r="G59" s="1">
        <v>11980</v>
      </c>
      <c r="H59" s="1">
        <v>1</v>
      </c>
      <c r="I59" s="1">
        <v>11980</v>
      </c>
      <c r="J59" s="1">
        <v>1</v>
      </c>
      <c r="K59" s="1">
        <f t="shared" si="0"/>
        <v>1797</v>
      </c>
      <c r="L59" s="6">
        <v>8000</v>
      </c>
      <c r="M59" s="6">
        <f t="shared" si="1"/>
        <v>8000</v>
      </c>
      <c r="N59" s="6">
        <f t="shared" si="2"/>
        <v>2183</v>
      </c>
      <c r="O59" s="8">
        <f t="shared" si="3"/>
        <v>0.18222036727879801</v>
      </c>
    </row>
    <row r="60" spans="1:15" ht="15.75" customHeight="1">
      <c r="A60" s="1" t="s">
        <v>451</v>
      </c>
      <c r="C60" s="1" t="s">
        <v>452</v>
      </c>
      <c r="D60" s="42" t="s">
        <v>453</v>
      </c>
      <c r="E60" t="s">
        <v>452</v>
      </c>
      <c r="G60" s="1">
        <v>5980</v>
      </c>
      <c r="H60" s="1">
        <v>2</v>
      </c>
      <c r="I60" s="1">
        <v>11960</v>
      </c>
      <c r="J60" s="1">
        <v>2</v>
      </c>
      <c r="K60" s="1">
        <f t="shared" si="0"/>
        <v>1794</v>
      </c>
      <c r="L60" s="6">
        <v>3990</v>
      </c>
      <c r="M60" s="6">
        <f t="shared" si="1"/>
        <v>7980</v>
      </c>
      <c r="N60" s="6">
        <f t="shared" si="2"/>
        <v>2186</v>
      </c>
      <c r="O60" s="8">
        <f t="shared" si="3"/>
        <v>0.18277591973244148</v>
      </c>
    </row>
    <row r="61" spans="1:15" ht="15.75" customHeight="1">
      <c r="A61" s="1" t="s">
        <v>366</v>
      </c>
      <c r="C61" s="1" t="s">
        <v>367</v>
      </c>
      <c r="D61" s="42" t="s">
        <v>368</v>
      </c>
      <c r="E61" t="s">
        <v>367</v>
      </c>
      <c r="G61" s="1">
        <v>3980</v>
      </c>
      <c r="H61" s="1">
        <v>3</v>
      </c>
      <c r="I61" s="1">
        <v>11940</v>
      </c>
      <c r="J61" s="1">
        <v>2</v>
      </c>
      <c r="K61" s="1">
        <f t="shared" si="0"/>
        <v>1791</v>
      </c>
      <c r="L61" s="6">
        <v>1600</v>
      </c>
      <c r="M61" s="6">
        <f t="shared" si="1"/>
        <v>4800</v>
      </c>
      <c r="N61" s="6">
        <f t="shared" si="2"/>
        <v>5349</v>
      </c>
      <c r="O61" s="8">
        <f t="shared" si="3"/>
        <v>0.44798994974874373</v>
      </c>
    </row>
    <row r="62" spans="1:15" ht="15.75" customHeight="1">
      <c r="A62" s="1" t="s">
        <v>114</v>
      </c>
      <c r="C62" s="1" t="s">
        <v>115</v>
      </c>
      <c r="D62" s="42" t="s">
        <v>116</v>
      </c>
      <c r="E62" t="s">
        <v>115</v>
      </c>
      <c r="G62" s="1">
        <v>2980</v>
      </c>
      <c r="H62" s="1">
        <v>4</v>
      </c>
      <c r="I62" s="1">
        <v>11920</v>
      </c>
      <c r="J62" s="1">
        <v>2</v>
      </c>
      <c r="K62" s="1">
        <f t="shared" si="0"/>
        <v>1788</v>
      </c>
      <c r="L62" s="6">
        <v>1239</v>
      </c>
      <c r="M62" s="6">
        <f t="shared" si="1"/>
        <v>4956</v>
      </c>
      <c r="N62" s="6">
        <f t="shared" si="2"/>
        <v>5176</v>
      </c>
      <c r="O62" s="8">
        <f t="shared" si="3"/>
        <v>0.4342281879194631</v>
      </c>
    </row>
    <row r="63" spans="1:15" ht="15.75" customHeight="1">
      <c r="A63" s="1" t="s">
        <v>258</v>
      </c>
      <c r="C63" s="1" t="s">
        <v>259</v>
      </c>
      <c r="D63" s="42" t="s">
        <v>260</v>
      </c>
      <c r="E63" t="s">
        <v>259</v>
      </c>
      <c r="G63" s="1">
        <v>2980</v>
      </c>
      <c r="H63" s="1">
        <v>4</v>
      </c>
      <c r="I63" s="1">
        <v>11920</v>
      </c>
      <c r="J63" s="1">
        <v>3</v>
      </c>
      <c r="K63" s="1">
        <f t="shared" si="0"/>
        <v>1788</v>
      </c>
      <c r="L63" s="6">
        <v>1182</v>
      </c>
      <c r="M63" s="6">
        <f t="shared" si="1"/>
        <v>4728</v>
      </c>
      <c r="N63" s="6">
        <f t="shared" si="2"/>
        <v>5404</v>
      </c>
      <c r="O63" s="8">
        <f t="shared" si="3"/>
        <v>0.45335570469798658</v>
      </c>
    </row>
    <row r="64" spans="1:15" ht="15.75" customHeight="1">
      <c r="A64" s="1" t="s">
        <v>2256</v>
      </c>
      <c r="C64" s="1" t="s">
        <v>2257</v>
      </c>
      <c r="D64" s="42" t="s">
        <v>2258</v>
      </c>
      <c r="E64" t="s">
        <v>2257</v>
      </c>
      <c r="G64" s="1">
        <v>1980</v>
      </c>
      <c r="H64" s="1">
        <v>6</v>
      </c>
      <c r="I64" s="1">
        <v>11880</v>
      </c>
      <c r="J64" s="1">
        <v>3</v>
      </c>
      <c r="K64" s="1">
        <f t="shared" si="0"/>
        <v>1782</v>
      </c>
      <c r="L64" s="44"/>
      <c r="M64" s="6">
        <f t="shared" si="1"/>
        <v>0</v>
      </c>
      <c r="N64" s="6">
        <f t="shared" si="2"/>
        <v>10098</v>
      </c>
      <c r="O64" s="8">
        <f t="shared" si="3"/>
        <v>0.85</v>
      </c>
    </row>
    <row r="65" spans="1:15" ht="15.75" customHeight="1">
      <c r="A65" s="1" t="s">
        <v>272</v>
      </c>
      <c r="B65" s="1" t="s">
        <v>52</v>
      </c>
      <c r="C65" s="1" t="s">
        <v>274</v>
      </c>
      <c r="D65" s="42">
        <v>7480</v>
      </c>
      <c r="E65" s="1" t="s">
        <v>2259</v>
      </c>
      <c r="G65" s="1">
        <v>10980</v>
      </c>
      <c r="H65" s="1">
        <v>1</v>
      </c>
      <c r="I65" s="1">
        <v>10980</v>
      </c>
      <c r="J65" s="1">
        <v>1</v>
      </c>
      <c r="K65" s="1">
        <f t="shared" si="0"/>
        <v>1647</v>
      </c>
      <c r="L65" s="6">
        <v>7480</v>
      </c>
      <c r="M65" s="6">
        <f t="shared" si="1"/>
        <v>7480</v>
      </c>
      <c r="N65" s="6">
        <f t="shared" si="2"/>
        <v>1853</v>
      </c>
      <c r="O65" s="8">
        <f t="shared" si="3"/>
        <v>0.16876138433515483</v>
      </c>
    </row>
    <row r="66" spans="1:15" ht="15.75" customHeight="1">
      <c r="A66" s="1" t="s">
        <v>272</v>
      </c>
      <c r="B66" t="s">
        <v>273</v>
      </c>
      <c r="C66" s="1" t="s">
        <v>274</v>
      </c>
      <c r="D66" s="42">
        <v>7480</v>
      </c>
      <c r="E66" t="s">
        <v>275</v>
      </c>
      <c r="G66" s="1">
        <v>10980</v>
      </c>
      <c r="H66" s="1">
        <v>1</v>
      </c>
      <c r="I66" s="1">
        <v>10980</v>
      </c>
      <c r="J66" s="1">
        <v>1</v>
      </c>
      <c r="K66" s="1">
        <f t="shared" si="0"/>
        <v>1647</v>
      </c>
      <c r="L66" s="6">
        <v>7480</v>
      </c>
      <c r="M66" s="6">
        <f t="shared" si="1"/>
        <v>7480</v>
      </c>
      <c r="N66" s="6">
        <f t="shared" si="2"/>
        <v>1853</v>
      </c>
      <c r="O66" s="8">
        <f t="shared" si="3"/>
        <v>0.16876138433515483</v>
      </c>
    </row>
    <row r="67" spans="1:15" ht="15.75" customHeight="1">
      <c r="A67" s="1" t="s">
        <v>229</v>
      </c>
      <c r="C67" s="1" t="s">
        <v>230</v>
      </c>
      <c r="D67" s="42" t="s">
        <v>231</v>
      </c>
      <c r="E67" t="s">
        <v>232</v>
      </c>
      <c r="G67" s="1">
        <v>1780</v>
      </c>
      <c r="H67" s="1">
        <v>6</v>
      </c>
      <c r="I67" s="1">
        <v>10680</v>
      </c>
      <c r="J67" s="1">
        <v>5</v>
      </c>
      <c r="K67" s="1">
        <f t="shared" si="0"/>
        <v>1602</v>
      </c>
      <c r="L67" s="6">
        <v>416</v>
      </c>
      <c r="M67" s="6">
        <f t="shared" si="1"/>
        <v>2496</v>
      </c>
      <c r="N67" s="6">
        <f t="shared" si="2"/>
        <v>6582</v>
      </c>
      <c r="O67" s="8">
        <f t="shared" si="3"/>
        <v>0.61629213483146073</v>
      </c>
    </row>
    <row r="68" spans="1:15" ht="15.75" customHeight="1">
      <c r="A68" s="1" t="s">
        <v>1714</v>
      </c>
      <c r="B68" s="1"/>
      <c r="C68" s="1" t="s">
        <v>1715</v>
      </c>
      <c r="D68" s="42">
        <v>194644233532</v>
      </c>
      <c r="E68" s="1" t="s">
        <v>2260</v>
      </c>
      <c r="G68" s="1">
        <v>5280</v>
      </c>
      <c r="H68" s="1">
        <v>2</v>
      </c>
      <c r="I68" s="1">
        <v>10560</v>
      </c>
      <c r="J68" s="1">
        <v>2</v>
      </c>
      <c r="K68" s="1">
        <f t="shared" si="0"/>
        <v>1584</v>
      </c>
      <c r="L68" s="6">
        <v>3590</v>
      </c>
      <c r="M68" s="6">
        <f t="shared" si="1"/>
        <v>7180</v>
      </c>
      <c r="N68" s="6">
        <f t="shared" si="2"/>
        <v>1796</v>
      </c>
      <c r="O68" s="8">
        <f t="shared" si="3"/>
        <v>0.17007575757575757</v>
      </c>
    </row>
    <row r="69" spans="1:15" ht="15.75" customHeight="1">
      <c r="A69" s="1" t="s">
        <v>2261</v>
      </c>
      <c r="C69" s="1" t="s">
        <v>1036</v>
      </c>
      <c r="D69" s="42" t="s">
        <v>2262</v>
      </c>
      <c r="E69" t="s">
        <v>1036</v>
      </c>
      <c r="G69" s="1">
        <v>10480</v>
      </c>
      <c r="H69" s="1">
        <v>1</v>
      </c>
      <c r="I69" s="1">
        <v>10480</v>
      </c>
      <c r="J69" s="1">
        <v>1</v>
      </c>
      <c r="K69" s="1">
        <f t="shared" si="0"/>
        <v>1572</v>
      </c>
      <c r="L69" s="44"/>
      <c r="M69" s="6">
        <f t="shared" si="1"/>
        <v>0</v>
      </c>
      <c r="N69" s="6">
        <f t="shared" si="2"/>
        <v>8908</v>
      </c>
      <c r="O69" s="8">
        <f t="shared" si="3"/>
        <v>0.85</v>
      </c>
    </row>
    <row r="70" spans="1:15" ht="17" customHeight="1">
      <c r="A70" s="1" t="s">
        <v>2263</v>
      </c>
      <c r="B70" t="s">
        <v>628</v>
      </c>
      <c r="C70" s="1" t="s">
        <v>395</v>
      </c>
      <c r="D70" s="42" t="s">
        <v>396</v>
      </c>
      <c r="E70" t="s">
        <v>629</v>
      </c>
      <c r="G70" s="1">
        <v>1280</v>
      </c>
      <c r="H70" s="1">
        <v>8</v>
      </c>
      <c r="I70" s="1">
        <v>10240</v>
      </c>
      <c r="J70" s="1">
        <v>7</v>
      </c>
      <c r="K70" s="1">
        <f t="shared" si="0"/>
        <v>1536</v>
      </c>
      <c r="L70" s="6">
        <v>504</v>
      </c>
      <c r="M70" s="6">
        <f t="shared" si="1"/>
        <v>4032</v>
      </c>
      <c r="N70" s="6">
        <f t="shared" si="2"/>
        <v>4672</v>
      </c>
      <c r="O70" s="8">
        <f t="shared" si="3"/>
        <v>0.45624999999999999</v>
      </c>
    </row>
    <row r="71" spans="1:15" ht="17" customHeight="1">
      <c r="A71" s="1" t="s">
        <v>2264</v>
      </c>
      <c r="B71" t="s">
        <v>128</v>
      </c>
      <c r="C71" s="1" t="s">
        <v>2265</v>
      </c>
      <c r="D71" s="42">
        <v>7480</v>
      </c>
      <c r="E71" t="s">
        <v>2266</v>
      </c>
      <c r="G71" s="1">
        <v>9980</v>
      </c>
      <c r="H71" s="1">
        <v>1</v>
      </c>
      <c r="I71" s="1">
        <v>9980</v>
      </c>
      <c r="J71" s="1">
        <v>1</v>
      </c>
      <c r="K71" s="1">
        <f t="shared" si="0"/>
        <v>1497</v>
      </c>
      <c r="L71" s="6">
        <v>7480</v>
      </c>
      <c r="M71" s="6">
        <f t="shared" si="1"/>
        <v>7480</v>
      </c>
      <c r="N71" s="6">
        <f t="shared" si="2"/>
        <v>1003</v>
      </c>
      <c r="O71" s="8">
        <f t="shared" si="3"/>
        <v>0.10050100200400802</v>
      </c>
    </row>
    <row r="72" spans="1:15" ht="17" customHeight="1">
      <c r="A72" s="1" t="s">
        <v>288</v>
      </c>
      <c r="B72" t="s">
        <v>2267</v>
      </c>
      <c r="C72" s="1" t="s">
        <v>290</v>
      </c>
      <c r="D72" s="42" t="s">
        <v>291</v>
      </c>
      <c r="E72" t="s">
        <v>2268</v>
      </c>
      <c r="G72" s="1">
        <v>9980</v>
      </c>
      <c r="H72" s="1">
        <v>1</v>
      </c>
      <c r="I72" s="1">
        <v>9980</v>
      </c>
      <c r="J72" s="1">
        <v>1</v>
      </c>
      <c r="K72" s="1">
        <f t="shared" ref="K72:K135" si="4">SUM(I72*0.15)</f>
        <v>1497</v>
      </c>
      <c r="L72" s="6">
        <v>6490</v>
      </c>
      <c r="M72" s="6">
        <f t="shared" ref="M72:M135" si="5">SUM(H72*L72)</f>
        <v>6490</v>
      </c>
      <c r="N72" s="6">
        <f t="shared" ref="N72:N135" si="6">SUM(I72-K72-M72)</f>
        <v>1993</v>
      </c>
      <c r="O72" s="8">
        <f t="shared" ref="O72:O135" si="7">IF(I72=0,"",N72/I72)</f>
        <v>0.19969939879759518</v>
      </c>
    </row>
    <row r="73" spans="1:15" ht="17" customHeight="1">
      <c r="A73" s="1" t="s">
        <v>288</v>
      </c>
      <c r="B73" t="s">
        <v>52</v>
      </c>
      <c r="C73" s="1" t="s">
        <v>290</v>
      </c>
      <c r="D73" s="42" t="s">
        <v>291</v>
      </c>
      <c r="E73" t="s">
        <v>1653</v>
      </c>
      <c r="G73" s="1">
        <v>9980</v>
      </c>
      <c r="H73" s="1">
        <v>1</v>
      </c>
      <c r="I73" s="1">
        <v>9980</v>
      </c>
      <c r="J73" s="1">
        <v>1</v>
      </c>
      <c r="K73" s="1">
        <f t="shared" si="4"/>
        <v>1497</v>
      </c>
      <c r="L73" s="6">
        <v>6490</v>
      </c>
      <c r="M73" s="6">
        <f t="shared" si="5"/>
        <v>6490</v>
      </c>
      <c r="N73" s="6">
        <f t="shared" si="6"/>
        <v>1993</v>
      </c>
      <c r="O73" s="8">
        <f t="shared" si="7"/>
        <v>0.19969939879759518</v>
      </c>
    </row>
    <row r="74" spans="1:15" ht="17" customHeight="1">
      <c r="A74" s="1" t="s">
        <v>1111</v>
      </c>
      <c r="C74" s="1" t="s">
        <v>1112</v>
      </c>
      <c r="D74" s="42" t="s">
        <v>1113</v>
      </c>
      <c r="E74" t="s">
        <v>1112</v>
      </c>
      <c r="G74" s="1">
        <v>9980</v>
      </c>
      <c r="H74" s="1">
        <v>1</v>
      </c>
      <c r="I74" s="1">
        <v>9980</v>
      </c>
      <c r="J74" s="1">
        <v>1</v>
      </c>
      <c r="K74" s="1">
        <f t="shared" si="4"/>
        <v>1497</v>
      </c>
      <c r="L74" s="6">
        <v>6752</v>
      </c>
      <c r="M74" s="6">
        <f t="shared" si="5"/>
        <v>6752</v>
      </c>
      <c r="N74" s="6">
        <f t="shared" si="6"/>
        <v>1731</v>
      </c>
      <c r="O74" s="8">
        <f t="shared" si="7"/>
        <v>0.17344689378757516</v>
      </c>
    </row>
    <row r="75" spans="1:15" ht="17" customHeight="1">
      <c r="A75" s="1" t="s">
        <v>2002</v>
      </c>
      <c r="B75" t="s">
        <v>125</v>
      </c>
      <c r="C75" s="1" t="s">
        <v>2003</v>
      </c>
      <c r="D75" s="42" t="s">
        <v>2004</v>
      </c>
      <c r="E75" t="s">
        <v>2269</v>
      </c>
      <c r="G75" s="1">
        <v>9980</v>
      </c>
      <c r="H75" s="1">
        <v>1</v>
      </c>
      <c r="I75" s="1">
        <v>9980</v>
      </c>
      <c r="J75" s="1">
        <v>1</v>
      </c>
      <c r="K75" s="1">
        <f t="shared" si="4"/>
        <v>1497</v>
      </c>
      <c r="L75" s="6">
        <v>5990</v>
      </c>
      <c r="M75" s="6">
        <f t="shared" si="5"/>
        <v>5990</v>
      </c>
      <c r="N75" s="6">
        <f t="shared" si="6"/>
        <v>2493</v>
      </c>
      <c r="O75" s="8">
        <f t="shared" si="7"/>
        <v>0.24979959919839678</v>
      </c>
    </row>
    <row r="76" spans="1:15" ht="17" customHeight="1">
      <c r="A76" s="1" t="s">
        <v>1709</v>
      </c>
      <c r="C76" s="1" t="s">
        <v>1710</v>
      </c>
      <c r="D76" s="42" t="s">
        <v>2270</v>
      </c>
      <c r="E76" t="s">
        <v>2271</v>
      </c>
      <c r="G76" s="1">
        <v>4980</v>
      </c>
      <c r="H76" s="1">
        <v>2</v>
      </c>
      <c r="I76" s="1">
        <v>9960</v>
      </c>
      <c r="J76" s="1">
        <v>2</v>
      </c>
      <c r="K76" s="1">
        <f t="shared" si="4"/>
        <v>1494</v>
      </c>
      <c r="L76" s="6">
        <v>2728</v>
      </c>
      <c r="M76" s="6">
        <f t="shared" si="5"/>
        <v>5456</v>
      </c>
      <c r="N76" s="6">
        <f t="shared" si="6"/>
        <v>3010</v>
      </c>
      <c r="O76" s="8">
        <f t="shared" si="7"/>
        <v>0.30220883534136544</v>
      </c>
    </row>
    <row r="77" spans="1:15" ht="17" customHeight="1">
      <c r="A77" s="1" t="s">
        <v>1058</v>
      </c>
      <c r="B77" s="1"/>
      <c r="C77" s="1" t="s">
        <v>1059</v>
      </c>
      <c r="D77" s="42" t="s">
        <v>2272</v>
      </c>
      <c r="E77" s="1" t="s">
        <v>1059</v>
      </c>
      <c r="G77" s="1">
        <v>4980</v>
      </c>
      <c r="H77" s="1">
        <v>2</v>
      </c>
      <c r="I77" s="1">
        <v>9960</v>
      </c>
      <c r="J77" s="1">
        <v>1</v>
      </c>
      <c r="K77" s="1">
        <f t="shared" si="4"/>
        <v>1494</v>
      </c>
      <c r="L77" s="6">
        <v>1650</v>
      </c>
      <c r="M77" s="6">
        <f t="shared" si="5"/>
        <v>3300</v>
      </c>
      <c r="N77" s="6">
        <f t="shared" si="6"/>
        <v>5166</v>
      </c>
      <c r="O77" s="8">
        <f t="shared" si="7"/>
        <v>0.51867469879518069</v>
      </c>
    </row>
    <row r="78" spans="1:15" ht="17" customHeight="1">
      <c r="A78" s="1" t="s">
        <v>503</v>
      </c>
      <c r="C78" s="1" t="s">
        <v>504</v>
      </c>
      <c r="D78" s="42" t="s">
        <v>505</v>
      </c>
      <c r="E78" t="s">
        <v>506</v>
      </c>
      <c r="G78" s="1">
        <v>4980</v>
      </c>
      <c r="H78" s="1">
        <v>2</v>
      </c>
      <c r="I78" s="1">
        <v>9960</v>
      </c>
      <c r="J78" s="1">
        <v>1</v>
      </c>
      <c r="K78" s="1">
        <f t="shared" si="4"/>
        <v>1494</v>
      </c>
      <c r="L78" s="6">
        <v>2790</v>
      </c>
      <c r="M78" s="6">
        <f t="shared" si="5"/>
        <v>5580</v>
      </c>
      <c r="N78" s="6">
        <f t="shared" si="6"/>
        <v>2886</v>
      </c>
      <c r="O78" s="8">
        <f t="shared" si="7"/>
        <v>0.28975903614457832</v>
      </c>
    </row>
    <row r="79" spans="1:15" ht="17" customHeight="1">
      <c r="A79" s="1" t="s">
        <v>510</v>
      </c>
      <c r="B79" t="s">
        <v>516</v>
      </c>
      <c r="C79" s="1">
        <v>4550391046508</v>
      </c>
      <c r="D79" s="42" t="s">
        <v>512</v>
      </c>
      <c r="E79" t="s">
        <v>517</v>
      </c>
      <c r="G79" s="1">
        <v>2480</v>
      </c>
      <c r="H79" s="1">
        <v>4</v>
      </c>
      <c r="I79" s="1">
        <v>9920</v>
      </c>
      <c r="J79" s="1">
        <v>4</v>
      </c>
      <c r="K79" s="1">
        <f t="shared" si="4"/>
        <v>1488</v>
      </c>
      <c r="L79" s="6">
        <v>1130</v>
      </c>
      <c r="M79" s="6">
        <f t="shared" si="5"/>
        <v>4520</v>
      </c>
      <c r="N79" s="6">
        <f t="shared" si="6"/>
        <v>3912</v>
      </c>
      <c r="O79" s="8">
        <f t="shared" si="7"/>
        <v>0.39435483870967741</v>
      </c>
    </row>
    <row r="80" spans="1:15" ht="17" customHeight="1">
      <c r="A80" s="1" t="s">
        <v>1135</v>
      </c>
      <c r="C80" s="1" t="s">
        <v>1136</v>
      </c>
      <c r="D80" s="42">
        <v>1980</v>
      </c>
      <c r="E80" t="s">
        <v>1136</v>
      </c>
      <c r="G80" s="1">
        <v>3280</v>
      </c>
      <c r="H80" s="1">
        <v>3</v>
      </c>
      <c r="I80" s="1">
        <v>9840</v>
      </c>
      <c r="J80" s="1">
        <v>3</v>
      </c>
      <c r="K80" s="1">
        <f t="shared" si="4"/>
        <v>1476</v>
      </c>
      <c r="L80" s="6">
        <v>1980</v>
      </c>
      <c r="M80" s="6">
        <f t="shared" si="5"/>
        <v>5940</v>
      </c>
      <c r="N80" s="6">
        <f t="shared" si="6"/>
        <v>2424</v>
      </c>
      <c r="O80" s="8">
        <f t="shared" si="7"/>
        <v>0.24634146341463414</v>
      </c>
    </row>
    <row r="81" spans="1:15" ht="17" customHeight="1">
      <c r="A81" s="1" t="s">
        <v>531</v>
      </c>
      <c r="B81" s="1"/>
      <c r="C81" s="1" t="s">
        <v>532</v>
      </c>
      <c r="D81" s="42" t="s">
        <v>533</v>
      </c>
      <c r="E81" s="1" t="s">
        <v>532</v>
      </c>
      <c r="G81" s="1">
        <v>4780</v>
      </c>
      <c r="H81" s="1">
        <v>2</v>
      </c>
      <c r="I81" s="1">
        <v>9560</v>
      </c>
      <c r="J81" s="1">
        <v>2</v>
      </c>
      <c r="K81" s="1">
        <f t="shared" si="4"/>
        <v>1434</v>
      </c>
      <c r="L81" s="6">
        <v>2126</v>
      </c>
      <c r="M81" s="6">
        <f t="shared" si="5"/>
        <v>4252</v>
      </c>
      <c r="N81" s="6">
        <f t="shared" si="6"/>
        <v>3874</v>
      </c>
      <c r="O81" s="8">
        <f t="shared" si="7"/>
        <v>0.40523012552301257</v>
      </c>
    </row>
    <row r="82" spans="1:15" ht="17" customHeight="1">
      <c r="A82" s="1" t="s">
        <v>51</v>
      </c>
      <c r="B82" t="s">
        <v>52</v>
      </c>
      <c r="C82" s="1" t="s">
        <v>53</v>
      </c>
      <c r="D82" s="42" t="s">
        <v>54</v>
      </c>
      <c r="E82" t="s">
        <v>55</v>
      </c>
      <c r="G82" s="1">
        <v>9480</v>
      </c>
      <c r="H82" s="1">
        <v>1</v>
      </c>
      <c r="I82" s="1">
        <v>9480</v>
      </c>
      <c r="J82" s="1">
        <v>1</v>
      </c>
      <c r="K82" s="1">
        <f t="shared" si="4"/>
        <v>1422</v>
      </c>
      <c r="L82" s="6">
        <v>6390</v>
      </c>
      <c r="M82" s="6">
        <f t="shared" si="5"/>
        <v>6390</v>
      </c>
      <c r="N82" s="6">
        <f t="shared" si="6"/>
        <v>1668</v>
      </c>
      <c r="O82" s="8">
        <f t="shared" si="7"/>
        <v>0.17594936708860759</v>
      </c>
    </row>
    <row r="83" spans="1:15" ht="17" customHeight="1">
      <c r="A83" s="1" t="s">
        <v>2013</v>
      </c>
      <c r="C83" s="1" t="s">
        <v>1119</v>
      </c>
      <c r="D83" s="42" t="s">
        <v>2273</v>
      </c>
      <c r="E83" t="s">
        <v>1119</v>
      </c>
      <c r="G83" s="1">
        <v>9480</v>
      </c>
      <c r="H83" s="1">
        <v>1</v>
      </c>
      <c r="I83" s="1">
        <v>9480</v>
      </c>
      <c r="J83" s="1">
        <v>1</v>
      </c>
      <c r="K83" s="1">
        <f t="shared" si="4"/>
        <v>1422</v>
      </c>
      <c r="L83" s="6">
        <v>6630</v>
      </c>
      <c r="M83" s="6">
        <f t="shared" si="5"/>
        <v>6630</v>
      </c>
      <c r="N83" s="6">
        <f t="shared" si="6"/>
        <v>1428</v>
      </c>
      <c r="O83" s="8">
        <f t="shared" si="7"/>
        <v>0.15063291139240506</v>
      </c>
    </row>
    <row r="84" spans="1:15" ht="17" customHeight="1">
      <c r="A84" s="1" t="s">
        <v>161</v>
      </c>
      <c r="C84" s="1" t="s">
        <v>162</v>
      </c>
      <c r="D84" s="42" t="s">
        <v>163</v>
      </c>
      <c r="E84" t="s">
        <v>162</v>
      </c>
      <c r="G84" s="1">
        <v>1580</v>
      </c>
      <c r="H84" s="1">
        <v>6</v>
      </c>
      <c r="I84" s="1">
        <v>9480</v>
      </c>
      <c r="J84" s="1">
        <v>3</v>
      </c>
      <c r="K84" s="1">
        <f t="shared" si="4"/>
        <v>1422</v>
      </c>
      <c r="L84" s="6">
        <v>785</v>
      </c>
      <c r="M84" s="6">
        <f t="shared" si="5"/>
        <v>4710</v>
      </c>
      <c r="N84" s="6">
        <f t="shared" si="6"/>
        <v>3348</v>
      </c>
      <c r="O84" s="8">
        <f t="shared" si="7"/>
        <v>0.35316455696202531</v>
      </c>
    </row>
    <row r="85" spans="1:15" ht="17" customHeight="1">
      <c r="A85" s="1" t="s">
        <v>2274</v>
      </c>
      <c r="C85" s="1" t="s">
        <v>2275</v>
      </c>
      <c r="D85" s="42">
        <v>4979750819926</v>
      </c>
      <c r="E85" t="s">
        <v>2275</v>
      </c>
      <c r="G85" s="1">
        <v>9290</v>
      </c>
      <c r="H85" s="1">
        <v>1</v>
      </c>
      <c r="I85" s="1">
        <v>9290</v>
      </c>
      <c r="J85" s="1">
        <v>1</v>
      </c>
      <c r="K85" s="1">
        <f t="shared" si="4"/>
        <v>1393.5</v>
      </c>
      <c r="L85" s="44"/>
      <c r="M85" s="6">
        <f t="shared" si="5"/>
        <v>0</v>
      </c>
      <c r="N85" s="6">
        <f t="shared" si="6"/>
        <v>7896.5</v>
      </c>
      <c r="O85" s="8">
        <f t="shared" si="7"/>
        <v>0.85</v>
      </c>
    </row>
    <row r="86" spans="1:15" ht="17" customHeight="1">
      <c r="A86" s="1" t="s">
        <v>2276</v>
      </c>
      <c r="C86" s="1" t="s">
        <v>2277</v>
      </c>
      <c r="D86" s="42" t="s">
        <v>2278</v>
      </c>
      <c r="E86" t="s">
        <v>2277</v>
      </c>
      <c r="G86" s="1">
        <v>4580</v>
      </c>
      <c r="H86" s="1">
        <v>2</v>
      </c>
      <c r="I86" s="1">
        <v>9160</v>
      </c>
      <c r="J86" s="1">
        <v>2</v>
      </c>
      <c r="K86" s="1">
        <f t="shared" si="4"/>
        <v>1374</v>
      </c>
      <c r="L86" s="44"/>
      <c r="M86" s="6">
        <f t="shared" si="5"/>
        <v>0</v>
      </c>
      <c r="N86" s="6">
        <f t="shared" si="6"/>
        <v>7786</v>
      </c>
      <c r="O86" s="8">
        <f t="shared" si="7"/>
        <v>0.85</v>
      </c>
    </row>
    <row r="87" spans="1:15" ht="17" customHeight="1">
      <c r="A87" s="1" t="s">
        <v>2279</v>
      </c>
      <c r="C87" s="1" t="s">
        <v>2280</v>
      </c>
      <c r="D87" s="42" t="s">
        <v>2281</v>
      </c>
      <c r="E87" t="s">
        <v>2280</v>
      </c>
      <c r="G87" s="1">
        <v>4580</v>
      </c>
      <c r="H87" s="1">
        <v>2</v>
      </c>
      <c r="I87" s="1">
        <v>9160</v>
      </c>
      <c r="J87" s="1">
        <v>2</v>
      </c>
      <c r="K87" s="1">
        <f t="shared" si="4"/>
        <v>1374</v>
      </c>
      <c r="L87" s="44"/>
      <c r="M87" s="6">
        <f t="shared" si="5"/>
        <v>0</v>
      </c>
      <c r="N87" s="6">
        <f t="shared" si="6"/>
        <v>7786</v>
      </c>
      <c r="O87" s="8">
        <f t="shared" si="7"/>
        <v>0.85</v>
      </c>
    </row>
    <row r="88" spans="1:15" ht="17" customHeight="1">
      <c r="A88" s="1" t="s">
        <v>167</v>
      </c>
      <c r="B88" t="s">
        <v>2282</v>
      </c>
      <c r="C88" s="1" t="s">
        <v>169</v>
      </c>
      <c r="D88" s="42" t="s">
        <v>170</v>
      </c>
      <c r="E88" t="s">
        <v>2283</v>
      </c>
      <c r="G88" s="1">
        <v>8980</v>
      </c>
      <c r="H88" s="1">
        <v>1</v>
      </c>
      <c r="I88" s="1">
        <v>8980</v>
      </c>
      <c r="J88" s="1">
        <v>1</v>
      </c>
      <c r="K88" s="1">
        <f t="shared" si="4"/>
        <v>1347</v>
      </c>
      <c r="L88" s="6">
        <v>5890</v>
      </c>
      <c r="M88" s="6">
        <f t="shared" si="5"/>
        <v>5890</v>
      </c>
      <c r="N88" s="6">
        <f t="shared" si="6"/>
        <v>1743</v>
      </c>
      <c r="O88" s="8">
        <f t="shared" si="7"/>
        <v>0.19409799554565701</v>
      </c>
    </row>
    <row r="89" spans="1:15" ht="17" customHeight="1">
      <c r="A89" s="1" t="s">
        <v>167</v>
      </c>
      <c r="B89" t="s">
        <v>52</v>
      </c>
      <c r="C89" s="1" t="s">
        <v>169</v>
      </c>
      <c r="D89" s="42" t="s">
        <v>170</v>
      </c>
      <c r="E89" t="s">
        <v>331</v>
      </c>
      <c r="G89" s="1">
        <v>8980</v>
      </c>
      <c r="H89" s="1">
        <v>1</v>
      </c>
      <c r="I89" s="1">
        <v>8980</v>
      </c>
      <c r="J89" s="1">
        <v>1</v>
      </c>
      <c r="K89" s="1">
        <f t="shared" si="4"/>
        <v>1347</v>
      </c>
      <c r="L89" s="6">
        <v>5890</v>
      </c>
      <c r="M89" s="6">
        <f t="shared" si="5"/>
        <v>5890</v>
      </c>
      <c r="N89" s="6">
        <f t="shared" si="6"/>
        <v>1743</v>
      </c>
      <c r="O89" s="8">
        <f t="shared" si="7"/>
        <v>0.19409799554565701</v>
      </c>
    </row>
    <row r="90" spans="1:15" ht="17" customHeight="1">
      <c r="A90" s="1" t="s">
        <v>327</v>
      </c>
      <c r="B90" s="1" t="s">
        <v>52</v>
      </c>
      <c r="C90" s="1" t="s">
        <v>328</v>
      </c>
      <c r="D90" s="42" t="s">
        <v>329</v>
      </c>
      <c r="E90" s="1" t="s">
        <v>2018</v>
      </c>
      <c r="G90" s="1">
        <v>8980</v>
      </c>
      <c r="H90" s="1">
        <v>1</v>
      </c>
      <c r="I90" s="1">
        <v>8980</v>
      </c>
      <c r="J90" s="1">
        <v>1</v>
      </c>
      <c r="K90" s="1">
        <f t="shared" si="4"/>
        <v>1347</v>
      </c>
      <c r="L90" s="6">
        <v>5490</v>
      </c>
      <c r="M90" s="6">
        <f t="shared" si="5"/>
        <v>5490</v>
      </c>
      <c r="N90" s="6">
        <f t="shared" si="6"/>
        <v>2143</v>
      </c>
      <c r="O90" s="8">
        <f t="shared" si="7"/>
        <v>0.23864142538975502</v>
      </c>
    </row>
    <row r="91" spans="1:15" ht="17" customHeight="1">
      <c r="A91" s="1" t="s">
        <v>1585</v>
      </c>
      <c r="C91" s="1" t="s">
        <v>1586</v>
      </c>
      <c r="D91" s="42">
        <v>5980</v>
      </c>
      <c r="E91" t="s">
        <v>2284</v>
      </c>
      <c r="G91" s="1">
        <v>8980</v>
      </c>
      <c r="H91" s="1">
        <v>1</v>
      </c>
      <c r="I91" s="1">
        <v>8980</v>
      </c>
      <c r="J91" s="1">
        <v>1</v>
      </c>
      <c r="K91" s="1">
        <f t="shared" si="4"/>
        <v>1347</v>
      </c>
      <c r="L91" s="6">
        <v>5980</v>
      </c>
      <c r="M91" s="6">
        <f t="shared" si="5"/>
        <v>5980</v>
      </c>
      <c r="N91" s="6">
        <f t="shared" si="6"/>
        <v>1653</v>
      </c>
      <c r="O91" s="8">
        <f t="shared" si="7"/>
        <v>0.18407572383073498</v>
      </c>
    </row>
    <row r="92" spans="1:15" ht="17" customHeight="1">
      <c r="A92" s="1" t="s">
        <v>167</v>
      </c>
      <c r="B92" s="1" t="s">
        <v>125</v>
      </c>
      <c r="C92" s="1" t="s">
        <v>169</v>
      </c>
      <c r="D92" s="42" t="s">
        <v>170</v>
      </c>
      <c r="E92" s="1" t="s">
        <v>170</v>
      </c>
      <c r="G92" s="1">
        <v>8980</v>
      </c>
      <c r="H92" s="1">
        <v>1</v>
      </c>
      <c r="I92" s="1">
        <v>8980</v>
      </c>
      <c r="J92" s="1">
        <v>1</v>
      </c>
      <c r="K92" s="1">
        <f t="shared" si="4"/>
        <v>1347</v>
      </c>
      <c r="L92" s="6">
        <v>5890</v>
      </c>
      <c r="M92" s="6">
        <f t="shared" si="5"/>
        <v>5890</v>
      </c>
      <c r="N92" s="6">
        <f t="shared" si="6"/>
        <v>1743</v>
      </c>
      <c r="O92" s="8">
        <f t="shared" si="7"/>
        <v>0.19409799554565701</v>
      </c>
    </row>
    <row r="93" spans="1:15" ht="17" customHeight="1">
      <c r="A93" s="1" t="s">
        <v>144</v>
      </c>
      <c r="C93" s="1" t="s">
        <v>145</v>
      </c>
      <c r="D93" s="42" t="s">
        <v>146</v>
      </c>
      <c r="E93" t="s">
        <v>145</v>
      </c>
      <c r="G93" s="1">
        <v>2980</v>
      </c>
      <c r="H93" s="1">
        <v>3</v>
      </c>
      <c r="I93" s="1">
        <v>8940</v>
      </c>
      <c r="J93" s="1">
        <v>3</v>
      </c>
      <c r="K93" s="1">
        <f t="shared" si="4"/>
        <v>1341</v>
      </c>
      <c r="L93" s="6">
        <v>1316</v>
      </c>
      <c r="M93" s="6">
        <f t="shared" si="5"/>
        <v>3948</v>
      </c>
      <c r="N93" s="6">
        <f t="shared" si="6"/>
        <v>3651</v>
      </c>
      <c r="O93" s="8">
        <f t="shared" si="7"/>
        <v>0.40838926174496643</v>
      </c>
    </row>
    <row r="94" spans="1:15" ht="17" customHeight="1">
      <c r="A94" s="1" t="s">
        <v>122</v>
      </c>
      <c r="C94" s="1" t="s">
        <v>123</v>
      </c>
      <c r="D94" s="42" t="s">
        <v>124</v>
      </c>
      <c r="E94" t="s">
        <v>123</v>
      </c>
      <c r="G94" s="1">
        <v>2980</v>
      </c>
      <c r="H94" s="1">
        <v>3</v>
      </c>
      <c r="I94" s="1">
        <v>8940</v>
      </c>
      <c r="J94" s="1">
        <v>3</v>
      </c>
      <c r="K94" s="1">
        <f t="shared" si="4"/>
        <v>1341</v>
      </c>
      <c r="L94" s="6">
        <v>1270</v>
      </c>
      <c r="M94" s="6">
        <f t="shared" si="5"/>
        <v>3810</v>
      </c>
      <c r="N94" s="6">
        <f t="shared" si="6"/>
        <v>3789</v>
      </c>
      <c r="O94" s="8">
        <f t="shared" si="7"/>
        <v>0.42382550335570468</v>
      </c>
    </row>
    <row r="95" spans="1:15" ht="17" customHeight="1">
      <c r="A95" s="1" t="s">
        <v>2285</v>
      </c>
      <c r="C95" s="1" t="s">
        <v>2286</v>
      </c>
      <c r="D95" s="42" t="s">
        <v>2287</v>
      </c>
      <c r="E95" t="s">
        <v>2286</v>
      </c>
      <c r="G95" s="1">
        <v>1780</v>
      </c>
      <c r="H95" s="1">
        <v>5</v>
      </c>
      <c r="I95" s="1">
        <v>8900</v>
      </c>
      <c r="J95" s="1">
        <v>1</v>
      </c>
      <c r="K95" s="1">
        <f t="shared" si="4"/>
        <v>1335</v>
      </c>
      <c r="L95" s="6">
        <v>860</v>
      </c>
      <c r="M95" s="6">
        <f t="shared" si="5"/>
        <v>4300</v>
      </c>
      <c r="N95" s="6">
        <f t="shared" si="6"/>
        <v>3265</v>
      </c>
      <c r="O95" s="8">
        <f t="shared" si="7"/>
        <v>0.36685393258426968</v>
      </c>
    </row>
    <row r="96" spans="1:15" ht="17" customHeight="1">
      <c r="A96" s="1" t="s">
        <v>733</v>
      </c>
      <c r="C96" s="1" t="s">
        <v>734</v>
      </c>
      <c r="D96" s="42" t="s">
        <v>735</v>
      </c>
      <c r="E96" t="s">
        <v>734</v>
      </c>
      <c r="G96" s="1">
        <v>2780</v>
      </c>
      <c r="H96" s="1">
        <v>3</v>
      </c>
      <c r="I96" s="1">
        <v>8340</v>
      </c>
      <c r="J96" s="1">
        <v>3</v>
      </c>
      <c r="K96" s="1">
        <f t="shared" si="4"/>
        <v>1251</v>
      </c>
      <c r="L96" s="6">
        <v>1690</v>
      </c>
      <c r="M96" s="6">
        <f t="shared" si="5"/>
        <v>5070</v>
      </c>
      <c r="N96" s="6">
        <f t="shared" si="6"/>
        <v>2019</v>
      </c>
      <c r="O96" s="8">
        <f t="shared" si="7"/>
        <v>0.24208633093525181</v>
      </c>
    </row>
    <row r="97" spans="1:15" ht="17" customHeight="1">
      <c r="A97" s="1" t="s">
        <v>362</v>
      </c>
      <c r="B97" t="s">
        <v>2282</v>
      </c>
      <c r="C97" s="1" t="s">
        <v>363</v>
      </c>
      <c r="D97" s="41" t="s">
        <v>364</v>
      </c>
      <c r="E97" t="s">
        <v>2288</v>
      </c>
      <c r="G97" s="1">
        <v>7980</v>
      </c>
      <c r="H97" s="1">
        <v>1</v>
      </c>
      <c r="I97" s="1">
        <v>7980</v>
      </c>
      <c r="J97" s="1">
        <v>1</v>
      </c>
      <c r="K97" s="1">
        <f t="shared" si="4"/>
        <v>1197</v>
      </c>
      <c r="L97" s="6">
        <v>4990</v>
      </c>
      <c r="M97" s="6">
        <f t="shared" si="5"/>
        <v>4990</v>
      </c>
      <c r="N97" s="6">
        <f t="shared" si="6"/>
        <v>1793</v>
      </c>
      <c r="O97" s="8">
        <f t="shared" si="7"/>
        <v>0.22468671679197996</v>
      </c>
    </row>
    <row r="98" spans="1:15" ht="17" customHeight="1">
      <c r="A98" s="1" t="s">
        <v>362</v>
      </c>
      <c r="B98" s="1" t="s">
        <v>52</v>
      </c>
      <c r="C98" s="1" t="s">
        <v>363</v>
      </c>
      <c r="D98" s="42" t="s">
        <v>364</v>
      </c>
      <c r="E98" s="1" t="s">
        <v>365</v>
      </c>
      <c r="G98" s="1">
        <v>7980</v>
      </c>
      <c r="H98" s="1">
        <v>1</v>
      </c>
      <c r="I98" s="1">
        <v>7980</v>
      </c>
      <c r="J98" s="1">
        <v>1</v>
      </c>
      <c r="K98" s="1">
        <f t="shared" si="4"/>
        <v>1197</v>
      </c>
      <c r="L98" s="6">
        <v>4990</v>
      </c>
      <c r="M98" s="6">
        <f t="shared" si="5"/>
        <v>4990</v>
      </c>
      <c r="N98" s="6">
        <f t="shared" si="6"/>
        <v>1793</v>
      </c>
      <c r="O98" s="8">
        <f t="shared" si="7"/>
        <v>0.22468671679197996</v>
      </c>
    </row>
    <row r="99" spans="1:15" ht="17" customHeight="1">
      <c r="A99" s="1" t="s">
        <v>192</v>
      </c>
      <c r="C99" s="1" t="s">
        <v>193</v>
      </c>
      <c r="D99" s="42" t="s">
        <v>194</v>
      </c>
      <c r="E99" t="s">
        <v>195</v>
      </c>
      <c r="G99" s="1">
        <v>3980</v>
      </c>
      <c r="H99" s="1">
        <v>2</v>
      </c>
      <c r="I99" s="1">
        <v>7960</v>
      </c>
      <c r="J99" s="1">
        <v>1</v>
      </c>
      <c r="K99" s="1">
        <f t="shared" si="4"/>
        <v>1194</v>
      </c>
      <c r="L99" s="6">
        <v>1998</v>
      </c>
      <c r="M99" s="6">
        <f t="shared" si="5"/>
        <v>3996</v>
      </c>
      <c r="N99" s="6">
        <f t="shared" si="6"/>
        <v>2770</v>
      </c>
      <c r="O99" s="8">
        <f t="shared" si="7"/>
        <v>0.3479899497487437</v>
      </c>
    </row>
    <row r="100" spans="1:15" ht="17" customHeight="1">
      <c r="A100" s="1" t="s">
        <v>241</v>
      </c>
      <c r="C100" s="1" t="s">
        <v>242</v>
      </c>
      <c r="D100" s="42" t="s">
        <v>243</v>
      </c>
      <c r="E100" t="s">
        <v>242</v>
      </c>
      <c r="G100" s="1">
        <v>3980</v>
      </c>
      <c r="H100" s="1">
        <v>2</v>
      </c>
      <c r="I100" s="1">
        <v>7960</v>
      </c>
      <c r="J100" s="1">
        <v>2</v>
      </c>
      <c r="K100" s="1">
        <f t="shared" si="4"/>
        <v>1194</v>
      </c>
      <c r="L100" s="6">
        <v>3179</v>
      </c>
      <c r="M100" s="6">
        <f t="shared" si="5"/>
        <v>6358</v>
      </c>
      <c r="N100" s="6">
        <f t="shared" si="6"/>
        <v>408</v>
      </c>
      <c r="O100" s="8">
        <f t="shared" si="7"/>
        <v>5.1256281407035177E-2</v>
      </c>
    </row>
    <row r="101" spans="1:15" ht="17" customHeight="1">
      <c r="A101" s="1" t="s">
        <v>749</v>
      </c>
      <c r="C101" s="1" t="s">
        <v>750</v>
      </c>
      <c r="D101" s="42" t="s">
        <v>751</v>
      </c>
      <c r="E101" t="s">
        <v>750</v>
      </c>
      <c r="G101" s="1">
        <v>2580</v>
      </c>
      <c r="H101" s="1">
        <v>3</v>
      </c>
      <c r="I101" s="1">
        <v>7740</v>
      </c>
      <c r="J101" s="1">
        <v>2</v>
      </c>
      <c r="K101" s="1">
        <f t="shared" si="4"/>
        <v>1161</v>
      </c>
      <c r="L101" s="6">
        <v>1612</v>
      </c>
      <c r="M101" s="6">
        <f t="shared" si="5"/>
        <v>4836</v>
      </c>
      <c r="N101" s="6">
        <f t="shared" si="6"/>
        <v>1743</v>
      </c>
      <c r="O101" s="8">
        <f t="shared" si="7"/>
        <v>0.2251937984496124</v>
      </c>
    </row>
    <row r="102" spans="1:15" ht="17" customHeight="1">
      <c r="A102" s="1" t="s">
        <v>752</v>
      </c>
      <c r="C102" s="1" t="s">
        <v>753</v>
      </c>
      <c r="D102" s="42" t="s">
        <v>754</v>
      </c>
      <c r="E102" t="s">
        <v>755</v>
      </c>
      <c r="G102" s="1">
        <v>2580</v>
      </c>
      <c r="H102" s="1">
        <v>3</v>
      </c>
      <c r="I102" s="1">
        <v>7740</v>
      </c>
      <c r="J102" s="1">
        <v>3</v>
      </c>
      <c r="K102" s="1">
        <f t="shared" si="4"/>
        <v>1161</v>
      </c>
      <c r="L102" s="6">
        <v>1296</v>
      </c>
      <c r="M102" s="6">
        <f t="shared" si="5"/>
        <v>3888</v>
      </c>
      <c r="N102" s="6">
        <f t="shared" si="6"/>
        <v>2691</v>
      </c>
      <c r="O102" s="8">
        <f t="shared" si="7"/>
        <v>0.34767441860465115</v>
      </c>
    </row>
    <row r="103" spans="1:15" ht="17" customHeight="1">
      <c r="A103" s="1" t="s">
        <v>2086</v>
      </c>
      <c r="C103" s="1" t="s">
        <v>2087</v>
      </c>
      <c r="D103" s="42" t="s">
        <v>2289</v>
      </c>
      <c r="E103" t="s">
        <v>2087</v>
      </c>
      <c r="G103" s="1">
        <v>1898</v>
      </c>
      <c r="H103" s="1">
        <v>4</v>
      </c>
      <c r="I103" s="1">
        <v>7592</v>
      </c>
      <c r="J103" s="1">
        <v>2</v>
      </c>
      <c r="K103" s="1">
        <f t="shared" si="4"/>
        <v>1138.8</v>
      </c>
      <c r="L103" s="6">
        <v>1242</v>
      </c>
      <c r="M103" s="6">
        <f t="shared" si="5"/>
        <v>4968</v>
      </c>
      <c r="N103" s="6">
        <f t="shared" si="6"/>
        <v>1485.1999999999998</v>
      </c>
      <c r="O103" s="8">
        <f t="shared" si="7"/>
        <v>0.19562697576396204</v>
      </c>
    </row>
    <row r="104" spans="1:15" ht="17" customHeight="1">
      <c r="A104" s="1" t="s">
        <v>2290</v>
      </c>
      <c r="C104" s="1" t="s">
        <v>2291</v>
      </c>
      <c r="D104" s="42" t="s">
        <v>2292</v>
      </c>
      <c r="E104" t="s">
        <v>2291</v>
      </c>
      <c r="G104" s="1">
        <v>3780</v>
      </c>
      <c r="H104" s="1">
        <v>2</v>
      </c>
      <c r="I104" s="1">
        <v>7560</v>
      </c>
      <c r="J104" s="1">
        <v>2</v>
      </c>
      <c r="K104" s="1">
        <f t="shared" si="4"/>
        <v>1134</v>
      </c>
      <c r="L104" s="44"/>
      <c r="M104" s="6">
        <f t="shared" si="5"/>
        <v>0</v>
      </c>
      <c r="N104" s="6">
        <f t="shared" si="6"/>
        <v>6426</v>
      </c>
      <c r="O104" s="8">
        <f t="shared" si="7"/>
        <v>0.85</v>
      </c>
    </row>
    <row r="105" spans="1:15" ht="17" customHeight="1">
      <c r="A105" s="1" t="s">
        <v>730</v>
      </c>
      <c r="C105" s="1" t="s">
        <v>731</v>
      </c>
      <c r="D105" s="42" t="s">
        <v>732</v>
      </c>
      <c r="E105" t="s">
        <v>731</v>
      </c>
      <c r="G105" s="1">
        <v>1500</v>
      </c>
      <c r="H105" s="1">
        <v>5</v>
      </c>
      <c r="I105" s="1">
        <v>7500</v>
      </c>
      <c r="J105" s="1">
        <v>4</v>
      </c>
      <c r="K105" s="1">
        <f t="shared" si="4"/>
        <v>1125</v>
      </c>
      <c r="L105" s="6">
        <v>830</v>
      </c>
      <c r="M105" s="6">
        <f t="shared" si="5"/>
        <v>4150</v>
      </c>
      <c r="N105" s="6">
        <f t="shared" si="6"/>
        <v>2225</v>
      </c>
      <c r="O105" s="8">
        <f t="shared" si="7"/>
        <v>0.29666666666666669</v>
      </c>
    </row>
    <row r="106" spans="1:15" ht="17" customHeight="1">
      <c r="A106" s="1" t="s">
        <v>2033</v>
      </c>
      <c r="B106" s="1" t="s">
        <v>125</v>
      </c>
      <c r="C106" s="1" t="s">
        <v>2034</v>
      </c>
      <c r="D106" s="42" t="s">
        <v>2035</v>
      </c>
      <c r="E106" s="1" t="s">
        <v>2293</v>
      </c>
      <c r="G106" s="1">
        <v>7480</v>
      </c>
      <c r="H106" s="1">
        <v>1</v>
      </c>
      <c r="I106" s="1">
        <v>7480</v>
      </c>
      <c r="J106" s="1">
        <v>1</v>
      </c>
      <c r="K106" s="1">
        <f t="shared" si="4"/>
        <v>1122</v>
      </c>
      <c r="L106" s="6">
        <v>4990</v>
      </c>
      <c r="M106" s="6">
        <f t="shared" si="5"/>
        <v>4990</v>
      </c>
      <c r="N106" s="6">
        <f t="shared" si="6"/>
        <v>1368</v>
      </c>
      <c r="O106" s="8">
        <f t="shared" si="7"/>
        <v>0.18288770053475936</v>
      </c>
    </row>
    <row r="107" spans="1:15" ht="17" customHeight="1">
      <c r="A107" s="1" t="s">
        <v>200</v>
      </c>
      <c r="B107" t="s">
        <v>52</v>
      </c>
      <c r="C107" s="1" t="s">
        <v>201</v>
      </c>
      <c r="D107" s="42" t="s">
        <v>202</v>
      </c>
      <c r="E107" t="s">
        <v>203</v>
      </c>
      <c r="G107" s="1">
        <v>7480</v>
      </c>
      <c r="H107" s="1">
        <v>1</v>
      </c>
      <c r="I107" s="1">
        <v>7480</v>
      </c>
      <c r="J107" s="1">
        <v>1</v>
      </c>
      <c r="K107" s="1">
        <f t="shared" si="4"/>
        <v>1122</v>
      </c>
      <c r="L107" s="6">
        <v>4490</v>
      </c>
      <c r="M107" s="6">
        <f t="shared" si="5"/>
        <v>4490</v>
      </c>
      <c r="N107" s="6">
        <f t="shared" si="6"/>
        <v>1868</v>
      </c>
      <c r="O107" s="8">
        <f t="shared" si="7"/>
        <v>0.24973262032085561</v>
      </c>
    </row>
    <row r="108" spans="1:15" ht="17" customHeight="1">
      <c r="A108" s="1" t="s">
        <v>778</v>
      </c>
      <c r="C108" s="1" t="s">
        <v>779</v>
      </c>
      <c r="D108" s="42" t="s">
        <v>780</v>
      </c>
      <c r="E108" t="s">
        <v>781</v>
      </c>
      <c r="G108" s="1">
        <v>2480</v>
      </c>
      <c r="H108" s="1">
        <v>3</v>
      </c>
      <c r="I108" s="1">
        <v>7440</v>
      </c>
      <c r="J108" s="1">
        <v>3</v>
      </c>
      <c r="K108" s="1">
        <f t="shared" si="4"/>
        <v>1116</v>
      </c>
      <c r="L108" s="6">
        <v>1116</v>
      </c>
      <c r="M108" s="6">
        <f t="shared" si="5"/>
        <v>3348</v>
      </c>
      <c r="N108" s="6">
        <f t="shared" si="6"/>
        <v>2976</v>
      </c>
      <c r="O108" s="8">
        <f t="shared" si="7"/>
        <v>0.4</v>
      </c>
    </row>
    <row r="109" spans="1:15" ht="17" customHeight="1">
      <c r="A109" s="1" t="s">
        <v>2294</v>
      </c>
      <c r="B109" s="1"/>
      <c r="C109" s="1" t="s">
        <v>2295</v>
      </c>
      <c r="D109" s="42" t="s">
        <v>2296</v>
      </c>
      <c r="E109" s="1" t="s">
        <v>2295</v>
      </c>
      <c r="G109" s="1">
        <v>2480</v>
      </c>
      <c r="H109" s="1">
        <v>3</v>
      </c>
      <c r="I109" s="1">
        <v>7440</v>
      </c>
      <c r="J109" s="1">
        <v>3</v>
      </c>
      <c r="K109" s="1">
        <f t="shared" si="4"/>
        <v>1116</v>
      </c>
      <c r="L109" s="44"/>
      <c r="M109" s="6">
        <f t="shared" si="5"/>
        <v>0</v>
      </c>
      <c r="N109" s="6">
        <f t="shared" si="6"/>
        <v>6324</v>
      </c>
      <c r="O109" s="8">
        <f t="shared" si="7"/>
        <v>0.85</v>
      </c>
    </row>
    <row r="110" spans="1:15" ht="17" customHeight="1">
      <c r="A110" s="1" t="s">
        <v>2297</v>
      </c>
      <c r="B110" s="1" t="s">
        <v>2298</v>
      </c>
      <c r="C110" s="1" t="s">
        <v>2299</v>
      </c>
      <c r="D110" s="42" t="s">
        <v>2300</v>
      </c>
      <c r="E110" s="1" t="s">
        <v>2301</v>
      </c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1188</v>
      </c>
      <c r="M110" s="6">
        <f t="shared" si="5"/>
        <v>3564</v>
      </c>
      <c r="N110" s="6">
        <f t="shared" si="6"/>
        <v>2760</v>
      </c>
      <c r="O110" s="8">
        <f t="shared" si="7"/>
        <v>0.37096774193548387</v>
      </c>
    </row>
    <row r="111" spans="1:15" ht="17" customHeight="1">
      <c r="A111" s="1" t="s">
        <v>791</v>
      </c>
      <c r="C111" s="1" t="s">
        <v>792</v>
      </c>
      <c r="D111" s="42" t="s">
        <v>793</v>
      </c>
      <c r="E111" t="s">
        <v>794</v>
      </c>
      <c r="G111" s="1">
        <v>2480</v>
      </c>
      <c r="H111" s="1">
        <v>3</v>
      </c>
      <c r="I111" s="1">
        <v>7440</v>
      </c>
      <c r="J111" s="1">
        <v>3</v>
      </c>
      <c r="K111" s="1">
        <f t="shared" si="4"/>
        <v>1116</v>
      </c>
      <c r="L111" s="6">
        <v>358</v>
      </c>
      <c r="M111" s="6">
        <f t="shared" si="5"/>
        <v>1074</v>
      </c>
      <c r="N111" s="6">
        <f t="shared" si="6"/>
        <v>5250</v>
      </c>
      <c r="O111" s="8">
        <f t="shared" si="7"/>
        <v>0.70564516129032262</v>
      </c>
    </row>
    <row r="112" spans="1:15" ht="17" customHeight="1">
      <c r="A112" s="1" t="s">
        <v>795</v>
      </c>
      <c r="C112" s="1" t="s">
        <v>796</v>
      </c>
      <c r="D112" s="42" t="s">
        <v>2302</v>
      </c>
      <c r="E112" t="s">
        <v>798</v>
      </c>
      <c r="G112" s="1">
        <v>2480</v>
      </c>
      <c r="H112" s="1">
        <v>3</v>
      </c>
      <c r="I112" s="1">
        <v>7440</v>
      </c>
      <c r="J112" s="1">
        <v>3</v>
      </c>
      <c r="K112" s="1">
        <f t="shared" si="4"/>
        <v>1116</v>
      </c>
      <c r="L112" s="6">
        <v>1273</v>
      </c>
      <c r="M112" s="6">
        <f t="shared" si="5"/>
        <v>3819</v>
      </c>
      <c r="N112" s="6">
        <f t="shared" si="6"/>
        <v>2505</v>
      </c>
      <c r="O112" s="8">
        <f t="shared" si="7"/>
        <v>0.33669354838709675</v>
      </c>
    </row>
    <row r="113" spans="1:15" ht="17" customHeight="1">
      <c r="A113" s="1" t="s">
        <v>1158</v>
      </c>
      <c r="C113" s="1" t="s">
        <v>1159</v>
      </c>
      <c r="D113" s="42" t="s">
        <v>2303</v>
      </c>
      <c r="E113" t="s">
        <v>2304</v>
      </c>
      <c r="G113" s="1">
        <v>3580</v>
      </c>
      <c r="H113" s="1">
        <v>2</v>
      </c>
      <c r="I113" s="1">
        <v>7160</v>
      </c>
      <c r="J113" s="1">
        <v>2</v>
      </c>
      <c r="K113" s="1">
        <f t="shared" si="4"/>
        <v>1074</v>
      </c>
      <c r="L113" s="6">
        <v>1380</v>
      </c>
      <c r="M113" s="6">
        <f t="shared" si="5"/>
        <v>2760</v>
      </c>
      <c r="N113" s="6">
        <f t="shared" si="6"/>
        <v>3326</v>
      </c>
      <c r="O113" s="8">
        <f t="shared" si="7"/>
        <v>0.46452513966480447</v>
      </c>
    </row>
    <row r="114" spans="1:15" ht="17" customHeight="1">
      <c r="A114" s="1" t="s">
        <v>916</v>
      </c>
      <c r="C114" s="1" t="s">
        <v>917</v>
      </c>
      <c r="D114" s="42" t="s">
        <v>918</v>
      </c>
      <c r="E114" t="s">
        <v>919</v>
      </c>
      <c r="G114" s="1">
        <v>1180</v>
      </c>
      <c r="H114" s="1">
        <v>6</v>
      </c>
      <c r="I114" s="1">
        <v>7080</v>
      </c>
      <c r="J114" s="1">
        <v>4</v>
      </c>
      <c r="K114" s="1">
        <f t="shared" si="4"/>
        <v>1062</v>
      </c>
      <c r="L114" s="6">
        <v>396</v>
      </c>
      <c r="M114" s="6">
        <f t="shared" si="5"/>
        <v>2376</v>
      </c>
      <c r="N114" s="6">
        <f t="shared" si="6"/>
        <v>3642</v>
      </c>
      <c r="O114" s="8">
        <f t="shared" si="7"/>
        <v>0.514406779661017</v>
      </c>
    </row>
    <row r="115" spans="1:15" ht="17" customHeight="1">
      <c r="A115" s="1" t="s">
        <v>662</v>
      </c>
      <c r="C115" s="1" t="s">
        <v>663</v>
      </c>
      <c r="D115" s="42" t="s">
        <v>664</v>
      </c>
      <c r="E115" t="s">
        <v>663</v>
      </c>
      <c r="G115" s="1">
        <v>3280</v>
      </c>
      <c r="H115" s="1">
        <v>2</v>
      </c>
      <c r="I115" s="1">
        <v>6560</v>
      </c>
      <c r="J115" s="1">
        <v>2</v>
      </c>
      <c r="K115" s="1">
        <f t="shared" si="4"/>
        <v>984</v>
      </c>
      <c r="L115" s="6">
        <v>1988</v>
      </c>
      <c r="M115" s="6">
        <f t="shared" si="5"/>
        <v>3976</v>
      </c>
      <c r="N115" s="6">
        <f t="shared" si="6"/>
        <v>1600</v>
      </c>
      <c r="O115" s="8">
        <f t="shared" si="7"/>
        <v>0.24390243902439024</v>
      </c>
    </row>
    <row r="116" spans="1:15" ht="17" customHeight="1">
      <c r="A116" s="1" t="s">
        <v>178</v>
      </c>
      <c r="C116" s="1" t="s">
        <v>179</v>
      </c>
      <c r="D116" s="42" t="s">
        <v>180</v>
      </c>
      <c r="E116" t="s">
        <v>179</v>
      </c>
      <c r="G116" s="1">
        <v>2180</v>
      </c>
      <c r="H116" s="1">
        <v>3</v>
      </c>
      <c r="I116" s="1">
        <v>6540</v>
      </c>
      <c r="J116" s="1">
        <v>3</v>
      </c>
      <c r="K116" s="1">
        <f t="shared" si="4"/>
        <v>981</v>
      </c>
      <c r="L116" s="6">
        <v>1152</v>
      </c>
      <c r="M116" s="6">
        <f t="shared" si="5"/>
        <v>3456</v>
      </c>
      <c r="N116" s="6">
        <f t="shared" si="6"/>
        <v>2103</v>
      </c>
      <c r="O116" s="8">
        <f t="shared" si="7"/>
        <v>0.32155963302752294</v>
      </c>
    </row>
    <row r="117" spans="1:15" ht="17" customHeight="1">
      <c r="A117" s="1" t="s">
        <v>1178</v>
      </c>
      <c r="B117" s="1"/>
      <c r="C117" s="1" t="s">
        <v>1179</v>
      </c>
      <c r="D117" s="42" t="s">
        <v>1180</v>
      </c>
      <c r="E117" s="1" t="s">
        <v>1179</v>
      </c>
      <c r="G117" s="1">
        <v>6480</v>
      </c>
      <c r="H117" s="1">
        <v>1</v>
      </c>
      <c r="I117" s="1">
        <v>6480</v>
      </c>
      <c r="J117" s="1">
        <v>1</v>
      </c>
      <c r="K117" s="1">
        <f t="shared" si="4"/>
        <v>972</v>
      </c>
      <c r="L117" s="6">
        <v>2499</v>
      </c>
      <c r="M117" s="6">
        <f t="shared" si="5"/>
        <v>2499</v>
      </c>
      <c r="N117" s="6">
        <f t="shared" si="6"/>
        <v>3009</v>
      </c>
      <c r="O117" s="8">
        <f t="shared" si="7"/>
        <v>0.46435185185185185</v>
      </c>
    </row>
    <row r="118" spans="1:15" ht="17" customHeight="1">
      <c r="A118" s="1" t="s">
        <v>1096</v>
      </c>
      <c r="C118" s="1" t="s">
        <v>1097</v>
      </c>
      <c r="D118" s="42" t="s">
        <v>2305</v>
      </c>
      <c r="E118" t="s">
        <v>1097</v>
      </c>
      <c r="G118" s="1">
        <v>5980</v>
      </c>
      <c r="H118" s="1">
        <v>1</v>
      </c>
      <c r="I118" s="1">
        <v>5980</v>
      </c>
      <c r="J118" s="1">
        <v>1</v>
      </c>
      <c r="K118" s="1">
        <f t="shared" si="4"/>
        <v>897</v>
      </c>
      <c r="L118" s="6">
        <v>2211</v>
      </c>
      <c r="M118" s="6">
        <f t="shared" si="5"/>
        <v>2211</v>
      </c>
      <c r="N118" s="6">
        <f t="shared" si="6"/>
        <v>2872</v>
      </c>
      <c r="O118" s="8">
        <f t="shared" si="7"/>
        <v>0.48026755852842812</v>
      </c>
    </row>
    <row r="119" spans="1:15" ht="17" customHeight="1">
      <c r="A119" s="1" t="s">
        <v>172</v>
      </c>
      <c r="C119" s="1" t="s">
        <v>173</v>
      </c>
      <c r="D119" s="42" t="s">
        <v>174</v>
      </c>
      <c r="E119" t="s">
        <v>173</v>
      </c>
      <c r="G119" s="1">
        <v>2980</v>
      </c>
      <c r="H119" s="1">
        <v>2</v>
      </c>
      <c r="I119" s="1">
        <v>5960</v>
      </c>
      <c r="J119" s="1">
        <v>2</v>
      </c>
      <c r="K119" s="1">
        <f t="shared" si="4"/>
        <v>894</v>
      </c>
      <c r="L119" s="6">
        <v>2067</v>
      </c>
      <c r="M119" s="6">
        <f t="shared" si="5"/>
        <v>4134</v>
      </c>
      <c r="N119" s="6">
        <f t="shared" si="6"/>
        <v>932</v>
      </c>
      <c r="O119" s="8">
        <f t="shared" si="7"/>
        <v>0.15637583892617449</v>
      </c>
    </row>
    <row r="120" spans="1:15" ht="17" customHeight="1">
      <c r="A120" s="1" t="s">
        <v>1207</v>
      </c>
      <c r="C120" s="1">
        <v>4965858009567</v>
      </c>
      <c r="D120" s="42" t="s">
        <v>1208</v>
      </c>
      <c r="E120">
        <v>4965858009567</v>
      </c>
      <c r="G120" s="1">
        <v>2980</v>
      </c>
      <c r="H120" s="1">
        <v>2</v>
      </c>
      <c r="I120" s="1">
        <v>5960</v>
      </c>
      <c r="J120" s="1">
        <v>2</v>
      </c>
      <c r="K120" s="1">
        <f t="shared" si="4"/>
        <v>894</v>
      </c>
      <c r="L120" s="6">
        <v>770</v>
      </c>
      <c r="M120" s="6">
        <f t="shared" si="5"/>
        <v>1540</v>
      </c>
      <c r="N120" s="6">
        <f t="shared" si="6"/>
        <v>3526</v>
      </c>
      <c r="O120" s="8">
        <f t="shared" si="7"/>
        <v>0.59161073825503352</v>
      </c>
    </row>
    <row r="121" spans="1:15" ht="17" customHeight="1">
      <c r="A121" s="1" t="s">
        <v>1339</v>
      </c>
      <c r="C121" s="1" t="s">
        <v>1340</v>
      </c>
      <c r="D121" s="42" t="s">
        <v>2306</v>
      </c>
      <c r="E121" t="s">
        <v>1340</v>
      </c>
      <c r="G121" s="1">
        <v>2980</v>
      </c>
      <c r="H121" s="1">
        <v>2</v>
      </c>
      <c r="I121" s="1">
        <v>5960</v>
      </c>
      <c r="J121" s="1">
        <v>1</v>
      </c>
      <c r="K121" s="1">
        <f t="shared" si="4"/>
        <v>894</v>
      </c>
      <c r="L121" s="44"/>
      <c r="M121" s="6">
        <f t="shared" si="5"/>
        <v>0</v>
      </c>
      <c r="N121" s="6">
        <f t="shared" si="6"/>
        <v>5066</v>
      </c>
      <c r="O121" s="8">
        <f t="shared" si="7"/>
        <v>0.85</v>
      </c>
    </row>
    <row r="122" spans="1:15" ht="17" customHeight="1">
      <c r="A122" s="1" t="s">
        <v>682</v>
      </c>
      <c r="C122" s="1" t="s">
        <v>683</v>
      </c>
      <c r="D122" s="42" t="s">
        <v>684</v>
      </c>
      <c r="E122" t="s">
        <v>683</v>
      </c>
      <c r="G122" s="1">
        <v>2980</v>
      </c>
      <c r="H122" s="1">
        <v>2</v>
      </c>
      <c r="I122" s="1">
        <v>5960</v>
      </c>
      <c r="J122" s="1">
        <v>2</v>
      </c>
      <c r="K122" s="1">
        <f t="shared" si="4"/>
        <v>894</v>
      </c>
      <c r="L122" s="6">
        <v>1641</v>
      </c>
      <c r="M122" s="6">
        <f t="shared" si="5"/>
        <v>3282</v>
      </c>
      <c r="N122" s="6">
        <f t="shared" si="6"/>
        <v>1784</v>
      </c>
      <c r="O122" s="8">
        <f t="shared" si="7"/>
        <v>0.29932885906040269</v>
      </c>
    </row>
    <row r="123" spans="1:15" ht="17" customHeight="1">
      <c r="A123" s="1" t="s">
        <v>471</v>
      </c>
      <c r="B123" t="s">
        <v>1337</v>
      </c>
      <c r="C123" s="1" t="s">
        <v>473</v>
      </c>
      <c r="D123" s="42" t="s">
        <v>474</v>
      </c>
      <c r="E123" t="s">
        <v>1338</v>
      </c>
      <c r="G123" s="1">
        <v>2980</v>
      </c>
      <c r="H123" s="1">
        <v>2</v>
      </c>
      <c r="I123" s="1">
        <v>5960</v>
      </c>
      <c r="J123" s="1">
        <v>1</v>
      </c>
      <c r="K123" s="1">
        <f t="shared" si="4"/>
        <v>894</v>
      </c>
      <c r="L123" s="6">
        <v>1390</v>
      </c>
      <c r="M123" s="6">
        <f t="shared" si="5"/>
        <v>2780</v>
      </c>
      <c r="N123" s="6">
        <f t="shared" si="6"/>
        <v>2286</v>
      </c>
      <c r="O123" s="8">
        <f t="shared" si="7"/>
        <v>0.38355704697986576</v>
      </c>
    </row>
    <row r="124" spans="1:15" ht="17" customHeight="1">
      <c r="A124" s="1" t="s">
        <v>332</v>
      </c>
      <c r="C124" s="1" t="s">
        <v>333</v>
      </c>
      <c r="D124" s="42" t="s">
        <v>2307</v>
      </c>
      <c r="E124" t="s">
        <v>333</v>
      </c>
      <c r="G124" s="1">
        <v>2980</v>
      </c>
      <c r="H124" s="1">
        <v>2</v>
      </c>
      <c r="I124" s="1">
        <v>5960</v>
      </c>
      <c r="J124" s="1">
        <v>2</v>
      </c>
      <c r="K124" s="1">
        <f t="shared" si="4"/>
        <v>894</v>
      </c>
      <c r="L124" s="6">
        <v>850</v>
      </c>
      <c r="M124" s="6">
        <f t="shared" si="5"/>
        <v>1700</v>
      </c>
      <c r="N124" s="6">
        <f t="shared" si="6"/>
        <v>3366</v>
      </c>
      <c r="O124" s="8">
        <f t="shared" si="7"/>
        <v>0.56476510067114094</v>
      </c>
    </row>
    <row r="125" spans="1:15" ht="17" customHeight="1">
      <c r="A125" s="1" t="s">
        <v>1133</v>
      </c>
      <c r="C125" s="1" t="s">
        <v>1134</v>
      </c>
      <c r="D125" s="42" t="s">
        <v>2308</v>
      </c>
      <c r="E125" t="s">
        <v>2309</v>
      </c>
      <c r="G125" s="1">
        <v>2980</v>
      </c>
      <c r="H125" s="1">
        <v>2</v>
      </c>
      <c r="I125" s="1">
        <v>5960</v>
      </c>
      <c r="J125" s="1">
        <v>2</v>
      </c>
      <c r="K125" s="1">
        <f t="shared" si="4"/>
        <v>894</v>
      </c>
      <c r="L125" s="6">
        <v>2172</v>
      </c>
      <c r="M125" s="6">
        <f t="shared" si="5"/>
        <v>4344</v>
      </c>
      <c r="N125" s="6">
        <f t="shared" si="6"/>
        <v>722</v>
      </c>
      <c r="O125" s="8">
        <f t="shared" si="7"/>
        <v>0.12114093959731544</v>
      </c>
    </row>
    <row r="126" spans="1:15" ht="17" customHeight="1">
      <c r="A126" s="1" t="s">
        <v>612</v>
      </c>
      <c r="C126" s="1" t="s">
        <v>613</v>
      </c>
      <c r="D126" s="42" t="s">
        <v>614</v>
      </c>
      <c r="E126" t="s">
        <v>613</v>
      </c>
      <c r="G126" s="1">
        <v>1980</v>
      </c>
      <c r="H126" s="1">
        <v>3</v>
      </c>
      <c r="I126" s="1">
        <v>5940</v>
      </c>
      <c r="J126" s="1">
        <v>3</v>
      </c>
      <c r="K126" s="1">
        <f t="shared" si="4"/>
        <v>891</v>
      </c>
      <c r="L126" s="6">
        <v>844</v>
      </c>
      <c r="M126" s="6">
        <f t="shared" si="5"/>
        <v>2532</v>
      </c>
      <c r="N126" s="6">
        <f t="shared" si="6"/>
        <v>2517</v>
      </c>
      <c r="O126" s="8">
        <f t="shared" si="7"/>
        <v>0.42373737373737375</v>
      </c>
    </row>
    <row r="127" spans="1:15" ht="17" customHeight="1">
      <c r="A127" s="1" t="s">
        <v>2310</v>
      </c>
      <c r="C127" s="1" t="s">
        <v>2311</v>
      </c>
      <c r="D127" s="42" t="s">
        <v>2312</v>
      </c>
      <c r="E127" t="s">
        <v>2311</v>
      </c>
      <c r="G127" s="1">
        <v>5780</v>
      </c>
      <c r="H127" s="1">
        <v>1</v>
      </c>
      <c r="I127" s="1">
        <v>5780</v>
      </c>
      <c r="J127" s="1">
        <v>1</v>
      </c>
      <c r="K127" s="1">
        <f t="shared" si="4"/>
        <v>867</v>
      </c>
      <c r="L127" s="6">
        <v>5293</v>
      </c>
      <c r="M127" s="6">
        <f t="shared" si="5"/>
        <v>5293</v>
      </c>
      <c r="N127" s="6">
        <f t="shared" si="6"/>
        <v>-380</v>
      </c>
      <c r="O127" s="8">
        <f t="shared" si="7"/>
        <v>-6.5743944636678195E-2</v>
      </c>
    </row>
    <row r="128" spans="1:15" ht="17" customHeight="1">
      <c r="A128" s="1" t="s">
        <v>108</v>
      </c>
      <c r="C128" s="1" t="s">
        <v>109</v>
      </c>
      <c r="D128" s="42" t="s">
        <v>110</v>
      </c>
      <c r="E128" t="s">
        <v>111</v>
      </c>
      <c r="G128" s="1">
        <v>2780</v>
      </c>
      <c r="H128" s="1">
        <v>2</v>
      </c>
      <c r="I128" s="1">
        <v>5560</v>
      </c>
      <c r="J128" s="1">
        <v>2</v>
      </c>
      <c r="K128" s="1">
        <f t="shared" si="4"/>
        <v>834</v>
      </c>
      <c r="L128" s="6">
        <v>1300</v>
      </c>
      <c r="M128" s="6">
        <f t="shared" si="5"/>
        <v>2600</v>
      </c>
      <c r="N128" s="6">
        <f t="shared" si="6"/>
        <v>2126</v>
      </c>
      <c r="O128" s="8">
        <f t="shared" si="7"/>
        <v>0.38237410071942446</v>
      </c>
    </row>
    <row r="129" spans="1:15" ht="17" customHeight="1">
      <c r="A129" s="1" t="s">
        <v>138</v>
      </c>
      <c r="C129" s="1" t="s">
        <v>139</v>
      </c>
      <c r="D129" s="42" t="s">
        <v>140</v>
      </c>
      <c r="E129" t="s">
        <v>139</v>
      </c>
      <c r="G129" s="1">
        <v>2780</v>
      </c>
      <c r="H129" s="1">
        <v>2</v>
      </c>
      <c r="I129" s="1">
        <v>5560</v>
      </c>
      <c r="J129" s="1">
        <v>2</v>
      </c>
      <c r="K129" s="1">
        <f t="shared" si="4"/>
        <v>834</v>
      </c>
      <c r="L129" s="6">
        <v>1494</v>
      </c>
      <c r="M129" s="6">
        <f t="shared" si="5"/>
        <v>2988</v>
      </c>
      <c r="N129" s="6">
        <f t="shared" si="6"/>
        <v>1738</v>
      </c>
      <c r="O129" s="8">
        <f t="shared" si="7"/>
        <v>0.31258992805755398</v>
      </c>
    </row>
    <row r="130" spans="1:15" ht="17" customHeight="1">
      <c r="A130" s="1" t="s">
        <v>354</v>
      </c>
      <c r="C130" s="1" t="s">
        <v>355</v>
      </c>
      <c r="D130" s="42" t="s">
        <v>356</v>
      </c>
      <c r="E130" t="s">
        <v>355</v>
      </c>
      <c r="G130" s="1">
        <v>2780</v>
      </c>
      <c r="H130" s="1">
        <v>2</v>
      </c>
      <c r="I130" s="1">
        <v>5560</v>
      </c>
      <c r="J130" s="1">
        <v>2</v>
      </c>
      <c r="K130" s="1">
        <f t="shared" si="4"/>
        <v>834</v>
      </c>
      <c r="L130" s="6">
        <v>1654</v>
      </c>
      <c r="M130" s="6">
        <f t="shared" si="5"/>
        <v>3308</v>
      </c>
      <c r="N130" s="6">
        <f t="shared" si="6"/>
        <v>1418</v>
      </c>
      <c r="O130" s="8">
        <f t="shared" si="7"/>
        <v>0.25503597122302157</v>
      </c>
    </row>
    <row r="131" spans="1:15" ht="17" customHeight="1">
      <c r="A131" s="1" t="s">
        <v>127</v>
      </c>
      <c r="B131" t="s">
        <v>128</v>
      </c>
      <c r="C131" s="1" t="s">
        <v>129</v>
      </c>
      <c r="D131" s="42" t="s">
        <v>130</v>
      </c>
      <c r="E131" t="s">
        <v>131</v>
      </c>
      <c r="G131" s="1">
        <v>5480</v>
      </c>
      <c r="H131" s="1">
        <v>1</v>
      </c>
      <c r="I131" s="1">
        <v>5480</v>
      </c>
      <c r="J131" s="1">
        <v>1</v>
      </c>
      <c r="K131" s="1">
        <f t="shared" si="4"/>
        <v>822</v>
      </c>
      <c r="L131" s="6">
        <v>2980</v>
      </c>
      <c r="M131" s="6">
        <f t="shared" si="5"/>
        <v>2980</v>
      </c>
      <c r="N131" s="6">
        <f t="shared" si="6"/>
        <v>1678</v>
      </c>
      <c r="O131" s="8">
        <f t="shared" si="7"/>
        <v>0.30620437956204377</v>
      </c>
    </row>
    <row r="132" spans="1:15" ht="17" customHeight="1">
      <c r="A132" s="1" t="s">
        <v>2313</v>
      </c>
      <c r="B132" s="1"/>
      <c r="C132" s="1" t="s">
        <v>2314</v>
      </c>
      <c r="D132" s="42" t="s">
        <v>2315</v>
      </c>
      <c r="E132" s="1" t="s">
        <v>2316</v>
      </c>
      <c r="G132" s="1">
        <v>5480</v>
      </c>
      <c r="H132" s="1">
        <v>1</v>
      </c>
      <c r="I132" s="1">
        <v>5480</v>
      </c>
      <c r="J132" s="1">
        <v>1</v>
      </c>
      <c r="K132" s="1">
        <f t="shared" si="4"/>
        <v>822</v>
      </c>
      <c r="L132" s="44"/>
      <c r="M132" s="6">
        <f t="shared" si="5"/>
        <v>0</v>
      </c>
      <c r="N132" s="6">
        <f t="shared" si="6"/>
        <v>4658</v>
      </c>
      <c r="O132" s="8">
        <f t="shared" si="7"/>
        <v>0.85</v>
      </c>
    </row>
    <row r="133" spans="1:15" ht="17" customHeight="1">
      <c r="A133" s="1" t="s">
        <v>479</v>
      </c>
      <c r="B133" s="1"/>
      <c r="C133" s="1" t="s">
        <v>480</v>
      </c>
      <c r="D133" s="42" t="s">
        <v>481</v>
      </c>
      <c r="E133" s="1" t="s">
        <v>480</v>
      </c>
      <c r="G133" s="1">
        <v>5480</v>
      </c>
      <c r="H133" s="1">
        <v>1</v>
      </c>
      <c r="I133" s="1">
        <v>5480</v>
      </c>
      <c r="J133" s="1">
        <v>1</v>
      </c>
      <c r="K133" s="1">
        <f t="shared" si="4"/>
        <v>822</v>
      </c>
      <c r="L133" s="6">
        <v>2691</v>
      </c>
      <c r="M133" s="6">
        <f t="shared" si="5"/>
        <v>2691</v>
      </c>
      <c r="N133" s="6">
        <f t="shared" si="6"/>
        <v>1967</v>
      </c>
      <c r="O133" s="8">
        <f t="shared" si="7"/>
        <v>0.35894160583941603</v>
      </c>
    </row>
    <row r="134" spans="1:15" ht="17" customHeight="1">
      <c r="A134" s="1" t="s">
        <v>2317</v>
      </c>
      <c r="C134" s="1" t="s">
        <v>2318</v>
      </c>
      <c r="D134" s="42" t="s">
        <v>2319</v>
      </c>
      <c r="E134" t="s">
        <v>2318</v>
      </c>
      <c r="G134" s="1">
        <v>2680</v>
      </c>
      <c r="H134" s="1">
        <v>2</v>
      </c>
      <c r="I134" s="1">
        <v>5360</v>
      </c>
      <c r="J134" s="1">
        <v>2</v>
      </c>
      <c r="K134" s="1">
        <f t="shared" si="4"/>
        <v>804</v>
      </c>
      <c r="L134" s="44"/>
      <c r="M134" s="6">
        <f t="shared" si="5"/>
        <v>0</v>
      </c>
      <c r="N134" s="6">
        <f t="shared" si="6"/>
        <v>4556</v>
      </c>
      <c r="O134" s="8">
        <f t="shared" si="7"/>
        <v>0.85</v>
      </c>
    </row>
    <row r="135" spans="1:15" ht="17" customHeight="1">
      <c r="A135" s="1" t="s">
        <v>338</v>
      </c>
      <c r="C135" s="1" t="s">
        <v>339</v>
      </c>
      <c r="D135" s="42" t="s">
        <v>340</v>
      </c>
      <c r="E135" t="s">
        <v>339</v>
      </c>
      <c r="G135" s="1">
        <v>1780</v>
      </c>
      <c r="H135" s="1">
        <v>3</v>
      </c>
      <c r="I135" s="1">
        <v>5340</v>
      </c>
      <c r="J135" s="1">
        <v>3</v>
      </c>
      <c r="K135" s="1">
        <f t="shared" si="4"/>
        <v>801</v>
      </c>
      <c r="L135" s="6">
        <v>730</v>
      </c>
      <c r="M135" s="6">
        <f t="shared" si="5"/>
        <v>2190</v>
      </c>
      <c r="N135" s="6">
        <f t="shared" si="6"/>
        <v>2349</v>
      </c>
      <c r="O135" s="8">
        <f t="shared" si="7"/>
        <v>0.43988764044943818</v>
      </c>
    </row>
    <row r="136" spans="1:15" ht="17" customHeight="1">
      <c r="A136" s="1" t="s">
        <v>482</v>
      </c>
      <c r="C136" s="1" t="s">
        <v>483</v>
      </c>
      <c r="D136" s="42" t="s">
        <v>484</v>
      </c>
      <c r="E136" t="s">
        <v>483</v>
      </c>
      <c r="G136" s="1">
        <v>1780</v>
      </c>
      <c r="H136" s="1">
        <v>3</v>
      </c>
      <c r="I136" s="1">
        <v>5340</v>
      </c>
      <c r="J136" s="1">
        <v>3</v>
      </c>
      <c r="K136" s="1">
        <f t="shared" ref="K136:K199" si="8">SUM(I136*0.15)</f>
        <v>801</v>
      </c>
      <c r="L136" s="6">
        <v>1596</v>
      </c>
      <c r="M136" s="6">
        <f t="shared" ref="M136:M199" si="9">SUM(H136*L136)</f>
        <v>4788</v>
      </c>
      <c r="N136" s="6">
        <f t="shared" ref="N136:N199" si="10">SUM(I136-K136-M136)</f>
        <v>-249</v>
      </c>
      <c r="O136" s="8">
        <f t="shared" ref="O136:O199" si="11">IF(I136=0,"",N136/I136)</f>
        <v>-4.6629213483146068E-2</v>
      </c>
    </row>
    <row r="137" spans="1:15" ht="17" customHeight="1">
      <c r="A137" s="1" t="s">
        <v>476</v>
      </c>
      <c r="B137" s="1"/>
      <c r="C137" s="1" t="s">
        <v>477</v>
      </c>
      <c r="D137" s="42" t="s">
        <v>478</v>
      </c>
      <c r="E137" s="1" t="s">
        <v>477</v>
      </c>
      <c r="G137" s="1">
        <v>5280</v>
      </c>
      <c r="H137" s="1">
        <v>1</v>
      </c>
      <c r="I137" s="1">
        <v>5280</v>
      </c>
      <c r="J137" s="1">
        <v>1</v>
      </c>
      <c r="K137" s="1">
        <f t="shared" si="8"/>
        <v>792</v>
      </c>
      <c r="L137" s="6">
        <v>2649</v>
      </c>
      <c r="M137" s="6">
        <f t="shared" si="9"/>
        <v>2649</v>
      </c>
      <c r="N137" s="6">
        <f t="shared" si="10"/>
        <v>1839</v>
      </c>
      <c r="O137" s="8">
        <f t="shared" si="11"/>
        <v>0.34829545454545452</v>
      </c>
    </row>
    <row r="138" spans="1:15" ht="17" customHeight="1">
      <c r="A138" s="1" t="s">
        <v>383</v>
      </c>
      <c r="C138" s="1" t="s">
        <v>384</v>
      </c>
      <c r="D138" s="42" t="s">
        <v>385</v>
      </c>
      <c r="E138" t="s">
        <v>386</v>
      </c>
      <c r="G138" s="1">
        <v>2580</v>
      </c>
      <c r="H138" s="1">
        <v>2</v>
      </c>
      <c r="I138" s="1">
        <v>5160</v>
      </c>
      <c r="J138" s="1">
        <v>2</v>
      </c>
      <c r="K138" s="1">
        <f t="shared" si="8"/>
        <v>774</v>
      </c>
      <c r="L138" s="6">
        <v>1272</v>
      </c>
      <c r="M138" s="6">
        <f t="shared" si="9"/>
        <v>2544</v>
      </c>
      <c r="N138" s="6">
        <f t="shared" si="10"/>
        <v>1842</v>
      </c>
      <c r="O138" s="8">
        <f t="shared" si="11"/>
        <v>0.35697674418604652</v>
      </c>
    </row>
    <row r="139" spans="1:15" ht="17" customHeight="1">
      <c r="A139" s="1" t="s">
        <v>2263</v>
      </c>
      <c r="B139" t="s">
        <v>125</v>
      </c>
      <c r="C139" s="1" t="s">
        <v>395</v>
      </c>
      <c r="D139" s="42" t="s">
        <v>396</v>
      </c>
      <c r="E139" t="s">
        <v>397</v>
      </c>
      <c r="G139" s="1">
        <v>1280</v>
      </c>
      <c r="H139" s="1">
        <v>4</v>
      </c>
      <c r="I139" s="1">
        <v>5120</v>
      </c>
      <c r="J139" s="1">
        <v>3</v>
      </c>
      <c r="K139" s="1">
        <f t="shared" si="8"/>
        <v>768</v>
      </c>
      <c r="L139" s="6">
        <v>504</v>
      </c>
      <c r="M139" s="6">
        <f t="shared" si="9"/>
        <v>2016</v>
      </c>
      <c r="N139" s="6">
        <f t="shared" si="10"/>
        <v>2336</v>
      </c>
      <c r="O139" s="8">
        <f t="shared" si="11"/>
        <v>0.45624999999999999</v>
      </c>
    </row>
    <row r="140" spans="1:15" ht="17" customHeight="1">
      <c r="A140" s="1" t="s">
        <v>894</v>
      </c>
      <c r="C140" s="1" t="s">
        <v>895</v>
      </c>
      <c r="D140" s="42" t="s">
        <v>896</v>
      </c>
      <c r="E140" t="s">
        <v>897</v>
      </c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15" ht="17" customHeight="1">
      <c r="A141" s="1" t="s">
        <v>2320</v>
      </c>
      <c r="C141" s="1" t="s">
        <v>2321</v>
      </c>
      <c r="D141" s="42" t="s">
        <v>2322</v>
      </c>
      <c r="E141" t="s">
        <v>2321</v>
      </c>
      <c r="G141" s="1">
        <v>4980</v>
      </c>
      <c r="H141" s="1">
        <v>1</v>
      </c>
      <c r="I141" s="1">
        <v>4980</v>
      </c>
      <c r="J141" s="1">
        <v>1</v>
      </c>
      <c r="K141" s="1">
        <f t="shared" si="8"/>
        <v>747</v>
      </c>
      <c r="L141" s="44"/>
      <c r="M141" s="6">
        <f t="shared" si="9"/>
        <v>0</v>
      </c>
      <c r="N141" s="6">
        <f t="shared" si="10"/>
        <v>4233</v>
      </c>
      <c r="O141" s="8">
        <f t="shared" si="11"/>
        <v>0.85</v>
      </c>
    </row>
    <row r="142" spans="1:15" ht="17" customHeight="1">
      <c r="A142" s="1" t="s">
        <v>759</v>
      </c>
      <c r="C142" s="1" t="s">
        <v>760</v>
      </c>
      <c r="D142" s="42" t="s">
        <v>761</v>
      </c>
      <c r="E142" t="s">
        <v>762</v>
      </c>
      <c r="G142" s="1">
        <v>2480</v>
      </c>
      <c r="H142" s="1">
        <v>2</v>
      </c>
      <c r="I142" s="1">
        <v>4960</v>
      </c>
      <c r="J142" s="1">
        <v>2</v>
      </c>
      <c r="K142" s="1">
        <f t="shared" si="8"/>
        <v>744</v>
      </c>
      <c r="L142" s="6">
        <v>1164</v>
      </c>
      <c r="M142" s="6">
        <f t="shared" si="9"/>
        <v>2328</v>
      </c>
      <c r="N142" s="6">
        <f t="shared" si="10"/>
        <v>1888</v>
      </c>
      <c r="O142" s="8">
        <f t="shared" si="11"/>
        <v>0.38064516129032255</v>
      </c>
    </row>
    <row r="143" spans="1:15" ht="17" customHeight="1">
      <c r="A143" s="1" t="s">
        <v>403</v>
      </c>
      <c r="C143" s="1" t="s">
        <v>404</v>
      </c>
      <c r="D143" s="42" t="s">
        <v>405</v>
      </c>
      <c r="E143" t="s">
        <v>404</v>
      </c>
      <c r="G143" s="1">
        <v>2480</v>
      </c>
      <c r="H143" s="1">
        <v>2</v>
      </c>
      <c r="I143" s="1">
        <v>4960</v>
      </c>
      <c r="J143" s="1">
        <v>2</v>
      </c>
      <c r="K143" s="1">
        <f t="shared" si="8"/>
        <v>744</v>
      </c>
      <c r="L143" s="6">
        <v>1356</v>
      </c>
      <c r="M143" s="6">
        <f t="shared" si="9"/>
        <v>2712</v>
      </c>
      <c r="N143" s="6">
        <f t="shared" si="10"/>
        <v>1504</v>
      </c>
      <c r="O143" s="8">
        <f t="shared" si="11"/>
        <v>0.3032258064516129</v>
      </c>
    </row>
    <row r="144" spans="1:15" ht="17" customHeight="1">
      <c r="A144" s="1" t="s">
        <v>510</v>
      </c>
      <c r="B144" s="1" t="s">
        <v>511</v>
      </c>
      <c r="C144" s="1">
        <v>4550391046508</v>
      </c>
      <c r="D144" s="42" t="s">
        <v>512</v>
      </c>
      <c r="E144" s="1" t="s">
        <v>513</v>
      </c>
      <c r="G144" s="1">
        <v>2480</v>
      </c>
      <c r="H144" s="1">
        <v>2</v>
      </c>
      <c r="I144" s="1">
        <v>4960</v>
      </c>
      <c r="J144" s="1">
        <v>2</v>
      </c>
      <c r="K144" s="1">
        <f t="shared" si="8"/>
        <v>744</v>
      </c>
      <c r="L144" s="6">
        <v>1130</v>
      </c>
      <c r="M144" s="6">
        <f t="shared" si="9"/>
        <v>2260</v>
      </c>
      <c r="N144" s="6">
        <f t="shared" si="10"/>
        <v>1956</v>
      </c>
      <c r="O144" s="8">
        <f t="shared" si="11"/>
        <v>0.39435483870967741</v>
      </c>
    </row>
    <row r="145" spans="1:15" ht="17" customHeight="1">
      <c r="A145" s="1" t="s">
        <v>2323</v>
      </c>
      <c r="C145" s="1" t="s">
        <v>2324</v>
      </c>
      <c r="D145" s="42" t="s">
        <v>2325</v>
      </c>
      <c r="E145" t="s">
        <v>2324</v>
      </c>
      <c r="G145" s="1">
        <v>2480</v>
      </c>
      <c r="H145" s="1">
        <v>2</v>
      </c>
      <c r="I145" s="1">
        <v>4960</v>
      </c>
      <c r="J145" s="1">
        <v>2</v>
      </c>
      <c r="K145" s="1">
        <f t="shared" si="8"/>
        <v>744</v>
      </c>
      <c r="L145" s="44"/>
      <c r="M145" s="6">
        <f t="shared" si="9"/>
        <v>0</v>
      </c>
      <c r="N145" s="6">
        <f t="shared" si="10"/>
        <v>4216</v>
      </c>
      <c r="O145" s="8">
        <f t="shared" si="11"/>
        <v>0.85</v>
      </c>
    </row>
    <row r="146" spans="1:15" ht="17" customHeight="1">
      <c r="A146" s="1" t="s">
        <v>207</v>
      </c>
      <c r="B146" s="1"/>
      <c r="C146" s="1" t="s">
        <v>208</v>
      </c>
      <c r="D146" s="42" t="s">
        <v>209</v>
      </c>
      <c r="E146" s="1" t="s">
        <v>208</v>
      </c>
      <c r="G146" s="1">
        <v>2380</v>
      </c>
      <c r="H146" s="1">
        <v>2</v>
      </c>
      <c r="I146" s="1">
        <v>4760</v>
      </c>
      <c r="J146" s="1">
        <v>2</v>
      </c>
      <c r="K146" s="1">
        <f t="shared" si="8"/>
        <v>714</v>
      </c>
      <c r="L146" s="6">
        <v>1140</v>
      </c>
      <c r="M146" s="6">
        <f t="shared" si="9"/>
        <v>2280</v>
      </c>
      <c r="N146" s="6">
        <f t="shared" si="10"/>
        <v>1766</v>
      </c>
      <c r="O146" s="8">
        <f t="shared" si="11"/>
        <v>0.37100840336134455</v>
      </c>
    </row>
    <row r="147" spans="1:15" ht="17" customHeight="1">
      <c r="A147" s="1" t="s">
        <v>175</v>
      </c>
      <c r="C147" s="1" t="s">
        <v>176</v>
      </c>
      <c r="D147" s="42" t="s">
        <v>177</v>
      </c>
      <c r="E147" t="s">
        <v>176</v>
      </c>
      <c r="G147" s="1">
        <v>1180</v>
      </c>
      <c r="H147" s="1">
        <v>4</v>
      </c>
      <c r="I147" s="1">
        <v>4720</v>
      </c>
      <c r="J147" s="1">
        <v>4</v>
      </c>
      <c r="K147" s="1">
        <f t="shared" si="8"/>
        <v>708</v>
      </c>
      <c r="L147" s="6">
        <v>396</v>
      </c>
      <c r="M147" s="6">
        <f t="shared" si="9"/>
        <v>1584</v>
      </c>
      <c r="N147" s="6">
        <f t="shared" si="10"/>
        <v>2428</v>
      </c>
      <c r="O147" s="8">
        <f t="shared" si="11"/>
        <v>0.514406779661017</v>
      </c>
    </row>
    <row r="148" spans="1:15" ht="17" customHeight="1">
      <c r="A148" s="1" t="s">
        <v>2326</v>
      </c>
      <c r="C148" s="1" t="s">
        <v>1511</v>
      </c>
      <c r="D148" s="42" t="s">
        <v>2327</v>
      </c>
      <c r="E148" t="s">
        <v>2328</v>
      </c>
      <c r="G148" s="1">
        <v>4580</v>
      </c>
      <c r="H148" s="1">
        <v>1</v>
      </c>
      <c r="I148" s="1">
        <v>4580</v>
      </c>
      <c r="J148" s="1">
        <v>1</v>
      </c>
      <c r="K148" s="1">
        <f t="shared" si="8"/>
        <v>687</v>
      </c>
      <c r="L148" s="6">
        <v>1760</v>
      </c>
      <c r="M148" s="6">
        <f t="shared" si="9"/>
        <v>1760</v>
      </c>
      <c r="N148" s="6">
        <f t="shared" si="10"/>
        <v>2133</v>
      </c>
      <c r="O148" s="8">
        <f t="shared" si="11"/>
        <v>0.46572052401746727</v>
      </c>
    </row>
    <row r="149" spans="1:15" ht="17" customHeight="1">
      <c r="A149" s="1" t="s">
        <v>1141</v>
      </c>
      <c r="C149" s="1" t="s">
        <v>1142</v>
      </c>
      <c r="D149" s="42">
        <v>4987176301604</v>
      </c>
      <c r="E149" t="s">
        <v>2329</v>
      </c>
      <c r="G149" s="1">
        <v>2280</v>
      </c>
      <c r="H149" s="1">
        <v>2</v>
      </c>
      <c r="I149" s="1">
        <v>4560</v>
      </c>
      <c r="J149" s="1">
        <v>2</v>
      </c>
      <c r="K149" s="1">
        <f t="shared" si="8"/>
        <v>684</v>
      </c>
      <c r="L149" s="6">
        <v>1429</v>
      </c>
      <c r="M149" s="6">
        <f t="shared" si="9"/>
        <v>2858</v>
      </c>
      <c r="N149" s="6">
        <f t="shared" si="10"/>
        <v>1018</v>
      </c>
      <c r="O149" s="8">
        <f t="shared" si="11"/>
        <v>0.22324561403508772</v>
      </c>
    </row>
    <row r="150" spans="1:15" ht="17" customHeight="1">
      <c r="A150" s="1" t="s">
        <v>422</v>
      </c>
      <c r="C150" s="1" t="s">
        <v>423</v>
      </c>
      <c r="D150" s="42" t="s">
        <v>424</v>
      </c>
      <c r="E150" t="s">
        <v>423</v>
      </c>
      <c r="G150" s="1">
        <v>2280</v>
      </c>
      <c r="H150" s="1">
        <v>2</v>
      </c>
      <c r="I150" s="1">
        <v>4560</v>
      </c>
      <c r="J150" s="1">
        <v>2</v>
      </c>
      <c r="K150" s="1">
        <f t="shared" si="8"/>
        <v>684</v>
      </c>
      <c r="L150" s="6">
        <v>1254</v>
      </c>
      <c r="M150" s="6">
        <f t="shared" si="9"/>
        <v>2508</v>
      </c>
      <c r="N150" s="6">
        <f t="shared" si="10"/>
        <v>1368</v>
      </c>
      <c r="O150" s="8">
        <f t="shared" si="11"/>
        <v>0.3</v>
      </c>
    </row>
    <row r="151" spans="1:15" ht="17" customHeight="1">
      <c r="A151" s="1" t="s">
        <v>216</v>
      </c>
      <c r="B151" s="1"/>
      <c r="C151" s="1" t="s">
        <v>217</v>
      </c>
      <c r="D151" s="42" t="s">
        <v>218</v>
      </c>
      <c r="E151" s="1" t="s">
        <v>217</v>
      </c>
      <c r="G151" s="1">
        <v>2280</v>
      </c>
      <c r="H151" s="1">
        <v>2</v>
      </c>
      <c r="I151" s="1">
        <v>4560</v>
      </c>
      <c r="J151" s="1">
        <v>2</v>
      </c>
      <c r="K151" s="1">
        <f t="shared" si="8"/>
        <v>684</v>
      </c>
      <c r="L151" s="6">
        <v>358</v>
      </c>
      <c r="M151" s="6">
        <f t="shared" si="9"/>
        <v>716</v>
      </c>
      <c r="N151" s="6">
        <f t="shared" si="10"/>
        <v>3160</v>
      </c>
      <c r="O151" s="8">
        <f t="shared" si="11"/>
        <v>0.69298245614035092</v>
      </c>
    </row>
    <row r="152" spans="1:15" ht="17" customHeight="1">
      <c r="A152" s="1" t="s">
        <v>969</v>
      </c>
      <c r="C152" s="1">
        <v>4550391012541</v>
      </c>
      <c r="D152" s="42" t="s">
        <v>2330</v>
      </c>
      <c r="E152">
        <v>4550391012541</v>
      </c>
      <c r="G152" s="1">
        <v>4480</v>
      </c>
      <c r="H152" s="1">
        <v>1</v>
      </c>
      <c r="I152" s="1">
        <v>4480</v>
      </c>
      <c r="J152" s="1">
        <v>1</v>
      </c>
      <c r="K152" s="1">
        <f t="shared" si="8"/>
        <v>672</v>
      </c>
      <c r="L152" s="44"/>
      <c r="M152" s="6">
        <f t="shared" si="9"/>
        <v>0</v>
      </c>
      <c r="N152" s="6">
        <f t="shared" si="10"/>
        <v>3808</v>
      </c>
      <c r="O152" s="8">
        <f t="shared" si="11"/>
        <v>0.85</v>
      </c>
    </row>
    <row r="153" spans="1:15" ht="17" customHeight="1">
      <c r="A153" s="1" t="s">
        <v>261</v>
      </c>
      <c r="C153" s="1" t="s">
        <v>262</v>
      </c>
      <c r="D153" s="42" t="s">
        <v>263</v>
      </c>
      <c r="E153" t="s">
        <v>262</v>
      </c>
      <c r="G153" s="1">
        <v>1480</v>
      </c>
      <c r="H153" s="1">
        <v>3</v>
      </c>
      <c r="I153" s="1">
        <v>4440</v>
      </c>
      <c r="J153" s="1">
        <v>3</v>
      </c>
      <c r="K153" s="1">
        <f t="shared" si="8"/>
        <v>666</v>
      </c>
      <c r="L153" s="6">
        <v>624</v>
      </c>
      <c r="M153" s="6">
        <f t="shared" si="9"/>
        <v>1872</v>
      </c>
      <c r="N153" s="6">
        <f t="shared" si="10"/>
        <v>1902</v>
      </c>
      <c r="O153" s="8">
        <f t="shared" si="11"/>
        <v>0.42837837837837839</v>
      </c>
    </row>
    <row r="154" spans="1:15" ht="17" customHeight="1">
      <c r="A154" s="1" t="s">
        <v>1363</v>
      </c>
      <c r="B154" s="1"/>
      <c r="C154" s="1" t="s">
        <v>1364</v>
      </c>
      <c r="D154" s="42" t="s">
        <v>2331</v>
      </c>
      <c r="E154" s="1" t="s">
        <v>1364</v>
      </c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828</v>
      </c>
      <c r="M154" s="6">
        <f t="shared" si="9"/>
        <v>2484</v>
      </c>
      <c r="N154" s="6">
        <f t="shared" si="10"/>
        <v>1290</v>
      </c>
      <c r="O154" s="8">
        <f t="shared" si="11"/>
        <v>0.29054054054054052</v>
      </c>
    </row>
    <row r="155" spans="1:15" ht="17" customHeight="1">
      <c r="A155" s="1" t="s">
        <v>2332</v>
      </c>
      <c r="C155" s="1" t="s">
        <v>2333</v>
      </c>
      <c r="D155" s="42" t="s">
        <v>2334</v>
      </c>
      <c r="E155" t="s">
        <v>2333</v>
      </c>
      <c r="G155" s="1">
        <v>4380</v>
      </c>
      <c r="H155" s="1">
        <v>1</v>
      </c>
      <c r="I155" s="1">
        <v>4380</v>
      </c>
      <c r="J155" s="1">
        <v>1</v>
      </c>
      <c r="K155" s="1">
        <f t="shared" si="8"/>
        <v>657</v>
      </c>
      <c r="L155" s="44"/>
      <c r="M155" s="6">
        <f t="shared" si="9"/>
        <v>0</v>
      </c>
      <c r="N155" s="6">
        <f t="shared" si="10"/>
        <v>3723</v>
      </c>
      <c r="O155" s="8">
        <f t="shared" si="11"/>
        <v>0.85</v>
      </c>
    </row>
    <row r="156" spans="1:15" ht="17" customHeight="1">
      <c r="A156" s="1" t="s">
        <v>346</v>
      </c>
      <c r="C156" s="1" t="s">
        <v>347</v>
      </c>
      <c r="D156" s="42" t="s">
        <v>348</v>
      </c>
      <c r="E156" t="s">
        <v>349</v>
      </c>
      <c r="G156" s="1">
        <v>4280</v>
      </c>
      <c r="H156" s="1">
        <v>1</v>
      </c>
      <c r="I156" s="1">
        <v>4280</v>
      </c>
      <c r="J156" s="1">
        <v>1</v>
      </c>
      <c r="K156" s="1">
        <f t="shared" si="8"/>
        <v>642</v>
      </c>
      <c r="L156" s="6">
        <v>1980</v>
      </c>
      <c r="M156" s="6">
        <f t="shared" si="9"/>
        <v>1980</v>
      </c>
      <c r="N156" s="6">
        <f t="shared" si="10"/>
        <v>1658</v>
      </c>
      <c r="O156" s="8">
        <f t="shared" si="11"/>
        <v>0.38738317757009344</v>
      </c>
    </row>
    <row r="157" spans="1:15" ht="17" customHeight="1">
      <c r="A157" s="1" t="s">
        <v>558</v>
      </c>
      <c r="B157" s="1"/>
      <c r="C157" s="1" t="s">
        <v>559</v>
      </c>
      <c r="D157" s="42" t="s">
        <v>560</v>
      </c>
      <c r="E157" s="1" t="s">
        <v>561</v>
      </c>
      <c r="G157" s="1">
        <v>4280</v>
      </c>
      <c r="H157" s="1">
        <v>1</v>
      </c>
      <c r="I157" s="1">
        <v>4280</v>
      </c>
      <c r="J157" s="1">
        <v>1</v>
      </c>
      <c r="K157" s="1">
        <f t="shared" si="8"/>
        <v>642</v>
      </c>
      <c r="L157" s="6">
        <v>2600</v>
      </c>
      <c r="M157" s="6">
        <f t="shared" si="9"/>
        <v>2600</v>
      </c>
      <c r="N157" s="6">
        <f t="shared" si="10"/>
        <v>1038</v>
      </c>
      <c r="O157" s="8">
        <f t="shared" si="11"/>
        <v>0.2425233644859813</v>
      </c>
    </row>
    <row r="158" spans="1:15" ht="17" customHeight="1">
      <c r="A158" s="1" t="s">
        <v>566</v>
      </c>
      <c r="C158" s="1" t="s">
        <v>567</v>
      </c>
      <c r="D158" s="42" t="s">
        <v>568</v>
      </c>
      <c r="E158" t="s">
        <v>567</v>
      </c>
      <c r="G158" s="1">
        <v>4218</v>
      </c>
      <c r="H158" s="1">
        <v>1</v>
      </c>
      <c r="I158" s="1">
        <v>4218</v>
      </c>
      <c r="J158" s="1">
        <v>1</v>
      </c>
      <c r="K158" s="1">
        <f t="shared" si="8"/>
        <v>632.69999999999993</v>
      </c>
      <c r="L158" s="6">
        <v>3460</v>
      </c>
      <c r="M158" s="6">
        <f t="shared" si="9"/>
        <v>3460</v>
      </c>
      <c r="N158" s="6">
        <f t="shared" si="10"/>
        <v>125.30000000000018</v>
      </c>
      <c r="O158" s="8">
        <f t="shared" si="11"/>
        <v>2.9706021811285014E-2</v>
      </c>
    </row>
    <row r="159" spans="1:15" ht="17" customHeight="1">
      <c r="A159" s="1" t="s">
        <v>672</v>
      </c>
      <c r="B159" s="1"/>
      <c r="C159" s="1" t="s">
        <v>673</v>
      </c>
      <c r="D159" s="42" t="s">
        <v>674</v>
      </c>
      <c r="E159" s="1" t="s">
        <v>675</v>
      </c>
      <c r="G159" s="1">
        <v>999</v>
      </c>
      <c r="H159" s="1">
        <v>4</v>
      </c>
      <c r="I159" s="1">
        <v>3996</v>
      </c>
      <c r="J159" s="1">
        <v>3</v>
      </c>
      <c r="K159" s="1">
        <f t="shared" si="8"/>
        <v>599.4</v>
      </c>
      <c r="L159" s="6">
        <v>598</v>
      </c>
      <c r="M159" s="6">
        <f t="shared" si="9"/>
        <v>2392</v>
      </c>
      <c r="N159" s="6">
        <f t="shared" si="10"/>
        <v>1004.5999999999999</v>
      </c>
      <c r="O159" s="8">
        <f t="shared" si="11"/>
        <v>0.25140140140140138</v>
      </c>
    </row>
    <row r="160" spans="1:15" ht="17" customHeight="1">
      <c r="A160" s="1" t="s">
        <v>1205</v>
      </c>
      <c r="C160" s="1" t="s">
        <v>1206</v>
      </c>
      <c r="D160" s="42">
        <v>9785</v>
      </c>
      <c r="E160" t="s">
        <v>1206</v>
      </c>
      <c r="G160" s="1">
        <v>3980</v>
      </c>
      <c r="H160" s="1">
        <v>1</v>
      </c>
      <c r="I160" s="1">
        <v>3980</v>
      </c>
      <c r="J160" s="1">
        <v>1</v>
      </c>
      <c r="K160" s="1">
        <f t="shared" si="8"/>
        <v>597</v>
      </c>
      <c r="L160" s="6">
        <v>9785</v>
      </c>
      <c r="M160" s="6">
        <f t="shared" si="9"/>
        <v>9785</v>
      </c>
      <c r="N160" s="6">
        <f t="shared" si="10"/>
        <v>-6402</v>
      </c>
      <c r="O160" s="8">
        <f t="shared" si="11"/>
        <v>-1.6085427135678392</v>
      </c>
    </row>
    <row r="161" spans="1:15" ht="17" customHeight="1">
      <c r="A161" s="1" t="s">
        <v>369</v>
      </c>
      <c r="C161" s="1" t="s">
        <v>370</v>
      </c>
      <c r="D161" s="42" t="s">
        <v>371</v>
      </c>
      <c r="E161" t="s">
        <v>370</v>
      </c>
      <c r="G161" s="1">
        <v>3980</v>
      </c>
      <c r="H161" s="1">
        <v>1</v>
      </c>
      <c r="I161" s="1">
        <v>3980</v>
      </c>
      <c r="J161" s="1">
        <v>1</v>
      </c>
      <c r="K161" s="1">
        <f t="shared" si="8"/>
        <v>597</v>
      </c>
      <c r="L161" s="6">
        <v>2160</v>
      </c>
      <c r="M161" s="6">
        <f t="shared" si="9"/>
        <v>2160</v>
      </c>
      <c r="N161" s="6">
        <f t="shared" si="10"/>
        <v>1223</v>
      </c>
      <c r="O161" s="8">
        <f t="shared" si="11"/>
        <v>0.30728643216080403</v>
      </c>
    </row>
    <row r="162" spans="1:15" ht="17" customHeight="1">
      <c r="A162" s="1" t="s">
        <v>1770</v>
      </c>
      <c r="C162" s="1" t="s">
        <v>1771</v>
      </c>
      <c r="D162" s="42" t="s">
        <v>2335</v>
      </c>
      <c r="E162" t="s">
        <v>2336</v>
      </c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2283</v>
      </c>
      <c r="M162" s="6">
        <f t="shared" si="9"/>
        <v>2283</v>
      </c>
      <c r="N162" s="6">
        <f t="shared" si="10"/>
        <v>1100</v>
      </c>
      <c r="O162" s="8">
        <f t="shared" si="11"/>
        <v>0.27638190954773867</v>
      </c>
    </row>
    <row r="163" spans="1:15" ht="17" customHeight="1">
      <c r="A163" s="1" t="s">
        <v>372</v>
      </c>
      <c r="C163" s="1" t="s">
        <v>373</v>
      </c>
      <c r="D163" s="42" t="s">
        <v>374</v>
      </c>
      <c r="E163" t="s">
        <v>373</v>
      </c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972</v>
      </c>
      <c r="M163" s="6">
        <f t="shared" si="9"/>
        <v>972</v>
      </c>
      <c r="N163" s="6">
        <f t="shared" si="10"/>
        <v>2411</v>
      </c>
      <c r="O163" s="8">
        <f t="shared" si="11"/>
        <v>0.60577889447236177</v>
      </c>
    </row>
    <row r="164" spans="1:15" ht="17" customHeight="1">
      <c r="A164" s="1" t="s">
        <v>583</v>
      </c>
      <c r="C164" s="1" t="s">
        <v>584</v>
      </c>
      <c r="D164" s="42" t="s">
        <v>585</v>
      </c>
      <c r="E164" t="s">
        <v>584</v>
      </c>
      <c r="G164" s="1">
        <v>3980</v>
      </c>
      <c r="H164" s="1">
        <v>1</v>
      </c>
      <c r="I164" s="1">
        <v>3980</v>
      </c>
      <c r="J164" s="1">
        <v>1</v>
      </c>
      <c r="K164" s="1">
        <f t="shared" si="8"/>
        <v>597</v>
      </c>
      <c r="L164" s="6">
        <v>1311</v>
      </c>
      <c r="M164" s="6">
        <f t="shared" si="9"/>
        <v>1311</v>
      </c>
      <c r="N164" s="6">
        <f t="shared" si="10"/>
        <v>2072</v>
      </c>
      <c r="O164" s="8">
        <f t="shared" si="11"/>
        <v>0.52060301507537687</v>
      </c>
    </row>
    <row r="165" spans="1:15" ht="17" customHeight="1">
      <c r="A165" s="1" t="s">
        <v>244</v>
      </c>
      <c r="C165" s="1" t="s">
        <v>245</v>
      </c>
      <c r="D165" s="42" t="s">
        <v>246</v>
      </c>
      <c r="E165" t="s">
        <v>245</v>
      </c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1534</v>
      </c>
      <c r="M165" s="6">
        <f t="shared" si="9"/>
        <v>1534</v>
      </c>
      <c r="N165" s="6">
        <f t="shared" si="10"/>
        <v>1849</v>
      </c>
      <c r="O165" s="8">
        <f t="shared" si="11"/>
        <v>0.46457286432160805</v>
      </c>
    </row>
    <row r="166" spans="1:15" ht="17" customHeight="1">
      <c r="A166" s="1" t="s">
        <v>2083</v>
      </c>
      <c r="C166" s="1" t="s">
        <v>2084</v>
      </c>
      <c r="D166" s="42" t="s">
        <v>2085</v>
      </c>
      <c r="E166" t="s">
        <v>2084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2345</v>
      </c>
      <c r="M166" s="6">
        <f t="shared" si="9"/>
        <v>2345</v>
      </c>
      <c r="N166" s="6">
        <f t="shared" si="10"/>
        <v>1038</v>
      </c>
      <c r="O166" s="8">
        <f t="shared" si="11"/>
        <v>0.26080402010050252</v>
      </c>
    </row>
    <row r="167" spans="1:15" ht="17" customHeight="1">
      <c r="A167" s="1" t="s">
        <v>2337</v>
      </c>
      <c r="C167" s="1" t="s">
        <v>2338</v>
      </c>
      <c r="D167" s="42" t="s">
        <v>2339</v>
      </c>
      <c r="E167" t="s">
        <v>2338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2430</v>
      </c>
      <c r="M167" s="6">
        <f t="shared" si="9"/>
        <v>2430</v>
      </c>
      <c r="N167" s="6">
        <f t="shared" si="10"/>
        <v>953</v>
      </c>
      <c r="O167" s="8">
        <f t="shared" si="11"/>
        <v>0.23944723618090452</v>
      </c>
    </row>
    <row r="168" spans="1:15" ht="17" customHeight="1">
      <c r="A168" s="1" t="s">
        <v>2340</v>
      </c>
      <c r="B168" s="1"/>
      <c r="C168" s="1" t="s">
        <v>2341</v>
      </c>
      <c r="D168" s="42" t="s">
        <v>2342</v>
      </c>
      <c r="E168" s="1" t="s">
        <v>2341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2323</v>
      </c>
      <c r="M168" s="6">
        <f t="shared" si="9"/>
        <v>2323</v>
      </c>
      <c r="N168" s="6">
        <f t="shared" si="10"/>
        <v>1060</v>
      </c>
      <c r="O168" s="8">
        <f t="shared" si="11"/>
        <v>0.26633165829145727</v>
      </c>
    </row>
    <row r="169" spans="1:15" ht="17" customHeight="1">
      <c r="A169" s="1" t="s">
        <v>2343</v>
      </c>
      <c r="B169" s="1"/>
      <c r="C169" s="1" t="s">
        <v>2344</v>
      </c>
      <c r="D169" s="42" t="s">
        <v>2345</v>
      </c>
      <c r="E169" s="1" t="s">
        <v>2344</v>
      </c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2126</v>
      </c>
      <c r="M169" s="6">
        <f t="shared" si="9"/>
        <v>2126</v>
      </c>
      <c r="N169" s="6">
        <f t="shared" si="10"/>
        <v>1257</v>
      </c>
      <c r="O169" s="8">
        <f t="shared" si="11"/>
        <v>0.31582914572864323</v>
      </c>
    </row>
    <row r="170" spans="1:15" ht="17" customHeight="1">
      <c r="A170" s="1" t="s">
        <v>594</v>
      </c>
      <c r="C170" s="1" t="s">
        <v>595</v>
      </c>
      <c r="D170" s="42" t="s">
        <v>596</v>
      </c>
      <c r="E170" t="s">
        <v>597</v>
      </c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>
        <v>1542</v>
      </c>
      <c r="M170" s="6">
        <f t="shared" si="9"/>
        <v>1542</v>
      </c>
      <c r="N170" s="6">
        <f t="shared" si="10"/>
        <v>1841</v>
      </c>
      <c r="O170" s="8">
        <f t="shared" si="11"/>
        <v>0.46256281407035177</v>
      </c>
    </row>
    <row r="171" spans="1:15" ht="17" customHeight="1">
      <c r="A171" s="1" t="s">
        <v>603</v>
      </c>
      <c r="B171" s="1"/>
      <c r="C171" s="1" t="s">
        <v>604</v>
      </c>
      <c r="D171" s="42" t="s">
        <v>605</v>
      </c>
      <c r="E171" s="1" t="s">
        <v>604</v>
      </c>
      <c r="G171" s="1">
        <v>3980</v>
      </c>
      <c r="H171" s="1">
        <v>1</v>
      </c>
      <c r="I171" s="1">
        <v>3980</v>
      </c>
      <c r="J171" s="1">
        <v>1</v>
      </c>
      <c r="K171" s="1">
        <f t="shared" si="8"/>
        <v>597</v>
      </c>
      <c r="L171" s="6">
        <v>2211</v>
      </c>
      <c r="M171" s="6">
        <f t="shared" si="9"/>
        <v>2211</v>
      </c>
      <c r="N171" s="6">
        <f t="shared" si="10"/>
        <v>1172</v>
      </c>
      <c r="O171" s="8">
        <f t="shared" si="11"/>
        <v>0.29447236180904524</v>
      </c>
    </row>
    <row r="172" spans="1:15" ht="17" customHeight="1">
      <c r="A172" s="1" t="s">
        <v>2346</v>
      </c>
      <c r="C172" s="1" t="s">
        <v>2347</v>
      </c>
      <c r="D172" s="42">
        <v>194644121297</v>
      </c>
      <c r="E172" t="s">
        <v>2347</v>
      </c>
      <c r="G172" s="1">
        <v>3980</v>
      </c>
      <c r="H172" s="1">
        <v>1</v>
      </c>
      <c r="I172" s="1">
        <v>3980</v>
      </c>
      <c r="J172" s="1">
        <v>1</v>
      </c>
      <c r="K172" s="1">
        <f t="shared" si="8"/>
        <v>597</v>
      </c>
      <c r="L172" s="6">
        <v>2190</v>
      </c>
      <c r="M172" s="6">
        <f t="shared" si="9"/>
        <v>2190</v>
      </c>
      <c r="N172" s="6">
        <f t="shared" si="10"/>
        <v>1193</v>
      </c>
      <c r="O172" s="8">
        <f t="shared" si="11"/>
        <v>0.29974874371859295</v>
      </c>
    </row>
    <row r="173" spans="1:15" ht="17" customHeight="1">
      <c r="A173" s="1" t="s">
        <v>253</v>
      </c>
      <c r="C173" s="1" t="s">
        <v>254</v>
      </c>
      <c r="D173" s="42" t="s">
        <v>255</v>
      </c>
      <c r="E173" t="s">
        <v>254</v>
      </c>
      <c r="G173" s="1">
        <v>3980</v>
      </c>
      <c r="H173" s="1">
        <v>1</v>
      </c>
      <c r="I173" s="1">
        <v>3980</v>
      </c>
      <c r="J173" s="1">
        <v>1</v>
      </c>
      <c r="K173" s="1">
        <f t="shared" si="8"/>
        <v>597</v>
      </c>
      <c r="L173" s="6">
        <v>1542</v>
      </c>
      <c r="M173" s="6">
        <f t="shared" si="9"/>
        <v>1542</v>
      </c>
      <c r="N173" s="6">
        <f t="shared" si="10"/>
        <v>1841</v>
      </c>
      <c r="O173" s="8">
        <f t="shared" si="11"/>
        <v>0.46256281407035177</v>
      </c>
    </row>
    <row r="174" spans="1:15" ht="17" customHeight="1">
      <c r="A174" s="1" t="s">
        <v>2164</v>
      </c>
      <c r="C174" s="1" t="s">
        <v>1444</v>
      </c>
      <c r="D174" s="42" t="s">
        <v>2348</v>
      </c>
      <c r="E174" t="s">
        <v>1444</v>
      </c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44"/>
      <c r="M174" s="6">
        <f t="shared" si="9"/>
        <v>0</v>
      </c>
      <c r="N174" s="6">
        <f t="shared" si="10"/>
        <v>3366</v>
      </c>
      <c r="O174" s="8">
        <f t="shared" si="11"/>
        <v>0.85</v>
      </c>
    </row>
    <row r="175" spans="1:15" ht="17" customHeight="1">
      <c r="A175" s="1" t="s">
        <v>2010</v>
      </c>
      <c r="C175" s="1" t="s">
        <v>2011</v>
      </c>
      <c r="D175" s="42" t="s">
        <v>2349</v>
      </c>
      <c r="E175" t="s">
        <v>2011</v>
      </c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44"/>
      <c r="M175" s="6">
        <f t="shared" si="9"/>
        <v>0</v>
      </c>
      <c r="N175" s="6">
        <f t="shared" si="10"/>
        <v>3366</v>
      </c>
      <c r="O175" s="8">
        <f t="shared" si="11"/>
        <v>0.85</v>
      </c>
    </row>
    <row r="176" spans="1:15" ht="17" customHeight="1">
      <c r="A176" s="1" t="s">
        <v>615</v>
      </c>
      <c r="C176" s="1" t="s">
        <v>616</v>
      </c>
      <c r="D176" s="42" t="s">
        <v>617</v>
      </c>
      <c r="E176" t="s">
        <v>616</v>
      </c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533</v>
      </c>
      <c r="M176" s="6">
        <f t="shared" si="9"/>
        <v>1066</v>
      </c>
      <c r="N176" s="6">
        <f t="shared" si="10"/>
        <v>2300</v>
      </c>
      <c r="O176" s="8">
        <f t="shared" si="11"/>
        <v>0.58080808080808077</v>
      </c>
    </row>
    <row r="177" spans="1:15" ht="17" customHeight="1">
      <c r="A177" s="1" t="s">
        <v>848</v>
      </c>
      <c r="C177" s="1" t="s">
        <v>849</v>
      </c>
      <c r="D177" s="42" t="s">
        <v>850</v>
      </c>
      <c r="E177" t="s">
        <v>849</v>
      </c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1086</v>
      </c>
      <c r="M177" s="6">
        <f t="shared" si="9"/>
        <v>2172</v>
      </c>
      <c r="N177" s="6">
        <f t="shared" si="10"/>
        <v>1194</v>
      </c>
      <c r="O177" s="8">
        <f t="shared" si="11"/>
        <v>0.30151515151515151</v>
      </c>
    </row>
    <row r="178" spans="1:15" ht="17" customHeight="1">
      <c r="A178" s="1" t="s">
        <v>2350</v>
      </c>
      <c r="C178" s="1" t="s">
        <v>2351</v>
      </c>
      <c r="D178" s="42" t="s">
        <v>2352</v>
      </c>
      <c r="E178" t="s">
        <v>2351</v>
      </c>
      <c r="G178" s="1">
        <v>1980</v>
      </c>
      <c r="H178" s="1">
        <v>2</v>
      </c>
      <c r="I178" s="1">
        <v>3960</v>
      </c>
      <c r="J178" s="1">
        <v>1</v>
      </c>
      <c r="K178" s="1">
        <f t="shared" si="8"/>
        <v>594</v>
      </c>
      <c r="L178" s="6">
        <v>1152</v>
      </c>
      <c r="M178" s="6">
        <f t="shared" si="9"/>
        <v>2304</v>
      </c>
      <c r="N178" s="6">
        <f t="shared" si="10"/>
        <v>1062</v>
      </c>
      <c r="O178" s="8">
        <f t="shared" si="11"/>
        <v>0.26818181818181819</v>
      </c>
    </row>
    <row r="179" spans="1:15" ht="17" customHeight="1">
      <c r="A179" s="1" t="s">
        <v>267</v>
      </c>
      <c r="B179" t="s">
        <v>268</v>
      </c>
      <c r="C179" s="1" t="s">
        <v>269</v>
      </c>
      <c r="D179" s="42" t="s">
        <v>270</v>
      </c>
      <c r="E179" t="s">
        <v>271</v>
      </c>
      <c r="G179" s="1">
        <v>3780</v>
      </c>
      <c r="H179" s="1">
        <v>1</v>
      </c>
      <c r="I179" s="1">
        <v>3780</v>
      </c>
      <c r="J179" s="1">
        <v>1</v>
      </c>
      <c r="K179" s="1">
        <f t="shared" si="8"/>
        <v>567</v>
      </c>
      <c r="L179" s="6">
        <v>2191</v>
      </c>
      <c r="M179" s="6">
        <f t="shared" si="9"/>
        <v>2191</v>
      </c>
      <c r="N179" s="6">
        <f t="shared" si="10"/>
        <v>1022</v>
      </c>
      <c r="O179" s="8">
        <f t="shared" si="11"/>
        <v>0.27037037037037037</v>
      </c>
    </row>
    <row r="180" spans="1:15" ht="17" customHeight="1">
      <c r="A180" s="1" t="s">
        <v>630</v>
      </c>
      <c r="C180" s="1" t="s">
        <v>631</v>
      </c>
      <c r="D180" s="42">
        <v>4382</v>
      </c>
      <c r="E180" t="s">
        <v>631</v>
      </c>
      <c r="G180" s="1">
        <v>3580</v>
      </c>
      <c r="H180" s="1">
        <v>1</v>
      </c>
      <c r="I180" s="1">
        <v>3580</v>
      </c>
      <c r="J180" s="1">
        <v>1</v>
      </c>
      <c r="K180" s="1">
        <f t="shared" si="8"/>
        <v>537</v>
      </c>
      <c r="L180" s="6">
        <v>4382</v>
      </c>
      <c r="M180" s="6">
        <f t="shared" si="9"/>
        <v>4382</v>
      </c>
      <c r="N180" s="6">
        <f t="shared" si="10"/>
        <v>-1339</v>
      </c>
      <c r="O180" s="8">
        <f t="shared" si="11"/>
        <v>-0.37402234636871506</v>
      </c>
    </row>
    <row r="181" spans="1:15" ht="17" customHeight="1">
      <c r="A181" s="1" t="s">
        <v>2353</v>
      </c>
      <c r="C181" s="1" t="s">
        <v>2354</v>
      </c>
      <c r="D181" s="42" t="s">
        <v>2355</v>
      </c>
      <c r="E181" t="s">
        <v>2354</v>
      </c>
      <c r="G181" s="1">
        <v>3580</v>
      </c>
      <c r="H181" s="1">
        <v>1</v>
      </c>
      <c r="I181" s="1">
        <v>3580</v>
      </c>
      <c r="J181" s="1">
        <v>1</v>
      </c>
      <c r="K181" s="1">
        <f t="shared" si="8"/>
        <v>537</v>
      </c>
      <c r="L181" s="6">
        <v>1999</v>
      </c>
      <c r="M181" s="6">
        <f t="shared" si="9"/>
        <v>1999</v>
      </c>
      <c r="N181" s="6">
        <f t="shared" si="10"/>
        <v>1044</v>
      </c>
      <c r="O181" s="8">
        <f t="shared" si="11"/>
        <v>0.2916201117318436</v>
      </c>
    </row>
    <row r="182" spans="1:15" ht="17" customHeight="1">
      <c r="A182" s="1" t="s">
        <v>878</v>
      </c>
      <c r="C182" s="1" t="s">
        <v>879</v>
      </c>
      <c r="D182" s="42" t="s">
        <v>880</v>
      </c>
      <c r="E182" t="s">
        <v>879</v>
      </c>
      <c r="G182" s="1">
        <v>1780</v>
      </c>
      <c r="H182" s="1">
        <v>2</v>
      </c>
      <c r="I182" s="1">
        <v>3560</v>
      </c>
      <c r="J182" s="1">
        <v>2</v>
      </c>
      <c r="K182" s="1">
        <f t="shared" si="8"/>
        <v>534</v>
      </c>
      <c r="L182" s="6">
        <v>874</v>
      </c>
      <c r="M182" s="6">
        <f t="shared" si="9"/>
        <v>1748</v>
      </c>
      <c r="N182" s="6">
        <f t="shared" si="10"/>
        <v>1278</v>
      </c>
      <c r="O182" s="8">
        <f t="shared" si="11"/>
        <v>0.35898876404494384</v>
      </c>
    </row>
    <row r="183" spans="1:15" ht="17" customHeight="1">
      <c r="A183" s="1" t="s">
        <v>2356</v>
      </c>
      <c r="C183" s="1" t="s">
        <v>2357</v>
      </c>
      <c r="D183" s="42" t="s">
        <v>2357</v>
      </c>
      <c r="E183" t="s">
        <v>2357</v>
      </c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44"/>
      <c r="M183" s="6">
        <f t="shared" si="9"/>
        <v>0</v>
      </c>
      <c r="N183" s="6">
        <f t="shared" si="10"/>
        <v>3026</v>
      </c>
      <c r="O183" s="8">
        <f t="shared" si="11"/>
        <v>0.85</v>
      </c>
    </row>
    <row r="184" spans="1:15" ht="17" customHeight="1">
      <c r="A184" s="1" t="s">
        <v>636</v>
      </c>
      <c r="B184" t="s">
        <v>2358</v>
      </c>
      <c r="C184" s="1" t="s">
        <v>638</v>
      </c>
      <c r="D184" s="42" t="s">
        <v>639</v>
      </c>
      <c r="E184" t="s">
        <v>2359</v>
      </c>
      <c r="G184" s="1">
        <v>1780</v>
      </c>
      <c r="H184" s="1">
        <v>2</v>
      </c>
      <c r="I184" s="1">
        <v>3560</v>
      </c>
      <c r="J184" s="1">
        <v>2</v>
      </c>
      <c r="K184" s="1">
        <f t="shared" si="8"/>
        <v>534</v>
      </c>
      <c r="L184" s="6">
        <v>629</v>
      </c>
      <c r="M184" s="6">
        <f t="shared" si="9"/>
        <v>1258</v>
      </c>
      <c r="N184" s="6">
        <f t="shared" si="10"/>
        <v>1768</v>
      </c>
      <c r="O184" s="8">
        <f t="shared" si="11"/>
        <v>0.49662921348314609</v>
      </c>
    </row>
    <row r="185" spans="1:15" ht="17" customHeight="1">
      <c r="A185" s="1" t="s">
        <v>643</v>
      </c>
      <c r="C185" s="1" t="s">
        <v>644</v>
      </c>
      <c r="D185" s="42" t="s">
        <v>645</v>
      </c>
      <c r="E185" t="s">
        <v>644</v>
      </c>
      <c r="G185" s="1">
        <v>3480</v>
      </c>
      <c r="H185" s="1">
        <v>1</v>
      </c>
      <c r="I185" s="1">
        <v>3480</v>
      </c>
      <c r="J185" s="1">
        <v>1</v>
      </c>
      <c r="K185" s="1">
        <f t="shared" si="8"/>
        <v>522</v>
      </c>
      <c r="L185" s="6">
        <v>1560</v>
      </c>
      <c r="M185" s="6">
        <f t="shared" si="9"/>
        <v>1560</v>
      </c>
      <c r="N185" s="6">
        <f t="shared" si="10"/>
        <v>1398</v>
      </c>
      <c r="O185" s="8">
        <f t="shared" si="11"/>
        <v>0.40172413793103451</v>
      </c>
    </row>
    <row r="186" spans="1:15" ht="17" customHeight="1">
      <c r="A186" s="1" t="s">
        <v>2360</v>
      </c>
      <c r="C186" s="1" t="s">
        <v>2361</v>
      </c>
      <c r="D186" s="42" t="s">
        <v>2362</v>
      </c>
      <c r="E186" t="s">
        <v>2361</v>
      </c>
      <c r="G186" s="1">
        <v>3480</v>
      </c>
      <c r="H186" s="1">
        <v>1</v>
      </c>
      <c r="I186" s="1">
        <v>3480</v>
      </c>
      <c r="J186" s="1">
        <v>1</v>
      </c>
      <c r="K186" s="1">
        <f t="shared" si="8"/>
        <v>522</v>
      </c>
      <c r="L186" s="44"/>
      <c r="M186" s="6">
        <f t="shared" si="9"/>
        <v>0</v>
      </c>
      <c r="N186" s="6">
        <f t="shared" si="10"/>
        <v>2958</v>
      </c>
      <c r="O186" s="8">
        <f t="shared" si="11"/>
        <v>0.85</v>
      </c>
    </row>
    <row r="187" spans="1:15" ht="17" customHeight="1">
      <c r="A187" s="1" t="s">
        <v>2090</v>
      </c>
      <c r="C187" s="1" t="s">
        <v>2091</v>
      </c>
      <c r="D187" s="42">
        <v>9761</v>
      </c>
      <c r="E187" t="s">
        <v>2091</v>
      </c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9761</v>
      </c>
      <c r="M187" s="6">
        <f t="shared" si="9"/>
        <v>9761</v>
      </c>
      <c r="N187" s="6">
        <f t="shared" si="10"/>
        <v>-6803</v>
      </c>
      <c r="O187" s="8">
        <f t="shared" si="11"/>
        <v>-1.9548850574712644</v>
      </c>
    </row>
    <row r="188" spans="1:15" ht="17" customHeight="1">
      <c r="A188" s="1" t="s">
        <v>350</v>
      </c>
      <c r="C188" s="1" t="s">
        <v>351</v>
      </c>
      <c r="D188" s="42" t="s">
        <v>352</v>
      </c>
      <c r="E188" t="s">
        <v>353</v>
      </c>
      <c r="G188" s="1">
        <v>1680</v>
      </c>
      <c r="H188" s="1">
        <v>2</v>
      </c>
      <c r="I188" s="1">
        <v>3360</v>
      </c>
      <c r="J188" s="1">
        <v>1</v>
      </c>
      <c r="K188" s="1">
        <f t="shared" si="8"/>
        <v>504</v>
      </c>
      <c r="L188" s="6">
        <v>980</v>
      </c>
      <c r="M188" s="6">
        <f t="shared" si="9"/>
        <v>1960</v>
      </c>
      <c r="N188" s="6">
        <f t="shared" si="10"/>
        <v>896</v>
      </c>
      <c r="O188" s="8">
        <f t="shared" si="11"/>
        <v>0.26666666666666666</v>
      </c>
    </row>
    <row r="189" spans="1:15" ht="17" customHeight="1">
      <c r="A189" s="1" t="s">
        <v>2102</v>
      </c>
      <c r="B189" s="1"/>
      <c r="C189" s="1" t="s">
        <v>2103</v>
      </c>
      <c r="D189" s="42" t="s">
        <v>2104</v>
      </c>
      <c r="E189" s="1" t="s">
        <v>2103</v>
      </c>
      <c r="G189" s="1">
        <v>3280</v>
      </c>
      <c r="H189" s="1">
        <v>1</v>
      </c>
      <c r="I189" s="1">
        <v>3280</v>
      </c>
      <c r="J189" s="1">
        <v>1</v>
      </c>
      <c r="K189" s="1">
        <f t="shared" si="8"/>
        <v>492</v>
      </c>
      <c r="L189" s="6">
        <v>330</v>
      </c>
      <c r="M189" s="6">
        <f t="shared" si="9"/>
        <v>330</v>
      </c>
      <c r="N189" s="6">
        <f t="shared" si="10"/>
        <v>2458</v>
      </c>
      <c r="O189" s="8">
        <f t="shared" si="11"/>
        <v>0.74939024390243902</v>
      </c>
    </row>
    <row r="190" spans="1:15" ht="17" customHeight="1">
      <c r="A190" s="1" t="s">
        <v>2095</v>
      </c>
      <c r="C190" s="1" t="s">
        <v>2096</v>
      </c>
      <c r="D190" s="42" t="s">
        <v>2363</v>
      </c>
      <c r="E190" t="s">
        <v>2096</v>
      </c>
      <c r="G190" s="1">
        <v>1630</v>
      </c>
      <c r="H190" s="1">
        <v>2</v>
      </c>
      <c r="I190" s="1">
        <v>3260</v>
      </c>
      <c r="J190" s="1">
        <v>2</v>
      </c>
      <c r="K190" s="1">
        <f t="shared" si="8"/>
        <v>489</v>
      </c>
      <c r="L190" s="6">
        <v>768</v>
      </c>
      <c r="M190" s="6">
        <f t="shared" si="9"/>
        <v>1536</v>
      </c>
      <c r="N190" s="6">
        <f t="shared" si="10"/>
        <v>1235</v>
      </c>
      <c r="O190" s="8">
        <f t="shared" si="11"/>
        <v>0.37883435582822084</v>
      </c>
    </row>
    <row r="191" spans="1:15" ht="17" customHeight="1">
      <c r="A191" s="1" t="s">
        <v>900</v>
      </c>
      <c r="C191" s="1" t="s">
        <v>781</v>
      </c>
      <c r="D191" s="42">
        <v>720</v>
      </c>
      <c r="E191" t="s">
        <v>781</v>
      </c>
      <c r="G191" s="1">
        <v>1580</v>
      </c>
      <c r="H191" s="1">
        <v>2</v>
      </c>
      <c r="I191" s="1">
        <v>3160</v>
      </c>
      <c r="J191" s="1">
        <v>1</v>
      </c>
      <c r="K191" s="1">
        <f t="shared" si="8"/>
        <v>474</v>
      </c>
      <c r="L191" s="6">
        <v>720</v>
      </c>
      <c r="M191" s="6">
        <f t="shared" si="9"/>
        <v>1440</v>
      </c>
      <c r="N191" s="6">
        <f t="shared" si="10"/>
        <v>1246</v>
      </c>
      <c r="O191" s="8">
        <f t="shared" si="11"/>
        <v>0.39430379746835442</v>
      </c>
    </row>
    <row r="192" spans="1:15" ht="17" customHeight="1">
      <c r="A192" s="1" t="s">
        <v>538</v>
      </c>
      <c r="C192" s="1" t="s">
        <v>539</v>
      </c>
      <c r="D192" s="42" t="s">
        <v>540</v>
      </c>
      <c r="E192" t="s">
        <v>539</v>
      </c>
      <c r="G192" s="1">
        <v>1580</v>
      </c>
      <c r="H192" s="1">
        <v>2</v>
      </c>
      <c r="I192" s="1">
        <v>3160</v>
      </c>
      <c r="J192" s="1">
        <v>2</v>
      </c>
      <c r="K192" s="1">
        <f t="shared" si="8"/>
        <v>474</v>
      </c>
      <c r="L192" s="6">
        <v>1011</v>
      </c>
      <c r="M192" s="6">
        <f t="shared" si="9"/>
        <v>2022</v>
      </c>
      <c r="N192" s="6">
        <f t="shared" si="10"/>
        <v>664</v>
      </c>
      <c r="O192" s="8">
        <f t="shared" si="11"/>
        <v>0.21012658227848102</v>
      </c>
    </row>
    <row r="193" spans="1:15" ht="17" customHeight="1">
      <c r="A193" s="1" t="s">
        <v>2364</v>
      </c>
      <c r="C193" s="1" t="s">
        <v>2365</v>
      </c>
      <c r="D193" s="42" t="s">
        <v>2366</v>
      </c>
      <c r="E193" t="s">
        <v>2367</v>
      </c>
      <c r="G193" s="1">
        <v>2980</v>
      </c>
      <c r="H193" s="1">
        <v>1</v>
      </c>
      <c r="I193" s="1">
        <v>2980</v>
      </c>
      <c r="J193" s="1">
        <v>1</v>
      </c>
      <c r="K193" s="1">
        <f t="shared" si="8"/>
        <v>447</v>
      </c>
      <c r="L193" s="44"/>
      <c r="M193" s="6">
        <f t="shared" si="9"/>
        <v>0</v>
      </c>
      <c r="N193" s="6">
        <f t="shared" si="10"/>
        <v>2533</v>
      </c>
      <c r="O193" s="8">
        <f t="shared" si="11"/>
        <v>0.85</v>
      </c>
    </row>
    <row r="194" spans="1:15" ht="17" customHeight="1">
      <c r="A194" s="1" t="s">
        <v>685</v>
      </c>
      <c r="C194" s="1" t="s">
        <v>686</v>
      </c>
      <c r="D194" s="42" t="s">
        <v>687</v>
      </c>
      <c r="E194" t="s">
        <v>688</v>
      </c>
      <c r="G194" s="1">
        <v>2980</v>
      </c>
      <c r="H194" s="1">
        <v>1</v>
      </c>
      <c r="I194" s="1">
        <v>2980</v>
      </c>
      <c r="J194" s="1">
        <v>1</v>
      </c>
      <c r="K194" s="1">
        <f t="shared" si="8"/>
        <v>447</v>
      </c>
      <c r="L194" s="6">
        <v>1736</v>
      </c>
      <c r="M194" s="6">
        <f t="shared" si="9"/>
        <v>1736</v>
      </c>
      <c r="N194" s="6">
        <f t="shared" si="10"/>
        <v>797</v>
      </c>
      <c r="O194" s="8">
        <f t="shared" si="11"/>
        <v>0.26744966442953022</v>
      </c>
    </row>
    <row r="195" spans="1:15" ht="17" customHeight="1">
      <c r="A195" s="1" t="s">
        <v>689</v>
      </c>
      <c r="B195" s="1"/>
      <c r="C195" s="1" t="s">
        <v>690</v>
      </c>
      <c r="D195" s="42" t="s">
        <v>691</v>
      </c>
      <c r="E195" s="1" t="s">
        <v>690</v>
      </c>
      <c r="G195" s="1">
        <v>2980</v>
      </c>
      <c r="H195" s="1">
        <v>1</v>
      </c>
      <c r="I195" s="1">
        <v>2980</v>
      </c>
      <c r="J195" s="1">
        <v>1</v>
      </c>
      <c r="K195" s="1">
        <f t="shared" si="8"/>
        <v>447</v>
      </c>
      <c r="L195" s="6">
        <v>935</v>
      </c>
      <c r="M195" s="6">
        <f t="shared" si="9"/>
        <v>935</v>
      </c>
      <c r="N195" s="6">
        <f t="shared" si="10"/>
        <v>1598</v>
      </c>
      <c r="O195" s="8">
        <f t="shared" si="11"/>
        <v>0.53624161073825505</v>
      </c>
    </row>
    <row r="196" spans="1:15" ht="17" customHeight="1">
      <c r="A196" s="1" t="s">
        <v>2368</v>
      </c>
      <c r="C196" s="1" t="s">
        <v>2369</v>
      </c>
      <c r="D196" s="42" t="s">
        <v>2370</v>
      </c>
      <c r="E196" t="s">
        <v>2371</v>
      </c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1736</v>
      </c>
      <c r="M196" s="6">
        <f t="shared" si="9"/>
        <v>1736</v>
      </c>
      <c r="N196" s="6">
        <f t="shared" si="10"/>
        <v>797</v>
      </c>
      <c r="O196" s="8">
        <f t="shared" si="11"/>
        <v>0.26744966442953022</v>
      </c>
    </row>
    <row r="197" spans="1:15" ht="17" customHeight="1">
      <c r="A197" s="1" t="s">
        <v>256</v>
      </c>
      <c r="C197" s="1" t="s">
        <v>257</v>
      </c>
      <c r="D197" s="42">
        <v>4571263111773</v>
      </c>
      <c r="E197" t="s">
        <v>257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1738</v>
      </c>
      <c r="M197" s="6">
        <f t="shared" si="9"/>
        <v>1738</v>
      </c>
      <c r="N197" s="6">
        <f t="shared" si="10"/>
        <v>795</v>
      </c>
      <c r="O197" s="8">
        <f t="shared" si="11"/>
        <v>0.26677852348993286</v>
      </c>
    </row>
    <row r="198" spans="1:15" ht="17" customHeight="1">
      <c r="A198" s="1" t="s">
        <v>710</v>
      </c>
      <c r="B198" t="s">
        <v>2372</v>
      </c>
      <c r="C198" s="1">
        <v>4550391062164</v>
      </c>
      <c r="D198" s="42" t="s">
        <v>712</v>
      </c>
      <c r="E198">
        <v>4550391062218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1072</v>
      </c>
      <c r="M198" s="6">
        <f t="shared" si="9"/>
        <v>1072</v>
      </c>
      <c r="N198" s="6">
        <f t="shared" si="10"/>
        <v>1461</v>
      </c>
      <c r="O198" s="8">
        <f t="shared" si="11"/>
        <v>0.49026845637583893</v>
      </c>
    </row>
    <row r="199" spans="1:15" ht="17" customHeight="1">
      <c r="A199" s="1" t="s">
        <v>1671</v>
      </c>
      <c r="B199" s="1" t="s">
        <v>1672</v>
      </c>
      <c r="C199" s="1" t="s">
        <v>1673</v>
      </c>
      <c r="D199" s="42" t="s">
        <v>1674</v>
      </c>
      <c r="E199" s="1" t="s">
        <v>1675</v>
      </c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1014</v>
      </c>
      <c r="M199" s="6">
        <f t="shared" si="9"/>
        <v>1014</v>
      </c>
      <c r="N199" s="6">
        <f t="shared" si="10"/>
        <v>1519</v>
      </c>
      <c r="O199" s="8">
        <f t="shared" si="11"/>
        <v>0.50973154362416107</v>
      </c>
    </row>
    <row r="200" spans="1:15" ht="17" customHeight="1">
      <c r="A200" s="1" t="s">
        <v>2373</v>
      </c>
      <c r="C200" s="1" t="s">
        <v>1665</v>
      </c>
      <c r="D200" s="42" t="s">
        <v>1666</v>
      </c>
      <c r="E200" t="s">
        <v>1665</v>
      </c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1633</v>
      </c>
      <c r="M200" s="6">
        <f t="shared" ref="M200:M263" si="13">SUM(H200*L200)</f>
        <v>1633</v>
      </c>
      <c r="N200" s="6">
        <f t="shared" ref="N200:N263" si="14">SUM(I200-K200-M200)</f>
        <v>900</v>
      </c>
      <c r="O200" s="8">
        <f t="shared" ref="O200:O263" si="15">IF(I200=0,"",N200/I200)</f>
        <v>0.30201342281879195</v>
      </c>
    </row>
    <row r="201" spans="1:15" ht="17" customHeight="1">
      <c r="A201" s="1" t="s">
        <v>717</v>
      </c>
      <c r="C201" s="1" t="s">
        <v>718</v>
      </c>
      <c r="D201" s="42" t="s">
        <v>719</v>
      </c>
      <c r="E201" t="s">
        <v>718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>
        <v>1167</v>
      </c>
      <c r="M201" s="6">
        <f t="shared" si="13"/>
        <v>1167</v>
      </c>
      <c r="N201" s="6">
        <f t="shared" si="14"/>
        <v>1366</v>
      </c>
      <c r="O201" s="8">
        <f t="shared" si="15"/>
        <v>0.45838926174496647</v>
      </c>
    </row>
    <row r="202" spans="1:15" ht="17" customHeight="1">
      <c r="A202" s="1" t="s">
        <v>1696</v>
      </c>
      <c r="C202" s="1" t="s">
        <v>1697</v>
      </c>
      <c r="D202" s="42" t="s">
        <v>2374</v>
      </c>
      <c r="E202" t="s">
        <v>1697</v>
      </c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2090</v>
      </c>
      <c r="M202" s="6">
        <f t="shared" si="13"/>
        <v>2090</v>
      </c>
      <c r="N202" s="6">
        <f t="shared" si="14"/>
        <v>443</v>
      </c>
      <c r="O202" s="8">
        <f t="shared" si="15"/>
        <v>0.14865771812080536</v>
      </c>
    </row>
    <row r="203" spans="1:15" ht="17" customHeight="1">
      <c r="A203" s="1" t="s">
        <v>471</v>
      </c>
      <c r="B203" t="s">
        <v>2375</v>
      </c>
      <c r="C203" s="1" t="s">
        <v>473</v>
      </c>
      <c r="D203" s="42" t="s">
        <v>474</v>
      </c>
      <c r="E203" t="s">
        <v>2376</v>
      </c>
      <c r="G203" s="1">
        <v>2980</v>
      </c>
      <c r="H203" s="1">
        <v>1</v>
      </c>
      <c r="I203" s="1">
        <v>2980</v>
      </c>
      <c r="J203" s="1">
        <v>1</v>
      </c>
      <c r="K203" s="1">
        <f t="shared" si="12"/>
        <v>447</v>
      </c>
      <c r="L203" s="6">
        <v>1390</v>
      </c>
      <c r="M203" s="6">
        <f t="shared" si="13"/>
        <v>1390</v>
      </c>
      <c r="N203" s="6">
        <f t="shared" si="14"/>
        <v>1143</v>
      </c>
      <c r="O203" s="8">
        <f t="shared" si="15"/>
        <v>0.38355704697986576</v>
      </c>
    </row>
    <row r="204" spans="1:15" ht="17" customHeight="1">
      <c r="A204" s="1" t="s">
        <v>725</v>
      </c>
      <c r="B204" s="1" t="s">
        <v>726</v>
      </c>
      <c r="C204" s="1" t="s">
        <v>727</v>
      </c>
      <c r="D204" s="42" t="s">
        <v>728</v>
      </c>
      <c r="E204" s="1" t="s">
        <v>729</v>
      </c>
      <c r="G204" s="1">
        <v>1480</v>
      </c>
      <c r="H204" s="1">
        <v>2</v>
      </c>
      <c r="I204" s="1">
        <v>2960</v>
      </c>
      <c r="J204" s="1">
        <v>2</v>
      </c>
      <c r="K204" s="1">
        <f t="shared" si="12"/>
        <v>444</v>
      </c>
      <c r="L204" s="6">
        <v>1148</v>
      </c>
      <c r="M204" s="6">
        <f t="shared" si="13"/>
        <v>2296</v>
      </c>
      <c r="N204" s="6">
        <f t="shared" si="14"/>
        <v>220</v>
      </c>
      <c r="O204" s="8">
        <f t="shared" si="15"/>
        <v>7.4324324324324328E-2</v>
      </c>
    </row>
    <row r="205" spans="1:15" ht="17" customHeight="1">
      <c r="A205" s="1" t="s">
        <v>2377</v>
      </c>
      <c r="C205" s="1" t="s">
        <v>2378</v>
      </c>
      <c r="D205" s="42" t="s">
        <v>2379</v>
      </c>
      <c r="E205" t="s">
        <v>2378</v>
      </c>
      <c r="G205" s="1">
        <v>1480</v>
      </c>
      <c r="H205" s="1">
        <v>2</v>
      </c>
      <c r="I205" s="1">
        <v>2960</v>
      </c>
      <c r="J205" s="1">
        <v>1</v>
      </c>
      <c r="K205" s="1">
        <f t="shared" si="12"/>
        <v>444</v>
      </c>
      <c r="L205" s="6">
        <v>584</v>
      </c>
      <c r="M205" s="6">
        <f t="shared" si="13"/>
        <v>1168</v>
      </c>
      <c r="N205" s="6">
        <f t="shared" si="14"/>
        <v>1348</v>
      </c>
      <c r="O205" s="8">
        <f t="shared" si="15"/>
        <v>0.45540540540540542</v>
      </c>
    </row>
    <row r="206" spans="1:15" ht="17" customHeight="1">
      <c r="A206" s="1" t="s">
        <v>2122</v>
      </c>
      <c r="C206" s="1" t="s">
        <v>1020</v>
      </c>
      <c r="D206" s="42" t="s">
        <v>1021</v>
      </c>
      <c r="E206" t="s">
        <v>2380</v>
      </c>
      <c r="G206" s="1">
        <v>2780</v>
      </c>
      <c r="H206" s="1">
        <v>1</v>
      </c>
      <c r="I206" s="1">
        <v>2780</v>
      </c>
      <c r="J206" s="1">
        <v>1</v>
      </c>
      <c r="K206" s="1">
        <f t="shared" si="12"/>
        <v>417</v>
      </c>
      <c r="L206" s="6">
        <v>1112</v>
      </c>
      <c r="M206" s="6">
        <f t="shared" si="13"/>
        <v>1112</v>
      </c>
      <c r="N206" s="6">
        <f t="shared" si="14"/>
        <v>1251</v>
      </c>
      <c r="O206" s="8">
        <f t="shared" si="15"/>
        <v>0.45</v>
      </c>
    </row>
    <row r="207" spans="1:15" ht="17" customHeight="1">
      <c r="A207" s="1" t="s">
        <v>743</v>
      </c>
      <c r="C207" s="1" t="s">
        <v>744</v>
      </c>
      <c r="D207" s="42" t="s">
        <v>745</v>
      </c>
      <c r="E207" t="s">
        <v>744</v>
      </c>
      <c r="G207" s="1">
        <v>2580</v>
      </c>
      <c r="H207" s="1">
        <v>1</v>
      </c>
      <c r="I207" s="1">
        <v>2580</v>
      </c>
      <c r="J207" s="1">
        <v>1</v>
      </c>
      <c r="K207" s="1">
        <f t="shared" si="12"/>
        <v>387</v>
      </c>
      <c r="L207" s="6">
        <v>1287</v>
      </c>
      <c r="M207" s="6">
        <f t="shared" si="13"/>
        <v>1287</v>
      </c>
      <c r="N207" s="6">
        <f t="shared" si="14"/>
        <v>906</v>
      </c>
      <c r="O207" s="8">
        <f t="shared" si="15"/>
        <v>0.35116279069767442</v>
      </c>
    </row>
    <row r="208" spans="1:15" ht="17" customHeight="1">
      <c r="A208" s="1" t="s">
        <v>2007</v>
      </c>
      <c r="C208" s="1" t="s">
        <v>2008</v>
      </c>
      <c r="D208" s="42" t="s">
        <v>2381</v>
      </c>
      <c r="E208" t="s">
        <v>2008</v>
      </c>
      <c r="G208" s="1">
        <v>2580</v>
      </c>
      <c r="H208" s="1">
        <v>1</v>
      </c>
      <c r="I208" s="1">
        <v>2580</v>
      </c>
      <c r="J208" s="1">
        <v>1</v>
      </c>
      <c r="K208" s="1">
        <f t="shared" si="12"/>
        <v>387</v>
      </c>
      <c r="L208" s="6">
        <v>1584</v>
      </c>
      <c r="M208" s="6">
        <f t="shared" si="13"/>
        <v>1584</v>
      </c>
      <c r="N208" s="6">
        <f t="shared" si="14"/>
        <v>609</v>
      </c>
      <c r="O208" s="8">
        <f t="shared" si="15"/>
        <v>0.23604651162790696</v>
      </c>
    </row>
    <row r="209" spans="1:15" ht="17" customHeight="1">
      <c r="A209" s="1" t="s">
        <v>357</v>
      </c>
      <c r="C209" s="1" t="s">
        <v>358</v>
      </c>
      <c r="D209" s="42" t="s">
        <v>359</v>
      </c>
      <c r="E209" t="s">
        <v>358</v>
      </c>
      <c r="G209" s="1">
        <v>2580</v>
      </c>
      <c r="H209" s="1">
        <v>1</v>
      </c>
      <c r="I209" s="1">
        <v>2580</v>
      </c>
      <c r="J209" s="1">
        <v>1</v>
      </c>
      <c r="K209" s="1">
        <f t="shared" si="12"/>
        <v>387</v>
      </c>
      <c r="L209" s="6">
        <v>1584</v>
      </c>
      <c r="M209" s="6">
        <f t="shared" si="13"/>
        <v>1584</v>
      </c>
      <c r="N209" s="6">
        <f t="shared" si="14"/>
        <v>609</v>
      </c>
      <c r="O209" s="8">
        <f t="shared" si="15"/>
        <v>0.23604651162790696</v>
      </c>
    </row>
    <row r="210" spans="1:15" ht="17" customHeight="1">
      <c r="A210" s="1" t="s">
        <v>1499</v>
      </c>
      <c r="C210" s="1" t="s">
        <v>1500</v>
      </c>
      <c r="D210" s="42" t="s">
        <v>2382</v>
      </c>
      <c r="E210" t="s">
        <v>1500</v>
      </c>
      <c r="G210" s="1">
        <v>1280</v>
      </c>
      <c r="H210" s="1">
        <v>2</v>
      </c>
      <c r="I210" s="1">
        <v>2560</v>
      </c>
      <c r="J210" s="1">
        <v>2</v>
      </c>
      <c r="K210" s="1">
        <f t="shared" si="12"/>
        <v>384</v>
      </c>
      <c r="L210" s="6">
        <v>780</v>
      </c>
      <c r="M210" s="6">
        <f t="shared" si="13"/>
        <v>1560</v>
      </c>
      <c r="N210" s="6">
        <f t="shared" si="14"/>
        <v>616</v>
      </c>
      <c r="O210" s="8">
        <f t="shared" si="15"/>
        <v>0.24062500000000001</v>
      </c>
    </row>
    <row r="211" spans="1:15" ht="17" customHeight="1">
      <c r="A211" s="1" t="s">
        <v>434</v>
      </c>
      <c r="C211" s="1" t="s">
        <v>435</v>
      </c>
      <c r="D211" s="42" t="s">
        <v>436</v>
      </c>
      <c r="E211" t="s">
        <v>435</v>
      </c>
      <c r="G211" s="1">
        <v>1280</v>
      </c>
      <c r="H211" s="1">
        <v>2</v>
      </c>
      <c r="I211" s="1">
        <v>2560</v>
      </c>
      <c r="J211" s="1">
        <v>2</v>
      </c>
      <c r="K211" s="1">
        <f t="shared" si="12"/>
        <v>384</v>
      </c>
      <c r="L211" s="6">
        <v>460</v>
      </c>
      <c r="M211" s="6">
        <f t="shared" si="13"/>
        <v>920</v>
      </c>
      <c r="N211" s="6">
        <f t="shared" si="14"/>
        <v>1256</v>
      </c>
      <c r="O211" s="8">
        <f t="shared" si="15"/>
        <v>0.49062499999999998</v>
      </c>
    </row>
    <row r="212" spans="1:15" ht="17" customHeight="1">
      <c r="A212" s="1" t="s">
        <v>2131</v>
      </c>
      <c r="C212" s="1" t="s">
        <v>1933</v>
      </c>
      <c r="D212" s="42" t="s">
        <v>2383</v>
      </c>
      <c r="E212" t="s">
        <v>1933</v>
      </c>
      <c r="G212" s="1">
        <v>1280</v>
      </c>
      <c r="H212" s="1">
        <v>2</v>
      </c>
      <c r="I212" s="1">
        <v>2560</v>
      </c>
      <c r="J212" s="1">
        <v>2</v>
      </c>
      <c r="K212" s="1">
        <f t="shared" si="12"/>
        <v>384</v>
      </c>
      <c r="L212" s="6">
        <v>522</v>
      </c>
      <c r="M212" s="6">
        <f t="shared" si="13"/>
        <v>1044</v>
      </c>
      <c r="N212" s="6">
        <f t="shared" si="14"/>
        <v>1132</v>
      </c>
      <c r="O212" s="8">
        <f t="shared" si="15"/>
        <v>0.44218750000000001</v>
      </c>
    </row>
    <row r="213" spans="1:15" ht="17" customHeight="1">
      <c r="A213" s="1" t="s">
        <v>2384</v>
      </c>
      <c r="B213" t="s">
        <v>1488</v>
      </c>
      <c r="C213" s="1" t="s">
        <v>2385</v>
      </c>
      <c r="D213" s="42" t="s">
        <v>2386</v>
      </c>
      <c r="E213" t="s">
        <v>2387</v>
      </c>
      <c r="G213" s="1">
        <v>1280</v>
      </c>
      <c r="H213" s="1">
        <v>2</v>
      </c>
      <c r="I213" s="1">
        <v>2560</v>
      </c>
      <c r="J213" s="1">
        <v>2</v>
      </c>
      <c r="K213" s="1">
        <f t="shared" si="12"/>
        <v>384</v>
      </c>
      <c r="L213" s="6">
        <v>165</v>
      </c>
      <c r="M213" s="6">
        <f t="shared" si="13"/>
        <v>330</v>
      </c>
      <c r="N213" s="6">
        <f t="shared" si="14"/>
        <v>1846</v>
      </c>
      <c r="O213" s="8">
        <f t="shared" si="15"/>
        <v>0.72109374999999998</v>
      </c>
    </row>
    <row r="214" spans="1:15" ht="17" customHeight="1">
      <c r="A214" s="1" t="s">
        <v>264</v>
      </c>
      <c r="C214" s="1" t="s">
        <v>265</v>
      </c>
      <c r="D214" s="42">
        <v>4901133718984</v>
      </c>
      <c r="E214" t="s">
        <v>266</v>
      </c>
      <c r="G214" s="1">
        <v>1280</v>
      </c>
      <c r="H214" s="1">
        <v>2</v>
      </c>
      <c r="I214" s="1">
        <v>2560</v>
      </c>
      <c r="J214" s="1">
        <v>1</v>
      </c>
      <c r="K214" s="1">
        <f t="shared" si="12"/>
        <v>384</v>
      </c>
      <c r="L214" s="6">
        <v>806</v>
      </c>
      <c r="M214" s="6">
        <f t="shared" si="13"/>
        <v>1612</v>
      </c>
      <c r="N214" s="6">
        <f t="shared" si="14"/>
        <v>564</v>
      </c>
      <c r="O214" s="8">
        <f t="shared" si="15"/>
        <v>0.22031249999999999</v>
      </c>
    </row>
    <row r="215" spans="1:15" ht="17" customHeight="1">
      <c r="A215" s="1" t="s">
        <v>756</v>
      </c>
      <c r="C215" s="1" t="s">
        <v>757</v>
      </c>
      <c r="D215" s="42" t="s">
        <v>758</v>
      </c>
      <c r="E215" t="s">
        <v>757</v>
      </c>
      <c r="G215" s="1">
        <v>2520</v>
      </c>
      <c r="H215" s="1">
        <v>1</v>
      </c>
      <c r="I215" s="1">
        <v>2520</v>
      </c>
      <c r="J215" s="1">
        <v>1</v>
      </c>
      <c r="K215" s="1">
        <f t="shared" si="12"/>
        <v>378</v>
      </c>
      <c r="L215" s="6">
        <v>1100</v>
      </c>
      <c r="M215" s="6">
        <f t="shared" si="13"/>
        <v>1100</v>
      </c>
      <c r="N215" s="6">
        <f t="shared" si="14"/>
        <v>1042</v>
      </c>
      <c r="O215" s="8">
        <f t="shared" si="15"/>
        <v>0.41349206349206347</v>
      </c>
    </row>
    <row r="216" spans="1:15" ht="17" customHeight="1">
      <c r="A216" s="1" t="s">
        <v>406</v>
      </c>
      <c r="B216" t="s">
        <v>407</v>
      </c>
      <c r="C216" s="1" t="s">
        <v>408</v>
      </c>
      <c r="D216" s="42" t="s">
        <v>409</v>
      </c>
      <c r="E216" t="s">
        <v>410</v>
      </c>
      <c r="G216" s="1">
        <v>2480</v>
      </c>
      <c r="H216" s="1">
        <v>1</v>
      </c>
      <c r="I216" s="1">
        <v>2480</v>
      </c>
      <c r="J216" s="1">
        <v>1</v>
      </c>
      <c r="K216" s="1">
        <f t="shared" si="12"/>
        <v>372</v>
      </c>
      <c r="L216" s="6">
        <v>803</v>
      </c>
      <c r="M216" s="6">
        <f t="shared" si="13"/>
        <v>803</v>
      </c>
      <c r="N216" s="6">
        <f t="shared" si="14"/>
        <v>1305</v>
      </c>
      <c r="O216" s="8">
        <f t="shared" si="15"/>
        <v>0.52620967741935487</v>
      </c>
    </row>
    <row r="217" spans="1:15" ht="17" customHeight="1">
      <c r="A217" s="1" t="s">
        <v>510</v>
      </c>
      <c r="B217" t="s">
        <v>514</v>
      </c>
      <c r="C217" s="1">
        <v>4550391046508</v>
      </c>
      <c r="D217" s="42" t="s">
        <v>512</v>
      </c>
      <c r="E217" t="s">
        <v>515</v>
      </c>
      <c r="G217" s="1">
        <v>2480</v>
      </c>
      <c r="H217" s="1">
        <v>1</v>
      </c>
      <c r="I217" s="1">
        <v>2480</v>
      </c>
      <c r="J217" s="1">
        <v>1</v>
      </c>
      <c r="K217" s="1">
        <f t="shared" si="12"/>
        <v>372</v>
      </c>
      <c r="L217" s="6">
        <v>1130</v>
      </c>
      <c r="M217" s="6">
        <f t="shared" si="13"/>
        <v>1130</v>
      </c>
      <c r="N217" s="6">
        <f t="shared" si="14"/>
        <v>978</v>
      </c>
      <c r="O217" s="8">
        <f t="shared" si="15"/>
        <v>0.39435483870967741</v>
      </c>
    </row>
    <row r="218" spans="1:15" ht="17" customHeight="1">
      <c r="A218" s="43" t="s">
        <v>411</v>
      </c>
      <c r="C218" s="1" t="s">
        <v>412</v>
      </c>
      <c r="D218" s="42" t="s">
        <v>413</v>
      </c>
      <c r="E218" t="s">
        <v>412</v>
      </c>
      <c r="G218" s="1">
        <v>2480</v>
      </c>
      <c r="H218" s="1">
        <v>1</v>
      </c>
      <c r="I218" s="1">
        <v>2480</v>
      </c>
      <c r="J218" s="1">
        <v>1</v>
      </c>
      <c r="K218" s="1">
        <f t="shared" si="12"/>
        <v>372</v>
      </c>
      <c r="L218" s="6">
        <v>612</v>
      </c>
      <c r="M218" s="6">
        <f t="shared" si="13"/>
        <v>612</v>
      </c>
      <c r="N218" s="6">
        <f t="shared" si="14"/>
        <v>1496</v>
      </c>
      <c r="O218" s="8">
        <f t="shared" si="15"/>
        <v>0.60322580645161294</v>
      </c>
    </row>
    <row r="219" spans="1:15" ht="17" customHeight="1">
      <c r="A219" s="1" t="s">
        <v>770</v>
      </c>
      <c r="C219" s="1" t="s">
        <v>771</v>
      </c>
      <c r="D219" s="42" t="s">
        <v>772</v>
      </c>
      <c r="E219" t="s">
        <v>773</v>
      </c>
      <c r="G219" s="1">
        <v>2480</v>
      </c>
      <c r="H219" s="1">
        <v>1</v>
      </c>
      <c r="I219" s="1">
        <v>2480</v>
      </c>
      <c r="J219" s="1">
        <v>1</v>
      </c>
      <c r="K219" s="1">
        <f t="shared" si="12"/>
        <v>372</v>
      </c>
      <c r="L219" s="6">
        <v>1314</v>
      </c>
      <c r="M219" s="6">
        <f t="shared" si="13"/>
        <v>1314</v>
      </c>
      <c r="N219" s="6">
        <f t="shared" si="14"/>
        <v>794</v>
      </c>
      <c r="O219" s="8">
        <f t="shared" si="15"/>
        <v>0.32016129032258067</v>
      </c>
    </row>
    <row r="220" spans="1:15" ht="17" customHeight="1">
      <c r="A220" s="1" t="s">
        <v>1858</v>
      </c>
      <c r="C220" s="1" t="s">
        <v>1859</v>
      </c>
      <c r="D220" s="42" t="s">
        <v>1860</v>
      </c>
      <c r="E220" t="s">
        <v>1859</v>
      </c>
      <c r="G220" s="1">
        <v>2480</v>
      </c>
      <c r="H220" s="1">
        <v>1</v>
      </c>
      <c r="I220" s="1">
        <v>2480</v>
      </c>
      <c r="J220" s="1">
        <v>1</v>
      </c>
      <c r="K220" s="1">
        <f t="shared" si="12"/>
        <v>372</v>
      </c>
      <c r="L220" s="6">
        <v>1292</v>
      </c>
      <c r="M220" s="6">
        <f t="shared" si="13"/>
        <v>1292</v>
      </c>
      <c r="N220" s="6">
        <f t="shared" si="14"/>
        <v>816</v>
      </c>
      <c r="O220" s="8">
        <f t="shared" si="15"/>
        <v>0.32903225806451614</v>
      </c>
    </row>
    <row r="221" spans="1:15" ht="17" customHeight="1">
      <c r="A221" s="1" t="s">
        <v>521</v>
      </c>
      <c r="C221" s="1" t="s">
        <v>522</v>
      </c>
      <c r="D221" s="42" t="s">
        <v>523</v>
      </c>
      <c r="E221" t="s">
        <v>522</v>
      </c>
      <c r="G221" s="1">
        <v>2480</v>
      </c>
      <c r="H221" s="1">
        <v>1</v>
      </c>
      <c r="I221" s="1">
        <v>2480</v>
      </c>
      <c r="J221" s="1">
        <v>1</v>
      </c>
      <c r="K221" s="1">
        <f t="shared" si="12"/>
        <v>372</v>
      </c>
      <c r="L221" s="6">
        <v>876</v>
      </c>
      <c r="M221" s="6">
        <f t="shared" si="13"/>
        <v>876</v>
      </c>
      <c r="N221" s="6">
        <f t="shared" si="14"/>
        <v>1232</v>
      </c>
      <c r="O221" s="8">
        <f t="shared" si="15"/>
        <v>0.49677419354838709</v>
      </c>
    </row>
    <row r="222" spans="1:15" ht="17" customHeight="1">
      <c r="A222" s="1" t="s">
        <v>785</v>
      </c>
      <c r="B222" s="1"/>
      <c r="C222" s="1" t="s">
        <v>786</v>
      </c>
      <c r="D222" s="42" t="s">
        <v>787</v>
      </c>
      <c r="E222" s="1" t="s">
        <v>786</v>
      </c>
      <c r="G222" s="1">
        <v>2480</v>
      </c>
      <c r="H222" s="1">
        <v>1</v>
      </c>
      <c r="I222" s="1">
        <v>2480</v>
      </c>
      <c r="J222" s="1">
        <v>1</v>
      </c>
      <c r="K222" s="1">
        <f t="shared" si="12"/>
        <v>372</v>
      </c>
      <c r="L222" s="6">
        <v>1116</v>
      </c>
      <c r="M222" s="6">
        <f t="shared" si="13"/>
        <v>1116</v>
      </c>
      <c r="N222" s="6">
        <f t="shared" si="14"/>
        <v>992</v>
      </c>
      <c r="O222" s="8">
        <f t="shared" si="15"/>
        <v>0.4</v>
      </c>
    </row>
    <row r="223" spans="1:15" ht="17" customHeight="1">
      <c r="A223" s="1" t="s">
        <v>1864</v>
      </c>
      <c r="C223" s="1" t="s">
        <v>1865</v>
      </c>
      <c r="D223" s="42" t="s">
        <v>2388</v>
      </c>
      <c r="E223" t="s">
        <v>1865</v>
      </c>
      <c r="G223" s="1">
        <v>2480</v>
      </c>
      <c r="H223" s="1">
        <v>1</v>
      </c>
      <c r="I223" s="1">
        <v>2480</v>
      </c>
      <c r="J223" s="1">
        <v>1</v>
      </c>
      <c r="K223" s="1">
        <f t="shared" si="12"/>
        <v>372</v>
      </c>
      <c r="L223" s="6">
        <v>1094</v>
      </c>
      <c r="M223" s="6">
        <f t="shared" si="13"/>
        <v>1094</v>
      </c>
      <c r="N223" s="6">
        <f t="shared" si="14"/>
        <v>1014</v>
      </c>
      <c r="O223" s="8">
        <f t="shared" si="15"/>
        <v>0.40887096774193549</v>
      </c>
    </row>
    <row r="224" spans="1:15" ht="17" customHeight="1">
      <c r="A224" s="1" t="s">
        <v>299</v>
      </c>
      <c r="C224" s="1" t="s">
        <v>300</v>
      </c>
      <c r="D224" s="42" t="s">
        <v>301</v>
      </c>
      <c r="E224" t="s">
        <v>302</v>
      </c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1116</v>
      </c>
      <c r="M224" s="6">
        <f t="shared" si="13"/>
        <v>1116</v>
      </c>
      <c r="N224" s="6">
        <f t="shared" si="14"/>
        <v>992</v>
      </c>
      <c r="O224" s="8">
        <f t="shared" si="15"/>
        <v>0.4</v>
      </c>
    </row>
    <row r="225" spans="1:15" ht="17" customHeight="1">
      <c r="A225" s="1" t="s">
        <v>528</v>
      </c>
      <c r="C225" s="1" t="s">
        <v>529</v>
      </c>
      <c r="D225" s="42" t="s">
        <v>530</v>
      </c>
      <c r="E225" t="s">
        <v>529</v>
      </c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895</v>
      </c>
      <c r="M225" s="6">
        <f t="shared" si="13"/>
        <v>895</v>
      </c>
      <c r="N225" s="6">
        <f t="shared" si="14"/>
        <v>1213</v>
      </c>
      <c r="O225" s="8">
        <f t="shared" si="15"/>
        <v>0.48911290322580647</v>
      </c>
    </row>
    <row r="226" spans="1:15" ht="17" customHeight="1">
      <c r="A226" s="1" t="s">
        <v>2389</v>
      </c>
      <c r="C226" s="1" t="s">
        <v>2390</v>
      </c>
      <c r="D226" s="42" t="s">
        <v>2391</v>
      </c>
      <c r="E226" t="s">
        <v>2392</v>
      </c>
      <c r="G226" s="1">
        <v>2380</v>
      </c>
      <c r="H226" s="1">
        <v>1</v>
      </c>
      <c r="I226" s="1">
        <v>2380</v>
      </c>
      <c r="J226" s="1">
        <v>1</v>
      </c>
      <c r="K226" s="1">
        <f t="shared" si="12"/>
        <v>357</v>
      </c>
      <c r="L226" s="6">
        <v>1220</v>
      </c>
      <c r="M226" s="6">
        <f t="shared" si="13"/>
        <v>1220</v>
      </c>
      <c r="N226" s="6">
        <f t="shared" si="14"/>
        <v>803</v>
      </c>
      <c r="O226" s="8">
        <f t="shared" si="15"/>
        <v>0.3373949579831933</v>
      </c>
    </row>
    <row r="227" spans="1:15" ht="17" customHeight="1">
      <c r="A227" s="1" t="s">
        <v>553</v>
      </c>
      <c r="C227" s="1" t="s">
        <v>554</v>
      </c>
      <c r="D227" s="42" t="s">
        <v>555</v>
      </c>
      <c r="E227" t="s">
        <v>554</v>
      </c>
      <c r="G227" s="1">
        <v>2198</v>
      </c>
      <c r="H227" s="1">
        <v>1</v>
      </c>
      <c r="I227" s="1">
        <v>2198</v>
      </c>
      <c r="J227" s="1">
        <v>1</v>
      </c>
      <c r="K227" s="1">
        <f t="shared" si="12"/>
        <v>329.7</v>
      </c>
      <c r="L227" s="6">
        <v>1278</v>
      </c>
      <c r="M227" s="6">
        <f t="shared" si="13"/>
        <v>1278</v>
      </c>
      <c r="N227" s="6">
        <f t="shared" si="14"/>
        <v>590.29999999999995</v>
      </c>
      <c r="O227" s="8">
        <f t="shared" si="15"/>
        <v>0.26856232939035485</v>
      </c>
    </row>
    <row r="228" spans="1:15" ht="17" customHeight="1">
      <c r="A228" s="1" t="s">
        <v>431</v>
      </c>
      <c r="C228" s="1" t="s">
        <v>432</v>
      </c>
      <c r="D228" s="42" t="s">
        <v>433</v>
      </c>
      <c r="E228" t="s">
        <v>432</v>
      </c>
      <c r="G228" s="1">
        <v>2180</v>
      </c>
      <c r="H228" s="1">
        <v>1</v>
      </c>
      <c r="I228" s="1">
        <v>2180</v>
      </c>
      <c r="J228" s="1">
        <v>1</v>
      </c>
      <c r="K228" s="1">
        <f t="shared" si="12"/>
        <v>327</v>
      </c>
      <c r="L228" s="6">
        <v>1130</v>
      </c>
      <c r="M228" s="6">
        <f t="shared" si="13"/>
        <v>1130</v>
      </c>
      <c r="N228" s="6">
        <f t="shared" si="14"/>
        <v>723</v>
      </c>
      <c r="O228" s="8">
        <f t="shared" si="15"/>
        <v>0.33165137614678897</v>
      </c>
    </row>
    <row r="229" spans="1:15" ht="17" customHeight="1">
      <c r="A229" s="1" t="s">
        <v>2393</v>
      </c>
      <c r="C229" s="1" t="s">
        <v>2394</v>
      </c>
      <c r="D229" s="42" t="s">
        <v>2395</v>
      </c>
      <c r="E229" t="s">
        <v>2394</v>
      </c>
      <c r="G229" s="1">
        <v>2180</v>
      </c>
      <c r="H229" s="1">
        <v>1</v>
      </c>
      <c r="I229" s="1">
        <v>2180</v>
      </c>
      <c r="J229" s="1">
        <v>1</v>
      </c>
      <c r="K229" s="1">
        <f t="shared" si="12"/>
        <v>327</v>
      </c>
      <c r="L229" s="6">
        <v>1099</v>
      </c>
      <c r="M229" s="6">
        <f t="shared" si="13"/>
        <v>1099</v>
      </c>
      <c r="N229" s="6">
        <f t="shared" si="14"/>
        <v>754</v>
      </c>
      <c r="O229" s="8">
        <f t="shared" si="15"/>
        <v>0.34587155963302751</v>
      </c>
    </row>
    <row r="230" spans="1:15" ht="17" customHeight="1">
      <c r="A230" s="1" t="s">
        <v>2150</v>
      </c>
      <c r="C230" s="1">
        <v>4903301377597</v>
      </c>
      <c r="D230" s="42" t="s">
        <v>1893</v>
      </c>
      <c r="E230">
        <v>4903301377597</v>
      </c>
      <c r="G230" s="1">
        <v>2080</v>
      </c>
      <c r="H230" s="1">
        <v>1</v>
      </c>
      <c r="I230" s="1">
        <v>2080</v>
      </c>
      <c r="J230" s="1">
        <v>1</v>
      </c>
      <c r="K230" s="1">
        <f t="shared" si="12"/>
        <v>312</v>
      </c>
      <c r="L230" s="6">
        <v>1020</v>
      </c>
      <c r="M230" s="6">
        <f t="shared" si="13"/>
        <v>1020</v>
      </c>
      <c r="N230" s="6">
        <f t="shared" si="14"/>
        <v>748</v>
      </c>
      <c r="O230" s="8">
        <f t="shared" si="15"/>
        <v>0.35961538461538461</v>
      </c>
    </row>
    <row r="231" spans="1:15" ht="17" customHeight="1">
      <c r="A231" s="1" t="s">
        <v>816</v>
      </c>
      <c r="C231" s="1" t="s">
        <v>817</v>
      </c>
      <c r="D231" s="42">
        <v>4987176301543</v>
      </c>
      <c r="E231" t="s">
        <v>817</v>
      </c>
      <c r="G231" s="1">
        <v>2080</v>
      </c>
      <c r="H231" s="1">
        <v>1</v>
      </c>
      <c r="I231" s="1">
        <v>2080</v>
      </c>
      <c r="J231" s="1">
        <v>1</v>
      </c>
      <c r="K231" s="1">
        <f t="shared" si="12"/>
        <v>312</v>
      </c>
      <c r="L231" s="6">
        <v>1319</v>
      </c>
      <c r="M231" s="6">
        <f t="shared" si="13"/>
        <v>1319</v>
      </c>
      <c r="N231" s="6">
        <f t="shared" si="14"/>
        <v>449</v>
      </c>
      <c r="O231" s="8">
        <f t="shared" si="15"/>
        <v>0.21586538461538463</v>
      </c>
    </row>
    <row r="232" spans="1:15" ht="17" customHeight="1">
      <c r="A232" s="1" t="s">
        <v>1430</v>
      </c>
      <c r="C232" s="1" t="s">
        <v>1431</v>
      </c>
      <c r="D232" s="42" t="s">
        <v>1432</v>
      </c>
      <c r="E232" t="s">
        <v>1431</v>
      </c>
      <c r="G232" s="1">
        <v>1980</v>
      </c>
      <c r="H232" s="1">
        <v>1</v>
      </c>
      <c r="I232" s="1">
        <v>1980</v>
      </c>
      <c r="J232" s="1">
        <v>1</v>
      </c>
      <c r="K232" s="1">
        <f t="shared" si="12"/>
        <v>297</v>
      </c>
      <c r="L232" s="6">
        <v>979</v>
      </c>
      <c r="M232" s="6">
        <f t="shared" si="13"/>
        <v>979</v>
      </c>
      <c r="N232" s="6">
        <f t="shared" si="14"/>
        <v>704</v>
      </c>
      <c r="O232" s="8">
        <f t="shared" si="15"/>
        <v>0.35555555555555557</v>
      </c>
    </row>
    <row r="233" spans="1:15" ht="17" customHeight="1">
      <c r="A233" s="1" t="s">
        <v>828</v>
      </c>
      <c r="C233" s="1">
        <v>4550391012053</v>
      </c>
      <c r="D233" s="42" t="s">
        <v>829</v>
      </c>
      <c r="E233">
        <v>4550391012053</v>
      </c>
      <c r="G233" s="1">
        <v>1980</v>
      </c>
      <c r="H233" s="1">
        <v>1</v>
      </c>
      <c r="I233" s="1">
        <v>1980</v>
      </c>
      <c r="J233" s="1">
        <v>1</v>
      </c>
      <c r="K233" s="1">
        <f t="shared" si="12"/>
        <v>297</v>
      </c>
      <c r="L233" s="6">
        <v>1116</v>
      </c>
      <c r="M233" s="6">
        <f t="shared" si="13"/>
        <v>1116</v>
      </c>
      <c r="N233" s="6">
        <f t="shared" si="14"/>
        <v>567</v>
      </c>
      <c r="O233" s="8">
        <f t="shared" si="15"/>
        <v>0.28636363636363638</v>
      </c>
    </row>
    <row r="234" spans="1:15" ht="17" customHeight="1">
      <c r="A234" s="1" t="s">
        <v>851</v>
      </c>
      <c r="C234" s="1" t="s">
        <v>852</v>
      </c>
      <c r="D234" s="42" t="s">
        <v>853</v>
      </c>
      <c r="E234" t="s">
        <v>852</v>
      </c>
      <c r="G234" s="1">
        <v>1980</v>
      </c>
      <c r="H234" s="1">
        <v>1</v>
      </c>
      <c r="I234" s="1">
        <v>1980</v>
      </c>
      <c r="J234" s="1">
        <v>1</v>
      </c>
      <c r="K234" s="1">
        <f t="shared" si="12"/>
        <v>297</v>
      </c>
      <c r="L234" s="6">
        <v>792</v>
      </c>
      <c r="M234" s="6">
        <f t="shared" si="13"/>
        <v>792</v>
      </c>
      <c r="N234" s="6">
        <f t="shared" si="14"/>
        <v>891</v>
      </c>
      <c r="O234" s="8">
        <f t="shared" si="15"/>
        <v>0.45</v>
      </c>
    </row>
    <row r="235" spans="1:15" ht="17" customHeight="1">
      <c r="A235" s="1" t="s">
        <v>854</v>
      </c>
      <c r="C235" s="1" t="s">
        <v>855</v>
      </c>
      <c r="D235" s="42" t="s">
        <v>856</v>
      </c>
      <c r="E235" t="s">
        <v>855</v>
      </c>
      <c r="G235" s="1">
        <v>1980</v>
      </c>
      <c r="H235" s="1">
        <v>1</v>
      </c>
      <c r="I235" s="1">
        <v>1980</v>
      </c>
      <c r="J235" s="1">
        <v>1</v>
      </c>
      <c r="K235" s="1">
        <f t="shared" si="12"/>
        <v>297</v>
      </c>
      <c r="L235" s="6">
        <v>330</v>
      </c>
      <c r="M235" s="6">
        <f t="shared" si="13"/>
        <v>330</v>
      </c>
      <c r="N235" s="6">
        <f t="shared" si="14"/>
        <v>1353</v>
      </c>
      <c r="O235" s="8">
        <f t="shared" si="15"/>
        <v>0.68333333333333335</v>
      </c>
    </row>
    <row r="236" spans="1:15" ht="17" customHeight="1">
      <c r="A236" s="1" t="s">
        <v>857</v>
      </c>
      <c r="C236" s="1" t="s">
        <v>858</v>
      </c>
      <c r="D236" s="42" t="s">
        <v>859</v>
      </c>
      <c r="E236" t="s">
        <v>858</v>
      </c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660</v>
      </c>
      <c r="M236" s="6">
        <f t="shared" si="13"/>
        <v>660</v>
      </c>
      <c r="N236" s="6">
        <f t="shared" si="14"/>
        <v>1023</v>
      </c>
      <c r="O236" s="8">
        <f t="shared" si="15"/>
        <v>0.51666666666666672</v>
      </c>
    </row>
    <row r="237" spans="1:15" ht="17" customHeight="1">
      <c r="A237" s="1" t="s">
        <v>2157</v>
      </c>
      <c r="C237" s="1" t="s">
        <v>2158</v>
      </c>
      <c r="D237" s="42" t="s">
        <v>2396</v>
      </c>
      <c r="E237" t="s">
        <v>2158</v>
      </c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1010</v>
      </c>
      <c r="M237" s="6">
        <f t="shared" si="13"/>
        <v>1010</v>
      </c>
      <c r="N237" s="6">
        <f t="shared" si="14"/>
        <v>673</v>
      </c>
      <c r="O237" s="8">
        <f t="shared" si="15"/>
        <v>0.33989898989898992</v>
      </c>
    </row>
    <row r="238" spans="1:15" ht="17" customHeight="1">
      <c r="A238" s="1" t="s">
        <v>1422</v>
      </c>
      <c r="C238" s="1" t="s">
        <v>1423</v>
      </c>
      <c r="D238" s="42" t="s">
        <v>2397</v>
      </c>
      <c r="E238" t="s">
        <v>2398</v>
      </c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630</v>
      </c>
      <c r="M238" s="6">
        <f t="shared" si="13"/>
        <v>630</v>
      </c>
      <c r="N238" s="6">
        <f t="shared" si="14"/>
        <v>1053</v>
      </c>
      <c r="O238" s="8">
        <f t="shared" si="15"/>
        <v>0.53181818181818186</v>
      </c>
    </row>
    <row r="239" spans="1:15" ht="17" customHeight="1">
      <c r="A239" s="1" t="s">
        <v>618</v>
      </c>
      <c r="C239" s="1" t="s">
        <v>619</v>
      </c>
      <c r="D239" s="42" t="s">
        <v>620</v>
      </c>
      <c r="E239" t="s">
        <v>621</v>
      </c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1160</v>
      </c>
      <c r="M239" s="6">
        <f t="shared" si="13"/>
        <v>1160</v>
      </c>
      <c r="N239" s="6">
        <f t="shared" si="14"/>
        <v>523</v>
      </c>
      <c r="O239" s="8">
        <f t="shared" si="15"/>
        <v>0.26414141414141412</v>
      </c>
    </row>
    <row r="240" spans="1:15" ht="17" customHeight="1">
      <c r="A240" s="1" t="s">
        <v>622</v>
      </c>
      <c r="C240" s="1" t="s">
        <v>623</v>
      </c>
      <c r="D240" s="42" t="s">
        <v>624</v>
      </c>
      <c r="E240" t="s">
        <v>623</v>
      </c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998</v>
      </c>
      <c r="M240" s="6">
        <f t="shared" si="13"/>
        <v>998</v>
      </c>
      <c r="N240" s="6">
        <f t="shared" si="14"/>
        <v>685</v>
      </c>
      <c r="O240" s="8">
        <f t="shared" si="15"/>
        <v>0.34595959595959597</v>
      </c>
    </row>
    <row r="241" spans="1:15" ht="17" customHeight="1">
      <c r="A241" s="1" t="s">
        <v>865</v>
      </c>
      <c r="C241" s="1" t="s">
        <v>866</v>
      </c>
      <c r="D241" s="42" t="s">
        <v>867</v>
      </c>
      <c r="E241" t="s">
        <v>866</v>
      </c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768</v>
      </c>
      <c r="M241" s="6">
        <f t="shared" si="13"/>
        <v>768</v>
      </c>
      <c r="N241" s="6">
        <f t="shared" si="14"/>
        <v>915</v>
      </c>
      <c r="O241" s="8">
        <f t="shared" si="15"/>
        <v>0.4621212121212121</v>
      </c>
    </row>
    <row r="242" spans="1:15" ht="17" customHeight="1">
      <c r="A242" s="1" t="s">
        <v>2399</v>
      </c>
      <c r="C242" s="1" t="s">
        <v>2400</v>
      </c>
      <c r="D242" s="42" t="s">
        <v>2401</v>
      </c>
      <c r="E242" t="s">
        <v>2400</v>
      </c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438</v>
      </c>
      <c r="M242" s="6">
        <f t="shared" si="13"/>
        <v>438</v>
      </c>
      <c r="N242" s="6">
        <f t="shared" si="14"/>
        <v>1245</v>
      </c>
      <c r="O242" s="8">
        <f t="shared" si="15"/>
        <v>0.62878787878787878</v>
      </c>
    </row>
    <row r="243" spans="1:15" ht="17" customHeight="1">
      <c r="A243" s="1" t="s">
        <v>636</v>
      </c>
      <c r="B243" t="s">
        <v>876</v>
      </c>
      <c r="C243" s="1" t="s">
        <v>638</v>
      </c>
      <c r="D243" s="42" t="s">
        <v>639</v>
      </c>
      <c r="E243" t="s">
        <v>877</v>
      </c>
      <c r="G243" s="1">
        <v>1780</v>
      </c>
      <c r="H243" s="1">
        <v>1</v>
      </c>
      <c r="I243" s="1">
        <v>1780</v>
      </c>
      <c r="J243" s="1">
        <v>1</v>
      </c>
      <c r="K243" s="1">
        <f t="shared" si="12"/>
        <v>267</v>
      </c>
      <c r="L243" s="6">
        <v>525</v>
      </c>
      <c r="M243" s="6">
        <f t="shared" si="13"/>
        <v>525</v>
      </c>
      <c r="N243" s="6">
        <f t="shared" si="14"/>
        <v>988</v>
      </c>
      <c r="O243" s="8">
        <f t="shared" si="15"/>
        <v>0.55505617977528088</v>
      </c>
    </row>
    <row r="244" spans="1:15" ht="17" customHeight="1">
      <c r="A244" s="1" t="s">
        <v>636</v>
      </c>
      <c r="B244" t="s">
        <v>637</v>
      </c>
      <c r="C244" s="1" t="s">
        <v>638</v>
      </c>
      <c r="D244" s="42" t="s">
        <v>639</v>
      </c>
      <c r="E244" t="s">
        <v>640</v>
      </c>
      <c r="G244" s="1">
        <v>1780</v>
      </c>
      <c r="H244" s="1">
        <v>1</v>
      </c>
      <c r="I244" s="1">
        <v>1780</v>
      </c>
      <c r="J244" s="1">
        <v>1</v>
      </c>
      <c r="K244" s="1">
        <f t="shared" si="12"/>
        <v>267</v>
      </c>
      <c r="L244" s="6">
        <v>629</v>
      </c>
      <c r="M244" s="6">
        <f t="shared" si="13"/>
        <v>629</v>
      </c>
      <c r="N244" s="6">
        <f t="shared" si="14"/>
        <v>884</v>
      </c>
      <c r="O244" s="8">
        <f t="shared" si="15"/>
        <v>0.49662921348314609</v>
      </c>
    </row>
    <row r="245" spans="1:15" ht="17" customHeight="1">
      <c r="A245" s="1" t="s">
        <v>2172</v>
      </c>
      <c r="C245" s="1" t="s">
        <v>2173</v>
      </c>
      <c r="D245" s="42" t="s">
        <v>2402</v>
      </c>
      <c r="E245" t="s">
        <v>2403</v>
      </c>
      <c r="G245" s="1">
        <v>1780</v>
      </c>
      <c r="H245" s="1">
        <v>1</v>
      </c>
      <c r="I245" s="1">
        <v>1780</v>
      </c>
      <c r="J245" s="1">
        <v>1</v>
      </c>
      <c r="K245" s="1">
        <f t="shared" si="12"/>
        <v>267</v>
      </c>
      <c r="L245" s="44"/>
      <c r="M245" s="6">
        <f t="shared" si="13"/>
        <v>0</v>
      </c>
      <c r="N245" s="6">
        <f t="shared" si="14"/>
        <v>1513</v>
      </c>
      <c r="O245" s="8">
        <f t="shared" si="15"/>
        <v>0.85</v>
      </c>
    </row>
    <row r="246" spans="1:15" ht="17" customHeight="1">
      <c r="A246" s="1" t="s">
        <v>891</v>
      </c>
      <c r="C246" s="1" t="s">
        <v>892</v>
      </c>
      <c r="D246" s="42" t="s">
        <v>893</v>
      </c>
      <c r="E246" t="s">
        <v>892</v>
      </c>
      <c r="G246" s="1">
        <v>1680</v>
      </c>
      <c r="H246" s="1">
        <v>1</v>
      </c>
      <c r="I246" s="1">
        <v>1680</v>
      </c>
      <c r="J246" s="1">
        <v>1</v>
      </c>
      <c r="K246" s="1">
        <f t="shared" si="12"/>
        <v>252</v>
      </c>
      <c r="L246" s="6">
        <v>1070</v>
      </c>
      <c r="M246" s="6">
        <f t="shared" si="13"/>
        <v>1070</v>
      </c>
      <c r="N246" s="6">
        <f t="shared" si="14"/>
        <v>358</v>
      </c>
      <c r="O246" s="8">
        <f t="shared" si="15"/>
        <v>0.21309523809523809</v>
      </c>
    </row>
    <row r="247" spans="1:15" ht="17" customHeight="1">
      <c r="A247" s="1" t="s">
        <v>1910</v>
      </c>
      <c r="B247" s="1"/>
      <c r="C247" s="1" t="s">
        <v>1911</v>
      </c>
      <c r="D247" s="42" t="s">
        <v>2404</v>
      </c>
      <c r="E247" s="1" t="s">
        <v>1911</v>
      </c>
      <c r="G247" s="1">
        <v>1680</v>
      </c>
      <c r="H247" s="1">
        <v>1</v>
      </c>
      <c r="I247" s="1">
        <v>1680</v>
      </c>
      <c r="J247" s="1">
        <v>1</v>
      </c>
      <c r="K247" s="1">
        <f t="shared" si="12"/>
        <v>252</v>
      </c>
      <c r="L247" s="6">
        <v>835</v>
      </c>
      <c r="M247" s="6">
        <f t="shared" si="13"/>
        <v>835</v>
      </c>
      <c r="N247" s="6">
        <f t="shared" si="14"/>
        <v>593</v>
      </c>
      <c r="O247" s="8">
        <f t="shared" si="15"/>
        <v>0.3529761904761905</v>
      </c>
    </row>
    <row r="248" spans="1:15" ht="17" customHeight="1">
      <c r="A248" s="1" t="s">
        <v>898</v>
      </c>
      <c r="C248" s="1" t="s">
        <v>899</v>
      </c>
      <c r="D248" s="42" t="s">
        <v>493</v>
      </c>
      <c r="E248" t="s">
        <v>899</v>
      </c>
      <c r="G248" s="1">
        <v>1680</v>
      </c>
      <c r="H248" s="1">
        <v>1</v>
      </c>
      <c r="I248" s="1">
        <v>1680</v>
      </c>
      <c r="J248" s="1">
        <v>1</v>
      </c>
      <c r="K248" s="1">
        <f t="shared" si="12"/>
        <v>252</v>
      </c>
      <c r="L248" s="6">
        <v>942</v>
      </c>
      <c r="M248" s="6">
        <f t="shared" si="13"/>
        <v>942</v>
      </c>
      <c r="N248" s="6">
        <f t="shared" si="14"/>
        <v>486</v>
      </c>
      <c r="O248" s="8">
        <f t="shared" si="15"/>
        <v>0.28928571428571431</v>
      </c>
    </row>
    <row r="249" spans="1:15" ht="17" customHeight="1">
      <c r="A249" s="1" t="s">
        <v>491</v>
      </c>
      <c r="C249" s="1" t="s">
        <v>492</v>
      </c>
      <c r="D249" s="42" t="s">
        <v>493</v>
      </c>
      <c r="E249" t="s">
        <v>494</v>
      </c>
      <c r="G249" s="1">
        <v>1680</v>
      </c>
      <c r="H249" s="1">
        <v>1</v>
      </c>
      <c r="I249" s="1">
        <v>1680</v>
      </c>
      <c r="J249" s="1">
        <v>1</v>
      </c>
      <c r="K249" s="1">
        <f t="shared" si="12"/>
        <v>252</v>
      </c>
      <c r="L249" s="6">
        <v>942</v>
      </c>
      <c r="M249" s="6">
        <f t="shared" si="13"/>
        <v>942</v>
      </c>
      <c r="N249" s="6">
        <f t="shared" si="14"/>
        <v>486</v>
      </c>
      <c r="O249" s="8">
        <f t="shared" si="15"/>
        <v>0.28928571428571431</v>
      </c>
    </row>
    <row r="250" spans="1:15" ht="17" customHeight="1">
      <c r="A250" s="1" t="s">
        <v>495</v>
      </c>
      <c r="C250" s="1" t="s">
        <v>496</v>
      </c>
      <c r="D250" s="42" t="s">
        <v>497</v>
      </c>
      <c r="E250" t="s">
        <v>496</v>
      </c>
      <c r="G250" s="1">
        <v>1680</v>
      </c>
      <c r="H250" s="1">
        <v>1</v>
      </c>
      <c r="I250" s="1">
        <v>1680</v>
      </c>
      <c r="J250" s="1">
        <v>1</v>
      </c>
      <c r="K250" s="1">
        <f t="shared" si="12"/>
        <v>252</v>
      </c>
      <c r="L250" s="6">
        <v>942</v>
      </c>
      <c r="M250" s="6">
        <f t="shared" si="13"/>
        <v>942</v>
      </c>
      <c r="N250" s="6">
        <f t="shared" si="14"/>
        <v>486</v>
      </c>
      <c r="O250" s="8">
        <f t="shared" si="15"/>
        <v>0.28928571428571431</v>
      </c>
    </row>
    <row r="251" spans="1:15" ht="17" customHeight="1">
      <c r="A251" s="1" t="s">
        <v>2092</v>
      </c>
      <c r="C251" s="1" t="s">
        <v>2093</v>
      </c>
      <c r="D251" s="42" t="s">
        <v>2405</v>
      </c>
      <c r="E251" t="s">
        <v>2093</v>
      </c>
      <c r="G251" s="1">
        <v>1680</v>
      </c>
      <c r="H251" s="1">
        <v>1</v>
      </c>
      <c r="I251" s="1">
        <v>1680</v>
      </c>
      <c r="J251" s="1">
        <v>1</v>
      </c>
      <c r="K251" s="1">
        <f t="shared" si="12"/>
        <v>252</v>
      </c>
      <c r="L251" s="6">
        <v>858</v>
      </c>
      <c r="M251" s="6">
        <f t="shared" si="13"/>
        <v>858</v>
      </c>
      <c r="N251" s="6">
        <f t="shared" si="14"/>
        <v>570</v>
      </c>
      <c r="O251" s="8">
        <f t="shared" si="15"/>
        <v>0.3392857142857143</v>
      </c>
    </row>
    <row r="252" spans="1:15" ht="17" customHeight="1">
      <c r="A252" s="1" t="s">
        <v>1507</v>
      </c>
      <c r="C252" s="1" t="s">
        <v>1508</v>
      </c>
      <c r="D252" s="42" t="s">
        <v>2406</v>
      </c>
      <c r="E252" t="s">
        <v>1508</v>
      </c>
      <c r="G252" s="1">
        <v>1580</v>
      </c>
      <c r="H252" s="1">
        <v>1</v>
      </c>
      <c r="I252" s="1">
        <v>1580</v>
      </c>
      <c r="J252" s="1">
        <v>1</v>
      </c>
      <c r="K252" s="1">
        <f t="shared" si="12"/>
        <v>237</v>
      </c>
      <c r="L252" s="44"/>
      <c r="M252" s="6">
        <f t="shared" si="13"/>
        <v>0</v>
      </c>
      <c r="N252" s="6">
        <f t="shared" si="14"/>
        <v>1343</v>
      </c>
      <c r="O252" s="8">
        <f t="shared" si="15"/>
        <v>0.85</v>
      </c>
    </row>
    <row r="253" spans="1:15" ht="17" customHeight="1">
      <c r="A253" s="1" t="s">
        <v>2407</v>
      </c>
      <c r="C253" s="1">
        <v>4550391012718</v>
      </c>
      <c r="D253" s="42" t="s">
        <v>2408</v>
      </c>
      <c r="E253">
        <v>4550391012718</v>
      </c>
      <c r="G253" s="1">
        <v>1480</v>
      </c>
      <c r="H253" s="1">
        <v>1</v>
      </c>
      <c r="I253" s="1">
        <v>1480</v>
      </c>
      <c r="J253" s="1">
        <v>1</v>
      </c>
      <c r="K253" s="1">
        <f t="shared" si="12"/>
        <v>222</v>
      </c>
      <c r="L253" s="44"/>
      <c r="M253" s="6">
        <f t="shared" si="13"/>
        <v>0</v>
      </c>
      <c r="N253" s="6">
        <f t="shared" si="14"/>
        <v>1258</v>
      </c>
      <c r="O253" s="8">
        <f t="shared" si="15"/>
        <v>0.85</v>
      </c>
    </row>
    <row r="254" spans="1:15" ht="17" customHeight="1">
      <c r="A254" s="1" t="s">
        <v>2409</v>
      </c>
      <c r="B254" s="1" t="s">
        <v>1819</v>
      </c>
      <c r="C254" s="1" t="s">
        <v>2410</v>
      </c>
      <c r="D254" s="42" t="s">
        <v>2411</v>
      </c>
      <c r="E254" s="1" t="s">
        <v>2412</v>
      </c>
      <c r="G254" s="1">
        <v>1480</v>
      </c>
      <c r="H254" s="1">
        <v>1</v>
      </c>
      <c r="I254" s="1">
        <v>1480</v>
      </c>
      <c r="J254" s="1">
        <v>1</v>
      </c>
      <c r="K254" s="1">
        <f t="shared" si="12"/>
        <v>222</v>
      </c>
      <c r="L254" s="6">
        <v>660</v>
      </c>
      <c r="M254" s="6">
        <f t="shared" si="13"/>
        <v>660</v>
      </c>
      <c r="N254" s="6">
        <f t="shared" si="14"/>
        <v>598</v>
      </c>
      <c r="O254" s="8">
        <f t="shared" si="15"/>
        <v>0.40405405405405403</v>
      </c>
    </row>
    <row r="255" spans="1:15" ht="17" customHeight="1">
      <c r="A255" s="1" t="s">
        <v>1916</v>
      </c>
      <c r="C255" s="1" t="s">
        <v>1917</v>
      </c>
      <c r="D255" s="42" t="s">
        <v>1918</v>
      </c>
      <c r="E255" t="s">
        <v>1917</v>
      </c>
      <c r="G255" s="1">
        <v>1480</v>
      </c>
      <c r="H255" s="1">
        <v>1</v>
      </c>
      <c r="I255" s="1">
        <v>1480</v>
      </c>
      <c r="J255" s="1">
        <v>1</v>
      </c>
      <c r="K255" s="1">
        <f t="shared" si="12"/>
        <v>222</v>
      </c>
      <c r="L255" s="6">
        <v>439</v>
      </c>
      <c r="M255" s="6">
        <f t="shared" si="13"/>
        <v>439</v>
      </c>
      <c r="N255" s="6">
        <f t="shared" si="14"/>
        <v>819</v>
      </c>
      <c r="O255" s="8">
        <f t="shared" si="15"/>
        <v>0.55337837837837833</v>
      </c>
    </row>
    <row r="256" spans="1:15" ht="17" customHeight="1">
      <c r="A256" s="1" t="s">
        <v>910</v>
      </c>
      <c r="B256" s="1"/>
      <c r="C256" s="1" t="s">
        <v>911</v>
      </c>
      <c r="D256" s="42" t="s">
        <v>912</v>
      </c>
      <c r="E256" s="1" t="s">
        <v>911</v>
      </c>
      <c r="G256" s="1">
        <v>1480</v>
      </c>
      <c r="H256" s="1">
        <v>1</v>
      </c>
      <c r="I256" s="1">
        <v>1480</v>
      </c>
      <c r="J256" s="1">
        <v>1</v>
      </c>
      <c r="K256" s="1">
        <f t="shared" si="12"/>
        <v>222</v>
      </c>
      <c r="L256" s="6">
        <v>660</v>
      </c>
      <c r="M256" s="6">
        <f t="shared" si="13"/>
        <v>660</v>
      </c>
      <c r="N256" s="6">
        <f t="shared" si="14"/>
        <v>598</v>
      </c>
      <c r="O256" s="8">
        <f t="shared" si="15"/>
        <v>0.40405405405405403</v>
      </c>
    </row>
    <row r="257" spans="1:15" ht="17" customHeight="1">
      <c r="A257" s="1" t="s">
        <v>2413</v>
      </c>
      <c r="C257" s="1" t="s">
        <v>2414</v>
      </c>
      <c r="D257" s="42" t="s">
        <v>2415</v>
      </c>
      <c r="E257" t="s">
        <v>2414</v>
      </c>
      <c r="G257" s="1">
        <v>1480</v>
      </c>
      <c r="H257" s="1">
        <v>1</v>
      </c>
      <c r="I257" s="1">
        <v>1480</v>
      </c>
      <c r="J257" s="1">
        <v>1</v>
      </c>
      <c r="K257" s="1">
        <f t="shared" si="12"/>
        <v>222</v>
      </c>
      <c r="L257" s="6">
        <v>711</v>
      </c>
      <c r="M257" s="6">
        <f t="shared" si="13"/>
        <v>711</v>
      </c>
      <c r="N257" s="6">
        <f t="shared" si="14"/>
        <v>547</v>
      </c>
      <c r="O257" s="8">
        <f t="shared" si="15"/>
        <v>0.36959459459459459</v>
      </c>
    </row>
    <row r="258" spans="1:15" ht="17" customHeight="1">
      <c r="A258" s="1" t="s">
        <v>2416</v>
      </c>
      <c r="C258" s="1" t="s">
        <v>2417</v>
      </c>
      <c r="D258" s="42" t="s">
        <v>2418</v>
      </c>
      <c r="E258" t="s">
        <v>262</v>
      </c>
      <c r="G258" s="1">
        <v>1480</v>
      </c>
      <c r="H258" s="1">
        <v>1</v>
      </c>
      <c r="I258" s="1">
        <v>1480</v>
      </c>
      <c r="J258" s="1">
        <v>1</v>
      </c>
      <c r="K258" s="1">
        <f t="shared" si="12"/>
        <v>222</v>
      </c>
      <c r="L258" s="6">
        <v>624</v>
      </c>
      <c r="M258" s="6">
        <f t="shared" si="13"/>
        <v>624</v>
      </c>
      <c r="N258" s="6">
        <f t="shared" si="14"/>
        <v>634</v>
      </c>
      <c r="O258" s="8">
        <f t="shared" si="15"/>
        <v>0.42837837837837839</v>
      </c>
    </row>
    <row r="259" spans="1:15" ht="17" customHeight="1">
      <c r="A259" s="1" t="s">
        <v>1487</v>
      </c>
      <c r="B259" s="1" t="s">
        <v>1488</v>
      </c>
      <c r="C259" s="1" t="s">
        <v>1489</v>
      </c>
      <c r="D259" s="42" t="s">
        <v>2419</v>
      </c>
      <c r="E259" s="1" t="s">
        <v>1491</v>
      </c>
      <c r="G259" s="1">
        <v>1380</v>
      </c>
      <c r="H259" s="1">
        <v>1</v>
      </c>
      <c r="I259" s="1">
        <v>1380</v>
      </c>
      <c r="J259" s="1">
        <v>1</v>
      </c>
      <c r="K259" s="1">
        <f t="shared" si="12"/>
        <v>207</v>
      </c>
      <c r="L259" s="6">
        <v>695</v>
      </c>
      <c r="M259" s="6">
        <f t="shared" si="13"/>
        <v>695</v>
      </c>
      <c r="N259" s="6">
        <f t="shared" si="14"/>
        <v>478</v>
      </c>
      <c r="O259" s="8">
        <f t="shared" si="15"/>
        <v>0.34637681159420292</v>
      </c>
    </row>
    <row r="260" spans="1:15" ht="17" customHeight="1">
      <c r="A260" s="1" t="s">
        <v>524</v>
      </c>
      <c r="C260" s="1" t="s">
        <v>525</v>
      </c>
      <c r="D260" s="42" t="s">
        <v>526</v>
      </c>
      <c r="E260" t="s">
        <v>527</v>
      </c>
      <c r="G260" s="1">
        <v>1380</v>
      </c>
      <c r="H260" s="1">
        <v>1</v>
      </c>
      <c r="I260" s="1">
        <v>1380</v>
      </c>
      <c r="J260" s="1">
        <v>1</v>
      </c>
      <c r="K260" s="1">
        <f t="shared" si="12"/>
        <v>207</v>
      </c>
      <c r="L260" s="6">
        <v>358</v>
      </c>
      <c r="M260" s="6">
        <f t="shared" si="13"/>
        <v>358</v>
      </c>
      <c r="N260" s="6">
        <f t="shared" si="14"/>
        <v>815</v>
      </c>
      <c r="O260" s="8">
        <f t="shared" si="15"/>
        <v>0.59057971014492749</v>
      </c>
    </row>
    <row r="261" spans="1:15" ht="17" customHeight="1">
      <c r="A261" s="1" t="s">
        <v>927</v>
      </c>
      <c r="B261" s="1"/>
      <c r="C261" s="1" t="s">
        <v>928</v>
      </c>
      <c r="D261" s="42" t="s">
        <v>929</v>
      </c>
      <c r="E261" s="1" t="s">
        <v>928</v>
      </c>
      <c r="G261" s="1">
        <v>1280</v>
      </c>
      <c r="H261" s="1">
        <v>1</v>
      </c>
      <c r="I261" s="1">
        <v>1280</v>
      </c>
      <c r="J261" s="1">
        <v>1</v>
      </c>
      <c r="K261" s="1">
        <f t="shared" si="12"/>
        <v>192</v>
      </c>
      <c r="L261" s="6">
        <v>438</v>
      </c>
      <c r="M261" s="6">
        <f t="shared" si="13"/>
        <v>438</v>
      </c>
      <c r="N261" s="6">
        <f t="shared" si="14"/>
        <v>650</v>
      </c>
      <c r="O261" s="8">
        <f t="shared" si="15"/>
        <v>0.5078125</v>
      </c>
    </row>
    <row r="262" spans="1:15" ht="17" customHeight="1">
      <c r="A262" s="1" t="s">
        <v>276</v>
      </c>
      <c r="C262" s="1" t="s">
        <v>277</v>
      </c>
      <c r="D262" s="42" t="s">
        <v>278</v>
      </c>
      <c r="E262" t="s">
        <v>277</v>
      </c>
      <c r="G262" s="1">
        <v>1280</v>
      </c>
      <c r="H262" s="1">
        <v>1</v>
      </c>
      <c r="I262" s="1">
        <v>1280</v>
      </c>
      <c r="J262" s="1">
        <v>1</v>
      </c>
      <c r="K262" s="1">
        <f t="shared" si="12"/>
        <v>192</v>
      </c>
      <c r="L262" s="6">
        <v>446</v>
      </c>
      <c r="M262" s="6">
        <f t="shared" si="13"/>
        <v>446</v>
      </c>
      <c r="N262" s="6">
        <f t="shared" si="14"/>
        <v>642</v>
      </c>
      <c r="O262" s="8">
        <f t="shared" si="15"/>
        <v>0.50156250000000002</v>
      </c>
    </row>
    <row r="263" spans="1:15" ht="17" customHeight="1">
      <c r="A263" s="1" t="s">
        <v>2420</v>
      </c>
      <c r="B263" s="1"/>
      <c r="C263" s="1" t="s">
        <v>1213</v>
      </c>
      <c r="D263" s="42" t="s">
        <v>1214</v>
      </c>
      <c r="E263" s="1" t="s">
        <v>1213</v>
      </c>
      <c r="G263" s="1">
        <v>1280</v>
      </c>
      <c r="H263" s="1">
        <v>1</v>
      </c>
      <c r="I263" s="1">
        <v>1280</v>
      </c>
      <c r="J263" s="1">
        <v>1</v>
      </c>
      <c r="K263" s="1">
        <f t="shared" si="12"/>
        <v>192</v>
      </c>
      <c r="L263" s="6">
        <v>285</v>
      </c>
      <c r="M263" s="6">
        <f t="shared" si="13"/>
        <v>285</v>
      </c>
      <c r="N263" s="6">
        <f t="shared" si="14"/>
        <v>803</v>
      </c>
      <c r="O263" s="8">
        <f t="shared" si="15"/>
        <v>0.62734374999999998</v>
      </c>
    </row>
    <row r="264" spans="1:15" ht="17" customHeight="1">
      <c r="A264" s="1" t="s">
        <v>543</v>
      </c>
      <c r="B264" t="s">
        <v>641</v>
      </c>
      <c r="C264" s="1" t="s">
        <v>545</v>
      </c>
      <c r="D264" s="42" t="s">
        <v>546</v>
      </c>
      <c r="E264" t="s">
        <v>642</v>
      </c>
      <c r="G264" s="1">
        <v>1180</v>
      </c>
      <c r="H264" s="1">
        <v>1</v>
      </c>
      <c r="I264" s="1">
        <v>1180</v>
      </c>
      <c r="J264" s="1">
        <v>1</v>
      </c>
      <c r="K264" s="1">
        <f t="shared" ref="K264:K269" si="16">SUM(I264*0.15)</f>
        <v>177</v>
      </c>
      <c r="L264" s="6">
        <v>605</v>
      </c>
      <c r="M264" s="6">
        <f t="shared" ref="M264:M327" si="17">SUM(H264*L264)</f>
        <v>605</v>
      </c>
      <c r="N264" s="6">
        <f t="shared" ref="N264:N327" si="18">SUM(I264-K264-M264)</f>
        <v>398</v>
      </c>
      <c r="O264" s="8">
        <f t="shared" ref="O264:O327" si="19">IF(I264=0,"",N264/I264)</f>
        <v>0.33728813559322035</v>
      </c>
    </row>
    <row r="265" spans="1:15" ht="17" customHeight="1">
      <c r="A265" s="1" t="s">
        <v>2421</v>
      </c>
      <c r="C265" s="1" t="s">
        <v>2422</v>
      </c>
      <c r="D265" s="42" t="s">
        <v>2423</v>
      </c>
      <c r="E265" t="s">
        <v>2424</v>
      </c>
      <c r="G265" s="1">
        <v>1180</v>
      </c>
      <c r="H265" s="1">
        <v>1</v>
      </c>
      <c r="I265" s="1">
        <v>1180</v>
      </c>
      <c r="J265" s="1">
        <v>1</v>
      </c>
      <c r="K265" s="1">
        <f t="shared" si="16"/>
        <v>177</v>
      </c>
      <c r="L265" s="6">
        <v>612</v>
      </c>
      <c r="M265" s="6">
        <f t="shared" si="17"/>
        <v>612</v>
      </c>
      <c r="N265" s="6">
        <f t="shared" si="18"/>
        <v>391</v>
      </c>
      <c r="O265" s="8">
        <f t="shared" si="19"/>
        <v>0.33135593220338982</v>
      </c>
    </row>
    <row r="266" spans="1:15" ht="17" customHeight="1">
      <c r="A266" s="1" t="s">
        <v>1938</v>
      </c>
      <c r="B266" s="1"/>
      <c r="C266" s="1" t="s">
        <v>1401</v>
      </c>
      <c r="D266" s="42" t="s">
        <v>1402</v>
      </c>
      <c r="E266" s="1" t="s">
        <v>1401</v>
      </c>
      <c r="G266" s="1">
        <v>1180</v>
      </c>
      <c r="H266" s="1">
        <v>1</v>
      </c>
      <c r="I266" s="1">
        <v>1180</v>
      </c>
      <c r="J266" s="1">
        <v>1</v>
      </c>
      <c r="K266" s="1">
        <f t="shared" si="16"/>
        <v>177</v>
      </c>
      <c r="L266" s="6">
        <v>294</v>
      </c>
      <c r="M266" s="6">
        <f t="shared" si="17"/>
        <v>294</v>
      </c>
      <c r="N266" s="6">
        <f t="shared" si="18"/>
        <v>709</v>
      </c>
      <c r="O266" s="8">
        <f t="shared" si="19"/>
        <v>0.60084745762711866</v>
      </c>
    </row>
    <row r="267" spans="1:15" ht="17" customHeight="1">
      <c r="A267" s="1" t="s">
        <v>543</v>
      </c>
      <c r="B267" t="s">
        <v>544</v>
      </c>
      <c r="C267" s="1" t="s">
        <v>545</v>
      </c>
      <c r="D267" s="42" t="s">
        <v>546</v>
      </c>
      <c r="E267" t="s">
        <v>547</v>
      </c>
      <c r="G267" s="1">
        <v>1180</v>
      </c>
      <c r="H267" s="1">
        <v>1</v>
      </c>
      <c r="I267" s="1">
        <v>1180</v>
      </c>
      <c r="J267" s="1">
        <v>1</v>
      </c>
      <c r="K267" s="1">
        <f t="shared" si="16"/>
        <v>177</v>
      </c>
      <c r="L267" s="6">
        <v>638</v>
      </c>
      <c r="M267" s="6">
        <f t="shared" si="17"/>
        <v>638</v>
      </c>
      <c r="N267" s="6">
        <f t="shared" si="18"/>
        <v>365</v>
      </c>
      <c r="O267" s="8">
        <f t="shared" si="19"/>
        <v>0.30932203389830509</v>
      </c>
    </row>
    <row r="268" spans="1:15" ht="17" customHeight="1">
      <c r="A268" s="1" t="s">
        <v>2105</v>
      </c>
      <c r="C268" s="1" t="s">
        <v>2106</v>
      </c>
      <c r="D268" s="42" t="s">
        <v>2107</v>
      </c>
      <c r="E268" t="s">
        <v>2106</v>
      </c>
      <c r="G268" s="1">
        <v>999</v>
      </c>
      <c r="H268" s="1">
        <v>1</v>
      </c>
      <c r="I268" s="1">
        <v>999</v>
      </c>
      <c r="J268" s="1">
        <v>1</v>
      </c>
      <c r="K268" s="1">
        <f t="shared" si="16"/>
        <v>149.85</v>
      </c>
      <c r="L268" s="6">
        <v>328</v>
      </c>
      <c r="M268" s="6">
        <f t="shared" si="17"/>
        <v>328</v>
      </c>
      <c r="N268" s="6">
        <f t="shared" si="18"/>
        <v>521.15</v>
      </c>
      <c r="O268" s="8">
        <f t="shared" si="19"/>
        <v>0.52167167167167161</v>
      </c>
    </row>
    <row r="269" spans="1:15" ht="17" customHeight="1">
      <c r="A269" s="1" t="s">
        <v>1765</v>
      </c>
      <c r="C269" s="1" t="s">
        <v>1766</v>
      </c>
      <c r="D269" s="42" t="s">
        <v>2425</v>
      </c>
      <c r="E269" t="s">
        <v>1766</v>
      </c>
      <c r="G269" s="1">
        <v>0</v>
      </c>
      <c r="H269" s="1">
        <v>1</v>
      </c>
      <c r="I269" s="1">
        <v>0</v>
      </c>
      <c r="J269" s="1">
        <v>1</v>
      </c>
      <c r="K269" s="1">
        <f t="shared" si="16"/>
        <v>0</v>
      </c>
      <c r="L269" s="6">
        <v>1200</v>
      </c>
      <c r="M269" s="6">
        <f t="shared" si="17"/>
        <v>1200</v>
      </c>
      <c r="N269" s="6">
        <f t="shared" si="18"/>
        <v>-1200</v>
      </c>
      <c r="O269" s="8" t="str">
        <f t="shared" si="19"/>
        <v/>
      </c>
    </row>
    <row r="270" spans="1:15" ht="17" customHeight="1">
      <c r="H270" s="1">
        <f>SUM(H7:H269)</f>
        <v>659</v>
      </c>
      <c r="I270" s="1">
        <f>SUM(I7:I269)</f>
        <v>2579795</v>
      </c>
      <c r="J270" s="1">
        <f>SUM(J7:J269)</f>
        <v>564</v>
      </c>
      <c r="K270" s="1">
        <f>SUM(K7:K269)</f>
        <v>386969.25000000006</v>
      </c>
      <c r="M270" s="1">
        <f>SUM(M7:M269)</f>
        <v>1356493</v>
      </c>
      <c r="N270" s="1">
        <f>SUM(N7:N269)</f>
        <v>836332.75</v>
      </c>
      <c r="O270" s="8">
        <f t="shared" si="19"/>
        <v>0.3241857395645778</v>
      </c>
    </row>
    <row r="271" spans="1:15" ht="17" customHeight="1"/>
    <row r="272" spans="1:15" ht="17" customHeight="1">
      <c r="M272" s="30" t="s">
        <v>956</v>
      </c>
      <c r="N272" s="31">
        <v>53095</v>
      </c>
      <c r="O272" s="32">
        <f>SUM(N272/I270)</f>
        <v>2.0581092683720992E-2</v>
      </c>
    </row>
    <row r="273" spans="13:15" ht="17" customHeight="1">
      <c r="M273" s="33" t="s">
        <v>957</v>
      </c>
      <c r="N273" s="45"/>
      <c r="O273" s="34">
        <f>SUM(N273/I270)</f>
        <v>0</v>
      </c>
    </row>
    <row r="274" spans="13:15" ht="17" customHeight="1">
      <c r="M274" s="33" t="s">
        <v>958</v>
      </c>
      <c r="N274" s="45"/>
      <c r="O274" s="34">
        <f>SUM(N274/I270)</f>
        <v>0</v>
      </c>
    </row>
    <row r="275" spans="13:15" ht="17" customHeight="1">
      <c r="M275" s="33" t="s">
        <v>959</v>
      </c>
      <c r="N275" s="45"/>
      <c r="O275" s="35"/>
    </row>
    <row r="276" spans="13:15" ht="17" customHeight="1">
      <c r="M276" s="33" t="s">
        <v>960</v>
      </c>
      <c r="N276" s="28">
        <f>SUM(N272:N275)</f>
        <v>53095</v>
      </c>
      <c r="O276" s="34">
        <f>SUM(N276/I270)</f>
        <v>2.0581092683720992E-2</v>
      </c>
    </row>
    <row r="277" spans="13:15" ht="17" customHeight="1">
      <c r="M277" s="33"/>
      <c r="N277" s="28"/>
      <c r="O277" s="34"/>
    </row>
    <row r="278" spans="13:15" ht="17" customHeight="1">
      <c r="M278" s="33" t="s">
        <v>961</v>
      </c>
      <c r="N278" s="45"/>
      <c r="O278" s="34">
        <f>SUM(N278/I270)</f>
        <v>0</v>
      </c>
    </row>
    <row r="279" spans="13:15" ht="17" customHeight="1">
      <c r="M279" s="36" t="s">
        <v>962</v>
      </c>
      <c r="N279" s="46"/>
      <c r="O279" s="34">
        <f>SUM(N279/I270)</f>
        <v>0</v>
      </c>
    </row>
    <row r="280" spans="13:15" ht="17" customHeight="1">
      <c r="M280" s="36" t="s">
        <v>960</v>
      </c>
      <c r="N280" s="1">
        <f>SUM(N278:N279)</f>
        <v>0</v>
      </c>
      <c r="O280" s="34">
        <f>SUM(O278:O279)</f>
        <v>0</v>
      </c>
    </row>
    <row r="281" spans="13:15" ht="17" customHeight="1">
      <c r="M281" s="33"/>
      <c r="N281" s="28"/>
      <c r="O281" s="35"/>
    </row>
    <row r="282" spans="13:15" ht="17" customHeight="1">
      <c r="M282" s="33" t="s">
        <v>963</v>
      </c>
      <c r="N282" s="28">
        <f>SUM(N270-N276-N280)</f>
        <v>783237.75</v>
      </c>
      <c r="O282" s="35"/>
    </row>
    <row r="283" spans="13:15" ht="17" customHeight="1">
      <c r="M283" s="37" t="s">
        <v>964</v>
      </c>
      <c r="N283" s="38">
        <f>IF(I270=0,"",N282/I270)</f>
        <v>0.30360464688085681</v>
      </c>
      <c r="O283" s="39"/>
    </row>
    <row r="284" spans="13:15" ht="17" customHeight="1"/>
    <row r="285" spans="13:15" ht="17" customHeight="1"/>
    <row r="286" spans="13:15" ht="17" customHeight="1"/>
    <row r="287" spans="13:15" ht="17" customHeight="1"/>
    <row r="288" spans="13:15" ht="17" customHeight="1"/>
    <row r="289" ht="17" customHeight="1"/>
    <row r="290" ht="17" customHeight="1"/>
    <row r="291" ht="17" customHeight="1"/>
    <row r="292" ht="17" customHeight="1"/>
    <row r="293" ht="17" customHeight="1"/>
    <row r="294" ht="17" customHeight="1"/>
    <row r="295" ht="17" customHeight="1"/>
    <row r="296" ht="17" customHeight="1"/>
    <row r="297" ht="17" customHeight="1"/>
    <row r="298" ht="17" customHeight="1"/>
    <row r="299" ht="17" customHeight="1"/>
    <row r="300" ht="17" customHeight="1"/>
    <row r="301" ht="17" customHeight="1"/>
    <row r="302" ht="17" customHeight="1"/>
    <row r="303" ht="17" customHeight="1"/>
    <row r="304" ht="17" customHeight="1"/>
    <row r="305" ht="17" customHeight="1"/>
    <row r="306" ht="17" customHeight="1"/>
    <row r="307" ht="17" customHeight="1"/>
    <row r="308" ht="17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4月</vt:lpstr>
      <vt:lpstr>5月</vt:lpstr>
      <vt:lpstr>6月</vt:lpstr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2026-09-08T10:20:40Z</dcterms:modified>
</cp:coreProperties>
</file>