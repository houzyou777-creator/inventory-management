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ide0726/Desktop/Claude Code/MomijiStore_OS/02_Analytics/SourceData/"/>
    </mc:Choice>
  </mc:AlternateContent>
  <xr:revisionPtr revIDLastSave="0" documentId="11_58D36C9A21FF80DE14D087B7E72D097BD8FCD642" xr6:coauthVersionLast="47" xr6:coauthVersionMax="47" xr10:uidLastSave="{00000000-0000-0000-0000-000000000000}"/>
  <bookViews>
    <workbookView xWindow="0" yWindow="600" windowWidth="51200" windowHeight="21000" xr2:uid="{00000000-000D-0000-FFFF-FFFF00000000}"/>
  </bookViews>
  <sheets>
    <sheet name="7月" sheetId="1" r:id="rId1"/>
    <sheet name="8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5" i="2" l="1"/>
  <c r="I135" i="2"/>
  <c r="H135" i="2"/>
  <c r="F135" i="2"/>
  <c r="K135" i="2" s="1"/>
  <c r="D135" i="2"/>
  <c r="P134" i="2"/>
  <c r="N134" i="2"/>
  <c r="K134" i="2"/>
  <c r="P133" i="2"/>
  <c r="N133" i="2"/>
  <c r="K133" i="2"/>
  <c r="P132" i="2"/>
  <c r="N132" i="2"/>
  <c r="K132" i="2"/>
  <c r="P131" i="2"/>
  <c r="N131" i="2"/>
  <c r="K131" i="2"/>
  <c r="P130" i="2"/>
  <c r="N130" i="2"/>
  <c r="K130" i="2"/>
  <c r="P129" i="2"/>
  <c r="N129" i="2"/>
  <c r="K129" i="2"/>
  <c r="P128" i="2"/>
  <c r="N128" i="2"/>
  <c r="K128" i="2"/>
  <c r="P127" i="2"/>
  <c r="N127" i="2"/>
  <c r="K127" i="2"/>
  <c r="P126" i="2"/>
  <c r="N126" i="2"/>
  <c r="K126" i="2"/>
  <c r="P125" i="2"/>
  <c r="N125" i="2"/>
  <c r="K125" i="2"/>
  <c r="P124" i="2"/>
  <c r="N124" i="2"/>
  <c r="K124" i="2"/>
  <c r="P123" i="2"/>
  <c r="N123" i="2"/>
  <c r="K123" i="2"/>
  <c r="P122" i="2"/>
  <c r="N122" i="2"/>
  <c r="K122" i="2"/>
  <c r="P121" i="2"/>
  <c r="N121" i="2"/>
  <c r="K121" i="2"/>
  <c r="P120" i="2"/>
  <c r="N120" i="2"/>
  <c r="K120" i="2"/>
  <c r="P119" i="2"/>
  <c r="N119" i="2"/>
  <c r="K119" i="2"/>
  <c r="P118" i="2"/>
  <c r="N118" i="2"/>
  <c r="K118" i="2"/>
  <c r="P117" i="2"/>
  <c r="N117" i="2"/>
  <c r="K117" i="2"/>
  <c r="P116" i="2"/>
  <c r="N116" i="2"/>
  <c r="K116" i="2"/>
  <c r="P115" i="2"/>
  <c r="N115" i="2"/>
  <c r="K115" i="2"/>
  <c r="P114" i="2"/>
  <c r="N114" i="2"/>
  <c r="K114" i="2"/>
  <c r="P113" i="2"/>
  <c r="N113" i="2"/>
  <c r="K113" i="2"/>
  <c r="P112" i="2"/>
  <c r="N112" i="2"/>
  <c r="K112" i="2"/>
  <c r="P111" i="2"/>
  <c r="N111" i="2"/>
  <c r="K111" i="2"/>
  <c r="P110" i="2"/>
  <c r="N110" i="2"/>
  <c r="K110" i="2"/>
  <c r="P109" i="2"/>
  <c r="N109" i="2"/>
  <c r="K109" i="2"/>
  <c r="P108" i="2"/>
  <c r="N108" i="2"/>
  <c r="K108" i="2"/>
  <c r="P107" i="2"/>
  <c r="N107" i="2"/>
  <c r="K107" i="2"/>
  <c r="P106" i="2"/>
  <c r="N106" i="2"/>
  <c r="K106" i="2"/>
  <c r="P105" i="2"/>
  <c r="N105" i="2"/>
  <c r="K105" i="2"/>
  <c r="P104" i="2"/>
  <c r="N104" i="2"/>
  <c r="K104" i="2"/>
  <c r="P103" i="2"/>
  <c r="N103" i="2"/>
  <c r="K103" i="2"/>
  <c r="P102" i="2"/>
  <c r="N102" i="2"/>
  <c r="K102" i="2"/>
  <c r="P101" i="2"/>
  <c r="N101" i="2"/>
  <c r="K101" i="2"/>
  <c r="P100" i="2"/>
  <c r="N100" i="2"/>
  <c r="K100" i="2"/>
  <c r="P99" i="2"/>
  <c r="N99" i="2"/>
  <c r="K99" i="2"/>
  <c r="P98" i="2"/>
  <c r="N98" i="2"/>
  <c r="K98" i="2"/>
  <c r="P97" i="2"/>
  <c r="N97" i="2"/>
  <c r="K97" i="2"/>
  <c r="P96" i="2"/>
  <c r="N96" i="2"/>
  <c r="K96" i="2"/>
  <c r="P95" i="2"/>
  <c r="N95" i="2"/>
  <c r="K95" i="2"/>
  <c r="P94" i="2"/>
  <c r="N94" i="2"/>
  <c r="K94" i="2"/>
  <c r="P93" i="2"/>
  <c r="N93" i="2"/>
  <c r="K93" i="2"/>
  <c r="P92" i="2"/>
  <c r="N92" i="2"/>
  <c r="K92" i="2"/>
  <c r="P91" i="2"/>
  <c r="N91" i="2"/>
  <c r="K91" i="2"/>
  <c r="P90" i="2"/>
  <c r="N90" i="2"/>
  <c r="K90" i="2"/>
  <c r="P89" i="2"/>
  <c r="N89" i="2"/>
  <c r="K89" i="2"/>
  <c r="P88" i="2"/>
  <c r="N88" i="2"/>
  <c r="K88" i="2"/>
  <c r="P87" i="2"/>
  <c r="N87" i="2"/>
  <c r="K87" i="2"/>
  <c r="P86" i="2"/>
  <c r="N86" i="2"/>
  <c r="K86" i="2"/>
  <c r="P85" i="2"/>
  <c r="N85" i="2"/>
  <c r="K85" i="2"/>
  <c r="P84" i="2"/>
  <c r="N84" i="2"/>
  <c r="K84" i="2"/>
  <c r="P83" i="2"/>
  <c r="N83" i="2"/>
  <c r="K83" i="2"/>
  <c r="P82" i="2"/>
  <c r="N82" i="2"/>
  <c r="K82" i="2"/>
  <c r="P81" i="2"/>
  <c r="N81" i="2"/>
  <c r="K81" i="2"/>
  <c r="P80" i="2"/>
  <c r="N80" i="2"/>
  <c r="K80" i="2"/>
  <c r="P79" i="2"/>
  <c r="N79" i="2"/>
  <c r="K79" i="2"/>
  <c r="P78" i="2"/>
  <c r="N78" i="2"/>
  <c r="K78" i="2"/>
  <c r="P77" i="2"/>
  <c r="N77" i="2"/>
  <c r="K77" i="2"/>
  <c r="P76" i="2"/>
  <c r="N76" i="2"/>
  <c r="K76" i="2"/>
  <c r="P75" i="2"/>
  <c r="N75" i="2"/>
  <c r="K75" i="2"/>
  <c r="P74" i="2"/>
  <c r="N74" i="2"/>
  <c r="K74" i="2"/>
  <c r="P73" i="2"/>
  <c r="N73" i="2"/>
  <c r="K73" i="2"/>
  <c r="P72" i="2"/>
  <c r="N72" i="2"/>
  <c r="K72" i="2"/>
  <c r="P71" i="2"/>
  <c r="N71" i="2"/>
  <c r="K71" i="2"/>
  <c r="P70" i="2"/>
  <c r="N70" i="2"/>
  <c r="K70" i="2"/>
  <c r="P69" i="2"/>
  <c r="N69" i="2"/>
  <c r="K69" i="2"/>
  <c r="P68" i="2"/>
  <c r="N68" i="2"/>
  <c r="K68" i="2"/>
  <c r="P67" i="2"/>
  <c r="N67" i="2"/>
  <c r="K67" i="2"/>
  <c r="P66" i="2"/>
  <c r="N66" i="2"/>
  <c r="K66" i="2"/>
  <c r="P65" i="2"/>
  <c r="N65" i="2"/>
  <c r="K65" i="2"/>
  <c r="P64" i="2"/>
  <c r="N64" i="2"/>
  <c r="K64" i="2"/>
  <c r="P63" i="2"/>
  <c r="N63" i="2"/>
  <c r="K63" i="2"/>
  <c r="P62" i="2"/>
  <c r="N62" i="2"/>
  <c r="K62" i="2"/>
  <c r="P61" i="2"/>
  <c r="N61" i="2"/>
  <c r="K61" i="2"/>
  <c r="P60" i="2"/>
  <c r="N60" i="2"/>
  <c r="K60" i="2"/>
  <c r="P59" i="2"/>
  <c r="N59" i="2"/>
  <c r="K59" i="2"/>
  <c r="P58" i="2"/>
  <c r="N58" i="2"/>
  <c r="K58" i="2"/>
  <c r="P57" i="2"/>
  <c r="N57" i="2"/>
  <c r="K57" i="2"/>
  <c r="P56" i="2"/>
  <c r="N56" i="2"/>
  <c r="K56" i="2"/>
  <c r="P55" i="2"/>
  <c r="N55" i="2"/>
  <c r="K55" i="2"/>
  <c r="P54" i="2"/>
  <c r="N54" i="2"/>
  <c r="K54" i="2"/>
  <c r="P53" i="2"/>
  <c r="N53" i="2"/>
  <c r="K53" i="2"/>
  <c r="P52" i="2"/>
  <c r="N52" i="2"/>
  <c r="K52" i="2"/>
  <c r="P51" i="2"/>
  <c r="N51" i="2"/>
  <c r="K51" i="2"/>
  <c r="P50" i="2"/>
  <c r="N50" i="2"/>
  <c r="K50" i="2"/>
  <c r="P49" i="2"/>
  <c r="N49" i="2"/>
  <c r="K49" i="2"/>
  <c r="P48" i="2"/>
  <c r="N48" i="2"/>
  <c r="K48" i="2"/>
  <c r="P47" i="2"/>
  <c r="N47" i="2"/>
  <c r="K47" i="2"/>
  <c r="P46" i="2"/>
  <c r="N46" i="2"/>
  <c r="K46" i="2"/>
  <c r="P45" i="2"/>
  <c r="N45" i="2"/>
  <c r="K45" i="2"/>
  <c r="P44" i="2"/>
  <c r="N44" i="2"/>
  <c r="K44" i="2"/>
  <c r="P43" i="2"/>
  <c r="N43" i="2"/>
  <c r="K43" i="2"/>
  <c r="P42" i="2"/>
  <c r="N42" i="2"/>
  <c r="K42" i="2"/>
  <c r="P41" i="2"/>
  <c r="N41" i="2"/>
  <c r="K41" i="2"/>
  <c r="P40" i="2"/>
  <c r="N40" i="2"/>
  <c r="K40" i="2"/>
  <c r="P39" i="2"/>
  <c r="N39" i="2"/>
  <c r="K39" i="2"/>
  <c r="P38" i="2"/>
  <c r="N38" i="2"/>
  <c r="K38" i="2"/>
  <c r="P37" i="2"/>
  <c r="N37" i="2"/>
  <c r="K37" i="2"/>
  <c r="P36" i="2"/>
  <c r="N36" i="2"/>
  <c r="K36" i="2"/>
  <c r="P35" i="2"/>
  <c r="N35" i="2"/>
  <c r="K35" i="2"/>
  <c r="P34" i="2"/>
  <c r="N34" i="2"/>
  <c r="K34" i="2"/>
  <c r="P33" i="2"/>
  <c r="N33" i="2"/>
  <c r="K33" i="2"/>
  <c r="P32" i="2"/>
  <c r="N32" i="2"/>
  <c r="K32" i="2"/>
  <c r="P31" i="2"/>
  <c r="N31" i="2"/>
  <c r="K31" i="2"/>
  <c r="P30" i="2"/>
  <c r="N30" i="2"/>
  <c r="K30" i="2"/>
  <c r="P29" i="2"/>
  <c r="N29" i="2"/>
  <c r="K29" i="2"/>
  <c r="P28" i="2"/>
  <c r="N28" i="2"/>
  <c r="K28" i="2"/>
  <c r="P27" i="2"/>
  <c r="N27" i="2"/>
  <c r="K27" i="2"/>
  <c r="P26" i="2"/>
  <c r="N26" i="2"/>
  <c r="K26" i="2"/>
  <c r="P25" i="2"/>
  <c r="N25" i="2"/>
  <c r="K25" i="2"/>
  <c r="P24" i="2"/>
  <c r="N24" i="2"/>
  <c r="K24" i="2"/>
  <c r="P23" i="2"/>
  <c r="N23" i="2"/>
  <c r="K23" i="2"/>
  <c r="P22" i="2"/>
  <c r="N22" i="2"/>
  <c r="K22" i="2"/>
  <c r="P21" i="2"/>
  <c r="N21" i="2"/>
  <c r="K21" i="2"/>
  <c r="P20" i="2"/>
  <c r="N20" i="2"/>
  <c r="K20" i="2"/>
  <c r="P19" i="2"/>
  <c r="N19" i="2"/>
  <c r="K19" i="2"/>
  <c r="P18" i="2"/>
  <c r="N18" i="2"/>
  <c r="K18" i="2"/>
  <c r="P17" i="2"/>
  <c r="N17" i="2"/>
  <c r="K17" i="2"/>
  <c r="P16" i="2"/>
  <c r="N16" i="2"/>
  <c r="K16" i="2"/>
  <c r="P15" i="2"/>
  <c r="N15" i="2"/>
  <c r="K15" i="2"/>
  <c r="P14" i="2"/>
  <c r="N14" i="2"/>
  <c r="K14" i="2"/>
  <c r="P13" i="2"/>
  <c r="N13" i="2"/>
  <c r="K13" i="2"/>
  <c r="L204" i="1"/>
  <c r="I204" i="1"/>
  <c r="H204" i="1"/>
  <c r="K204" i="1" s="1"/>
  <c r="F204" i="1"/>
  <c r="D204" i="1"/>
  <c r="P203" i="1"/>
  <c r="N203" i="1"/>
  <c r="K203" i="1"/>
  <c r="P202" i="1"/>
  <c r="N202" i="1"/>
  <c r="K202" i="1"/>
  <c r="P201" i="1"/>
  <c r="N201" i="1"/>
  <c r="K201" i="1"/>
  <c r="P200" i="1"/>
  <c r="N200" i="1"/>
  <c r="K200" i="1"/>
  <c r="P199" i="1"/>
  <c r="N199" i="1"/>
  <c r="K199" i="1"/>
  <c r="P198" i="1"/>
  <c r="N198" i="1"/>
  <c r="K198" i="1"/>
  <c r="P197" i="1"/>
  <c r="N197" i="1"/>
  <c r="K197" i="1"/>
  <c r="P196" i="1"/>
  <c r="N196" i="1"/>
  <c r="K196" i="1"/>
  <c r="P195" i="1"/>
  <c r="N195" i="1"/>
  <c r="K195" i="1"/>
  <c r="P194" i="1"/>
  <c r="N194" i="1"/>
  <c r="K194" i="1"/>
  <c r="P193" i="1"/>
  <c r="N193" i="1"/>
  <c r="K193" i="1"/>
  <c r="P192" i="1"/>
  <c r="N192" i="1"/>
  <c r="K192" i="1"/>
  <c r="P191" i="1"/>
  <c r="N191" i="1"/>
  <c r="K191" i="1"/>
  <c r="P190" i="1"/>
  <c r="N190" i="1"/>
  <c r="K190" i="1"/>
  <c r="P189" i="1"/>
  <c r="N189" i="1"/>
  <c r="K189" i="1"/>
  <c r="P188" i="1"/>
  <c r="N188" i="1"/>
  <c r="K188" i="1"/>
  <c r="P187" i="1"/>
  <c r="N187" i="1"/>
  <c r="K187" i="1"/>
  <c r="P186" i="1"/>
  <c r="N186" i="1"/>
  <c r="K186" i="1"/>
  <c r="P185" i="1"/>
  <c r="N185" i="1"/>
  <c r="K185" i="1"/>
  <c r="P184" i="1"/>
  <c r="N184" i="1"/>
  <c r="K184" i="1"/>
  <c r="P183" i="1"/>
  <c r="N183" i="1"/>
  <c r="K183" i="1"/>
  <c r="P182" i="1"/>
  <c r="N182" i="1"/>
  <c r="K182" i="1"/>
  <c r="P181" i="1"/>
  <c r="N181" i="1"/>
  <c r="K181" i="1"/>
  <c r="P180" i="1"/>
  <c r="N180" i="1"/>
  <c r="K180" i="1"/>
  <c r="P179" i="1"/>
  <c r="N179" i="1"/>
  <c r="K179" i="1"/>
  <c r="P178" i="1"/>
  <c r="N178" i="1"/>
  <c r="K178" i="1"/>
  <c r="P177" i="1"/>
  <c r="N177" i="1"/>
  <c r="K177" i="1"/>
  <c r="P176" i="1"/>
  <c r="N176" i="1"/>
  <c r="K176" i="1"/>
  <c r="P175" i="1"/>
  <c r="N175" i="1"/>
  <c r="K175" i="1"/>
  <c r="P174" i="1"/>
  <c r="N174" i="1"/>
  <c r="K174" i="1"/>
  <c r="P173" i="1"/>
  <c r="N173" i="1"/>
  <c r="K173" i="1"/>
  <c r="P172" i="1"/>
  <c r="N172" i="1"/>
  <c r="K172" i="1"/>
  <c r="P171" i="1"/>
  <c r="N171" i="1"/>
  <c r="K171" i="1"/>
  <c r="P170" i="1"/>
  <c r="N170" i="1"/>
  <c r="K170" i="1"/>
  <c r="P169" i="1"/>
  <c r="N169" i="1"/>
  <c r="K169" i="1"/>
  <c r="P168" i="1"/>
  <c r="N168" i="1"/>
  <c r="K168" i="1"/>
  <c r="P167" i="1"/>
  <c r="N167" i="1"/>
  <c r="K167" i="1"/>
  <c r="P166" i="1"/>
  <c r="N166" i="1"/>
  <c r="K166" i="1"/>
  <c r="P165" i="1"/>
  <c r="N165" i="1"/>
  <c r="K165" i="1"/>
  <c r="P164" i="1"/>
  <c r="N164" i="1"/>
  <c r="K164" i="1"/>
  <c r="P163" i="1"/>
  <c r="N163" i="1"/>
  <c r="K163" i="1"/>
  <c r="P162" i="1"/>
  <c r="N162" i="1"/>
  <c r="K162" i="1"/>
  <c r="P161" i="1"/>
  <c r="N161" i="1"/>
  <c r="K161" i="1"/>
  <c r="P160" i="1"/>
  <c r="N160" i="1"/>
  <c r="K160" i="1"/>
  <c r="P159" i="1"/>
  <c r="N159" i="1"/>
  <c r="K159" i="1"/>
  <c r="P158" i="1"/>
  <c r="N158" i="1"/>
  <c r="K158" i="1"/>
  <c r="P157" i="1"/>
  <c r="N157" i="1"/>
  <c r="K157" i="1"/>
  <c r="P156" i="1"/>
  <c r="N156" i="1"/>
  <c r="K156" i="1"/>
  <c r="P155" i="1"/>
  <c r="N155" i="1"/>
  <c r="K155" i="1"/>
  <c r="P154" i="1"/>
  <c r="N154" i="1"/>
  <c r="K154" i="1"/>
  <c r="P153" i="1"/>
  <c r="N153" i="1"/>
  <c r="K153" i="1"/>
  <c r="P152" i="1"/>
  <c r="N152" i="1"/>
  <c r="K152" i="1"/>
  <c r="P151" i="1"/>
  <c r="N151" i="1"/>
  <c r="K151" i="1"/>
  <c r="P150" i="1"/>
  <c r="N150" i="1"/>
  <c r="K150" i="1"/>
  <c r="P149" i="1"/>
  <c r="N149" i="1"/>
  <c r="K149" i="1"/>
  <c r="P148" i="1"/>
  <c r="N148" i="1"/>
  <c r="K148" i="1"/>
  <c r="P147" i="1"/>
  <c r="N147" i="1"/>
  <c r="K147" i="1"/>
  <c r="P146" i="1"/>
  <c r="N146" i="1"/>
  <c r="K146" i="1"/>
  <c r="P145" i="1"/>
  <c r="N145" i="1"/>
  <c r="K145" i="1"/>
  <c r="P144" i="1"/>
  <c r="N144" i="1"/>
  <c r="K144" i="1"/>
  <c r="P143" i="1"/>
  <c r="N143" i="1"/>
  <c r="K143" i="1"/>
  <c r="P142" i="1"/>
  <c r="N142" i="1"/>
  <c r="K142" i="1"/>
  <c r="P141" i="1"/>
  <c r="N141" i="1"/>
  <c r="K141" i="1"/>
  <c r="P140" i="1"/>
  <c r="N140" i="1"/>
  <c r="K140" i="1"/>
  <c r="P139" i="1"/>
  <c r="N139" i="1"/>
  <c r="K139" i="1"/>
  <c r="P138" i="1"/>
  <c r="N138" i="1"/>
  <c r="K138" i="1"/>
  <c r="P137" i="1"/>
  <c r="N137" i="1"/>
  <c r="K137" i="1"/>
  <c r="P136" i="1"/>
  <c r="N136" i="1"/>
  <c r="K136" i="1"/>
  <c r="P135" i="1"/>
  <c r="N135" i="1"/>
  <c r="K135" i="1"/>
  <c r="P134" i="1"/>
  <c r="N134" i="1"/>
  <c r="K134" i="1"/>
  <c r="P133" i="1"/>
  <c r="N133" i="1"/>
  <c r="K133" i="1"/>
  <c r="P132" i="1"/>
  <c r="N132" i="1"/>
  <c r="K132" i="1"/>
  <c r="P131" i="1"/>
  <c r="N131" i="1"/>
  <c r="K131" i="1"/>
  <c r="P130" i="1"/>
  <c r="N130" i="1"/>
  <c r="K130" i="1"/>
  <c r="P129" i="1"/>
  <c r="N129" i="1"/>
  <c r="K129" i="1"/>
  <c r="P128" i="1"/>
  <c r="N128" i="1"/>
  <c r="K128" i="1"/>
  <c r="P127" i="1"/>
  <c r="N127" i="1"/>
  <c r="K127" i="1"/>
  <c r="P126" i="1"/>
  <c r="N126" i="1"/>
  <c r="K126" i="1"/>
  <c r="P125" i="1"/>
  <c r="N125" i="1"/>
  <c r="K125" i="1"/>
  <c r="P124" i="1"/>
  <c r="N124" i="1"/>
  <c r="K124" i="1"/>
  <c r="P123" i="1"/>
  <c r="N123" i="1"/>
  <c r="K123" i="1"/>
  <c r="P122" i="1"/>
  <c r="N122" i="1"/>
  <c r="K122" i="1"/>
  <c r="P121" i="1"/>
  <c r="N121" i="1"/>
  <c r="K121" i="1"/>
  <c r="P120" i="1"/>
  <c r="N120" i="1"/>
  <c r="K120" i="1"/>
  <c r="P119" i="1"/>
  <c r="N119" i="1"/>
  <c r="K119" i="1"/>
  <c r="P118" i="1"/>
  <c r="N118" i="1"/>
  <c r="K118" i="1"/>
  <c r="P117" i="1"/>
  <c r="N117" i="1"/>
  <c r="K117" i="1"/>
  <c r="P116" i="1"/>
  <c r="N116" i="1"/>
  <c r="K116" i="1"/>
  <c r="P115" i="1"/>
  <c r="N115" i="1"/>
  <c r="K115" i="1"/>
  <c r="P114" i="1"/>
  <c r="N114" i="1"/>
  <c r="K114" i="1"/>
  <c r="P113" i="1"/>
  <c r="N113" i="1"/>
  <c r="K113" i="1"/>
  <c r="P112" i="1"/>
  <c r="N112" i="1"/>
  <c r="K112" i="1"/>
  <c r="P111" i="1"/>
  <c r="N111" i="1"/>
  <c r="K111" i="1"/>
  <c r="P110" i="1"/>
  <c r="N110" i="1"/>
  <c r="K110" i="1"/>
  <c r="P109" i="1"/>
  <c r="N109" i="1"/>
  <c r="K109" i="1"/>
  <c r="P108" i="1"/>
  <c r="N108" i="1"/>
  <c r="K108" i="1"/>
  <c r="P107" i="1"/>
  <c r="N107" i="1"/>
  <c r="K107" i="1"/>
  <c r="P106" i="1"/>
  <c r="N106" i="1"/>
  <c r="K106" i="1"/>
  <c r="P105" i="1"/>
  <c r="N105" i="1"/>
  <c r="K105" i="1"/>
  <c r="P104" i="1"/>
  <c r="N104" i="1"/>
  <c r="K104" i="1"/>
  <c r="P103" i="1"/>
  <c r="N103" i="1"/>
  <c r="K103" i="1"/>
  <c r="P102" i="1"/>
  <c r="N102" i="1"/>
  <c r="K102" i="1"/>
  <c r="P101" i="1"/>
  <c r="N101" i="1"/>
  <c r="K101" i="1"/>
  <c r="P100" i="1"/>
  <c r="N100" i="1"/>
  <c r="K100" i="1"/>
  <c r="P99" i="1"/>
  <c r="N99" i="1"/>
  <c r="K99" i="1"/>
  <c r="P98" i="1"/>
  <c r="N98" i="1"/>
  <c r="K98" i="1"/>
  <c r="P97" i="1"/>
  <c r="N97" i="1"/>
  <c r="K97" i="1"/>
  <c r="P96" i="1"/>
  <c r="N96" i="1"/>
  <c r="K96" i="1"/>
  <c r="P95" i="1"/>
  <c r="N95" i="1"/>
  <c r="K95" i="1"/>
  <c r="P94" i="1"/>
  <c r="N94" i="1"/>
  <c r="K94" i="1"/>
  <c r="P93" i="1"/>
  <c r="N93" i="1"/>
  <c r="K93" i="1"/>
  <c r="P92" i="1"/>
  <c r="N92" i="1"/>
  <c r="K92" i="1"/>
  <c r="P91" i="1"/>
  <c r="N91" i="1"/>
  <c r="K91" i="1"/>
  <c r="P90" i="1"/>
  <c r="N90" i="1"/>
  <c r="K90" i="1"/>
  <c r="P89" i="1"/>
  <c r="N89" i="1"/>
  <c r="K89" i="1"/>
  <c r="P88" i="1"/>
  <c r="N88" i="1"/>
  <c r="K88" i="1"/>
  <c r="P87" i="1"/>
  <c r="N87" i="1"/>
  <c r="K87" i="1"/>
  <c r="P86" i="1"/>
  <c r="N86" i="1"/>
  <c r="K86" i="1"/>
  <c r="P85" i="1"/>
  <c r="N85" i="1"/>
  <c r="K85" i="1"/>
  <c r="P84" i="1"/>
  <c r="N84" i="1"/>
  <c r="K84" i="1"/>
  <c r="P83" i="1"/>
  <c r="N83" i="1"/>
  <c r="K83" i="1"/>
  <c r="P82" i="1"/>
  <c r="N82" i="1"/>
  <c r="K82" i="1"/>
  <c r="P81" i="1"/>
  <c r="N81" i="1"/>
  <c r="K81" i="1"/>
  <c r="P80" i="1"/>
  <c r="N80" i="1"/>
  <c r="K80" i="1"/>
  <c r="P79" i="1"/>
  <c r="N79" i="1"/>
  <c r="K79" i="1"/>
  <c r="P78" i="1"/>
  <c r="N78" i="1"/>
  <c r="K78" i="1"/>
  <c r="P77" i="1"/>
  <c r="N77" i="1"/>
  <c r="K77" i="1"/>
  <c r="P76" i="1"/>
  <c r="N76" i="1"/>
  <c r="K76" i="1"/>
  <c r="P75" i="1"/>
  <c r="N75" i="1"/>
  <c r="K75" i="1"/>
  <c r="P74" i="1"/>
  <c r="N74" i="1"/>
  <c r="K74" i="1"/>
  <c r="P73" i="1"/>
  <c r="N73" i="1"/>
  <c r="K73" i="1"/>
  <c r="P72" i="1"/>
  <c r="N72" i="1"/>
  <c r="K72" i="1"/>
  <c r="P71" i="1"/>
  <c r="N71" i="1"/>
  <c r="K71" i="1"/>
  <c r="P70" i="1"/>
  <c r="N70" i="1"/>
  <c r="K70" i="1"/>
  <c r="P69" i="1"/>
  <c r="N69" i="1"/>
  <c r="K69" i="1"/>
  <c r="P68" i="1"/>
  <c r="N68" i="1"/>
  <c r="K68" i="1"/>
  <c r="P67" i="1"/>
  <c r="N67" i="1"/>
  <c r="K67" i="1"/>
  <c r="P66" i="1"/>
  <c r="N66" i="1"/>
  <c r="K66" i="1"/>
  <c r="P65" i="1"/>
  <c r="N65" i="1"/>
  <c r="K65" i="1"/>
  <c r="P64" i="1"/>
  <c r="N64" i="1"/>
  <c r="K64" i="1"/>
  <c r="P63" i="1"/>
  <c r="N63" i="1"/>
  <c r="K63" i="1"/>
  <c r="P62" i="1"/>
  <c r="N62" i="1"/>
  <c r="K62" i="1"/>
  <c r="P61" i="1"/>
  <c r="N61" i="1"/>
  <c r="K61" i="1"/>
  <c r="P60" i="1"/>
  <c r="N60" i="1"/>
  <c r="K60" i="1"/>
  <c r="P59" i="1"/>
  <c r="N59" i="1"/>
  <c r="K59" i="1"/>
  <c r="P58" i="1"/>
  <c r="N58" i="1"/>
  <c r="K58" i="1"/>
  <c r="P57" i="1"/>
  <c r="N57" i="1"/>
  <c r="K57" i="1"/>
  <c r="P56" i="1"/>
  <c r="N56" i="1"/>
  <c r="K56" i="1"/>
  <c r="P55" i="1"/>
  <c r="N55" i="1"/>
  <c r="K55" i="1"/>
  <c r="P54" i="1"/>
  <c r="N54" i="1"/>
  <c r="K54" i="1"/>
  <c r="P53" i="1"/>
  <c r="N53" i="1"/>
  <c r="K53" i="1"/>
  <c r="P52" i="1"/>
  <c r="N52" i="1"/>
  <c r="K52" i="1"/>
  <c r="P51" i="1"/>
  <c r="N51" i="1"/>
  <c r="K51" i="1"/>
  <c r="P50" i="1"/>
  <c r="N50" i="1"/>
  <c r="K50" i="1"/>
  <c r="P49" i="1"/>
  <c r="N49" i="1"/>
  <c r="K49" i="1"/>
  <c r="P48" i="1"/>
  <c r="N48" i="1"/>
  <c r="K48" i="1"/>
  <c r="P47" i="1"/>
  <c r="N47" i="1"/>
  <c r="K47" i="1"/>
  <c r="P46" i="1"/>
  <c r="N46" i="1"/>
  <c r="K46" i="1"/>
  <c r="P45" i="1"/>
  <c r="N45" i="1"/>
  <c r="K45" i="1"/>
  <c r="P44" i="1"/>
  <c r="N44" i="1"/>
  <c r="K44" i="1"/>
  <c r="P43" i="1"/>
  <c r="N43" i="1"/>
  <c r="K43" i="1"/>
  <c r="P42" i="1"/>
  <c r="N42" i="1"/>
  <c r="K42" i="1"/>
  <c r="P41" i="1"/>
  <c r="N41" i="1"/>
  <c r="K41" i="1"/>
  <c r="P40" i="1"/>
  <c r="N40" i="1"/>
  <c r="K40" i="1"/>
  <c r="P39" i="1"/>
  <c r="N39" i="1"/>
  <c r="K39" i="1"/>
  <c r="P38" i="1"/>
  <c r="N38" i="1"/>
  <c r="K38" i="1"/>
  <c r="P37" i="1"/>
  <c r="N37" i="1"/>
  <c r="K37" i="1"/>
  <c r="P36" i="1"/>
  <c r="N36" i="1"/>
  <c r="K36" i="1"/>
  <c r="P35" i="1"/>
  <c r="N35" i="1"/>
  <c r="K35" i="1"/>
  <c r="P34" i="1"/>
  <c r="N34" i="1"/>
  <c r="K34" i="1"/>
  <c r="P33" i="1"/>
  <c r="N33" i="1"/>
  <c r="K33" i="1"/>
  <c r="P32" i="1"/>
  <c r="N32" i="1"/>
  <c r="K32" i="1"/>
  <c r="P31" i="1"/>
  <c r="N31" i="1"/>
  <c r="K31" i="1"/>
  <c r="P30" i="1"/>
  <c r="N30" i="1"/>
  <c r="K30" i="1"/>
  <c r="P29" i="1"/>
  <c r="N29" i="1"/>
  <c r="K29" i="1"/>
  <c r="P28" i="1"/>
  <c r="N28" i="1"/>
  <c r="K28" i="1"/>
  <c r="P27" i="1"/>
  <c r="N27" i="1"/>
  <c r="K27" i="1"/>
  <c r="P26" i="1"/>
  <c r="N26" i="1"/>
  <c r="K26" i="1"/>
  <c r="P25" i="1"/>
  <c r="N25" i="1"/>
  <c r="K25" i="1"/>
  <c r="P24" i="1"/>
  <c r="N24" i="1"/>
  <c r="K24" i="1"/>
  <c r="P23" i="1"/>
  <c r="N23" i="1"/>
  <c r="K23" i="1"/>
  <c r="P22" i="1"/>
  <c r="N22" i="1"/>
  <c r="K22" i="1"/>
  <c r="P21" i="1"/>
  <c r="N21" i="1"/>
  <c r="K21" i="1"/>
  <c r="P20" i="1"/>
  <c r="N20" i="1"/>
  <c r="K20" i="1"/>
  <c r="P19" i="1"/>
  <c r="N19" i="1"/>
  <c r="K19" i="1"/>
  <c r="P18" i="1"/>
  <c r="N18" i="1"/>
  <c r="K18" i="1"/>
  <c r="P17" i="1"/>
  <c r="N17" i="1"/>
  <c r="K17" i="1"/>
  <c r="P16" i="1"/>
  <c r="N16" i="1"/>
  <c r="K16" i="1"/>
  <c r="P15" i="1"/>
  <c r="N15" i="1"/>
  <c r="K15" i="1"/>
  <c r="P14" i="1"/>
  <c r="N14" i="1"/>
  <c r="K14" i="1"/>
  <c r="P13" i="1"/>
  <c r="N13" i="1"/>
  <c r="K13" i="1"/>
</calcChain>
</file>

<file path=xl/sharedStrings.xml><?xml version="1.0" encoding="utf-8"?>
<sst xmlns="http://schemas.openxmlformats.org/spreadsheetml/2006/main" count="511" uniqueCount="339">
  <si>
    <t>RPP広告分析</t>
  </si>
  <si>
    <t>集計期間</t>
  </si>
  <si>
    <t>2026年07月</t>
  </si>
  <si>
    <t>有効予算</t>
  </si>
  <si>
    <t>消化率</t>
  </si>
  <si>
    <t>広告費(割引後実績額)</t>
  </si>
  <si>
    <t>クリック数</t>
  </si>
  <si>
    <t>CPC実績</t>
  </si>
  <si>
    <t>広告経由売上(720h)</t>
  </si>
  <si>
    <t>ROAS(720h)</t>
  </si>
  <si>
    <t>CVR(720h)</t>
  </si>
  <si>
    <t>商品管理番号</t>
  </si>
  <si>
    <t>商品名</t>
  </si>
  <si>
    <t>入札単価</t>
  </si>
  <si>
    <t>CTR</t>
  </si>
  <si>
    <t>広告費(実績額)</t>
  </si>
  <si>
    <t>売上件数(720h)</t>
  </si>
  <si>
    <t>広告経由売上(12h)</t>
  </si>
  <si>
    <t>商品月間売上</t>
  </si>
  <si>
    <t>広告依存度</t>
  </si>
  <si>
    <t>商品月間粗利</t>
  </si>
  <si>
    <t>広告費/粗利</t>
  </si>
  <si>
    <t>b0f6xtgtgp</t>
  </si>
  <si>
    <t>きんだい 冷ひやネックタオル 50本入り 日本製 個包装 大判56×20cm 冷感タオル 首用タオル ウェットタオル 熱</t>
  </si>
  <si>
    <t>b0byzjmth8</t>
  </si>
  <si>
    <t xml:space="preserve">ビオレ 冷タオル 無香性 5本入×5個セット 冷感シート 冷却シート 首掛けタオル 暑さ対策 熱中対策 ひんやりシート </t>
  </si>
  <si>
    <t>b06xprwsz5</t>
  </si>
  <si>
    <t>熱さまシート ストロング 大人用 12枚×2個セット 小林製薬 冷凍庫用 強冷感 冷却シート 冷感シート 発熱対策 熱中</t>
  </si>
  <si>
    <t>b08x2gkrbk</t>
  </si>
  <si>
    <t>【2個セット】ハウメル 知覚過敏ケア ペースト 薬用ハミガキ 100g×2個セット 薬用歯みがき 知覚過敏 歯磨き粉 歯</t>
  </si>
  <si>
    <t>b07kpyw849</t>
  </si>
  <si>
    <t>アース製薬 らくハピ お部屋の防カビ剤 カチッとおすだけ 無香料 60mL×3個セット 防カビ対策 カビ予防 除菌 ハウ</t>
  </si>
  <si>
    <t>b0f6xtgtgp-1</t>
  </si>
  <si>
    <t xml:space="preserve">きんだい 冷ひやネックタオル 100本入り 日本製 個包装 大判56×20cm 冷感タオル 首用タオル ウェットタオル </t>
  </si>
  <si>
    <t>b0dwfmjjwh</t>
  </si>
  <si>
    <t>【3個セット】アイスノン ICE KING 極冷えボディミスト 金木犀の香り 詰替用 140mL×3個セット 冷感ミスト</t>
  </si>
  <si>
    <t>b0g3ycrjkx</t>
  </si>
  <si>
    <t>Amazon Fire TV Stick HD Alexa対応音声認識リモコン付 ストリーミングメディアプレーヤー Wi</t>
  </si>
  <si>
    <t>b0cvm4kzvr</t>
  </si>
  <si>
    <t>【2個セット】ラボン トゥザムーン ベッドルーム&amp;ファブリックミスト ノクターナルブルー 詰め替え 大容量 600ml×</t>
  </si>
  <si>
    <t>b084rvttlr-1</t>
  </si>
  <si>
    <t>【6個セット】アース製薬 サラテクト シート 20枚入×6個セット 虫よけシート 虫除け ディート配合 無臭タイプ BI</t>
  </si>
  <si>
    <t>br-0001</t>
  </si>
  <si>
    <t>【選べる6種】ファブリーズ トイレ用 消臭芳香剤 消臭＋抗菌 置き型 6.3mL×2個 フレッシュクリーンラベンダー ウ</t>
  </si>
  <si>
    <t>b0bs3k6d56</t>
  </si>
  <si>
    <t>ブルドッグ オリジナル 替刃 4個入 カミソリ替刃 5枚刃 アロエ配合 スムーザー 首振りヘッド キワ剃りトリマー シェ</t>
  </si>
  <si>
    <t>b0018b5c30</t>
  </si>
  <si>
    <t>b0ch9zh48v</t>
  </si>
  <si>
    <t>小林製薬 糸ようじ スルッと入るタイプ Y字型 大容量 32本×3個セット デンタルフロス 歯間フロス 歯間ケア 歯垢除</t>
  </si>
  <si>
    <t>set-0004</t>
  </si>
  <si>
    <t xml:space="preserve">【セット品】アース モンスーン 虫よけ線香 100巻 保存缶セット アース製薬 防虫 蚊取り線香 線香立て付き 缶入り </t>
  </si>
  <si>
    <t>b0dtpclhwh</t>
  </si>
  <si>
    <t>【3個セット】はだまも お肌の虫よけ ミスト 200ml×3個セット 虫除けスプレー 顔 体 お肌にやさしい 弱酸性 4</t>
  </si>
  <si>
    <t>b0czhr33rf-3</t>
  </si>
  <si>
    <t>b0ctq1xfrl</t>
  </si>
  <si>
    <t>ブラウン シリーズ5 電気シェーバー 52-M1200s ミント 髭剃り メンズ 電動シェーバー 防水 充電式 コードレ</t>
  </si>
  <si>
    <t>set-0001</t>
  </si>
  <si>
    <t>【セット品】ファブリーズ おそうじエイド ハウスダストをまとめて固めるスプレー 洗いたてのリネンの香り 本体 370mL</t>
  </si>
  <si>
    <t>b0fcbgt5fs</t>
  </si>
  <si>
    <t>いなば CIAO (チャオ) こだわり焼かつおディナー 4種 バラエティセット 30g×16袋 （各4袋） 猫 猫用 パ</t>
  </si>
  <si>
    <t>b00xtzzlei</t>
  </si>
  <si>
    <t>アイリスオーヤマ カイロ レギュラー 10個入×2個セット 使い捨てカイロ 貼らないタイプ 防寒 寒さ対策 冬 防災 備</t>
  </si>
  <si>
    <t>b098mjm99x-1</t>
  </si>
  <si>
    <t>【セット品】 ファブリーズ おそうじエイド ハウスダストをまとめて固めるスプレー 無香料 本体370ml+詰替320ml</t>
  </si>
  <si>
    <t>b003m76vj2</t>
  </si>
  <si>
    <t>【2個セット】ダストマン○(マル) 浅型 30枚×2個セット 抗菌 水切りネット 排水口ネット 水切りゴミ袋 ストッキン</t>
  </si>
  <si>
    <t>b0b3wg8d7t-3</t>
  </si>
  <si>
    <t>b0d8pmzsgc</t>
  </si>
  <si>
    <t>b0d9xp3w5n</t>
  </si>
  <si>
    <t>【3個セット】アイスノン ICE KING 極冷えボディミスト 金木犀の香り 150mL×3個 白元アース メントール配</t>
  </si>
  <si>
    <t>b0d6gckfcp</t>
  </si>
  <si>
    <t>【6個セット】GOAT’S MILK ゴートミルク ソープ 6個セット スイートベビーパウダーの香り 固形石鹸 ヤギミル</t>
  </si>
  <si>
    <t>b00j7kii1m-6</t>
  </si>
  <si>
    <t>【6個セット】ビオレ 毛穴すっきりパック 鼻用 白色タイプ 10枚×6個セット 花王 毛穴パック 鼻パック 角栓 黒ずみ</t>
  </si>
  <si>
    <t>b0f2t1wvdb</t>
  </si>
  <si>
    <t>いなば CIAO ちゅ〜るごはん シニア猫用 バラエティ 14g×36本 総合栄養食 猫用おやつ シニア猫 高齢猫 乳酸</t>
  </si>
  <si>
    <t>b0dwxlfl51</t>
  </si>
  <si>
    <t xml:space="preserve">【2個セット】ロート製薬 バリアビオソープ 詰め替え 150ml×2個セット フローラルの香り デリケートゾーンソープ </t>
  </si>
  <si>
    <t>b0f6xtgtgp-2</t>
  </si>
  <si>
    <t>きんだい 冷ひやネックタオル 200本入り 日本製 個包装 大判56×20cm 冷感タオル 冷却タオル 首用タオル ウェ</t>
  </si>
  <si>
    <t>b0dwmpnclc</t>
  </si>
  <si>
    <t>b0d14cywpx</t>
  </si>
  <si>
    <t>【6袋セット】いなば ちゅーるボール とりささみ 軟骨入り 10g×3袋×6袋セット 犬用おやつ ドッグフード 犬おやつ</t>
  </si>
  <si>
    <t>b09c7lpc7m-1</t>
  </si>
  <si>
    <t>b0fl244hk2</t>
  </si>
  <si>
    <t>【セット品】いなば ちゅ～る トッパー ドライ 3種アソート 180g×3袋セット 犬用おやつ ドッグフード トッピング</t>
  </si>
  <si>
    <t>b08wshqwl8</t>
  </si>
  <si>
    <t>【2個セット】肌ラボ 白潤プレミアム 薬用浸透美白クリーム 50g×2個 医薬部外品 薬用クリーム フェイスクリーム 美</t>
  </si>
  <si>
    <t>b00u2eyim0</t>
  </si>
  <si>
    <t xml:space="preserve">【2個セット】サラテクト 虫よけスプレー 無香料 400mL×2個セット 大容量 パウダーin ベタつきにくい 虫除け </t>
  </si>
  <si>
    <t>b07pcq697v</t>
  </si>
  <si>
    <t>b00xj3iark</t>
  </si>
  <si>
    <t>b0h6xvg97y-6</t>
  </si>
  <si>
    <t>【6個セット】ビオレ 冷タオル 子どもも使える 5本入×6 冷却タオル ひんやりタオル クールタオル 冷感タオル 熱中症</t>
  </si>
  <si>
    <t>b0fy1j62w9-2</t>
  </si>
  <si>
    <t>【2個セット】レノア リセット セラム 柔軟剤 さくらフローラルの香り 詰め替え 680mL×2 期間限定 SAKURA</t>
  </si>
  <si>
    <t>b0fh715wj6</t>
  </si>
  <si>
    <t>【セット品】ペットライン 懐石 2つのごほうび 4種セット 600g×4個 猫用 キャットフード 国産 総合栄養食 ドラ</t>
  </si>
  <si>
    <t>b000vicipq</t>
  </si>
  <si>
    <t>b0dqxmpx2g</t>
  </si>
  <si>
    <t>【2個セット】ファブリーズ W除菌+消臭スプレー 衣類・布製品用 ほのかな緑茶の香り 本体 370mL×2個セット P&amp;</t>
  </si>
  <si>
    <t>b00mvnscw2-3</t>
  </si>
  <si>
    <t>b08gpdl9ky</t>
  </si>
  <si>
    <t>ブラウン 替刃 F/C70S-3Z-b シルバー 旧シリーズ7対応 純正 シェーバー替刃 網刃 内刃一体型 ブラシ付 7</t>
  </si>
  <si>
    <t>b0d6g9rw9y-2</t>
  </si>
  <si>
    <t>b0b3xh69v8</t>
  </si>
  <si>
    <t xml:space="preserve">【6個セット】和みのうるうる 水綿棒 50本入×6個セット 日本製 水綿棒 ウェット綿棒 個包装 耳掃除 耳ケア 綿棒 </t>
  </si>
  <si>
    <t>b0gm6xmjmn-2</t>
  </si>
  <si>
    <t>【2個セット】アタックZERO ドラム式専用 詰め替え 1460g×2個セット 花王 洗濯洗剤 液体洗剤 部屋干し 消臭</t>
  </si>
  <si>
    <t>b0f3d2psfp</t>
  </si>
  <si>
    <t>ファブリーズ プレミアム 消臭スプレー 清潔なランドリーの香り 詰め替え 超特大 1240mL (衣類・布用) 【 消臭</t>
  </si>
  <si>
    <t>b0fl6wtk7g</t>
  </si>
  <si>
    <t>【セット品】いなば 鶏づくし とりささみ 5種 180g×5袋 合計5袋セット 猫用ウェットフード 猫用おやつ キャット</t>
  </si>
  <si>
    <t>b06y13f2sg</t>
  </si>
  <si>
    <t>b098qhm24d-3</t>
  </si>
  <si>
    <t>b0g5gjxzjg</t>
  </si>
  <si>
    <t>【2個セット】ハイスキン ぷるっとワセリン モイストジェルN フローラル 190g 全身保湿ジェル 顔 体 手 ベタつか</t>
  </si>
  <si>
    <t>b0c5cbv6l3</t>
  </si>
  <si>
    <t>Anker Prime Wall Charger 67W 3ポート GaN USB急速充電器 ブラック ホワイト USB</t>
  </si>
  <si>
    <t>b08f5bq5yd</t>
  </si>
  <si>
    <t>リッツ リバイバル オーバーナイトセラム 夜用美容液 20g EGF 植物幹細胞 保湿 ハリ 弾力 エイジングケア ナイ</t>
  </si>
  <si>
    <t>b0bwdnysh3</t>
  </si>
  <si>
    <t>アース製薬 マモルームエッセンス 虫よけパール 180日用 やわらかいクリーンムスク 500g×3個セット 天然精油配合</t>
  </si>
  <si>
    <t>b0g4mhkqp8-2</t>
  </si>
  <si>
    <t>b0dmnwc48r</t>
  </si>
  <si>
    <t>b0fdq59t55</t>
  </si>
  <si>
    <t>【セット品】メラノCC 薬用しみ対策 美白化粧水しっとり 170mL＋美白乳液120mL セット 薬用美白 ビタミンC誘</t>
  </si>
  <si>
    <t>b0fcb839t7</t>
  </si>
  <si>
    <t>b075ssnk1l</t>
  </si>
  <si>
    <t>b09dc7q6kl-1</t>
  </si>
  <si>
    <t>b0dnm4fzyy-1</t>
  </si>
  <si>
    <t>【セット品】ロート製薬 ラビオーム バリアビオソープ 本体＋詰替セット フローラルの香り デリケートゾーン ソープ ジェ</t>
  </si>
  <si>
    <t>b0gm6y6yj4-2</t>
  </si>
  <si>
    <t>set-0006</t>
  </si>
  <si>
    <t>【セット品】ファブリーズ W除菌+消臭スプレー 衣類・布製品用 無香料 アルコール成分配合 本体370mL＋つめかえ4回</t>
  </si>
  <si>
    <t>b0d1p44ht9</t>
  </si>
  <si>
    <t>エクセル コスモスラクト バード 30ml 鳥用 乳酸菌生成エキス インコ サプリメント 小鳥サプリ 鳥サプリ 栄養補給</t>
  </si>
  <si>
    <t>b098mjm99x-2</t>
  </si>
  <si>
    <t>b0dxnblx52-3</t>
  </si>
  <si>
    <t>【3個セット】メリットキッズ 泡で出てくるシャンプー つめかえ用 270mL×3個セット 花王 キッズシャンプー 子供用</t>
  </si>
  <si>
    <t>b0fvf8nvdl</t>
  </si>
  <si>
    <t>b0fpvbqv49-2</t>
  </si>
  <si>
    <t>b0g4mfq7cw-2</t>
  </si>
  <si>
    <t>b0dgy42sr6</t>
  </si>
  <si>
    <t>アース・ペット 猫スタミノール 食欲 50g×2本セット 猫 猫用 おやつ ウェット キャットフード 人気</t>
  </si>
  <si>
    <t>b0bsl8s15z</t>
  </si>
  <si>
    <t>b0915ngd2j-6</t>
  </si>
  <si>
    <t>4901609017221</t>
  </si>
  <si>
    <t>set-0005</t>
  </si>
  <si>
    <t>b0dqxrwnzc</t>
  </si>
  <si>
    <t xml:space="preserve">【2個セット】ファブリーズ W除菌+消臭スプレー 衣類・布製品用 香りが残らない 本体 370mL×2個セット P&amp;G </t>
  </si>
  <si>
    <t>b0dqxnd1qs</t>
  </si>
  <si>
    <t>b0csctf87w-2</t>
  </si>
  <si>
    <t>レノア アロマジュエル HOTEL ホワイトティーの香り 詰め替え 1410mL×2個セット 香り付けビーズ 衣類用香り</t>
  </si>
  <si>
    <t>b09c7lpc7m</t>
  </si>
  <si>
    <t xml:space="preserve">【セット品】肌ラボ 極潤 薬用ハリ化粧水170mL＋薬用ハリ乳液140mL セット 保湿 化粧水 乳液 薬用スキンケア </t>
  </si>
  <si>
    <t>b0h9qpjhch</t>
  </si>
  <si>
    <t>b09c86l9jt-1</t>
  </si>
  <si>
    <t>b00layzmas-1</t>
  </si>
  <si>
    <t>b08rdrw831</t>
  </si>
  <si>
    <t>【2個セット】アース製薬 ダニがホイホイ 3枚入×2個セット ダニ捕りシート ダニ対策 ダニ取り ダニ捕獲シート 誘引剤</t>
  </si>
  <si>
    <t>b06xpt9591-3</t>
  </si>
  <si>
    <t>b01mr788hg</t>
  </si>
  <si>
    <t>b0dq7vk36r</t>
  </si>
  <si>
    <t>【セット品】デビフ おさんぽくん 犬 おやつ 60g(15g×4袋)×4袋セット ササミ 鶏肉 レバー 国産 犬用おやつ</t>
  </si>
  <si>
    <t>b0ckj4fcmh-2</t>
  </si>
  <si>
    <t>set-0002</t>
  </si>
  <si>
    <t>b0c3ytglhd</t>
  </si>
  <si>
    <t>b08y95skcr-2</t>
  </si>
  <si>
    <t>b0g1sql91q-2</t>
  </si>
  <si>
    <t>b08y95lnr1-2</t>
  </si>
  <si>
    <t>b07w34d7gh-4</t>
  </si>
  <si>
    <t>【4個セット】らくハピ いれるだけバブルーン トイレボウル 180g×4個セット トイレ洗浄剤 発泡洗浄 泡洗浄 トイレ</t>
  </si>
  <si>
    <t>b019skzy3u</t>
  </si>
  <si>
    <t>b0f7zf7w9p</t>
  </si>
  <si>
    <t>b0ckv5gbnc</t>
  </si>
  <si>
    <t>クレハ ダストマン抗菌スタンド 20枚×2個セット スタンド 三角コーナー 水切り ゴミ袋</t>
  </si>
  <si>
    <t>set-0007</t>
  </si>
  <si>
    <t>b0h9qjns2q</t>
  </si>
  <si>
    <t>【セット品】IROKA イロカ ミュゲインザエア 本体540mL+詰め替え650mLセット 花王 柔軟剤 液体柔軟剤 香</t>
  </si>
  <si>
    <t>b09dc4r8qq-3</t>
  </si>
  <si>
    <t>b0cjq45rcv</t>
  </si>
  <si>
    <t>b01mtemme0</t>
  </si>
  <si>
    <t>【2本セット】ビュクレール クレンジングローション 500mL メイク落とし クレンジングウォーター 拭き取りクレンジン</t>
  </si>
  <si>
    <t>b0gm6xjjst-2</t>
  </si>
  <si>
    <t>【2個セット】アタックZERO 部屋干し 詰め替え 1460g×2個セット 花王 洗濯洗剤 液体洗剤 部屋干し専用 超特</t>
  </si>
  <si>
    <t>b0844gsppp</t>
  </si>
  <si>
    <t>b07vl5tf8z</t>
  </si>
  <si>
    <t>Bulldog ブルドッグ オリジナル 5枚刃 バンブーホルダー カミソリ 本体 替刃2個付き メンズ 髭剃り シェーバ</t>
  </si>
  <si>
    <t>b0g2xtw9p2</t>
  </si>
  <si>
    <t>【2個セット】ナチュラルペットフーズ エクセル セキセイインコ 1.3kg×2袋セット インコ 餌 主食 鳥用フード 小</t>
  </si>
  <si>
    <t>b0bd43nw2j</t>
  </si>
  <si>
    <t>b084rvttlr</t>
  </si>
  <si>
    <t>【2個セット】アース製薬 サラテクト シート 20枚入×2個セット 虫よけシート 虫除け ディート配合 無臭タイプ BI</t>
  </si>
  <si>
    <t>b0hbt7bpct</t>
  </si>
  <si>
    <t>b0dhkb4yrx</t>
  </si>
  <si>
    <t>b0dgqqh4tt</t>
  </si>
  <si>
    <t>アース・ペット スタミノール 食欲がない時に 犬・猫用 100g 栄養補給ペースト 投薬補助 国産 犬 猫 ペット用 栄</t>
  </si>
  <si>
    <t>b0b7wq9y46</t>
  </si>
  <si>
    <t>b01bm1uuby-1</t>
  </si>
  <si>
    <t>デ・オウ 薬用プロテクト デオジャム 50g×4個セット 直塗り制汗剤 ジェル シトラス 24時間快適ケア W殺菌成分配</t>
  </si>
  <si>
    <t>b009ki3dfm</t>
  </si>
  <si>
    <t>4903301186427-3</t>
  </si>
  <si>
    <t>set-0003</t>
  </si>
  <si>
    <t xml:space="preserve">【セット品】いなば 鴨づくし 60g×18袋 3種セット キャットフード 猫用 パウチ ウェットフード かもだし仕立て </t>
  </si>
  <si>
    <t>b0h9f4sxzp</t>
  </si>
  <si>
    <t>b093lnhzq2-1</t>
  </si>
  <si>
    <t>b01cnbx6x6</t>
  </si>
  <si>
    <t>b0070at8ss-1</t>
  </si>
  <si>
    <t>b0bmz7ccxd</t>
  </si>
  <si>
    <t>b0h9jy5p2b</t>
  </si>
  <si>
    <t>b0fv817dg5</t>
  </si>
  <si>
    <t>【セット品】いなば CIAO ちゅ～るスープ 5種セット 35g×40袋 まぐろ かつお&amp;かつお節 まぐろ&amp;貝柱 とりさ</t>
  </si>
  <si>
    <t>b0fh7137w6</t>
  </si>
  <si>
    <t>【セット品】懐石 2つのごほうび 6種セット 国産 キャットフード 総合栄養食 650g×6個 小分け アソート バラエ</t>
  </si>
  <si>
    <t>b09lqp2343</t>
  </si>
  <si>
    <t>b098mh987h-1</t>
  </si>
  <si>
    <t>b009ki64xk</t>
  </si>
  <si>
    <t>b092dqrjkb</t>
  </si>
  <si>
    <t>b074zbsyx3</t>
  </si>
  <si>
    <t>【4個セット】ロッシ馬油ナチュラルミルクローション 485ml 大容量 馬油 保湿ローション 全身用 ボディミルク 乾燥</t>
  </si>
  <si>
    <t>b00bes4t40</t>
  </si>
  <si>
    <t>【2個セット】ショーワグローブ ニトリル手袋 No.882 ニトリスト・タッチ LLサイズ 100枚入×2個セット ブル</t>
  </si>
  <si>
    <t>b001ai51n2-2</t>
  </si>
  <si>
    <t>【2個セット】 日本カルシウム工業 ダイエットイオン整水器 38g 2個セット 水質改善 浄水パック ペットボトル用 携</t>
  </si>
  <si>
    <t>b0dkt1zkb4</t>
  </si>
  <si>
    <t>ドクターズチョイス 納豆菌ジャーキー 4種アソート 150g×4袋セット 犬用おやつ 国産 ジャーキー 納豆菌配合 野菜</t>
  </si>
  <si>
    <t>b00b4mi244-5</t>
  </si>
  <si>
    <t>b0hc1dp7rm</t>
  </si>
  <si>
    <t>b0f2hpb231-1</t>
  </si>
  <si>
    <t>b0cw1d1cmg-2</t>
  </si>
  <si>
    <t>【2本セット】レブロン カラーステイ マルチプレイヤー アイ ペンシル 405 フォートレス 0.9g メタリックカーキ</t>
  </si>
  <si>
    <t>b0b7wm5n8n</t>
  </si>
  <si>
    <t>b09xxtb2xr-1</t>
  </si>
  <si>
    <t>b00w3axkse</t>
  </si>
  <si>
    <t>b00noxldh4</t>
  </si>
  <si>
    <t>b00b4mi244</t>
  </si>
  <si>
    <t>b009khwmdm</t>
  </si>
  <si>
    <t>b0dhjcr7yq</t>
  </si>
  <si>
    <t>b0d32pg6c1-1</t>
  </si>
  <si>
    <t>b0844wfl3f</t>
  </si>
  <si>
    <t>b075gk2mzw</t>
  </si>
  <si>
    <t xml:space="preserve">ドクターズチョイス ゴートミルク 120g ヤギミルク 犬 猫 無添加 ペットミルク 粉末ミルク 子犬 子猫 シニア犬 </t>
  </si>
  <si>
    <t>b01ncx79ta</t>
  </si>
  <si>
    <t>b01gzq2xyi</t>
  </si>
  <si>
    <t>b00b4mi244-3</t>
  </si>
  <si>
    <t>b0hb31z1y8</t>
  </si>
  <si>
    <t>b0gycl5f3r</t>
  </si>
  <si>
    <t>b0g2tqzmy1</t>
  </si>
  <si>
    <t>Amazon Fire TV Stick 4K Plus Alexa対応音声認識リモコン付 ストリーミングメディアプレー</t>
  </si>
  <si>
    <t>b0fcfk55zk-4</t>
  </si>
  <si>
    <t>【4個セット】アリエール 液体洗剤 漂白剤レベル洗浄 エリそで&amp;くすみ 詰め替え 超ウルトラジャンボ 1720g×4個セ</t>
  </si>
  <si>
    <t>b0d141dc21</t>
  </si>
  <si>
    <t>【6袋セット】いなば ちゅーるボール とりささみ 10g×3袋×6袋セット 犬用おやつ ドッグフード 犬おやつ ご褒美お</t>
  </si>
  <si>
    <t>b0cp51ckvd</t>
  </si>
  <si>
    <t>b0b7wq9y46-1</t>
  </si>
  <si>
    <t>【2個セット】オーシャントリコ シークレットメイク BBクリーム ナチュラル 30g×2本 メンズBBクリーム メンズコ</t>
  </si>
  <si>
    <t>b07znfr6bf</t>
  </si>
  <si>
    <t>b00b4mi244-4</t>
  </si>
  <si>
    <t>4513574020337</t>
  </si>
  <si>
    <t>b0f3d1zsw8</t>
  </si>
  <si>
    <t xml:space="preserve">【2個セット】ファブリーズ 消臭スプレー 布用 PREMIUM シトラス＆ガーデン 詰め替え 超特大 1240mL×2 </t>
  </si>
  <si>
    <t>b0b7wq9y46-2</t>
  </si>
  <si>
    <t>b07q6pwrkm</t>
  </si>
  <si>
    <t>b07n33gjl9-3</t>
  </si>
  <si>
    <t>b0174ujypa-2</t>
  </si>
  <si>
    <t>b0dynl9bd5</t>
  </si>
  <si>
    <t>4562201211907</t>
  </si>
  <si>
    <t>b0gmw6x6kr</t>
  </si>
  <si>
    <t>b0fdgc838r</t>
  </si>
  <si>
    <t>【セット品】いなば 魚づくし まぐろ・かつお 6種アソート 60g×3袋×6袋セット 猫用ウェットフード パウチ ソフト</t>
  </si>
  <si>
    <t>b0fd9lygtk</t>
  </si>
  <si>
    <t>いなば まぐろジュレ 乳酸菌入り バラエティ 3種アソート 65g×4個×3箱セット 猫用 ウェットフード キャットフー</t>
  </si>
  <si>
    <t>b0dhjqr9vv</t>
  </si>
  <si>
    <t>b0dgy23b6s</t>
  </si>
  <si>
    <t>b0c3l32wkr-2</t>
  </si>
  <si>
    <t xml:space="preserve">【2個セット】友和 Tipo's 超撥水コーティング剤 弾き！ つめかえ用 500ml 撥水 コーティング剤 詰め替え </t>
  </si>
  <si>
    <t>b0b7wm5n8n-1</t>
  </si>
  <si>
    <t>b09xxtb2xr</t>
  </si>
  <si>
    <t>b01gzq2xyi-2</t>
  </si>
  <si>
    <t>b00xtzzlei-1</t>
  </si>
  <si>
    <t>b001v7wmlg</t>
  </si>
  <si>
    <t>b0hbsvxz7c</t>
  </si>
  <si>
    <t>b0hb3sfnpm</t>
  </si>
  <si>
    <t>b0f948cn5f</t>
  </si>
  <si>
    <t>b0dq889rzt</t>
  </si>
  <si>
    <t>b0cjq45rcv-1</t>
  </si>
  <si>
    <t>b0bqt8pr1d</t>
  </si>
  <si>
    <t>【2個セット】NEXXUS ネクサス スムースアンドマネージャブル ヘアマスク トリートメント 本体 220g×2個セッ</t>
  </si>
  <si>
    <t>b0bmz8mk97</t>
  </si>
  <si>
    <t>b0bmz5whhh</t>
  </si>
  <si>
    <t>b093lnhzq2</t>
  </si>
  <si>
    <t>b08lgjljsk</t>
  </si>
  <si>
    <t>b00jrnlz1o</t>
  </si>
  <si>
    <t>b00bes4sdw</t>
  </si>
  <si>
    <t>b00b4mi244-2</t>
  </si>
  <si>
    <t>合計</t>
  </si>
  <si>
    <t>2026年08月</t>
  </si>
  <si>
    <t>【3本セット】アース製薬 らくハピ お部屋の防カビ剤 カチッとおすだけ 無香料 60mL 約2カ月持続 防カビ カビ予防</t>
  </si>
  <si>
    <t>b0hc1kzx44</t>
  </si>
  <si>
    <t>【6種セット】クーリア クリアジェムステッカー エンジェル ストロベリー レモン グレープ ソーダ プラネット デコレー</t>
  </si>
  <si>
    <t>【2個セット】ファブリーズ W除菌+消臭スプレー 衣類・布製品用 無香料 アルコール成分配合 本体 370mL×2個セッ</t>
  </si>
  <si>
    <t>b0f9dzl2mg</t>
  </si>
  <si>
    <t>【2個セット】DERMASHARE ダーマシェア バクチオール マルチバーム 13g 美容液スティック スティックバーム</t>
  </si>
  <si>
    <t>b0hg1f5b7t</t>
  </si>
  <si>
    <t>b09l7qd1hp</t>
  </si>
  <si>
    <t>b07bgstt34</t>
  </si>
  <si>
    <t>【2個セット】グレイシアハイジーン ニトリルグローブ XS GH-01 125枚入×2個セット ニトリル手袋 パウダーフ</t>
  </si>
  <si>
    <t>【6種セット】クーリア ウォーターシール スイートマジカル はむはむハムちゃん チャーミングルーム きらりんエナガマーチ</t>
  </si>
  <si>
    <t>b01g81swcm</t>
  </si>
  <si>
    <t>b0ctt9m27s</t>
  </si>
  <si>
    <t>b0hg6v7qy1</t>
  </si>
  <si>
    <t>b0hg1t7vg8</t>
  </si>
  <si>
    <t>4580313723736</t>
  </si>
  <si>
    <t>b0gvxq7xpv</t>
  </si>
  <si>
    <t>【2026年限定】ランドリン 柔軟剤 フレッシュモヒート 600mL 本体 液体 柔軟仕上げ剤 夏季限定 サマー 清涼感</t>
  </si>
  <si>
    <t>b0hg1dql38</t>
  </si>
  <si>
    <t>【2個セット】アリエール ジェルボール4D 微香 詰め替え メガジャンボ 83個×2個セット P&amp;G 洗濯洗剤 ジェルボ</t>
  </si>
  <si>
    <t>b002wgto52</t>
  </si>
  <si>
    <t xml:space="preserve">【6個セット】IROKA イロカ フレアフレグランス ネイキッドリリーの香り 詰め替え 1200mL×6個セット 花王 </t>
  </si>
  <si>
    <t>b0dmp16lqs</t>
  </si>
  <si>
    <t>b09xxsmk31</t>
  </si>
  <si>
    <t>b0867jpktd</t>
  </si>
  <si>
    <t>b0f74cphd1</t>
  </si>
  <si>
    <t>b0hd77wvwr</t>
  </si>
  <si>
    <t>【セット品】レノア アロマジュエル Perfume N°7 ジャスミンローズの香り 本体420mL 詰め替え1410mL</t>
  </si>
  <si>
    <t>b01dn6zigi</t>
  </si>
  <si>
    <t>【2個セット】プライバシー UVパウダー SPF50+ PA++++ メイクの上から使える UVカット フェイスパウダー</t>
  </si>
  <si>
    <t>【3本セット】NEWクレラップ お徳用 22cm×50m 日本製 キッチンラップ 電子レンジ対応 食品保存 冷蔵保存 冷</t>
  </si>
  <si>
    <t>レノア 超消臭 煮沸レベル 抗菌ビーズ スポーツ クールリフレッシュ＆シトラス 詰め替え 超特大 1410mL×2個セッ</t>
  </si>
  <si>
    <t>Nuxe(ニュクス) プロディジューオイル 50mL ヘアオイル ボディオイル フェイスオイル 全身用 マルチ美容オイル</t>
  </si>
  <si>
    <t>【セット品】ファブリーズ W除菌+消臭スプレー 衣類・布製品用 香りが残らない 本体370mL＋つめかえ4回分1280m</t>
  </si>
  <si>
    <t>デビフ おすわりくん 超小粒 ササミ ７５ｇ ×４袋セット 犬用 おやつ</t>
  </si>
  <si>
    <t>【4個セット】日本カルシウム工業 ヘルシーウォーターEX 38g×4個セット ペットボトル用 浄水パック 携帯浄水器 カ</t>
  </si>
  <si>
    <t>Anker Eufy ユーフィ SmartTrack Card E30×2個セット 充電式紛失防止トラッカー スマートタ</t>
  </si>
  <si>
    <t>【セット品】いなば チャオ 焼かつおディナー 高齢猫用 2種アソートセット 50g×16袋 国産 猫 猫用 キャットフー</t>
  </si>
  <si>
    <t>【2個セット】柑橘王子 メラノサーチ VitaC洗顔 120g×2本 洗顔フォーム メンズ ビタミンC誘導体 毛穴 ケア</t>
  </si>
  <si>
    <t xml:space="preserve">【2個セット】レノア アロマジュエル Perfume ブルーミングブロッサムの香り 詰め替え 1410mL×2個セット </t>
  </si>
  <si>
    <t>【2本セット】ムシクリン カメムシ用ジャンボエアゾール 550ml アース製薬 カメムシ対策 侵入防止 スプレー 屋外用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</si>
</sst>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>
    <font>
      <sz val="11"/>
      <color theme="1"/>
      <name val="ＭＳ Ｐゴシック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6"/>
      <name val="ＭＳ Ｐゴシック"/>
      <family val="3"/>
      <charset val="128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176" fontId="2" fillId="0" borderId="0" xfId="0" applyNumberFormat="1" applyFont="1"/>
    <xf numFmtId="10" fontId="2" fillId="0" borderId="0" xfId="0" applyNumberFormat="1" applyFont="1"/>
    <xf numFmtId="9" fontId="2" fillId="0" borderId="0" xfId="0" applyNumberFormat="1" applyFont="1"/>
    <xf numFmtId="9" fontId="1" fillId="0" borderId="0" xfId="0" applyNumberFormat="1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76" fontId="5" fillId="0" borderId="0" xfId="0" applyNumberFormat="1" applyFont="1"/>
    <xf numFmtId="10" fontId="5" fillId="0" borderId="0" xfId="0" applyNumberFormat="1" applyFont="1"/>
    <xf numFmtId="9" fontId="5" fillId="0" borderId="0" xfId="0" applyNumberFormat="1" applyFont="1"/>
    <xf numFmtId="9" fontId="4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4"/>
  <sheetViews>
    <sheetView tabSelected="1" workbookViewId="0"/>
  </sheetViews>
  <sheetFormatPr baseColWidth="10" defaultColWidth="8.83203125" defaultRowHeight="14"/>
  <cols>
    <col min="1" max="1" width="16" customWidth="1"/>
    <col min="2" max="2" width="40" customWidth="1"/>
    <col min="6" max="6" width="13" customWidth="1"/>
    <col min="8" max="8" width="13" customWidth="1"/>
    <col min="12" max="13" width="13" customWidth="1"/>
    <col min="15" max="15" width="13" customWidth="1"/>
  </cols>
  <sheetData>
    <row r="1" spans="1:16">
      <c r="A1" s="1" t="s">
        <v>0</v>
      </c>
    </row>
    <row r="2" spans="1:16">
      <c r="A2" s="2" t="s">
        <v>1</v>
      </c>
      <c r="B2" s="2" t="s">
        <v>2</v>
      </c>
    </row>
    <row r="3" spans="1:16">
      <c r="A3" s="1" t="s">
        <v>3</v>
      </c>
      <c r="B3" s="3">
        <v>70000</v>
      </c>
    </row>
    <row r="4" spans="1:16">
      <c r="A4" s="1" t="s">
        <v>4</v>
      </c>
      <c r="B4" s="4">
        <v>0.99719999999999998</v>
      </c>
    </row>
    <row r="5" spans="1:16">
      <c r="A5" s="1" t="s">
        <v>5</v>
      </c>
      <c r="B5" s="3">
        <v>69810</v>
      </c>
    </row>
    <row r="6" spans="1:16">
      <c r="A6" s="1" t="s">
        <v>6</v>
      </c>
      <c r="B6" s="3">
        <v>3716</v>
      </c>
    </row>
    <row r="7" spans="1:16">
      <c r="A7" s="1" t="s">
        <v>7</v>
      </c>
      <c r="B7" s="3">
        <v>19</v>
      </c>
    </row>
    <row r="8" spans="1:16">
      <c r="A8" s="1" t="s">
        <v>8</v>
      </c>
      <c r="B8" s="3">
        <v>534794</v>
      </c>
    </row>
    <row r="9" spans="1:16">
      <c r="A9" s="1" t="s">
        <v>9</v>
      </c>
      <c r="B9" s="4">
        <v>7.6607000000000003</v>
      </c>
    </row>
    <row r="10" spans="1:16">
      <c r="A10" s="1" t="s">
        <v>10</v>
      </c>
      <c r="B10" s="4">
        <v>4.1399999999999999E-2</v>
      </c>
    </row>
    <row r="12" spans="1:16">
      <c r="A12" s="1" t="s">
        <v>11</v>
      </c>
      <c r="B12" s="1" t="s">
        <v>12</v>
      </c>
      <c r="C12" s="1" t="s">
        <v>13</v>
      </c>
      <c r="D12" s="1" t="s">
        <v>6</v>
      </c>
      <c r="E12" s="1" t="s">
        <v>14</v>
      </c>
      <c r="F12" s="1" t="s">
        <v>15</v>
      </c>
      <c r="G12" s="1" t="s">
        <v>7</v>
      </c>
      <c r="H12" s="1" t="s">
        <v>8</v>
      </c>
      <c r="I12" s="1" t="s">
        <v>16</v>
      </c>
      <c r="J12" s="1" t="s">
        <v>10</v>
      </c>
      <c r="K12" s="1" t="s">
        <v>9</v>
      </c>
      <c r="L12" s="1" t="s">
        <v>17</v>
      </c>
      <c r="M12" s="1" t="s">
        <v>18</v>
      </c>
      <c r="N12" s="1" t="s">
        <v>19</v>
      </c>
      <c r="O12" s="1" t="s">
        <v>20</v>
      </c>
      <c r="P12" s="1" t="s">
        <v>21</v>
      </c>
    </row>
    <row r="13" spans="1:16">
      <c r="A13" s="2" t="s">
        <v>22</v>
      </c>
      <c r="B13" s="2" t="s">
        <v>23</v>
      </c>
      <c r="C13" s="2">
        <v>20</v>
      </c>
      <c r="D13" s="2">
        <v>463</v>
      </c>
      <c r="E13" s="5">
        <v>4.7999999999999996E-3</v>
      </c>
      <c r="F13" s="2">
        <v>9078</v>
      </c>
      <c r="G13" s="2">
        <v>20</v>
      </c>
      <c r="H13" s="2">
        <v>89940</v>
      </c>
      <c r="I13" s="2">
        <v>24</v>
      </c>
      <c r="J13" s="5">
        <v>5.1799999999999999E-2</v>
      </c>
      <c r="K13" s="6">
        <f t="shared" ref="K13:K44" si="0">IF(F13=0,"",H13/F13)</f>
        <v>9.9074686054196963</v>
      </c>
      <c r="L13" s="2">
        <v>71240</v>
      </c>
      <c r="M13" s="3">
        <v>160080</v>
      </c>
      <c r="N13" s="4">
        <f t="shared" ref="N13:N44" si="1">IF(OR(M13="",M13=0),"",H13/M13)</f>
        <v>0.56184407796101954</v>
      </c>
      <c r="O13" s="3">
        <v>69768</v>
      </c>
      <c r="P13" s="4">
        <f t="shared" ref="P13:P44" si="2">IF(OR(O13="",O13=0),"",F13/O13)</f>
        <v>0.13011695906432749</v>
      </c>
    </row>
    <row r="14" spans="1:16">
      <c r="A14" s="2" t="s">
        <v>24</v>
      </c>
      <c r="B14" s="2" t="s">
        <v>25</v>
      </c>
      <c r="C14" s="2">
        <v>24</v>
      </c>
      <c r="D14" s="2">
        <v>323</v>
      </c>
      <c r="E14" s="5">
        <v>2.8299999999999999E-2</v>
      </c>
      <c r="F14" s="2">
        <v>7702</v>
      </c>
      <c r="G14" s="2">
        <v>24</v>
      </c>
      <c r="H14" s="2">
        <v>52820</v>
      </c>
      <c r="I14" s="2">
        <v>14</v>
      </c>
      <c r="J14" s="5">
        <v>4.3299999999999998E-2</v>
      </c>
      <c r="K14" s="6">
        <f t="shared" si="0"/>
        <v>6.8579589716956635</v>
      </c>
      <c r="L14" s="2">
        <v>49140</v>
      </c>
      <c r="M14" s="3">
        <v>63840</v>
      </c>
      <c r="N14" s="4">
        <f t="shared" si="1"/>
        <v>0.82738095238095233</v>
      </c>
      <c r="O14" s="3">
        <v>18624</v>
      </c>
      <c r="P14" s="4">
        <f t="shared" si="2"/>
        <v>0.41355240549828176</v>
      </c>
    </row>
    <row r="15" spans="1:16">
      <c r="A15" s="2" t="s">
        <v>26</v>
      </c>
      <c r="B15" s="2" t="s">
        <v>27</v>
      </c>
      <c r="C15" s="2">
        <v>27</v>
      </c>
      <c r="D15" s="2">
        <v>94</v>
      </c>
      <c r="E15" s="5">
        <v>2.5000000000000001E-2</v>
      </c>
      <c r="F15" s="2">
        <v>2479</v>
      </c>
      <c r="G15" s="2">
        <v>27</v>
      </c>
      <c r="H15" s="2">
        <v>37460</v>
      </c>
      <c r="I15" s="2">
        <v>13</v>
      </c>
      <c r="J15" s="5">
        <v>0.13819999999999999</v>
      </c>
      <c r="K15" s="6">
        <f t="shared" si="0"/>
        <v>15.110931827349738</v>
      </c>
      <c r="L15" s="2">
        <v>37460</v>
      </c>
      <c r="M15" s="3">
        <v>45540</v>
      </c>
      <c r="N15" s="4">
        <f t="shared" si="1"/>
        <v>0.82257356170399654</v>
      </c>
      <c r="O15" s="3">
        <v>19113</v>
      </c>
      <c r="P15" s="4">
        <f t="shared" si="2"/>
        <v>0.12970229686600743</v>
      </c>
    </row>
    <row r="16" spans="1:16">
      <c r="A16" s="2" t="s">
        <v>28</v>
      </c>
      <c r="B16" s="2" t="s">
        <v>29</v>
      </c>
      <c r="C16" s="2">
        <v>24</v>
      </c>
      <c r="D16" s="2">
        <v>98</v>
      </c>
      <c r="E16" s="5">
        <v>2.8799999999999999E-2</v>
      </c>
      <c r="F16" s="2">
        <v>2306</v>
      </c>
      <c r="G16" s="2">
        <v>24</v>
      </c>
      <c r="H16" s="2">
        <v>7120</v>
      </c>
      <c r="I16" s="2">
        <v>4</v>
      </c>
      <c r="J16" s="5">
        <v>4.0800000000000003E-2</v>
      </c>
      <c r="K16" s="6">
        <f t="shared" si="0"/>
        <v>3.0875975715524717</v>
      </c>
      <c r="L16" s="2">
        <v>7120</v>
      </c>
      <c r="M16" s="3">
        <v>14240</v>
      </c>
      <c r="N16" s="4">
        <f t="shared" si="1"/>
        <v>0.5</v>
      </c>
      <c r="O16" s="3">
        <v>4920</v>
      </c>
      <c r="P16" s="4">
        <f t="shared" si="2"/>
        <v>0.46869918699186991</v>
      </c>
    </row>
    <row r="17" spans="1:16">
      <c r="A17" s="2" t="s">
        <v>30</v>
      </c>
      <c r="B17" s="2" t="s">
        <v>31</v>
      </c>
      <c r="C17" s="2">
        <v>20</v>
      </c>
      <c r="D17" s="2">
        <v>120</v>
      </c>
      <c r="E17" s="5">
        <v>8.0000000000000004E-4</v>
      </c>
      <c r="F17" s="2">
        <v>2217</v>
      </c>
      <c r="G17" s="2">
        <v>19</v>
      </c>
      <c r="H17" s="2">
        <v>21460</v>
      </c>
      <c r="I17" s="2">
        <v>7</v>
      </c>
      <c r="J17" s="5">
        <v>5.8299999999999998E-2</v>
      </c>
      <c r="K17" s="6">
        <f t="shared" si="0"/>
        <v>9.6797474064050526</v>
      </c>
      <c r="L17" s="2">
        <v>18480</v>
      </c>
      <c r="M17" s="3">
        <v>43520</v>
      </c>
      <c r="N17" s="4">
        <f t="shared" si="1"/>
        <v>0.49310661764705882</v>
      </c>
      <c r="O17" s="3">
        <v>13766</v>
      </c>
      <c r="P17" s="4">
        <f t="shared" si="2"/>
        <v>0.16104896120877524</v>
      </c>
    </row>
    <row r="18" spans="1:16">
      <c r="A18" s="2" t="s">
        <v>32</v>
      </c>
      <c r="B18" s="2" t="s">
        <v>33</v>
      </c>
      <c r="C18" s="2">
        <v>24</v>
      </c>
      <c r="D18" s="2">
        <v>74</v>
      </c>
      <c r="E18" s="5">
        <v>8.9999999999999998E-4</v>
      </c>
      <c r="F18" s="2">
        <v>1754</v>
      </c>
      <c r="G18" s="2">
        <v>24</v>
      </c>
      <c r="H18" s="2">
        <v>57540</v>
      </c>
      <c r="I18" s="2">
        <v>6</v>
      </c>
      <c r="J18" s="5">
        <v>8.1000000000000003E-2</v>
      </c>
      <c r="K18" s="6">
        <f t="shared" si="0"/>
        <v>32.805017103762829</v>
      </c>
      <c r="L18" s="2">
        <v>57540</v>
      </c>
      <c r="M18" s="3">
        <v>143040</v>
      </c>
      <c r="N18" s="4">
        <f t="shared" si="1"/>
        <v>0.40226510067114096</v>
      </c>
      <c r="O18" s="3">
        <v>61784</v>
      </c>
      <c r="P18" s="4">
        <f t="shared" si="2"/>
        <v>2.8389226984332515E-2</v>
      </c>
    </row>
    <row r="19" spans="1:16">
      <c r="A19" s="2" t="s">
        <v>34</v>
      </c>
      <c r="B19" s="2" t="s">
        <v>35</v>
      </c>
      <c r="C19" s="2">
        <v>24</v>
      </c>
      <c r="D19" s="2">
        <v>69</v>
      </c>
      <c r="E19" s="5">
        <v>4.0000000000000002E-4</v>
      </c>
      <c r="F19" s="2">
        <v>1614</v>
      </c>
      <c r="G19" s="2">
        <v>24</v>
      </c>
      <c r="H19" s="2">
        <v>5960</v>
      </c>
      <c r="I19" s="2">
        <v>2</v>
      </c>
      <c r="J19" s="5">
        <v>2.8899999999999999E-2</v>
      </c>
      <c r="K19" s="6">
        <f t="shared" si="0"/>
        <v>3.6926889714993805</v>
      </c>
      <c r="L19" s="2">
        <v>5960</v>
      </c>
      <c r="M19" s="3">
        <v>17880</v>
      </c>
      <c r="N19" s="4">
        <f t="shared" si="1"/>
        <v>0.33333333333333331</v>
      </c>
      <c r="O19" s="3">
        <v>2796</v>
      </c>
      <c r="P19" s="4">
        <f t="shared" si="2"/>
        <v>0.57725321888412018</v>
      </c>
    </row>
    <row r="20" spans="1:16">
      <c r="A20" s="2" t="s">
        <v>36</v>
      </c>
      <c r="B20" s="2" t="s">
        <v>37</v>
      </c>
      <c r="C20" s="2">
        <v>20</v>
      </c>
      <c r="D20" s="2">
        <v>70</v>
      </c>
      <c r="E20" s="5">
        <v>1.1000000000000001E-3</v>
      </c>
      <c r="F20" s="2">
        <v>1400</v>
      </c>
      <c r="G20" s="2">
        <v>20</v>
      </c>
      <c r="H20" s="2">
        <v>21920</v>
      </c>
      <c r="I20" s="2">
        <v>4</v>
      </c>
      <c r="J20" s="5">
        <v>5.7099999999999998E-2</v>
      </c>
      <c r="K20" s="6">
        <f t="shared" si="0"/>
        <v>15.657142857142857</v>
      </c>
      <c r="L20" s="2">
        <v>21920</v>
      </c>
      <c r="M20" s="3">
        <v>32880</v>
      </c>
      <c r="N20" s="4">
        <f t="shared" si="1"/>
        <v>0.66666666666666663</v>
      </c>
      <c r="O20" s="3">
        <v>5268</v>
      </c>
      <c r="P20" s="4">
        <f t="shared" si="2"/>
        <v>0.26575550493545935</v>
      </c>
    </row>
    <row r="21" spans="1:16">
      <c r="A21" s="2" t="s">
        <v>38</v>
      </c>
      <c r="B21" s="2" t="s">
        <v>39</v>
      </c>
      <c r="C21" s="2">
        <v>24</v>
      </c>
      <c r="D21" s="2">
        <v>61</v>
      </c>
      <c r="E21" s="5">
        <v>7.000000000000001E-4</v>
      </c>
      <c r="F21" s="2">
        <v>1314</v>
      </c>
      <c r="G21" s="2">
        <v>22</v>
      </c>
      <c r="H21" s="2">
        <v>5760</v>
      </c>
      <c r="I21" s="2">
        <v>2</v>
      </c>
      <c r="J21" s="5">
        <v>3.27E-2</v>
      </c>
      <c r="K21" s="6">
        <f t="shared" si="0"/>
        <v>4.3835616438356162</v>
      </c>
      <c r="L21" s="2">
        <v>2980</v>
      </c>
      <c r="M21" s="3">
        <v>8740</v>
      </c>
      <c r="N21" s="4">
        <f t="shared" si="1"/>
        <v>0.65903890160183065</v>
      </c>
      <c r="O21" s="3">
        <v>2887</v>
      </c>
      <c r="P21" s="4">
        <f t="shared" si="2"/>
        <v>0.45514374783512296</v>
      </c>
    </row>
    <row r="22" spans="1:16">
      <c r="A22" s="2" t="s">
        <v>40</v>
      </c>
      <c r="B22" s="2" t="s">
        <v>41</v>
      </c>
      <c r="C22" s="2">
        <v>24</v>
      </c>
      <c r="D22" s="2">
        <v>50</v>
      </c>
      <c r="E22" s="5">
        <v>2.9999999999999997E-4</v>
      </c>
      <c r="F22" s="2">
        <v>1055</v>
      </c>
      <c r="G22" s="2">
        <v>22</v>
      </c>
      <c r="H22" s="2">
        <v>7960</v>
      </c>
      <c r="I22" s="2">
        <v>1</v>
      </c>
      <c r="J22" s="5">
        <v>0.02</v>
      </c>
      <c r="K22" s="6">
        <f t="shared" si="0"/>
        <v>7.5450236966824642</v>
      </c>
      <c r="L22" s="2">
        <v>7960</v>
      </c>
      <c r="M22" s="3">
        <v>15920</v>
      </c>
      <c r="N22" s="4">
        <f t="shared" si="1"/>
        <v>0.5</v>
      </c>
      <c r="O22" s="3">
        <v>4772</v>
      </c>
      <c r="P22" s="4">
        <f t="shared" si="2"/>
        <v>0.22108130762782902</v>
      </c>
    </row>
    <row r="23" spans="1:16">
      <c r="A23" s="2" t="s">
        <v>42</v>
      </c>
      <c r="B23" s="2" t="s">
        <v>43</v>
      </c>
      <c r="C23" s="2">
        <v>20</v>
      </c>
      <c r="D23" s="2">
        <v>51</v>
      </c>
      <c r="E23" s="5">
        <v>2.9999999999999997E-4</v>
      </c>
      <c r="F23" s="2">
        <v>982</v>
      </c>
      <c r="G23" s="2">
        <v>20</v>
      </c>
      <c r="H23" s="2">
        <v>7120</v>
      </c>
      <c r="I23" s="2">
        <v>3</v>
      </c>
      <c r="J23" s="5">
        <v>5.8799999999999998E-2</v>
      </c>
      <c r="K23" s="6">
        <f t="shared" si="0"/>
        <v>7.2505091649694497</v>
      </c>
      <c r="L23" s="2">
        <v>5340</v>
      </c>
      <c r="M23" s="3">
        <v>8900</v>
      </c>
      <c r="N23" s="4">
        <f t="shared" si="1"/>
        <v>0.8</v>
      </c>
      <c r="O23" s="3">
        <v>4524</v>
      </c>
      <c r="P23" s="4">
        <f t="shared" si="2"/>
        <v>0.21706454465075153</v>
      </c>
    </row>
    <row r="24" spans="1:16">
      <c r="A24" s="2" t="s">
        <v>44</v>
      </c>
      <c r="B24" s="2" t="s">
        <v>45</v>
      </c>
      <c r="C24" s="2">
        <v>20</v>
      </c>
      <c r="D24" s="2">
        <v>48</v>
      </c>
      <c r="E24" s="5">
        <v>8.9999999999999998E-4</v>
      </c>
      <c r="F24" s="2">
        <v>930</v>
      </c>
      <c r="G24" s="2">
        <v>20</v>
      </c>
      <c r="H24" s="2">
        <v>23760</v>
      </c>
      <c r="I24" s="2">
        <v>9</v>
      </c>
      <c r="J24" s="5">
        <v>0.1875</v>
      </c>
      <c r="K24" s="6">
        <f t="shared" si="0"/>
        <v>25.548387096774192</v>
      </c>
      <c r="L24" s="2">
        <v>15840</v>
      </c>
      <c r="M24" s="3">
        <v>34320</v>
      </c>
      <c r="N24" s="4">
        <f t="shared" si="1"/>
        <v>0.69230769230769229</v>
      </c>
      <c r="O24" s="3">
        <v>8684</v>
      </c>
      <c r="P24" s="4">
        <f t="shared" si="2"/>
        <v>0.10709350529709812</v>
      </c>
    </row>
    <row r="25" spans="1:16">
      <c r="A25" s="2" t="s">
        <v>46</v>
      </c>
      <c r="B25" s="2"/>
      <c r="C25" s="2">
        <v>20</v>
      </c>
      <c r="D25" s="2">
        <v>85</v>
      </c>
      <c r="E25" s="5">
        <v>0</v>
      </c>
      <c r="F25" s="2">
        <v>860</v>
      </c>
      <c r="G25" s="2">
        <v>11</v>
      </c>
      <c r="H25" s="2">
        <v>0</v>
      </c>
      <c r="I25" s="2">
        <v>0</v>
      </c>
      <c r="J25" s="5">
        <v>0</v>
      </c>
      <c r="K25" s="6">
        <f t="shared" si="0"/>
        <v>0</v>
      </c>
      <c r="L25" s="2">
        <v>0</v>
      </c>
      <c r="M25" s="3"/>
      <c r="N25" s="4" t="str">
        <f t="shared" si="1"/>
        <v/>
      </c>
      <c r="O25" s="3"/>
      <c r="P25" s="4" t="str">
        <f t="shared" si="2"/>
        <v/>
      </c>
    </row>
    <row r="26" spans="1:16">
      <c r="A26" s="2" t="s">
        <v>47</v>
      </c>
      <c r="B26" s="2" t="s">
        <v>48</v>
      </c>
      <c r="C26" s="2">
        <v>20</v>
      </c>
      <c r="D26" s="2">
        <v>41</v>
      </c>
      <c r="E26" s="5">
        <v>2.4E-2</v>
      </c>
      <c r="F26" s="2">
        <v>820</v>
      </c>
      <c r="G26" s="2">
        <v>20</v>
      </c>
      <c r="H26" s="2">
        <v>16560</v>
      </c>
      <c r="I26" s="2">
        <v>3</v>
      </c>
      <c r="J26" s="5">
        <v>7.3099999999999998E-2</v>
      </c>
      <c r="K26" s="6">
        <f t="shared" si="0"/>
        <v>20.195121951219512</v>
      </c>
      <c r="L26" s="2">
        <v>4760</v>
      </c>
      <c r="M26" s="3">
        <v>14280</v>
      </c>
      <c r="N26" s="4">
        <f t="shared" si="1"/>
        <v>1.1596638655462186</v>
      </c>
      <c r="O26" s="3">
        <v>5298</v>
      </c>
      <c r="P26" s="4">
        <f t="shared" si="2"/>
        <v>0.15477538693846735</v>
      </c>
    </row>
    <row r="27" spans="1:16">
      <c r="A27" s="2" t="s">
        <v>49</v>
      </c>
      <c r="B27" s="2" t="s">
        <v>50</v>
      </c>
      <c r="C27" s="2">
        <v>20</v>
      </c>
      <c r="D27" s="2">
        <v>41</v>
      </c>
      <c r="E27" s="5">
        <v>2.7000000000000001E-3</v>
      </c>
      <c r="F27" s="2">
        <v>780</v>
      </c>
      <c r="G27" s="2">
        <v>20</v>
      </c>
      <c r="H27" s="2">
        <v>0</v>
      </c>
      <c r="I27" s="2">
        <v>0</v>
      </c>
      <c r="J27" s="5">
        <v>0</v>
      </c>
      <c r="K27" s="6">
        <f t="shared" si="0"/>
        <v>0</v>
      </c>
      <c r="L27" s="2">
        <v>0</v>
      </c>
      <c r="M27" s="3">
        <v>5480</v>
      </c>
      <c r="N27" s="4">
        <f t="shared" si="1"/>
        <v>0</v>
      </c>
      <c r="O27" s="3">
        <v>2009</v>
      </c>
      <c r="P27" s="4">
        <f t="shared" si="2"/>
        <v>0.38825286212045795</v>
      </c>
    </row>
    <row r="28" spans="1:16">
      <c r="A28" s="2" t="s">
        <v>51</v>
      </c>
      <c r="B28" s="2" t="s">
        <v>52</v>
      </c>
      <c r="C28" s="2">
        <v>20</v>
      </c>
      <c r="D28" s="2">
        <v>38</v>
      </c>
      <c r="E28" s="5">
        <v>9.8999999999999991E-3</v>
      </c>
      <c r="F28" s="2">
        <v>760</v>
      </c>
      <c r="G28" s="2">
        <v>20</v>
      </c>
      <c r="H28" s="2">
        <v>22740</v>
      </c>
      <c r="I28" s="2">
        <v>7</v>
      </c>
      <c r="J28" s="5">
        <v>0.1842</v>
      </c>
      <c r="K28" s="6">
        <f t="shared" si="0"/>
        <v>29.921052631578949</v>
      </c>
      <c r="L28" s="2">
        <v>19960</v>
      </c>
      <c r="M28" s="3">
        <v>25520</v>
      </c>
      <c r="N28" s="4">
        <f t="shared" si="1"/>
        <v>0.89106583072100309</v>
      </c>
      <c r="O28" s="3">
        <v>10217</v>
      </c>
      <c r="P28" s="4">
        <f t="shared" si="2"/>
        <v>7.4385827542331404E-2</v>
      </c>
    </row>
    <row r="29" spans="1:16">
      <c r="A29" s="2" t="s">
        <v>53</v>
      </c>
      <c r="B29" s="2"/>
      <c r="C29" s="2">
        <v>20</v>
      </c>
      <c r="D29" s="2">
        <v>36</v>
      </c>
      <c r="E29" s="5">
        <v>8.9999999999999998E-4</v>
      </c>
      <c r="F29" s="2">
        <v>713</v>
      </c>
      <c r="G29" s="2">
        <v>20</v>
      </c>
      <c r="H29" s="2">
        <v>0</v>
      </c>
      <c r="I29" s="2">
        <v>0</v>
      </c>
      <c r="J29" s="5">
        <v>0</v>
      </c>
      <c r="K29" s="6">
        <f t="shared" si="0"/>
        <v>0</v>
      </c>
      <c r="L29" s="2">
        <v>0</v>
      </c>
      <c r="M29" s="3"/>
      <c r="N29" s="4" t="str">
        <f t="shared" si="1"/>
        <v/>
      </c>
      <c r="O29" s="3"/>
      <c r="P29" s="4" t="str">
        <f t="shared" si="2"/>
        <v/>
      </c>
    </row>
    <row r="30" spans="1:16">
      <c r="A30" s="2" t="s">
        <v>54</v>
      </c>
      <c r="B30" s="2" t="s">
        <v>55</v>
      </c>
      <c r="C30" s="2">
        <v>20</v>
      </c>
      <c r="D30" s="2">
        <v>36</v>
      </c>
      <c r="E30" s="5">
        <v>5.9999999999999995E-4</v>
      </c>
      <c r="F30" s="2">
        <v>710</v>
      </c>
      <c r="G30" s="2">
        <v>20</v>
      </c>
      <c r="H30" s="2">
        <v>0</v>
      </c>
      <c r="I30" s="2">
        <v>0</v>
      </c>
      <c r="J30" s="5">
        <v>0</v>
      </c>
      <c r="K30" s="6">
        <f t="shared" si="0"/>
        <v>0</v>
      </c>
      <c r="L30" s="2">
        <v>0</v>
      </c>
      <c r="M30" s="3">
        <v>40440</v>
      </c>
      <c r="N30" s="4">
        <f t="shared" si="1"/>
        <v>0</v>
      </c>
      <c r="O30" s="3">
        <v>7434</v>
      </c>
      <c r="P30" s="4">
        <f t="shared" si="2"/>
        <v>9.5507129405434488E-2</v>
      </c>
    </row>
    <row r="31" spans="1:16">
      <c r="A31" s="2" t="s">
        <v>56</v>
      </c>
      <c r="B31" s="2" t="s">
        <v>57</v>
      </c>
      <c r="C31" s="2">
        <v>20</v>
      </c>
      <c r="D31" s="2">
        <v>36</v>
      </c>
      <c r="E31" s="5">
        <v>4.0000000000000002E-4</v>
      </c>
      <c r="F31" s="2">
        <v>700</v>
      </c>
      <c r="G31" s="2">
        <v>20</v>
      </c>
      <c r="H31" s="2">
        <v>0</v>
      </c>
      <c r="I31" s="2">
        <v>0</v>
      </c>
      <c r="J31" s="5">
        <v>0</v>
      </c>
      <c r="K31" s="6">
        <f t="shared" si="0"/>
        <v>0</v>
      </c>
      <c r="L31" s="2">
        <v>0</v>
      </c>
      <c r="M31" s="3">
        <v>1980</v>
      </c>
      <c r="N31" s="4">
        <f t="shared" si="1"/>
        <v>0</v>
      </c>
      <c r="O31" s="3">
        <v>1150</v>
      </c>
      <c r="P31" s="4">
        <f t="shared" si="2"/>
        <v>0.60869565217391308</v>
      </c>
    </row>
    <row r="32" spans="1:16">
      <c r="A32" s="2" t="s">
        <v>58</v>
      </c>
      <c r="B32" s="2" t="s">
        <v>59</v>
      </c>
      <c r="C32" s="2">
        <v>27</v>
      </c>
      <c r="D32" s="2">
        <v>30</v>
      </c>
      <c r="E32" s="5">
        <v>3.39E-2</v>
      </c>
      <c r="F32" s="2">
        <v>685</v>
      </c>
      <c r="G32" s="2">
        <v>23</v>
      </c>
      <c r="H32" s="2">
        <v>6540</v>
      </c>
      <c r="I32" s="2">
        <v>3</v>
      </c>
      <c r="J32" s="5">
        <v>0.1</v>
      </c>
      <c r="K32" s="6">
        <f t="shared" si="0"/>
        <v>9.547445255474452</v>
      </c>
      <c r="L32" s="2">
        <v>4360</v>
      </c>
      <c r="M32" s="3">
        <v>17440</v>
      </c>
      <c r="N32" s="4">
        <f t="shared" si="1"/>
        <v>0.375</v>
      </c>
      <c r="O32" s="3">
        <v>5608</v>
      </c>
      <c r="P32" s="4">
        <f t="shared" si="2"/>
        <v>0.12214693295292439</v>
      </c>
    </row>
    <row r="33" spans="1:16">
      <c r="A33" s="2" t="s">
        <v>60</v>
      </c>
      <c r="B33" s="2" t="s">
        <v>61</v>
      </c>
      <c r="C33" s="2">
        <v>20</v>
      </c>
      <c r="D33" s="2">
        <v>34</v>
      </c>
      <c r="E33" s="5">
        <v>1.34E-2</v>
      </c>
      <c r="F33" s="2">
        <v>680</v>
      </c>
      <c r="G33" s="2">
        <v>20</v>
      </c>
      <c r="H33" s="2">
        <v>10680</v>
      </c>
      <c r="I33" s="2">
        <v>4</v>
      </c>
      <c r="J33" s="5">
        <v>0.1176</v>
      </c>
      <c r="K33" s="6">
        <f t="shared" si="0"/>
        <v>15.705882352941176</v>
      </c>
      <c r="L33" s="2">
        <v>10680</v>
      </c>
      <c r="M33" s="3">
        <v>12460</v>
      </c>
      <c r="N33" s="4">
        <f t="shared" si="1"/>
        <v>0.8571428571428571</v>
      </c>
      <c r="O33" s="3">
        <v>7679</v>
      </c>
      <c r="P33" s="4">
        <f t="shared" si="2"/>
        <v>8.8553197030863395E-2</v>
      </c>
    </row>
    <row r="34" spans="1:16">
      <c r="A34" s="2" t="s">
        <v>62</v>
      </c>
      <c r="B34" s="2" t="s">
        <v>63</v>
      </c>
      <c r="C34" s="2">
        <v>20</v>
      </c>
      <c r="D34" s="2">
        <v>35</v>
      </c>
      <c r="E34" s="5">
        <v>2.9999999999999997E-4</v>
      </c>
      <c r="F34" s="2">
        <v>642</v>
      </c>
      <c r="G34" s="2">
        <v>19</v>
      </c>
      <c r="H34" s="2">
        <v>1980</v>
      </c>
      <c r="I34" s="2">
        <v>1</v>
      </c>
      <c r="J34" s="5">
        <v>2.8500000000000001E-2</v>
      </c>
      <c r="K34" s="6">
        <f t="shared" si="0"/>
        <v>3.0841121495327104</v>
      </c>
      <c r="L34" s="2">
        <v>1980</v>
      </c>
      <c r="M34" s="3">
        <v>3960</v>
      </c>
      <c r="N34" s="4">
        <f t="shared" si="1"/>
        <v>0.5</v>
      </c>
      <c r="O34" s="3">
        <v>2300</v>
      </c>
      <c r="P34" s="4">
        <f t="shared" si="2"/>
        <v>0.27913043478260868</v>
      </c>
    </row>
    <row r="35" spans="1:16">
      <c r="A35" s="2" t="s">
        <v>64</v>
      </c>
      <c r="B35" s="2" t="s">
        <v>65</v>
      </c>
      <c r="C35" s="2">
        <v>20</v>
      </c>
      <c r="D35" s="2">
        <v>35</v>
      </c>
      <c r="E35" s="5">
        <v>4.0000000000000002E-4</v>
      </c>
      <c r="F35" s="2">
        <v>630</v>
      </c>
      <c r="G35" s="2">
        <v>18</v>
      </c>
      <c r="H35" s="2">
        <v>8260</v>
      </c>
      <c r="I35" s="2">
        <v>4</v>
      </c>
      <c r="J35" s="5">
        <v>0.1142</v>
      </c>
      <c r="K35" s="6">
        <f t="shared" si="0"/>
        <v>13.111111111111111</v>
      </c>
      <c r="L35" s="2">
        <v>8260</v>
      </c>
      <c r="M35" s="3">
        <v>10820</v>
      </c>
      <c r="N35" s="4">
        <f t="shared" si="1"/>
        <v>0.7634011090573013</v>
      </c>
      <c r="O35" s="3">
        <v>5183</v>
      </c>
      <c r="P35" s="4">
        <f t="shared" si="2"/>
        <v>0.12155122515917423</v>
      </c>
    </row>
    <row r="36" spans="1:16">
      <c r="A36" s="2" t="s">
        <v>66</v>
      </c>
      <c r="B36" s="2"/>
      <c r="C36" s="2">
        <v>20</v>
      </c>
      <c r="D36" s="2">
        <v>31</v>
      </c>
      <c r="E36" s="5">
        <v>5.0000000000000001E-4</v>
      </c>
      <c r="F36" s="2">
        <v>602</v>
      </c>
      <c r="G36" s="2">
        <v>20</v>
      </c>
      <c r="H36" s="2">
        <v>0</v>
      </c>
      <c r="I36" s="2">
        <v>0</v>
      </c>
      <c r="J36" s="5">
        <v>0</v>
      </c>
      <c r="K36" s="6">
        <f t="shared" si="0"/>
        <v>0</v>
      </c>
      <c r="L36" s="2">
        <v>0</v>
      </c>
      <c r="M36" s="3"/>
      <c r="N36" s="4" t="str">
        <f t="shared" si="1"/>
        <v/>
      </c>
      <c r="O36" s="3"/>
      <c r="P36" s="4" t="str">
        <f t="shared" si="2"/>
        <v/>
      </c>
    </row>
    <row r="37" spans="1:16">
      <c r="A37" s="2" t="s">
        <v>67</v>
      </c>
      <c r="B37" s="2"/>
      <c r="C37" s="2">
        <v>20</v>
      </c>
      <c r="D37" s="2">
        <v>30</v>
      </c>
      <c r="E37" s="5">
        <v>3.5999999999999999E-3</v>
      </c>
      <c r="F37" s="2">
        <v>600</v>
      </c>
      <c r="G37" s="2">
        <v>20</v>
      </c>
      <c r="H37" s="2">
        <v>0</v>
      </c>
      <c r="I37" s="2">
        <v>0</v>
      </c>
      <c r="J37" s="5">
        <v>0</v>
      </c>
      <c r="K37" s="6">
        <f t="shared" si="0"/>
        <v>0</v>
      </c>
      <c r="L37" s="2">
        <v>0</v>
      </c>
      <c r="M37" s="3"/>
      <c r="N37" s="4" t="str">
        <f t="shared" si="1"/>
        <v/>
      </c>
      <c r="O37" s="3"/>
      <c r="P37" s="4" t="str">
        <f t="shared" si="2"/>
        <v/>
      </c>
    </row>
    <row r="38" spans="1:16">
      <c r="A38" s="2" t="s">
        <v>68</v>
      </c>
      <c r="B38" s="2" t="s">
        <v>69</v>
      </c>
      <c r="C38" s="2">
        <v>24</v>
      </c>
      <c r="D38" s="2">
        <v>24</v>
      </c>
      <c r="E38" s="5">
        <v>3.2099999999999997E-2</v>
      </c>
      <c r="F38" s="2">
        <v>562</v>
      </c>
      <c r="G38" s="2">
        <v>24</v>
      </c>
      <c r="H38" s="2">
        <v>0</v>
      </c>
      <c r="I38" s="2">
        <v>0</v>
      </c>
      <c r="J38" s="5">
        <v>0</v>
      </c>
      <c r="K38" s="6">
        <f t="shared" si="0"/>
        <v>0</v>
      </c>
      <c r="L38" s="2">
        <v>0</v>
      </c>
      <c r="M38" s="3">
        <v>3980</v>
      </c>
      <c r="N38" s="4">
        <f t="shared" si="1"/>
        <v>0</v>
      </c>
      <c r="O38" s="3">
        <v>1442</v>
      </c>
      <c r="P38" s="4">
        <f t="shared" si="2"/>
        <v>0.38973647711511789</v>
      </c>
    </row>
    <row r="39" spans="1:16">
      <c r="A39" s="2" t="s">
        <v>70</v>
      </c>
      <c r="B39" s="2" t="s">
        <v>71</v>
      </c>
      <c r="C39" s="2">
        <v>20</v>
      </c>
      <c r="D39" s="2">
        <v>29</v>
      </c>
      <c r="E39" s="5">
        <v>2.3999999999999998E-3</v>
      </c>
      <c r="F39" s="2">
        <v>560</v>
      </c>
      <c r="G39" s="2">
        <v>20</v>
      </c>
      <c r="H39" s="2">
        <v>0</v>
      </c>
      <c r="I39" s="2">
        <v>0</v>
      </c>
      <c r="J39" s="5">
        <v>0</v>
      </c>
      <c r="K39" s="6">
        <f t="shared" si="0"/>
        <v>0</v>
      </c>
      <c r="L39" s="2">
        <v>0</v>
      </c>
      <c r="M39" s="3">
        <v>1280</v>
      </c>
      <c r="N39" s="4">
        <f t="shared" si="1"/>
        <v>0</v>
      </c>
      <c r="O39" s="3">
        <v>650</v>
      </c>
      <c r="P39" s="4">
        <f t="shared" si="2"/>
        <v>0.86153846153846159</v>
      </c>
    </row>
    <row r="40" spans="1:16">
      <c r="A40" s="2" t="s">
        <v>72</v>
      </c>
      <c r="B40" s="2" t="s">
        <v>73</v>
      </c>
      <c r="C40" s="2">
        <v>24</v>
      </c>
      <c r="D40" s="2">
        <v>27</v>
      </c>
      <c r="E40" s="5">
        <v>2.0000000000000001E-4</v>
      </c>
      <c r="F40" s="2">
        <v>537</v>
      </c>
      <c r="G40" s="2">
        <v>20</v>
      </c>
      <c r="H40" s="2">
        <v>3980</v>
      </c>
      <c r="I40" s="2">
        <v>1</v>
      </c>
      <c r="J40" s="5">
        <v>3.7000000000000012E-2</v>
      </c>
      <c r="K40" s="6">
        <f t="shared" si="0"/>
        <v>7.411545623836127</v>
      </c>
      <c r="L40" s="2">
        <v>3980</v>
      </c>
      <c r="M40" s="3">
        <v>7960</v>
      </c>
      <c r="N40" s="4">
        <f t="shared" si="1"/>
        <v>0.5</v>
      </c>
      <c r="O40" s="3">
        <v>2446</v>
      </c>
      <c r="P40" s="4">
        <f t="shared" si="2"/>
        <v>0.21954210956663942</v>
      </c>
    </row>
    <row r="41" spans="1:16">
      <c r="A41" s="2" t="s">
        <v>74</v>
      </c>
      <c r="B41" s="2" t="s">
        <v>75</v>
      </c>
      <c r="C41" s="2">
        <v>20</v>
      </c>
      <c r="D41" s="2">
        <v>51</v>
      </c>
      <c r="E41" s="5">
        <v>1.72E-2</v>
      </c>
      <c r="F41" s="2">
        <v>530</v>
      </c>
      <c r="G41" s="2">
        <v>11</v>
      </c>
      <c r="H41" s="2">
        <v>0</v>
      </c>
      <c r="I41" s="2">
        <v>0</v>
      </c>
      <c r="J41" s="5">
        <v>0</v>
      </c>
      <c r="K41" s="6">
        <f t="shared" si="0"/>
        <v>0</v>
      </c>
      <c r="L41" s="2">
        <v>0</v>
      </c>
      <c r="M41" s="3">
        <v>16680</v>
      </c>
      <c r="N41" s="4">
        <f t="shared" si="1"/>
        <v>0</v>
      </c>
      <c r="O41" s="3">
        <v>4398</v>
      </c>
      <c r="P41" s="4">
        <f t="shared" si="2"/>
        <v>0.12050932241928149</v>
      </c>
    </row>
    <row r="42" spans="1:16">
      <c r="A42" s="2" t="s">
        <v>76</v>
      </c>
      <c r="B42" s="2" t="s">
        <v>77</v>
      </c>
      <c r="C42" s="2">
        <v>20</v>
      </c>
      <c r="D42" s="2">
        <v>35</v>
      </c>
      <c r="E42" s="5">
        <v>5.0000000000000001E-4</v>
      </c>
      <c r="F42" s="2">
        <v>510</v>
      </c>
      <c r="G42" s="2">
        <v>15</v>
      </c>
      <c r="H42" s="2">
        <v>0</v>
      </c>
      <c r="I42" s="2">
        <v>0</v>
      </c>
      <c r="J42" s="5">
        <v>0</v>
      </c>
      <c r="K42" s="6">
        <f t="shared" si="0"/>
        <v>0</v>
      </c>
      <c r="L42" s="2">
        <v>0</v>
      </c>
      <c r="M42" s="3">
        <v>7440</v>
      </c>
      <c r="N42" s="4">
        <f t="shared" si="1"/>
        <v>0</v>
      </c>
      <c r="O42" s="3">
        <v>2256</v>
      </c>
      <c r="P42" s="4">
        <f t="shared" si="2"/>
        <v>0.22606382978723405</v>
      </c>
    </row>
    <row r="43" spans="1:16">
      <c r="A43" s="2" t="s">
        <v>78</v>
      </c>
      <c r="B43" s="2" t="s">
        <v>79</v>
      </c>
      <c r="C43" s="2">
        <v>20</v>
      </c>
      <c r="D43" s="2">
        <v>26</v>
      </c>
      <c r="E43" s="5">
        <v>5.0000000000000001E-4</v>
      </c>
      <c r="F43" s="2">
        <v>490</v>
      </c>
      <c r="G43" s="2">
        <v>19</v>
      </c>
      <c r="H43" s="2">
        <v>0</v>
      </c>
      <c r="I43" s="2">
        <v>0</v>
      </c>
      <c r="J43" s="5">
        <v>0</v>
      </c>
      <c r="K43" s="6">
        <f t="shared" si="0"/>
        <v>0</v>
      </c>
      <c r="L43" s="2">
        <v>0</v>
      </c>
      <c r="M43" s="3">
        <v>108420</v>
      </c>
      <c r="N43" s="4">
        <f t="shared" si="1"/>
        <v>0</v>
      </c>
      <c r="O43" s="3">
        <v>45357</v>
      </c>
      <c r="P43" s="4">
        <f t="shared" si="2"/>
        <v>1.0803183632074432E-2</v>
      </c>
    </row>
    <row r="44" spans="1:16">
      <c r="A44" s="2" t="s">
        <v>80</v>
      </c>
      <c r="B44" s="2"/>
      <c r="C44" s="2">
        <v>20</v>
      </c>
      <c r="D44" s="2">
        <v>26</v>
      </c>
      <c r="E44" s="5">
        <v>4.0000000000000002E-4</v>
      </c>
      <c r="F44" s="2">
        <v>473</v>
      </c>
      <c r="G44" s="2">
        <v>19</v>
      </c>
      <c r="H44" s="2">
        <v>0</v>
      </c>
      <c r="I44" s="2">
        <v>0</v>
      </c>
      <c r="J44" s="5">
        <v>0</v>
      </c>
      <c r="K44" s="6">
        <f t="shared" si="0"/>
        <v>0</v>
      </c>
      <c r="L44" s="2">
        <v>0</v>
      </c>
      <c r="M44" s="3"/>
      <c r="N44" s="4" t="str">
        <f t="shared" si="1"/>
        <v/>
      </c>
      <c r="O44" s="3"/>
      <c r="P44" s="4" t="str">
        <f t="shared" si="2"/>
        <v/>
      </c>
    </row>
    <row r="45" spans="1:16">
      <c r="A45" s="2" t="s">
        <v>81</v>
      </c>
      <c r="B45" s="2" t="s">
        <v>82</v>
      </c>
      <c r="C45" s="2">
        <v>20</v>
      </c>
      <c r="D45" s="2">
        <v>23</v>
      </c>
      <c r="E45" s="5">
        <v>3.15E-2</v>
      </c>
      <c r="F45" s="2">
        <v>460</v>
      </c>
      <c r="G45" s="2">
        <v>20</v>
      </c>
      <c r="H45" s="2">
        <v>8200</v>
      </c>
      <c r="I45" s="2">
        <v>5</v>
      </c>
      <c r="J45" s="5">
        <v>0.21729999999999999</v>
      </c>
      <c r="K45" s="6">
        <f t="shared" ref="K45:K76" si="3">IF(F45=0,"",H45/F45)</f>
        <v>17.826086956521738</v>
      </c>
      <c r="L45" s="2">
        <v>8200</v>
      </c>
      <c r="M45" s="3">
        <v>5040</v>
      </c>
      <c r="N45" s="4">
        <f t="shared" ref="N45:N76" si="4">IF(OR(M45="",M45=0),"",H45/M45)</f>
        <v>1.626984126984127</v>
      </c>
      <c r="O45" s="3">
        <v>1458</v>
      </c>
      <c r="P45" s="4">
        <f t="shared" ref="P45:P76" si="5">IF(OR(O45="",O45=0),"",F45/O45)</f>
        <v>0.31550068587105623</v>
      </c>
    </row>
    <row r="46" spans="1:16">
      <c r="A46" s="2" t="s">
        <v>83</v>
      </c>
      <c r="B46" s="2"/>
      <c r="C46" s="2">
        <v>20</v>
      </c>
      <c r="D46" s="2">
        <v>30</v>
      </c>
      <c r="E46" s="5">
        <v>1E-4</v>
      </c>
      <c r="F46" s="2">
        <v>459</v>
      </c>
      <c r="G46" s="2">
        <v>16</v>
      </c>
      <c r="H46" s="2">
        <v>0</v>
      </c>
      <c r="I46" s="2">
        <v>0</v>
      </c>
      <c r="J46" s="5">
        <v>0</v>
      </c>
      <c r="K46" s="6">
        <f t="shared" si="3"/>
        <v>0</v>
      </c>
      <c r="L46" s="2">
        <v>0</v>
      </c>
      <c r="M46" s="3"/>
      <c r="N46" s="4" t="str">
        <f t="shared" si="4"/>
        <v/>
      </c>
      <c r="O46" s="3"/>
      <c r="P46" s="4" t="str">
        <f t="shared" si="5"/>
        <v/>
      </c>
    </row>
    <row r="47" spans="1:16">
      <c r="A47" s="2" t="s">
        <v>84</v>
      </c>
      <c r="B47" s="2" t="s">
        <v>85</v>
      </c>
      <c r="C47" s="2">
        <v>20</v>
      </c>
      <c r="D47" s="2">
        <v>25</v>
      </c>
      <c r="E47" s="5">
        <v>6.0400000000000002E-2</v>
      </c>
      <c r="F47" s="2">
        <v>450</v>
      </c>
      <c r="G47" s="2">
        <v>18</v>
      </c>
      <c r="H47" s="2">
        <v>5340</v>
      </c>
      <c r="I47" s="2">
        <v>3</v>
      </c>
      <c r="J47" s="5">
        <v>0.12</v>
      </c>
      <c r="K47" s="6">
        <f t="shared" si="3"/>
        <v>11.866666666666667</v>
      </c>
      <c r="L47" s="2">
        <v>5340</v>
      </c>
      <c r="M47" s="3">
        <v>5340</v>
      </c>
      <c r="N47" s="4">
        <f t="shared" si="4"/>
        <v>1</v>
      </c>
      <c r="O47" s="3">
        <v>1917</v>
      </c>
      <c r="P47" s="4">
        <f t="shared" si="5"/>
        <v>0.23474178403755869</v>
      </c>
    </row>
    <row r="48" spans="1:16">
      <c r="A48" s="2" t="s">
        <v>86</v>
      </c>
      <c r="B48" s="2" t="s">
        <v>87</v>
      </c>
      <c r="C48" s="2">
        <v>20</v>
      </c>
      <c r="D48" s="2">
        <v>24</v>
      </c>
      <c r="E48" s="5">
        <v>1E-4</v>
      </c>
      <c r="F48" s="2">
        <v>428</v>
      </c>
      <c r="G48" s="2">
        <v>18</v>
      </c>
      <c r="H48" s="2">
        <v>4280</v>
      </c>
      <c r="I48" s="2">
        <v>1</v>
      </c>
      <c r="J48" s="5">
        <v>4.1599999999999998E-2</v>
      </c>
      <c r="K48" s="6">
        <f t="shared" si="3"/>
        <v>10</v>
      </c>
      <c r="L48" s="2">
        <v>4280</v>
      </c>
      <c r="M48" s="3">
        <v>4280</v>
      </c>
      <c r="N48" s="4">
        <f t="shared" si="4"/>
        <v>1</v>
      </c>
      <c r="O48" s="3">
        <v>1038</v>
      </c>
      <c r="P48" s="4">
        <f t="shared" si="5"/>
        <v>0.41233140655105971</v>
      </c>
    </row>
    <row r="49" spans="1:16">
      <c r="A49" s="2" t="s">
        <v>88</v>
      </c>
      <c r="B49" s="2" t="s">
        <v>89</v>
      </c>
      <c r="C49" s="2">
        <v>27</v>
      </c>
      <c r="D49" s="2">
        <v>16</v>
      </c>
      <c r="E49" s="5">
        <v>1.09E-2</v>
      </c>
      <c r="F49" s="2">
        <v>426</v>
      </c>
      <c r="G49" s="2">
        <v>27</v>
      </c>
      <c r="H49" s="2">
        <v>0</v>
      </c>
      <c r="I49" s="2">
        <v>0</v>
      </c>
      <c r="J49" s="5">
        <v>0</v>
      </c>
      <c r="K49" s="6">
        <f t="shared" si="3"/>
        <v>0</v>
      </c>
      <c r="L49" s="2">
        <v>0</v>
      </c>
      <c r="M49" s="3">
        <v>3180</v>
      </c>
      <c r="N49" s="4">
        <f t="shared" si="4"/>
        <v>0</v>
      </c>
      <c r="O49" s="3">
        <v>1181</v>
      </c>
      <c r="P49" s="4">
        <f t="shared" si="5"/>
        <v>0.3607112616426757</v>
      </c>
    </row>
    <row r="50" spans="1:16">
      <c r="A50" s="2" t="s">
        <v>90</v>
      </c>
      <c r="B50" s="2"/>
      <c r="C50" s="2">
        <v>24</v>
      </c>
      <c r="D50" s="2">
        <v>18</v>
      </c>
      <c r="E50" s="5">
        <v>2.63E-2</v>
      </c>
      <c r="F50" s="2">
        <v>416</v>
      </c>
      <c r="G50" s="2">
        <v>24</v>
      </c>
      <c r="H50" s="2">
        <v>0</v>
      </c>
      <c r="I50" s="2">
        <v>0</v>
      </c>
      <c r="J50" s="5">
        <v>0</v>
      </c>
      <c r="K50" s="6">
        <f t="shared" si="3"/>
        <v>0</v>
      </c>
      <c r="L50" s="2">
        <v>0</v>
      </c>
      <c r="M50" s="3"/>
      <c r="N50" s="4" t="str">
        <f t="shared" si="4"/>
        <v/>
      </c>
      <c r="O50" s="3"/>
      <c r="P50" s="4" t="str">
        <f t="shared" si="5"/>
        <v/>
      </c>
    </row>
    <row r="51" spans="1:16">
      <c r="A51" s="2" t="s">
        <v>91</v>
      </c>
      <c r="B51" s="2"/>
      <c r="C51" s="2">
        <v>20</v>
      </c>
      <c r="D51" s="2">
        <v>20</v>
      </c>
      <c r="E51" s="5">
        <v>1.3899999999999999E-2</v>
      </c>
      <c r="F51" s="2">
        <v>400</v>
      </c>
      <c r="G51" s="2">
        <v>20</v>
      </c>
      <c r="H51" s="2">
        <v>0</v>
      </c>
      <c r="I51" s="2">
        <v>0</v>
      </c>
      <c r="J51" s="5">
        <v>0</v>
      </c>
      <c r="K51" s="6">
        <f t="shared" si="3"/>
        <v>0</v>
      </c>
      <c r="L51" s="2">
        <v>0</v>
      </c>
      <c r="M51" s="3"/>
      <c r="N51" s="4" t="str">
        <f t="shared" si="4"/>
        <v/>
      </c>
      <c r="O51" s="3"/>
      <c r="P51" s="4" t="str">
        <f t="shared" si="5"/>
        <v/>
      </c>
    </row>
    <row r="52" spans="1:16">
      <c r="A52" s="2" t="s">
        <v>92</v>
      </c>
      <c r="B52" s="2" t="s">
        <v>93</v>
      </c>
      <c r="C52" s="2">
        <v>20</v>
      </c>
      <c r="D52" s="2">
        <v>22</v>
      </c>
      <c r="E52" s="5">
        <v>1.1000000000000001E-3</v>
      </c>
      <c r="F52" s="2">
        <v>390</v>
      </c>
      <c r="G52" s="2">
        <v>18</v>
      </c>
      <c r="H52" s="2">
        <v>0</v>
      </c>
      <c r="I52" s="2">
        <v>0</v>
      </c>
      <c r="J52" s="5">
        <v>0</v>
      </c>
      <c r="K52" s="6">
        <f t="shared" si="3"/>
        <v>0</v>
      </c>
      <c r="L52" s="2">
        <v>0</v>
      </c>
      <c r="M52" s="3">
        <v>10560</v>
      </c>
      <c r="N52" s="4">
        <f t="shared" si="4"/>
        <v>0</v>
      </c>
      <c r="O52" s="3">
        <v>2388</v>
      </c>
      <c r="P52" s="4">
        <f t="shared" si="5"/>
        <v>0.16331658291457288</v>
      </c>
    </row>
    <row r="53" spans="1:16">
      <c r="A53" s="2" t="s">
        <v>94</v>
      </c>
      <c r="B53" s="2" t="s">
        <v>95</v>
      </c>
      <c r="C53" s="2">
        <v>20</v>
      </c>
      <c r="D53" s="2">
        <v>20</v>
      </c>
      <c r="E53" s="5">
        <v>1E-3</v>
      </c>
      <c r="F53" s="2">
        <v>390</v>
      </c>
      <c r="G53" s="2">
        <v>20</v>
      </c>
      <c r="H53" s="2">
        <v>5160</v>
      </c>
      <c r="I53" s="2">
        <v>2</v>
      </c>
      <c r="J53" s="5">
        <v>0.1</v>
      </c>
      <c r="K53" s="6">
        <f t="shared" si="3"/>
        <v>13.23076923076923</v>
      </c>
      <c r="L53" s="2">
        <v>0</v>
      </c>
      <c r="M53" s="3">
        <v>7740</v>
      </c>
      <c r="N53" s="4">
        <f t="shared" si="4"/>
        <v>0.66666666666666663</v>
      </c>
      <c r="O53" s="3">
        <v>3957</v>
      </c>
      <c r="P53" s="4">
        <f t="shared" si="5"/>
        <v>9.8559514783927216E-2</v>
      </c>
    </row>
    <row r="54" spans="1:16">
      <c r="A54" s="2" t="s">
        <v>96</v>
      </c>
      <c r="B54" s="2" t="s">
        <v>97</v>
      </c>
      <c r="C54" s="2">
        <v>27</v>
      </c>
      <c r="D54" s="2">
        <v>18</v>
      </c>
      <c r="E54" s="5">
        <v>1.9300000000000001E-2</v>
      </c>
      <c r="F54" s="2">
        <v>390</v>
      </c>
      <c r="G54" s="2">
        <v>22</v>
      </c>
      <c r="H54" s="2">
        <v>4980</v>
      </c>
      <c r="I54" s="2">
        <v>1</v>
      </c>
      <c r="J54" s="5">
        <v>5.5500000000000001E-2</v>
      </c>
      <c r="K54" s="6">
        <f t="shared" si="3"/>
        <v>12.76923076923077</v>
      </c>
      <c r="L54" s="2">
        <v>0</v>
      </c>
      <c r="M54" s="3">
        <v>4980</v>
      </c>
      <c r="N54" s="4">
        <f t="shared" si="4"/>
        <v>1</v>
      </c>
      <c r="O54" s="3">
        <v>1645</v>
      </c>
      <c r="P54" s="4">
        <f t="shared" si="5"/>
        <v>0.23708206686930092</v>
      </c>
    </row>
    <row r="55" spans="1:16">
      <c r="A55" s="2" t="s">
        <v>98</v>
      </c>
      <c r="B55" s="2"/>
      <c r="C55" s="2">
        <v>20</v>
      </c>
      <c r="D55" s="2">
        <v>22</v>
      </c>
      <c r="E55" s="5">
        <v>1E-4</v>
      </c>
      <c r="F55" s="2">
        <v>390</v>
      </c>
      <c r="G55" s="2">
        <v>18</v>
      </c>
      <c r="H55" s="2">
        <v>0</v>
      </c>
      <c r="I55" s="2">
        <v>0</v>
      </c>
      <c r="J55" s="5">
        <v>0</v>
      </c>
      <c r="K55" s="6">
        <f t="shared" si="3"/>
        <v>0</v>
      </c>
      <c r="L55" s="2">
        <v>0</v>
      </c>
      <c r="M55" s="3"/>
      <c r="N55" s="4" t="str">
        <f t="shared" si="4"/>
        <v/>
      </c>
      <c r="O55" s="3"/>
      <c r="P55" s="4" t="str">
        <f t="shared" si="5"/>
        <v/>
      </c>
    </row>
    <row r="56" spans="1:16">
      <c r="A56" s="2" t="s">
        <v>99</v>
      </c>
      <c r="B56" s="2" t="s">
        <v>100</v>
      </c>
      <c r="C56" s="2">
        <v>24</v>
      </c>
      <c r="D56" s="2">
        <v>18</v>
      </c>
      <c r="E56" s="5">
        <v>5.0000000000000001E-4</v>
      </c>
      <c r="F56" s="2">
        <v>386</v>
      </c>
      <c r="G56" s="2">
        <v>22</v>
      </c>
      <c r="H56" s="2">
        <v>0</v>
      </c>
      <c r="I56" s="2">
        <v>0</v>
      </c>
      <c r="J56" s="5">
        <v>0</v>
      </c>
      <c r="K56" s="6">
        <f t="shared" si="3"/>
        <v>0</v>
      </c>
      <c r="L56" s="2">
        <v>0</v>
      </c>
      <c r="M56" s="3">
        <v>1980</v>
      </c>
      <c r="N56" s="4">
        <f t="shared" si="4"/>
        <v>0</v>
      </c>
      <c r="O56" s="3">
        <v>1247</v>
      </c>
      <c r="P56" s="4">
        <f t="shared" si="5"/>
        <v>0.30954290296712111</v>
      </c>
    </row>
    <row r="57" spans="1:16">
      <c r="A57" s="2" t="s">
        <v>101</v>
      </c>
      <c r="B57" s="2"/>
      <c r="C57" s="2">
        <v>20</v>
      </c>
      <c r="D57" s="2">
        <v>22</v>
      </c>
      <c r="E57" s="5">
        <v>2.0000000000000001E-4</v>
      </c>
      <c r="F57" s="2">
        <v>383</v>
      </c>
      <c r="G57" s="2">
        <v>18</v>
      </c>
      <c r="H57" s="2">
        <v>0</v>
      </c>
      <c r="I57" s="2">
        <v>0</v>
      </c>
      <c r="J57" s="5">
        <v>0</v>
      </c>
      <c r="K57" s="6">
        <f t="shared" si="3"/>
        <v>0</v>
      </c>
      <c r="L57" s="2">
        <v>0</v>
      </c>
      <c r="M57" s="3"/>
      <c r="N57" s="4" t="str">
        <f t="shared" si="4"/>
        <v/>
      </c>
      <c r="O57" s="3"/>
      <c r="P57" s="4" t="str">
        <f t="shared" si="5"/>
        <v/>
      </c>
    </row>
    <row r="58" spans="1:16">
      <c r="A58" s="2" t="s">
        <v>102</v>
      </c>
      <c r="B58" s="2" t="s">
        <v>103</v>
      </c>
      <c r="C58" s="2">
        <v>20</v>
      </c>
      <c r="D58" s="2">
        <v>20</v>
      </c>
      <c r="E58" s="5">
        <v>1.6000000000000001E-3</v>
      </c>
      <c r="F58" s="2">
        <v>382</v>
      </c>
      <c r="G58" s="2">
        <v>20</v>
      </c>
      <c r="H58" s="2">
        <v>6380</v>
      </c>
      <c r="I58" s="2">
        <v>1</v>
      </c>
      <c r="J58" s="5">
        <v>0.05</v>
      </c>
      <c r="K58" s="6">
        <f t="shared" si="3"/>
        <v>16.701570680628272</v>
      </c>
      <c r="L58" s="2">
        <v>6380</v>
      </c>
      <c r="M58" s="3">
        <v>82140</v>
      </c>
      <c r="N58" s="4">
        <f t="shared" si="4"/>
        <v>7.7672266861456049E-2</v>
      </c>
      <c r="O58" s="3">
        <v>9031</v>
      </c>
      <c r="P58" s="4">
        <f t="shared" si="5"/>
        <v>4.2298748754290773E-2</v>
      </c>
    </row>
    <row r="59" spans="1:16">
      <c r="A59" s="2" t="s">
        <v>104</v>
      </c>
      <c r="B59" s="2"/>
      <c r="C59" s="2">
        <v>20</v>
      </c>
      <c r="D59" s="2">
        <v>19</v>
      </c>
      <c r="E59" s="5">
        <v>4.0000000000000002E-4</v>
      </c>
      <c r="F59" s="2">
        <v>380</v>
      </c>
      <c r="G59" s="2">
        <v>20</v>
      </c>
      <c r="H59" s="2">
        <v>0</v>
      </c>
      <c r="I59" s="2">
        <v>0</v>
      </c>
      <c r="J59" s="5">
        <v>0</v>
      </c>
      <c r="K59" s="6">
        <f t="shared" si="3"/>
        <v>0</v>
      </c>
      <c r="L59" s="2">
        <v>0</v>
      </c>
      <c r="M59" s="3"/>
      <c r="N59" s="4" t="str">
        <f t="shared" si="4"/>
        <v/>
      </c>
      <c r="O59" s="3"/>
      <c r="P59" s="4" t="str">
        <f t="shared" si="5"/>
        <v/>
      </c>
    </row>
    <row r="60" spans="1:16">
      <c r="A60" s="2" t="s">
        <v>105</v>
      </c>
      <c r="B60" s="2" t="s">
        <v>106</v>
      </c>
      <c r="C60" s="2">
        <v>20</v>
      </c>
      <c r="D60" s="2">
        <v>20</v>
      </c>
      <c r="E60" s="5">
        <v>4.0000000000000002E-4</v>
      </c>
      <c r="F60" s="2">
        <v>380</v>
      </c>
      <c r="G60" s="2">
        <v>19</v>
      </c>
      <c r="H60" s="2">
        <v>3960</v>
      </c>
      <c r="I60" s="2">
        <v>2</v>
      </c>
      <c r="J60" s="5">
        <v>0.1</v>
      </c>
      <c r="K60" s="6">
        <f t="shared" si="3"/>
        <v>10.421052631578947</v>
      </c>
      <c r="L60" s="2">
        <v>3960</v>
      </c>
      <c r="M60" s="3">
        <v>3960</v>
      </c>
      <c r="N60" s="4">
        <f t="shared" si="4"/>
        <v>1</v>
      </c>
      <c r="O60" s="3">
        <v>1678</v>
      </c>
      <c r="P60" s="4">
        <f t="shared" si="5"/>
        <v>0.22646007151370678</v>
      </c>
    </row>
    <row r="61" spans="1:16">
      <c r="A61" s="2" t="s">
        <v>107</v>
      </c>
      <c r="B61" s="2" t="s">
        <v>108</v>
      </c>
      <c r="C61" s="2">
        <v>20</v>
      </c>
      <c r="D61" s="2">
        <v>21</v>
      </c>
      <c r="E61" s="5">
        <v>2.0000000000000001E-4</v>
      </c>
      <c r="F61" s="2">
        <v>370</v>
      </c>
      <c r="G61" s="2">
        <v>18</v>
      </c>
      <c r="H61" s="2">
        <v>4218</v>
      </c>
      <c r="I61" s="2">
        <v>1</v>
      </c>
      <c r="J61" s="5">
        <v>4.7600000000000003E-2</v>
      </c>
      <c r="K61" s="6">
        <f t="shared" si="3"/>
        <v>11.4</v>
      </c>
      <c r="L61" s="2">
        <v>4218</v>
      </c>
      <c r="M61" s="3">
        <v>4218</v>
      </c>
      <c r="N61" s="4">
        <f t="shared" si="4"/>
        <v>1</v>
      </c>
      <c r="O61" s="3">
        <v>125</v>
      </c>
      <c r="P61" s="4">
        <f t="shared" si="5"/>
        <v>2.96</v>
      </c>
    </row>
    <row r="62" spans="1:16">
      <c r="A62" s="2" t="s">
        <v>109</v>
      </c>
      <c r="B62" s="2" t="s">
        <v>110</v>
      </c>
      <c r="C62" s="2">
        <v>20</v>
      </c>
      <c r="D62" s="2">
        <v>20</v>
      </c>
      <c r="E62" s="5">
        <v>8.0000000000000004E-4</v>
      </c>
      <c r="F62" s="2">
        <v>367</v>
      </c>
      <c r="G62" s="2">
        <v>19</v>
      </c>
      <c r="H62" s="2">
        <v>2080</v>
      </c>
      <c r="I62" s="2">
        <v>1</v>
      </c>
      <c r="J62" s="5">
        <v>0.05</v>
      </c>
      <c r="K62" s="6">
        <f t="shared" si="3"/>
        <v>5.6675749318801092</v>
      </c>
      <c r="L62" s="2">
        <v>0</v>
      </c>
      <c r="M62" s="3">
        <v>2080</v>
      </c>
      <c r="N62" s="4">
        <f t="shared" si="4"/>
        <v>1</v>
      </c>
      <c r="O62" s="3">
        <v>449</v>
      </c>
      <c r="P62" s="4">
        <f t="shared" si="5"/>
        <v>0.81737193763919824</v>
      </c>
    </row>
    <row r="63" spans="1:16">
      <c r="A63" s="2" t="s">
        <v>111</v>
      </c>
      <c r="B63" s="2" t="s">
        <v>112</v>
      </c>
      <c r="C63" s="2">
        <v>20</v>
      </c>
      <c r="D63" s="2">
        <v>19</v>
      </c>
      <c r="E63" s="5">
        <v>4.3400000000000001E-2</v>
      </c>
      <c r="F63" s="2">
        <v>360</v>
      </c>
      <c r="G63" s="2">
        <v>19</v>
      </c>
      <c r="H63" s="2">
        <v>0</v>
      </c>
      <c r="I63" s="2">
        <v>0</v>
      </c>
      <c r="J63" s="5">
        <v>0</v>
      </c>
      <c r="K63" s="6">
        <f t="shared" si="3"/>
        <v>0</v>
      </c>
      <c r="L63" s="2">
        <v>0</v>
      </c>
      <c r="M63" s="3">
        <v>2180</v>
      </c>
      <c r="N63" s="4">
        <f t="shared" si="4"/>
        <v>0</v>
      </c>
      <c r="O63" s="3">
        <v>907</v>
      </c>
      <c r="P63" s="4">
        <f t="shared" si="5"/>
        <v>0.39691289966923926</v>
      </c>
    </row>
    <row r="64" spans="1:16">
      <c r="A64" s="2" t="s">
        <v>113</v>
      </c>
      <c r="B64" s="2"/>
      <c r="C64" s="2">
        <v>20</v>
      </c>
      <c r="D64" s="2">
        <v>19</v>
      </c>
      <c r="E64" s="5">
        <v>2.0000000000000001E-4</v>
      </c>
      <c r="F64" s="2">
        <v>360</v>
      </c>
      <c r="G64" s="2">
        <v>19</v>
      </c>
      <c r="H64" s="2">
        <v>0</v>
      </c>
      <c r="I64" s="2">
        <v>0</v>
      </c>
      <c r="J64" s="5">
        <v>0</v>
      </c>
      <c r="K64" s="6">
        <f t="shared" si="3"/>
        <v>0</v>
      </c>
      <c r="L64" s="2">
        <v>0</v>
      </c>
      <c r="M64" s="3"/>
      <c r="N64" s="4" t="str">
        <f t="shared" si="4"/>
        <v/>
      </c>
      <c r="O64" s="3"/>
      <c r="P64" s="4" t="str">
        <f t="shared" si="5"/>
        <v/>
      </c>
    </row>
    <row r="65" spans="1:16">
      <c r="A65" s="2" t="s">
        <v>114</v>
      </c>
      <c r="B65" s="2"/>
      <c r="C65" s="2">
        <v>20</v>
      </c>
      <c r="D65" s="2">
        <v>19</v>
      </c>
      <c r="E65" s="5">
        <v>1E-4</v>
      </c>
      <c r="F65" s="2">
        <v>358</v>
      </c>
      <c r="G65" s="2">
        <v>19</v>
      </c>
      <c r="H65" s="2">
        <v>0</v>
      </c>
      <c r="I65" s="2">
        <v>0</v>
      </c>
      <c r="J65" s="5">
        <v>0</v>
      </c>
      <c r="K65" s="6">
        <f t="shared" si="3"/>
        <v>0</v>
      </c>
      <c r="L65" s="2">
        <v>0</v>
      </c>
      <c r="M65" s="3"/>
      <c r="N65" s="4" t="str">
        <f t="shared" si="4"/>
        <v/>
      </c>
      <c r="O65" s="3"/>
      <c r="P65" s="4" t="str">
        <f t="shared" si="5"/>
        <v/>
      </c>
    </row>
    <row r="66" spans="1:16">
      <c r="A66" s="2" t="s">
        <v>115</v>
      </c>
      <c r="B66" s="2" t="s">
        <v>116</v>
      </c>
      <c r="C66" s="2">
        <v>20</v>
      </c>
      <c r="D66" s="2">
        <v>22</v>
      </c>
      <c r="E66" s="5">
        <v>2.9999999999999997E-4</v>
      </c>
      <c r="F66" s="2">
        <v>350</v>
      </c>
      <c r="G66" s="2">
        <v>16</v>
      </c>
      <c r="H66" s="2">
        <v>2520</v>
      </c>
      <c r="I66" s="2">
        <v>1</v>
      </c>
      <c r="J66" s="5">
        <v>4.5400000000000003E-2</v>
      </c>
      <c r="K66" s="6">
        <f t="shared" si="3"/>
        <v>7.2</v>
      </c>
      <c r="L66" s="2">
        <v>2520</v>
      </c>
      <c r="M66" s="3">
        <v>2520</v>
      </c>
      <c r="N66" s="4">
        <f t="shared" si="4"/>
        <v>1</v>
      </c>
      <c r="O66" s="3">
        <v>1042</v>
      </c>
      <c r="P66" s="4">
        <f t="shared" si="5"/>
        <v>0.33589251439539347</v>
      </c>
    </row>
    <row r="67" spans="1:16">
      <c r="A67" s="2" t="s">
        <v>117</v>
      </c>
      <c r="B67" s="2" t="s">
        <v>118</v>
      </c>
      <c r="C67" s="2">
        <v>20</v>
      </c>
      <c r="D67" s="2">
        <v>18</v>
      </c>
      <c r="E67" s="5">
        <v>2.0000000000000001E-4</v>
      </c>
      <c r="F67" s="2">
        <v>333</v>
      </c>
      <c r="G67" s="2">
        <v>19</v>
      </c>
      <c r="H67" s="2">
        <v>0</v>
      </c>
      <c r="I67" s="2">
        <v>0</v>
      </c>
      <c r="J67" s="5">
        <v>0</v>
      </c>
      <c r="K67" s="6">
        <f t="shared" si="3"/>
        <v>0</v>
      </c>
      <c r="L67" s="2">
        <v>0</v>
      </c>
      <c r="M67" s="3">
        <v>9980</v>
      </c>
      <c r="N67" s="4">
        <f t="shared" si="4"/>
        <v>0</v>
      </c>
      <c r="O67" s="3">
        <v>1993</v>
      </c>
      <c r="P67" s="4">
        <f t="shared" si="5"/>
        <v>0.16708479678876068</v>
      </c>
    </row>
    <row r="68" spans="1:16">
      <c r="A68" s="2" t="s">
        <v>119</v>
      </c>
      <c r="B68" s="2" t="s">
        <v>120</v>
      </c>
      <c r="C68" s="2">
        <v>20</v>
      </c>
      <c r="D68" s="2">
        <v>19</v>
      </c>
      <c r="E68" s="5">
        <v>8.9999999999999998E-4</v>
      </c>
      <c r="F68" s="2">
        <v>312</v>
      </c>
      <c r="G68" s="2">
        <v>17</v>
      </c>
      <c r="H68" s="2">
        <v>11920</v>
      </c>
      <c r="I68" s="2">
        <v>4</v>
      </c>
      <c r="J68" s="5">
        <v>0.21049999999999999</v>
      </c>
      <c r="K68" s="6">
        <f t="shared" si="3"/>
        <v>38.205128205128204</v>
      </c>
      <c r="L68" s="2">
        <v>8940</v>
      </c>
      <c r="M68" s="3">
        <v>11920</v>
      </c>
      <c r="N68" s="4">
        <f t="shared" si="4"/>
        <v>1</v>
      </c>
      <c r="O68" s="3">
        <v>3180</v>
      </c>
      <c r="P68" s="4">
        <f t="shared" si="5"/>
        <v>9.8113207547169817E-2</v>
      </c>
    </row>
    <row r="69" spans="1:16">
      <c r="A69" s="2" t="s">
        <v>121</v>
      </c>
      <c r="B69" s="2" t="s">
        <v>122</v>
      </c>
      <c r="C69" s="2">
        <v>20</v>
      </c>
      <c r="D69" s="2">
        <v>16</v>
      </c>
      <c r="E69" s="5">
        <v>5.0000000000000001E-4</v>
      </c>
      <c r="F69" s="2">
        <v>304</v>
      </c>
      <c r="G69" s="2">
        <v>19</v>
      </c>
      <c r="H69" s="2">
        <v>2580</v>
      </c>
      <c r="I69" s="2">
        <v>1</v>
      </c>
      <c r="J69" s="5">
        <v>6.25E-2</v>
      </c>
      <c r="K69" s="6">
        <f t="shared" si="3"/>
        <v>8.4868421052631575</v>
      </c>
      <c r="L69" s="2">
        <v>2580</v>
      </c>
      <c r="M69" s="3">
        <v>7740</v>
      </c>
      <c r="N69" s="4">
        <f t="shared" si="4"/>
        <v>0.33333333333333331</v>
      </c>
      <c r="O69" s="3">
        <v>2763</v>
      </c>
      <c r="P69" s="4">
        <f t="shared" si="5"/>
        <v>0.1100253347810351</v>
      </c>
    </row>
    <row r="70" spans="1:16">
      <c r="A70" s="2" t="s">
        <v>123</v>
      </c>
      <c r="B70" s="2"/>
      <c r="C70" s="2">
        <v>20</v>
      </c>
      <c r="D70" s="2">
        <v>17</v>
      </c>
      <c r="E70" s="5">
        <v>1E-4</v>
      </c>
      <c r="F70" s="2">
        <v>294</v>
      </c>
      <c r="G70" s="2">
        <v>18</v>
      </c>
      <c r="H70" s="2">
        <v>0</v>
      </c>
      <c r="I70" s="2">
        <v>0</v>
      </c>
      <c r="J70" s="5">
        <v>0</v>
      </c>
      <c r="K70" s="6">
        <f t="shared" si="3"/>
        <v>0</v>
      </c>
      <c r="L70" s="2">
        <v>0</v>
      </c>
      <c r="M70" s="3"/>
      <c r="N70" s="4" t="str">
        <f t="shared" si="4"/>
        <v/>
      </c>
      <c r="O70" s="3"/>
      <c r="P70" s="4" t="str">
        <f t="shared" si="5"/>
        <v/>
      </c>
    </row>
    <row r="71" spans="1:16">
      <c r="A71" s="2" t="s">
        <v>124</v>
      </c>
      <c r="B71" s="2"/>
      <c r="C71" s="2">
        <v>20</v>
      </c>
      <c r="D71" s="2">
        <v>16</v>
      </c>
      <c r="E71" s="5">
        <v>2.9999999999999997E-4</v>
      </c>
      <c r="F71" s="2">
        <v>281</v>
      </c>
      <c r="G71" s="2">
        <v>18</v>
      </c>
      <c r="H71" s="2">
        <v>0</v>
      </c>
      <c r="I71" s="2">
        <v>0</v>
      </c>
      <c r="J71" s="5">
        <v>0</v>
      </c>
      <c r="K71" s="6">
        <f t="shared" si="3"/>
        <v>0</v>
      </c>
      <c r="L71" s="2">
        <v>0</v>
      </c>
      <c r="M71" s="3"/>
      <c r="N71" s="4" t="str">
        <f t="shared" si="4"/>
        <v/>
      </c>
      <c r="O71" s="3"/>
      <c r="P71" s="4" t="str">
        <f t="shared" si="5"/>
        <v/>
      </c>
    </row>
    <row r="72" spans="1:16">
      <c r="A72" s="2" t="s">
        <v>125</v>
      </c>
      <c r="B72" s="2" t="s">
        <v>126</v>
      </c>
      <c r="C72" s="2">
        <v>20</v>
      </c>
      <c r="D72" s="2">
        <v>26</v>
      </c>
      <c r="E72" s="5">
        <v>2.5000000000000001E-3</v>
      </c>
      <c r="F72" s="2">
        <v>280</v>
      </c>
      <c r="G72" s="2">
        <v>11</v>
      </c>
      <c r="H72" s="2">
        <v>0</v>
      </c>
      <c r="I72" s="2">
        <v>0</v>
      </c>
      <c r="J72" s="5">
        <v>0</v>
      </c>
      <c r="K72" s="6">
        <f t="shared" si="3"/>
        <v>0</v>
      </c>
      <c r="L72" s="2">
        <v>0</v>
      </c>
      <c r="M72" s="3">
        <v>5960</v>
      </c>
      <c r="N72" s="4">
        <f t="shared" si="4"/>
        <v>0</v>
      </c>
      <c r="O72" s="3">
        <v>2354</v>
      </c>
      <c r="P72" s="4">
        <f t="shared" si="5"/>
        <v>0.11894647408666101</v>
      </c>
    </row>
    <row r="73" spans="1:16">
      <c r="A73" s="2" t="s">
        <v>127</v>
      </c>
      <c r="B73" s="2"/>
      <c r="C73" s="2">
        <v>20</v>
      </c>
      <c r="D73" s="2">
        <v>15</v>
      </c>
      <c r="E73" s="5">
        <v>3.1E-2</v>
      </c>
      <c r="F73" s="2">
        <v>280</v>
      </c>
      <c r="G73" s="2">
        <v>19</v>
      </c>
      <c r="H73" s="2">
        <v>0</v>
      </c>
      <c r="I73" s="2">
        <v>0</v>
      </c>
      <c r="J73" s="5">
        <v>0</v>
      </c>
      <c r="K73" s="6">
        <f t="shared" si="3"/>
        <v>0</v>
      </c>
      <c r="L73" s="2">
        <v>0</v>
      </c>
      <c r="M73" s="3"/>
      <c r="N73" s="4" t="str">
        <f t="shared" si="4"/>
        <v/>
      </c>
      <c r="O73" s="3"/>
      <c r="P73" s="4" t="str">
        <f t="shared" si="5"/>
        <v/>
      </c>
    </row>
    <row r="74" spans="1:16">
      <c r="A74" s="2" t="s">
        <v>128</v>
      </c>
      <c r="B74" s="2"/>
      <c r="C74" s="2">
        <v>20</v>
      </c>
      <c r="D74" s="2">
        <v>14</v>
      </c>
      <c r="E74" s="5">
        <v>5.0000000000000001E-4</v>
      </c>
      <c r="F74" s="2">
        <v>280</v>
      </c>
      <c r="G74" s="2">
        <v>20</v>
      </c>
      <c r="H74" s="2">
        <v>0</v>
      </c>
      <c r="I74" s="2">
        <v>0</v>
      </c>
      <c r="J74" s="5">
        <v>0</v>
      </c>
      <c r="K74" s="6">
        <f t="shared" si="3"/>
        <v>0</v>
      </c>
      <c r="L74" s="2">
        <v>0</v>
      </c>
      <c r="M74" s="3"/>
      <c r="N74" s="4" t="str">
        <f t="shared" si="4"/>
        <v/>
      </c>
      <c r="O74" s="3"/>
      <c r="P74" s="4" t="str">
        <f t="shared" si="5"/>
        <v/>
      </c>
    </row>
    <row r="75" spans="1:16">
      <c r="A75" s="2" t="s">
        <v>129</v>
      </c>
      <c r="B75" s="2"/>
      <c r="C75" s="2">
        <v>20</v>
      </c>
      <c r="D75" s="2">
        <v>16</v>
      </c>
      <c r="E75" s="5">
        <v>1E-4</v>
      </c>
      <c r="F75" s="2">
        <v>278</v>
      </c>
      <c r="G75" s="2">
        <v>18</v>
      </c>
      <c r="H75" s="2">
        <v>0</v>
      </c>
      <c r="I75" s="2">
        <v>0</v>
      </c>
      <c r="J75" s="5">
        <v>0</v>
      </c>
      <c r="K75" s="6">
        <f t="shared" si="3"/>
        <v>0</v>
      </c>
      <c r="L75" s="2">
        <v>0</v>
      </c>
      <c r="M75" s="3"/>
      <c r="N75" s="4" t="str">
        <f t="shared" si="4"/>
        <v/>
      </c>
      <c r="O75" s="3"/>
      <c r="P75" s="4" t="str">
        <f t="shared" si="5"/>
        <v/>
      </c>
    </row>
    <row r="76" spans="1:16">
      <c r="A76" s="2" t="s">
        <v>130</v>
      </c>
      <c r="B76" s="2" t="s">
        <v>131</v>
      </c>
      <c r="C76" s="2">
        <v>20</v>
      </c>
      <c r="D76" s="2">
        <v>25</v>
      </c>
      <c r="E76" s="5">
        <v>1.1000000000000001E-3</v>
      </c>
      <c r="F76" s="2">
        <v>273</v>
      </c>
      <c r="G76" s="2">
        <v>11</v>
      </c>
      <c r="H76" s="2">
        <v>0</v>
      </c>
      <c r="I76" s="2">
        <v>0</v>
      </c>
      <c r="J76" s="5">
        <v>0</v>
      </c>
      <c r="K76" s="6">
        <f t="shared" si="3"/>
        <v>0</v>
      </c>
      <c r="L76" s="2">
        <v>0</v>
      </c>
      <c r="M76" s="3">
        <v>2980</v>
      </c>
      <c r="N76" s="4">
        <f t="shared" si="4"/>
        <v>0</v>
      </c>
      <c r="O76" s="3">
        <v>1630</v>
      </c>
      <c r="P76" s="4">
        <f t="shared" si="5"/>
        <v>0.16748466257668712</v>
      </c>
    </row>
    <row r="77" spans="1:16">
      <c r="A77" s="2" t="s">
        <v>132</v>
      </c>
      <c r="B77" s="2"/>
      <c r="C77" s="2">
        <v>20</v>
      </c>
      <c r="D77" s="2">
        <v>15</v>
      </c>
      <c r="E77" s="5">
        <v>2.0000000000000001E-4</v>
      </c>
      <c r="F77" s="2">
        <v>267</v>
      </c>
      <c r="G77" s="2">
        <v>18</v>
      </c>
      <c r="H77" s="2">
        <v>0</v>
      </c>
      <c r="I77" s="2">
        <v>0</v>
      </c>
      <c r="J77" s="5">
        <v>0</v>
      </c>
      <c r="K77" s="6">
        <f t="shared" ref="K77:K108" si="6">IF(F77=0,"",H77/F77)</f>
        <v>0</v>
      </c>
      <c r="L77" s="2">
        <v>0</v>
      </c>
      <c r="M77" s="3"/>
      <c r="N77" s="4" t="str">
        <f t="shared" ref="N77:N108" si="7">IF(OR(M77="",M77=0),"",H77/M77)</f>
        <v/>
      </c>
      <c r="O77" s="3"/>
      <c r="P77" s="4" t="str">
        <f t="shared" ref="P77:P108" si="8">IF(OR(O77="",O77=0),"",F77/O77)</f>
        <v/>
      </c>
    </row>
    <row r="78" spans="1:16">
      <c r="A78" s="2" t="s">
        <v>133</v>
      </c>
      <c r="B78" s="2" t="s">
        <v>134</v>
      </c>
      <c r="C78" s="2">
        <v>20</v>
      </c>
      <c r="D78" s="2">
        <v>13</v>
      </c>
      <c r="E78" s="5">
        <v>2.9999999999999997E-4</v>
      </c>
      <c r="F78" s="2">
        <v>260</v>
      </c>
      <c r="G78" s="2">
        <v>20</v>
      </c>
      <c r="H78" s="2">
        <v>2980</v>
      </c>
      <c r="I78" s="2">
        <v>1</v>
      </c>
      <c r="J78" s="5">
        <v>7.690000000000001E-2</v>
      </c>
      <c r="K78" s="6">
        <f t="shared" si="6"/>
        <v>11.461538461538462</v>
      </c>
      <c r="L78" s="2">
        <v>2980</v>
      </c>
      <c r="M78" s="3">
        <v>2980</v>
      </c>
      <c r="N78" s="4">
        <f t="shared" si="7"/>
        <v>1</v>
      </c>
      <c r="O78" s="3">
        <v>797</v>
      </c>
      <c r="P78" s="4">
        <f t="shared" si="8"/>
        <v>0.32622333751568383</v>
      </c>
    </row>
    <row r="79" spans="1:16">
      <c r="A79" s="2" t="s">
        <v>135</v>
      </c>
      <c r="B79" s="2" t="s">
        <v>136</v>
      </c>
      <c r="C79" s="2">
        <v>20</v>
      </c>
      <c r="D79" s="2">
        <v>24</v>
      </c>
      <c r="E79" s="5">
        <v>2.9999999999999997E-4</v>
      </c>
      <c r="F79" s="2">
        <v>260</v>
      </c>
      <c r="G79" s="2">
        <v>11</v>
      </c>
      <c r="H79" s="2">
        <v>0</v>
      </c>
      <c r="I79" s="2">
        <v>0</v>
      </c>
      <c r="J79" s="5">
        <v>0</v>
      </c>
      <c r="K79" s="6">
        <f t="shared" si="6"/>
        <v>0</v>
      </c>
      <c r="L79" s="2">
        <v>0</v>
      </c>
      <c r="M79" s="3">
        <v>2580</v>
      </c>
      <c r="N79" s="4">
        <f t="shared" si="7"/>
        <v>0</v>
      </c>
      <c r="O79" s="3">
        <v>906</v>
      </c>
      <c r="P79" s="4">
        <f t="shared" si="8"/>
        <v>0.28697571743929362</v>
      </c>
    </row>
    <row r="80" spans="1:16">
      <c r="A80" s="2" t="s">
        <v>137</v>
      </c>
      <c r="B80" s="2"/>
      <c r="C80" s="2">
        <v>20</v>
      </c>
      <c r="D80" s="2">
        <v>14</v>
      </c>
      <c r="E80" s="5">
        <v>2.9999999999999997E-4</v>
      </c>
      <c r="F80" s="2">
        <v>260</v>
      </c>
      <c r="G80" s="2">
        <v>19</v>
      </c>
      <c r="H80" s="2">
        <v>0</v>
      </c>
      <c r="I80" s="2">
        <v>0</v>
      </c>
      <c r="J80" s="5">
        <v>0</v>
      </c>
      <c r="K80" s="6">
        <f t="shared" si="6"/>
        <v>0</v>
      </c>
      <c r="L80" s="2">
        <v>0</v>
      </c>
      <c r="M80" s="3"/>
      <c r="N80" s="4" t="str">
        <f t="shared" si="7"/>
        <v/>
      </c>
      <c r="O80" s="3"/>
      <c r="P80" s="4" t="str">
        <f t="shared" si="8"/>
        <v/>
      </c>
    </row>
    <row r="81" spans="1:16">
      <c r="A81" s="2" t="s">
        <v>138</v>
      </c>
      <c r="B81" s="2" t="s">
        <v>139</v>
      </c>
      <c r="C81" s="2">
        <v>20</v>
      </c>
      <c r="D81" s="2">
        <v>13</v>
      </c>
      <c r="E81" s="5">
        <v>2.0000000000000001E-4</v>
      </c>
      <c r="F81" s="2">
        <v>258</v>
      </c>
      <c r="G81" s="2">
        <v>20</v>
      </c>
      <c r="H81" s="2">
        <v>1580</v>
      </c>
      <c r="I81" s="2">
        <v>1</v>
      </c>
      <c r="J81" s="5">
        <v>7.690000000000001E-2</v>
      </c>
      <c r="K81" s="6">
        <f t="shared" si="6"/>
        <v>6.1240310077519382</v>
      </c>
      <c r="L81" s="2">
        <v>1580</v>
      </c>
      <c r="M81" s="3">
        <v>4740</v>
      </c>
      <c r="N81" s="4">
        <f t="shared" si="7"/>
        <v>0.33333333333333331</v>
      </c>
      <c r="O81" s="3">
        <v>996</v>
      </c>
      <c r="P81" s="4">
        <f t="shared" si="8"/>
        <v>0.25903614457831325</v>
      </c>
    </row>
    <row r="82" spans="1:16">
      <c r="A82" s="2" t="s">
        <v>140</v>
      </c>
      <c r="B82" s="2"/>
      <c r="C82" s="2">
        <v>20</v>
      </c>
      <c r="D82" s="2">
        <v>25</v>
      </c>
      <c r="E82" s="5">
        <v>6.0000000000000001E-3</v>
      </c>
      <c r="F82" s="2">
        <v>250</v>
      </c>
      <c r="G82" s="2">
        <v>10</v>
      </c>
      <c r="H82" s="2">
        <v>0</v>
      </c>
      <c r="I82" s="2">
        <v>0</v>
      </c>
      <c r="J82" s="5">
        <v>0</v>
      </c>
      <c r="K82" s="6">
        <f t="shared" si="6"/>
        <v>0</v>
      </c>
      <c r="L82" s="2">
        <v>0</v>
      </c>
      <c r="M82" s="3"/>
      <c r="N82" s="4" t="str">
        <f t="shared" si="7"/>
        <v/>
      </c>
      <c r="O82" s="3"/>
      <c r="P82" s="4" t="str">
        <f t="shared" si="8"/>
        <v/>
      </c>
    </row>
    <row r="83" spans="1:16">
      <c r="A83" s="2" t="s">
        <v>141</v>
      </c>
      <c r="B83" s="2"/>
      <c r="C83" s="2">
        <v>20</v>
      </c>
      <c r="D83" s="2">
        <v>12</v>
      </c>
      <c r="E83" s="5">
        <v>8.0000000000000004E-4</v>
      </c>
      <c r="F83" s="2">
        <v>240</v>
      </c>
      <c r="G83" s="2">
        <v>20</v>
      </c>
      <c r="H83" s="2">
        <v>0</v>
      </c>
      <c r="I83" s="2">
        <v>0</v>
      </c>
      <c r="J83" s="5">
        <v>0</v>
      </c>
      <c r="K83" s="6">
        <f t="shared" si="6"/>
        <v>0</v>
      </c>
      <c r="L83" s="2">
        <v>0</v>
      </c>
      <c r="M83" s="3"/>
      <c r="N83" s="4" t="str">
        <f t="shared" si="7"/>
        <v/>
      </c>
      <c r="O83" s="3"/>
      <c r="P83" s="4" t="str">
        <f t="shared" si="8"/>
        <v/>
      </c>
    </row>
    <row r="84" spans="1:16">
      <c r="A84" s="2" t="s">
        <v>142</v>
      </c>
      <c r="B84" s="2"/>
      <c r="C84" s="2">
        <v>20</v>
      </c>
      <c r="D84" s="2">
        <v>13</v>
      </c>
      <c r="E84" s="5">
        <v>1E-4</v>
      </c>
      <c r="F84" s="2">
        <v>239</v>
      </c>
      <c r="G84" s="2">
        <v>19</v>
      </c>
      <c r="H84" s="2">
        <v>0</v>
      </c>
      <c r="I84" s="2">
        <v>0</v>
      </c>
      <c r="J84" s="5">
        <v>0</v>
      </c>
      <c r="K84" s="6">
        <f t="shared" si="6"/>
        <v>0</v>
      </c>
      <c r="L84" s="2">
        <v>0</v>
      </c>
      <c r="M84" s="3"/>
      <c r="N84" s="4" t="str">
        <f t="shared" si="7"/>
        <v/>
      </c>
      <c r="O84" s="3"/>
      <c r="P84" s="4" t="str">
        <f t="shared" si="8"/>
        <v/>
      </c>
    </row>
    <row r="85" spans="1:16">
      <c r="A85" s="2" t="s">
        <v>143</v>
      </c>
      <c r="B85" s="2" t="s">
        <v>144</v>
      </c>
      <c r="C85" s="2">
        <v>24</v>
      </c>
      <c r="D85" s="2">
        <v>10</v>
      </c>
      <c r="E85" s="5">
        <v>2.9999999999999997E-4</v>
      </c>
      <c r="F85" s="2">
        <v>236</v>
      </c>
      <c r="G85" s="2">
        <v>24</v>
      </c>
      <c r="H85" s="2">
        <v>4396</v>
      </c>
      <c r="I85" s="2">
        <v>2</v>
      </c>
      <c r="J85" s="5">
        <v>0.2</v>
      </c>
      <c r="K85" s="6">
        <f t="shared" si="6"/>
        <v>18.627118644067796</v>
      </c>
      <c r="L85" s="2">
        <v>4396</v>
      </c>
      <c r="M85" s="3">
        <v>4396</v>
      </c>
      <c r="N85" s="4">
        <f t="shared" si="7"/>
        <v>1</v>
      </c>
      <c r="O85" s="3">
        <v>1181</v>
      </c>
      <c r="P85" s="4">
        <f t="shared" si="8"/>
        <v>0.19983065198983913</v>
      </c>
    </row>
    <row r="86" spans="1:16">
      <c r="A86" s="2" t="s">
        <v>145</v>
      </c>
      <c r="B86" s="2"/>
      <c r="C86" s="2">
        <v>20</v>
      </c>
      <c r="D86" s="2">
        <v>23</v>
      </c>
      <c r="E86" s="5">
        <v>0</v>
      </c>
      <c r="F86" s="2">
        <v>230</v>
      </c>
      <c r="G86" s="2">
        <v>10</v>
      </c>
      <c r="H86" s="2">
        <v>0</v>
      </c>
      <c r="I86" s="2">
        <v>0</v>
      </c>
      <c r="J86" s="5">
        <v>0</v>
      </c>
      <c r="K86" s="6">
        <f t="shared" si="6"/>
        <v>0</v>
      </c>
      <c r="L86" s="2">
        <v>0</v>
      </c>
      <c r="M86" s="3"/>
      <c r="N86" s="4" t="str">
        <f t="shared" si="7"/>
        <v/>
      </c>
      <c r="O86" s="3"/>
      <c r="P86" s="4" t="str">
        <f t="shared" si="8"/>
        <v/>
      </c>
    </row>
    <row r="87" spans="1:16">
      <c r="A87" s="2" t="s">
        <v>146</v>
      </c>
      <c r="B87" s="2"/>
      <c r="C87" s="2">
        <v>20</v>
      </c>
      <c r="D87" s="2">
        <v>12</v>
      </c>
      <c r="E87" s="5">
        <v>2.9999999999999997E-4</v>
      </c>
      <c r="F87" s="2">
        <v>230</v>
      </c>
      <c r="G87" s="2">
        <v>20</v>
      </c>
      <c r="H87" s="2">
        <v>0</v>
      </c>
      <c r="I87" s="2">
        <v>0</v>
      </c>
      <c r="J87" s="5">
        <v>0</v>
      </c>
      <c r="K87" s="6">
        <f t="shared" si="6"/>
        <v>0</v>
      </c>
      <c r="L87" s="2">
        <v>0</v>
      </c>
      <c r="M87" s="3"/>
      <c r="N87" s="4" t="str">
        <f t="shared" si="7"/>
        <v/>
      </c>
      <c r="O87" s="3"/>
      <c r="P87" s="4" t="str">
        <f t="shared" si="8"/>
        <v/>
      </c>
    </row>
    <row r="88" spans="1:16">
      <c r="A88" s="2" t="s">
        <v>147</v>
      </c>
      <c r="B88" s="2"/>
      <c r="C88" s="2">
        <v>20</v>
      </c>
      <c r="D88" s="2">
        <v>23</v>
      </c>
      <c r="E88" s="5">
        <v>0</v>
      </c>
      <c r="F88" s="2">
        <v>230</v>
      </c>
      <c r="G88" s="2">
        <v>10</v>
      </c>
      <c r="H88" s="2">
        <v>0</v>
      </c>
      <c r="I88" s="2">
        <v>0</v>
      </c>
      <c r="J88" s="5">
        <v>0</v>
      </c>
      <c r="K88" s="6">
        <f t="shared" si="6"/>
        <v>0</v>
      </c>
      <c r="L88" s="2">
        <v>0</v>
      </c>
      <c r="M88" s="3"/>
      <c r="N88" s="4" t="str">
        <f t="shared" si="7"/>
        <v/>
      </c>
      <c r="O88" s="3"/>
      <c r="P88" s="4" t="str">
        <f t="shared" si="8"/>
        <v/>
      </c>
    </row>
    <row r="89" spans="1:16">
      <c r="A89" s="2" t="s">
        <v>148</v>
      </c>
      <c r="B89" s="2"/>
      <c r="C89" s="2">
        <v>20</v>
      </c>
      <c r="D89" s="2">
        <v>12</v>
      </c>
      <c r="E89" s="5">
        <v>1.1999999999999999E-3</v>
      </c>
      <c r="F89" s="2">
        <v>220</v>
      </c>
      <c r="G89" s="2">
        <v>19</v>
      </c>
      <c r="H89" s="2">
        <v>0</v>
      </c>
      <c r="I89" s="2">
        <v>0</v>
      </c>
      <c r="J89" s="5">
        <v>0</v>
      </c>
      <c r="K89" s="6">
        <f t="shared" si="6"/>
        <v>0</v>
      </c>
      <c r="L89" s="2">
        <v>0</v>
      </c>
      <c r="M89" s="3"/>
      <c r="N89" s="4" t="str">
        <f t="shared" si="7"/>
        <v/>
      </c>
      <c r="O89" s="3"/>
      <c r="P89" s="4" t="str">
        <f t="shared" si="8"/>
        <v/>
      </c>
    </row>
    <row r="90" spans="1:16">
      <c r="A90" s="2" t="s">
        <v>149</v>
      </c>
      <c r="B90" s="2" t="s">
        <v>150</v>
      </c>
      <c r="C90" s="2">
        <v>20</v>
      </c>
      <c r="D90" s="2">
        <v>11</v>
      </c>
      <c r="E90" s="5">
        <v>2.0000000000000001E-4</v>
      </c>
      <c r="F90" s="2">
        <v>211</v>
      </c>
      <c r="G90" s="2">
        <v>20</v>
      </c>
      <c r="H90" s="2">
        <v>0</v>
      </c>
      <c r="I90" s="2">
        <v>0</v>
      </c>
      <c r="J90" s="5">
        <v>0</v>
      </c>
      <c r="K90" s="6">
        <f t="shared" si="6"/>
        <v>0</v>
      </c>
      <c r="L90" s="2">
        <v>0</v>
      </c>
      <c r="M90" s="3">
        <v>3960</v>
      </c>
      <c r="N90" s="4">
        <f t="shared" si="7"/>
        <v>0</v>
      </c>
      <c r="O90" s="3">
        <v>2494</v>
      </c>
      <c r="P90" s="4">
        <f t="shared" si="8"/>
        <v>8.4603047313552532E-2</v>
      </c>
    </row>
    <row r="91" spans="1:16">
      <c r="A91" s="2" t="s">
        <v>151</v>
      </c>
      <c r="B91" s="2"/>
      <c r="C91" s="2">
        <v>20</v>
      </c>
      <c r="D91" s="2">
        <v>13</v>
      </c>
      <c r="E91" s="5">
        <v>4.0000000000000002E-4</v>
      </c>
      <c r="F91" s="2">
        <v>210</v>
      </c>
      <c r="G91" s="2">
        <v>17</v>
      </c>
      <c r="H91" s="2">
        <v>1980</v>
      </c>
      <c r="I91" s="2">
        <v>1</v>
      </c>
      <c r="J91" s="5">
        <v>7.690000000000001E-2</v>
      </c>
      <c r="K91" s="6">
        <f t="shared" si="6"/>
        <v>9.4285714285714288</v>
      </c>
      <c r="L91" s="2">
        <v>1980</v>
      </c>
      <c r="M91" s="3"/>
      <c r="N91" s="4" t="str">
        <f t="shared" si="7"/>
        <v/>
      </c>
      <c r="O91" s="3"/>
      <c r="P91" s="4" t="str">
        <f t="shared" si="8"/>
        <v/>
      </c>
    </row>
    <row r="92" spans="1:16">
      <c r="A92" s="2" t="s">
        <v>152</v>
      </c>
      <c r="B92" s="2" t="s">
        <v>153</v>
      </c>
      <c r="C92" s="2">
        <v>20</v>
      </c>
      <c r="D92" s="2">
        <v>11</v>
      </c>
      <c r="E92" s="5">
        <v>1E-4</v>
      </c>
      <c r="F92" s="2">
        <v>210</v>
      </c>
      <c r="G92" s="2">
        <v>20</v>
      </c>
      <c r="H92" s="2">
        <v>4580</v>
      </c>
      <c r="I92" s="2">
        <v>1</v>
      </c>
      <c r="J92" s="5">
        <v>9.0899999999999995E-2</v>
      </c>
      <c r="K92" s="6">
        <f t="shared" si="6"/>
        <v>21.80952380952381</v>
      </c>
      <c r="L92" s="2">
        <v>4580</v>
      </c>
      <c r="M92" s="3">
        <v>13740</v>
      </c>
      <c r="N92" s="4">
        <f t="shared" si="7"/>
        <v>0.33333333333333331</v>
      </c>
      <c r="O92" s="3">
        <v>1551</v>
      </c>
      <c r="P92" s="4">
        <f t="shared" si="8"/>
        <v>0.13539651837524178</v>
      </c>
    </row>
    <row r="93" spans="1:16">
      <c r="A93" s="2" t="s">
        <v>154</v>
      </c>
      <c r="B93" s="2" t="s">
        <v>155</v>
      </c>
      <c r="C93" s="2">
        <v>20</v>
      </c>
      <c r="D93" s="2">
        <v>20</v>
      </c>
      <c r="E93" s="5">
        <v>1.8E-3</v>
      </c>
      <c r="F93" s="2">
        <v>210</v>
      </c>
      <c r="G93" s="2">
        <v>11</v>
      </c>
      <c r="H93" s="2">
        <v>0</v>
      </c>
      <c r="I93" s="2">
        <v>0</v>
      </c>
      <c r="J93" s="5">
        <v>0</v>
      </c>
      <c r="K93" s="6">
        <f t="shared" si="6"/>
        <v>0</v>
      </c>
      <c r="L93" s="2">
        <v>0</v>
      </c>
      <c r="M93" s="3">
        <v>6560</v>
      </c>
      <c r="N93" s="4">
        <f t="shared" si="7"/>
        <v>0</v>
      </c>
      <c r="O93" s="3">
        <v>2560</v>
      </c>
      <c r="P93" s="4">
        <f t="shared" si="8"/>
        <v>8.203125E-2</v>
      </c>
    </row>
    <row r="94" spans="1:16">
      <c r="A94" s="2" t="s">
        <v>156</v>
      </c>
      <c r="B94" s="2"/>
      <c r="C94" s="2">
        <v>20</v>
      </c>
      <c r="D94" s="2">
        <v>10</v>
      </c>
      <c r="E94" s="5">
        <v>2.3999999999999998E-3</v>
      </c>
      <c r="F94" s="2">
        <v>200</v>
      </c>
      <c r="G94" s="2">
        <v>20</v>
      </c>
      <c r="H94" s="2">
        <v>0</v>
      </c>
      <c r="I94" s="2">
        <v>0</v>
      </c>
      <c r="J94" s="5">
        <v>0</v>
      </c>
      <c r="K94" s="6">
        <f t="shared" si="6"/>
        <v>0</v>
      </c>
      <c r="L94" s="2">
        <v>0</v>
      </c>
      <c r="M94" s="3"/>
      <c r="N94" s="4" t="str">
        <f t="shared" si="7"/>
        <v/>
      </c>
      <c r="O94" s="3"/>
      <c r="P94" s="4" t="str">
        <f t="shared" si="8"/>
        <v/>
      </c>
    </row>
    <row r="95" spans="1:16">
      <c r="A95" s="2" t="s">
        <v>157</v>
      </c>
      <c r="B95" s="2"/>
      <c r="C95" s="2">
        <v>20</v>
      </c>
      <c r="D95" s="2">
        <v>18</v>
      </c>
      <c r="E95" s="5">
        <v>1.4E-3</v>
      </c>
      <c r="F95" s="2">
        <v>200</v>
      </c>
      <c r="G95" s="2">
        <v>12</v>
      </c>
      <c r="H95" s="2">
        <v>0</v>
      </c>
      <c r="I95" s="2">
        <v>0</v>
      </c>
      <c r="J95" s="5">
        <v>0</v>
      </c>
      <c r="K95" s="6">
        <f t="shared" si="6"/>
        <v>0</v>
      </c>
      <c r="L95" s="2">
        <v>0</v>
      </c>
      <c r="M95" s="3"/>
      <c r="N95" s="4" t="str">
        <f t="shared" si="7"/>
        <v/>
      </c>
      <c r="O95" s="3"/>
      <c r="P95" s="4" t="str">
        <f t="shared" si="8"/>
        <v/>
      </c>
    </row>
    <row r="96" spans="1:16">
      <c r="A96" s="2" t="s">
        <v>158</v>
      </c>
      <c r="B96" s="2"/>
      <c r="C96" s="2">
        <v>20</v>
      </c>
      <c r="D96" s="2">
        <v>18</v>
      </c>
      <c r="E96" s="5">
        <v>4.0000000000000002E-4</v>
      </c>
      <c r="F96" s="2">
        <v>200</v>
      </c>
      <c r="G96" s="2">
        <v>12</v>
      </c>
      <c r="H96" s="2">
        <v>0</v>
      </c>
      <c r="I96" s="2">
        <v>0</v>
      </c>
      <c r="J96" s="5">
        <v>0</v>
      </c>
      <c r="K96" s="6">
        <f t="shared" si="6"/>
        <v>0</v>
      </c>
      <c r="L96" s="2">
        <v>0</v>
      </c>
      <c r="M96" s="3"/>
      <c r="N96" s="4" t="str">
        <f t="shared" si="7"/>
        <v/>
      </c>
      <c r="O96" s="3"/>
      <c r="P96" s="4" t="str">
        <f t="shared" si="8"/>
        <v/>
      </c>
    </row>
    <row r="97" spans="1:16">
      <c r="A97" s="2" t="s">
        <v>159</v>
      </c>
      <c r="B97" s="2" t="s">
        <v>160</v>
      </c>
      <c r="C97" s="2">
        <v>20</v>
      </c>
      <c r="D97" s="2">
        <v>18</v>
      </c>
      <c r="E97" s="5">
        <v>1.5E-3</v>
      </c>
      <c r="F97" s="2">
        <v>192</v>
      </c>
      <c r="G97" s="2">
        <v>11</v>
      </c>
      <c r="H97" s="2">
        <v>0</v>
      </c>
      <c r="I97" s="2">
        <v>0</v>
      </c>
      <c r="J97" s="5">
        <v>0</v>
      </c>
      <c r="K97" s="6">
        <f t="shared" si="6"/>
        <v>0</v>
      </c>
      <c r="L97" s="2">
        <v>0</v>
      </c>
      <c r="M97" s="3">
        <v>5340</v>
      </c>
      <c r="N97" s="4">
        <f t="shared" si="7"/>
        <v>0</v>
      </c>
      <c r="O97" s="3">
        <v>-249</v>
      </c>
      <c r="P97" s="4">
        <f t="shared" si="8"/>
        <v>-0.77108433734939763</v>
      </c>
    </row>
    <row r="98" spans="1:16">
      <c r="A98" s="2" t="s">
        <v>161</v>
      </c>
      <c r="B98" s="2"/>
      <c r="C98" s="2">
        <v>20</v>
      </c>
      <c r="D98" s="2">
        <v>11</v>
      </c>
      <c r="E98" s="5">
        <v>2.9999999999999997E-4</v>
      </c>
      <c r="F98" s="2">
        <v>190</v>
      </c>
      <c r="G98" s="2">
        <v>18</v>
      </c>
      <c r="H98" s="2">
        <v>0</v>
      </c>
      <c r="I98" s="2">
        <v>0</v>
      </c>
      <c r="J98" s="5">
        <v>0</v>
      </c>
      <c r="K98" s="6">
        <f t="shared" si="6"/>
        <v>0</v>
      </c>
      <c r="L98" s="2">
        <v>0</v>
      </c>
      <c r="M98" s="3"/>
      <c r="N98" s="4" t="str">
        <f t="shared" si="7"/>
        <v/>
      </c>
      <c r="O98" s="3"/>
      <c r="P98" s="4" t="str">
        <f t="shared" si="8"/>
        <v/>
      </c>
    </row>
    <row r="99" spans="1:16">
      <c r="A99" s="2" t="s">
        <v>162</v>
      </c>
      <c r="B99" s="2"/>
      <c r="C99" s="2">
        <v>20</v>
      </c>
      <c r="D99" s="2">
        <v>19</v>
      </c>
      <c r="E99" s="5">
        <v>0</v>
      </c>
      <c r="F99" s="2">
        <v>190</v>
      </c>
      <c r="G99" s="2">
        <v>10</v>
      </c>
      <c r="H99" s="2">
        <v>0</v>
      </c>
      <c r="I99" s="2">
        <v>0</v>
      </c>
      <c r="J99" s="5">
        <v>0</v>
      </c>
      <c r="K99" s="6">
        <f t="shared" si="6"/>
        <v>0</v>
      </c>
      <c r="L99" s="2">
        <v>0</v>
      </c>
      <c r="M99" s="3"/>
      <c r="N99" s="4" t="str">
        <f t="shared" si="7"/>
        <v/>
      </c>
      <c r="O99" s="3"/>
      <c r="P99" s="4" t="str">
        <f t="shared" si="8"/>
        <v/>
      </c>
    </row>
    <row r="100" spans="1:16">
      <c r="A100" s="2" t="s">
        <v>163</v>
      </c>
      <c r="B100" s="2" t="s">
        <v>164</v>
      </c>
      <c r="C100" s="2">
        <v>24</v>
      </c>
      <c r="D100" s="2">
        <v>8</v>
      </c>
      <c r="E100" s="5">
        <v>4.1200000000000001E-2</v>
      </c>
      <c r="F100" s="2">
        <v>188</v>
      </c>
      <c r="G100" s="2">
        <v>24</v>
      </c>
      <c r="H100" s="2">
        <v>4440</v>
      </c>
      <c r="I100" s="2">
        <v>1</v>
      </c>
      <c r="J100" s="5">
        <v>0.125</v>
      </c>
      <c r="K100" s="6">
        <f t="shared" si="6"/>
        <v>23.617021276595743</v>
      </c>
      <c r="L100" s="2">
        <v>4440</v>
      </c>
      <c r="M100" s="3">
        <v>11840</v>
      </c>
      <c r="N100" s="4">
        <f t="shared" si="7"/>
        <v>0.375</v>
      </c>
      <c r="O100" s="3">
        <v>5072</v>
      </c>
      <c r="P100" s="4">
        <f t="shared" si="8"/>
        <v>3.7066246056782333E-2</v>
      </c>
    </row>
    <row r="101" spans="1:16">
      <c r="A101" s="2" t="s">
        <v>165</v>
      </c>
      <c r="B101" s="2"/>
      <c r="C101" s="2">
        <v>20</v>
      </c>
      <c r="D101" s="2">
        <v>11</v>
      </c>
      <c r="E101" s="5">
        <v>2.0000000000000001E-4</v>
      </c>
      <c r="F101" s="2">
        <v>182</v>
      </c>
      <c r="G101" s="2">
        <v>17</v>
      </c>
      <c r="H101" s="2">
        <v>0</v>
      </c>
      <c r="I101" s="2">
        <v>0</v>
      </c>
      <c r="J101" s="5">
        <v>0</v>
      </c>
      <c r="K101" s="6">
        <f t="shared" si="6"/>
        <v>0</v>
      </c>
      <c r="L101" s="2">
        <v>0</v>
      </c>
      <c r="M101" s="3"/>
      <c r="N101" s="4" t="str">
        <f t="shared" si="7"/>
        <v/>
      </c>
      <c r="O101" s="3"/>
      <c r="P101" s="4" t="str">
        <f t="shared" si="8"/>
        <v/>
      </c>
    </row>
    <row r="102" spans="1:16">
      <c r="A102" s="2" t="s">
        <v>166</v>
      </c>
      <c r="B102" s="2"/>
      <c r="C102" s="2">
        <v>20</v>
      </c>
      <c r="D102" s="2">
        <v>18</v>
      </c>
      <c r="E102" s="5">
        <v>0</v>
      </c>
      <c r="F102" s="2">
        <v>180</v>
      </c>
      <c r="G102" s="2">
        <v>10</v>
      </c>
      <c r="H102" s="2">
        <v>0</v>
      </c>
      <c r="I102" s="2">
        <v>0</v>
      </c>
      <c r="J102" s="5">
        <v>0</v>
      </c>
      <c r="K102" s="6">
        <f t="shared" si="6"/>
        <v>0</v>
      </c>
      <c r="L102" s="2">
        <v>0</v>
      </c>
      <c r="M102" s="3"/>
      <c r="N102" s="4" t="str">
        <f t="shared" si="7"/>
        <v/>
      </c>
      <c r="O102" s="3"/>
      <c r="P102" s="4" t="str">
        <f t="shared" si="8"/>
        <v/>
      </c>
    </row>
    <row r="103" spans="1:16">
      <c r="A103" s="2" t="s">
        <v>167</v>
      </c>
      <c r="B103" s="2"/>
      <c r="C103" s="2">
        <v>20</v>
      </c>
      <c r="D103" s="2">
        <v>12</v>
      </c>
      <c r="E103" s="5">
        <v>2.0000000000000001E-4</v>
      </c>
      <c r="F103" s="2">
        <v>180</v>
      </c>
      <c r="G103" s="2">
        <v>15</v>
      </c>
      <c r="H103" s="2">
        <v>0</v>
      </c>
      <c r="I103" s="2">
        <v>0</v>
      </c>
      <c r="J103" s="5">
        <v>0</v>
      </c>
      <c r="K103" s="6">
        <f t="shared" si="6"/>
        <v>0</v>
      </c>
      <c r="L103" s="2">
        <v>0</v>
      </c>
      <c r="M103" s="3"/>
      <c r="N103" s="4" t="str">
        <f t="shared" si="7"/>
        <v/>
      </c>
      <c r="O103" s="3"/>
      <c r="P103" s="4" t="str">
        <f t="shared" si="8"/>
        <v/>
      </c>
    </row>
    <row r="104" spans="1:16">
      <c r="A104" s="2" t="s">
        <v>168</v>
      </c>
      <c r="B104" s="2"/>
      <c r="C104" s="2">
        <v>20</v>
      </c>
      <c r="D104" s="2">
        <v>16</v>
      </c>
      <c r="E104" s="5">
        <v>4.0000000000000002E-4</v>
      </c>
      <c r="F104" s="2">
        <v>180</v>
      </c>
      <c r="G104" s="2">
        <v>12</v>
      </c>
      <c r="H104" s="2">
        <v>0</v>
      </c>
      <c r="I104" s="2">
        <v>0</v>
      </c>
      <c r="J104" s="5">
        <v>0</v>
      </c>
      <c r="K104" s="6">
        <f t="shared" si="6"/>
        <v>0</v>
      </c>
      <c r="L104" s="2">
        <v>0</v>
      </c>
      <c r="M104" s="3"/>
      <c r="N104" s="4" t="str">
        <f t="shared" si="7"/>
        <v/>
      </c>
      <c r="O104" s="3"/>
      <c r="P104" s="4" t="str">
        <f t="shared" si="8"/>
        <v/>
      </c>
    </row>
    <row r="105" spans="1:16">
      <c r="A105" s="2" t="s">
        <v>169</v>
      </c>
      <c r="B105" s="2"/>
      <c r="C105" s="2">
        <v>20</v>
      </c>
      <c r="D105" s="2">
        <v>9</v>
      </c>
      <c r="E105" s="5">
        <v>1E-3</v>
      </c>
      <c r="F105" s="2">
        <v>170</v>
      </c>
      <c r="G105" s="2">
        <v>19</v>
      </c>
      <c r="H105" s="2">
        <v>0</v>
      </c>
      <c r="I105" s="2">
        <v>0</v>
      </c>
      <c r="J105" s="5">
        <v>0</v>
      </c>
      <c r="K105" s="6">
        <f t="shared" si="6"/>
        <v>0</v>
      </c>
      <c r="L105" s="2">
        <v>0</v>
      </c>
      <c r="M105" s="3"/>
      <c r="N105" s="4" t="str">
        <f t="shared" si="7"/>
        <v/>
      </c>
      <c r="O105" s="3"/>
      <c r="P105" s="4" t="str">
        <f t="shared" si="8"/>
        <v/>
      </c>
    </row>
    <row r="106" spans="1:16">
      <c r="A106" s="2" t="s">
        <v>170</v>
      </c>
      <c r="B106" s="2"/>
      <c r="C106" s="2">
        <v>20</v>
      </c>
      <c r="D106" s="2">
        <v>9</v>
      </c>
      <c r="E106" s="5">
        <v>0</v>
      </c>
      <c r="F106" s="2">
        <v>170</v>
      </c>
      <c r="G106" s="2">
        <v>19</v>
      </c>
      <c r="H106" s="2">
        <v>0</v>
      </c>
      <c r="I106" s="2">
        <v>0</v>
      </c>
      <c r="J106" s="5">
        <v>0</v>
      </c>
      <c r="K106" s="6">
        <f t="shared" si="6"/>
        <v>0</v>
      </c>
      <c r="L106" s="2">
        <v>0</v>
      </c>
      <c r="M106" s="3"/>
      <c r="N106" s="4" t="str">
        <f t="shared" si="7"/>
        <v/>
      </c>
      <c r="O106" s="3"/>
      <c r="P106" s="4" t="str">
        <f t="shared" si="8"/>
        <v/>
      </c>
    </row>
    <row r="107" spans="1:16">
      <c r="A107" s="2" t="s">
        <v>171</v>
      </c>
      <c r="B107" s="2" t="s">
        <v>172</v>
      </c>
      <c r="C107" s="2">
        <v>20</v>
      </c>
      <c r="D107" s="2">
        <v>11</v>
      </c>
      <c r="E107" s="5">
        <v>1E-4</v>
      </c>
      <c r="F107" s="2">
        <v>170</v>
      </c>
      <c r="G107" s="2">
        <v>16</v>
      </c>
      <c r="H107" s="2">
        <v>1980</v>
      </c>
      <c r="I107" s="2">
        <v>1</v>
      </c>
      <c r="J107" s="5">
        <v>9.0899999999999995E-2</v>
      </c>
      <c r="K107" s="6">
        <f t="shared" si="6"/>
        <v>11.647058823529411</v>
      </c>
      <c r="L107" s="2">
        <v>1980</v>
      </c>
      <c r="M107" s="3">
        <v>3960</v>
      </c>
      <c r="N107" s="4">
        <f t="shared" si="7"/>
        <v>0.5</v>
      </c>
      <c r="O107" s="3">
        <v>1046</v>
      </c>
      <c r="P107" s="4">
        <f t="shared" si="8"/>
        <v>0.16252390057361377</v>
      </c>
    </row>
    <row r="108" spans="1:16">
      <c r="A108" s="2" t="s">
        <v>173</v>
      </c>
      <c r="B108" s="2"/>
      <c r="C108" s="2">
        <v>24</v>
      </c>
      <c r="D108" s="2">
        <v>10</v>
      </c>
      <c r="E108" s="5">
        <v>2.0000000000000001E-4</v>
      </c>
      <c r="F108" s="2">
        <v>162</v>
      </c>
      <c r="G108" s="2">
        <v>17</v>
      </c>
      <c r="H108" s="2">
        <v>0</v>
      </c>
      <c r="I108" s="2">
        <v>0</v>
      </c>
      <c r="J108" s="5">
        <v>0</v>
      </c>
      <c r="K108" s="6">
        <f t="shared" si="6"/>
        <v>0</v>
      </c>
      <c r="L108" s="2">
        <v>0</v>
      </c>
      <c r="M108" s="3"/>
      <c r="N108" s="4" t="str">
        <f t="shared" si="7"/>
        <v/>
      </c>
      <c r="O108" s="3"/>
      <c r="P108" s="4" t="str">
        <f t="shared" si="8"/>
        <v/>
      </c>
    </row>
    <row r="109" spans="1:16">
      <c r="A109" s="2" t="s">
        <v>174</v>
      </c>
      <c r="B109" s="2"/>
      <c r="C109" s="2">
        <v>20</v>
      </c>
      <c r="D109" s="2">
        <v>8</v>
      </c>
      <c r="E109" s="5">
        <v>5.0000000000000001E-4</v>
      </c>
      <c r="F109" s="2">
        <v>160</v>
      </c>
      <c r="G109" s="2">
        <v>20</v>
      </c>
      <c r="H109" s="2">
        <v>9180</v>
      </c>
      <c r="I109" s="2">
        <v>1</v>
      </c>
      <c r="J109" s="5">
        <v>0.125</v>
      </c>
      <c r="K109" s="6">
        <f t="shared" ref="K109:K140" si="9">IF(F109=0,"",H109/F109)</f>
        <v>57.375</v>
      </c>
      <c r="L109" s="2">
        <v>9180</v>
      </c>
      <c r="M109" s="3"/>
      <c r="N109" s="4" t="str">
        <f t="shared" ref="N109:N140" si="10">IF(OR(M109="",M109=0),"",H109/M109)</f>
        <v/>
      </c>
      <c r="O109" s="3"/>
      <c r="P109" s="4" t="str">
        <f t="shared" ref="P109:P140" si="11">IF(OR(O109="",O109=0),"",F109/O109)</f>
        <v/>
      </c>
    </row>
    <row r="110" spans="1:16">
      <c r="A110" s="2" t="s">
        <v>175</v>
      </c>
      <c r="B110" s="2" t="s">
        <v>176</v>
      </c>
      <c r="C110" s="2">
        <v>20</v>
      </c>
      <c r="D110" s="2">
        <v>8</v>
      </c>
      <c r="E110" s="5">
        <v>7.000000000000001E-4</v>
      </c>
      <c r="F110" s="2">
        <v>160</v>
      </c>
      <c r="G110" s="2">
        <v>20</v>
      </c>
      <c r="H110" s="2">
        <v>6400</v>
      </c>
      <c r="I110" s="2">
        <v>1</v>
      </c>
      <c r="J110" s="5">
        <v>0.125</v>
      </c>
      <c r="K110" s="6">
        <f t="shared" si="9"/>
        <v>40</v>
      </c>
      <c r="L110" s="2">
        <v>6400</v>
      </c>
      <c r="M110" s="3">
        <v>6400</v>
      </c>
      <c r="N110" s="4">
        <f t="shared" si="10"/>
        <v>1</v>
      </c>
      <c r="O110" s="3">
        <v>3780</v>
      </c>
      <c r="P110" s="4">
        <f t="shared" si="11"/>
        <v>4.2328042328042326E-2</v>
      </c>
    </row>
    <row r="111" spans="1:16">
      <c r="A111" s="2" t="s">
        <v>177</v>
      </c>
      <c r="B111" s="2"/>
      <c r="C111" s="2">
        <v>20</v>
      </c>
      <c r="D111" s="2">
        <v>9</v>
      </c>
      <c r="E111" s="5">
        <v>2.0000000000000001E-4</v>
      </c>
      <c r="F111" s="2">
        <v>150</v>
      </c>
      <c r="G111" s="2">
        <v>17</v>
      </c>
      <c r="H111" s="2">
        <v>0</v>
      </c>
      <c r="I111" s="2">
        <v>0</v>
      </c>
      <c r="J111" s="5">
        <v>0</v>
      </c>
      <c r="K111" s="6">
        <f t="shared" si="9"/>
        <v>0</v>
      </c>
      <c r="L111" s="2">
        <v>0</v>
      </c>
      <c r="M111" s="3"/>
      <c r="N111" s="4" t="str">
        <f t="shared" si="10"/>
        <v/>
      </c>
      <c r="O111" s="3"/>
      <c r="P111" s="4" t="str">
        <f t="shared" si="11"/>
        <v/>
      </c>
    </row>
    <row r="112" spans="1:16">
      <c r="A112" s="2" t="s">
        <v>178</v>
      </c>
      <c r="B112" s="2" t="s">
        <v>179</v>
      </c>
      <c r="C112" s="2">
        <v>20</v>
      </c>
      <c r="D112" s="2">
        <v>8</v>
      </c>
      <c r="E112" s="5">
        <v>1.9E-3</v>
      </c>
      <c r="F112" s="2">
        <v>150</v>
      </c>
      <c r="G112" s="2">
        <v>19</v>
      </c>
      <c r="H112" s="2">
        <v>3280</v>
      </c>
      <c r="I112" s="2">
        <v>1</v>
      </c>
      <c r="J112" s="5">
        <v>0.125</v>
      </c>
      <c r="K112" s="6">
        <f t="shared" si="9"/>
        <v>21.866666666666667</v>
      </c>
      <c r="L112" s="2">
        <v>3280</v>
      </c>
      <c r="M112" s="3">
        <v>3280</v>
      </c>
      <c r="N112" s="4">
        <f t="shared" si="10"/>
        <v>1</v>
      </c>
      <c r="O112" s="3">
        <v>800</v>
      </c>
      <c r="P112" s="4">
        <f t="shared" si="11"/>
        <v>0.1875</v>
      </c>
    </row>
    <row r="113" spans="1:16">
      <c r="A113" s="2" t="s">
        <v>180</v>
      </c>
      <c r="B113" s="2"/>
      <c r="C113" s="2">
        <v>20</v>
      </c>
      <c r="D113" s="2">
        <v>8</v>
      </c>
      <c r="E113" s="5">
        <v>2.0000000000000001E-4</v>
      </c>
      <c r="F113" s="2">
        <v>150</v>
      </c>
      <c r="G113" s="2">
        <v>19</v>
      </c>
      <c r="H113" s="2">
        <v>0</v>
      </c>
      <c r="I113" s="2">
        <v>0</v>
      </c>
      <c r="J113" s="5">
        <v>0</v>
      </c>
      <c r="K113" s="6">
        <f t="shared" si="9"/>
        <v>0</v>
      </c>
      <c r="L113" s="2">
        <v>0</v>
      </c>
      <c r="M113" s="3"/>
      <c r="N113" s="4" t="str">
        <f t="shared" si="10"/>
        <v/>
      </c>
      <c r="O113" s="3"/>
      <c r="P113" s="4" t="str">
        <f t="shared" si="11"/>
        <v/>
      </c>
    </row>
    <row r="114" spans="1:16">
      <c r="A114" s="2" t="s">
        <v>181</v>
      </c>
      <c r="B114" s="2"/>
      <c r="C114" s="2">
        <v>20</v>
      </c>
      <c r="D114" s="2">
        <v>9</v>
      </c>
      <c r="E114" s="5">
        <v>5.9999999999999995E-4</v>
      </c>
      <c r="F114" s="2">
        <v>140</v>
      </c>
      <c r="G114" s="2">
        <v>16</v>
      </c>
      <c r="H114" s="2">
        <v>0</v>
      </c>
      <c r="I114" s="2">
        <v>0</v>
      </c>
      <c r="J114" s="5">
        <v>0</v>
      </c>
      <c r="K114" s="6">
        <f t="shared" si="9"/>
        <v>0</v>
      </c>
      <c r="L114" s="2">
        <v>0</v>
      </c>
      <c r="M114" s="3"/>
      <c r="N114" s="4" t="str">
        <f t="shared" si="10"/>
        <v/>
      </c>
      <c r="O114" s="3"/>
      <c r="P114" s="4" t="str">
        <f t="shared" si="11"/>
        <v/>
      </c>
    </row>
    <row r="115" spans="1:16">
      <c r="A115" s="2" t="s">
        <v>182</v>
      </c>
      <c r="B115" s="2" t="s">
        <v>183</v>
      </c>
      <c r="C115" s="2">
        <v>20</v>
      </c>
      <c r="D115" s="2">
        <v>10</v>
      </c>
      <c r="E115" s="5">
        <v>1E-3</v>
      </c>
      <c r="F115" s="2">
        <v>140</v>
      </c>
      <c r="G115" s="2">
        <v>14</v>
      </c>
      <c r="H115" s="2">
        <v>1980</v>
      </c>
      <c r="I115" s="2">
        <v>1</v>
      </c>
      <c r="J115" s="5">
        <v>0.1</v>
      </c>
      <c r="K115" s="6">
        <f t="shared" si="9"/>
        <v>14.142857142857142</v>
      </c>
      <c r="L115" s="2">
        <v>1980</v>
      </c>
      <c r="M115" s="3">
        <v>1980</v>
      </c>
      <c r="N115" s="4">
        <f t="shared" si="10"/>
        <v>1</v>
      </c>
      <c r="O115" s="3">
        <v>891</v>
      </c>
      <c r="P115" s="4">
        <f t="shared" si="11"/>
        <v>0.15712682379349047</v>
      </c>
    </row>
    <row r="116" spans="1:16">
      <c r="A116" s="2" t="s">
        <v>184</v>
      </c>
      <c r="B116" s="2" t="s">
        <v>185</v>
      </c>
      <c r="C116" s="2">
        <v>20</v>
      </c>
      <c r="D116" s="2">
        <v>7</v>
      </c>
      <c r="E116" s="5">
        <v>1E-4</v>
      </c>
      <c r="F116" s="2">
        <v>130</v>
      </c>
      <c r="G116" s="2">
        <v>19</v>
      </c>
      <c r="H116" s="2">
        <v>0</v>
      </c>
      <c r="I116" s="2">
        <v>0</v>
      </c>
      <c r="J116" s="5">
        <v>0</v>
      </c>
      <c r="K116" s="6">
        <f t="shared" si="9"/>
        <v>0</v>
      </c>
      <c r="L116" s="2">
        <v>0</v>
      </c>
      <c r="M116" s="3">
        <v>4218</v>
      </c>
      <c r="N116" s="4">
        <f t="shared" si="10"/>
        <v>0</v>
      </c>
      <c r="O116" s="3">
        <v>125</v>
      </c>
      <c r="P116" s="4">
        <f t="shared" si="11"/>
        <v>1.04</v>
      </c>
    </row>
    <row r="117" spans="1:16">
      <c r="A117" s="2" t="s">
        <v>186</v>
      </c>
      <c r="B117" s="2"/>
      <c r="C117" s="2">
        <v>20</v>
      </c>
      <c r="D117" s="2">
        <v>10</v>
      </c>
      <c r="E117" s="5">
        <v>5.9999999999999995E-4</v>
      </c>
      <c r="F117" s="2">
        <v>130</v>
      </c>
      <c r="G117" s="2">
        <v>13</v>
      </c>
      <c r="H117" s="2">
        <v>0</v>
      </c>
      <c r="I117" s="2">
        <v>0</v>
      </c>
      <c r="J117" s="5">
        <v>0</v>
      </c>
      <c r="K117" s="6">
        <f t="shared" si="9"/>
        <v>0</v>
      </c>
      <c r="L117" s="2">
        <v>0</v>
      </c>
      <c r="M117" s="3"/>
      <c r="N117" s="4" t="str">
        <f t="shared" si="10"/>
        <v/>
      </c>
      <c r="O117" s="3"/>
      <c r="P117" s="4" t="str">
        <f t="shared" si="11"/>
        <v/>
      </c>
    </row>
    <row r="118" spans="1:16">
      <c r="A118" s="2" t="s">
        <v>187</v>
      </c>
      <c r="B118" s="2" t="s">
        <v>188</v>
      </c>
      <c r="C118" s="2">
        <v>20</v>
      </c>
      <c r="D118" s="2">
        <v>7</v>
      </c>
      <c r="E118" s="5">
        <v>2.0000000000000001E-4</v>
      </c>
      <c r="F118" s="2">
        <v>122</v>
      </c>
      <c r="G118" s="2">
        <v>18</v>
      </c>
      <c r="H118" s="2">
        <v>2480</v>
      </c>
      <c r="I118" s="2">
        <v>1</v>
      </c>
      <c r="J118" s="5">
        <v>0.14280000000000001</v>
      </c>
      <c r="K118" s="6">
        <f t="shared" si="9"/>
        <v>20.327868852459016</v>
      </c>
      <c r="L118" s="2">
        <v>0</v>
      </c>
      <c r="M118" s="3">
        <v>2480</v>
      </c>
      <c r="N118" s="4">
        <f t="shared" si="10"/>
        <v>1</v>
      </c>
      <c r="O118" s="3">
        <v>916</v>
      </c>
      <c r="P118" s="4">
        <f t="shared" si="11"/>
        <v>0.1331877729257642</v>
      </c>
    </row>
    <row r="119" spans="1:16">
      <c r="A119" s="2" t="s">
        <v>189</v>
      </c>
      <c r="B119" s="2" t="s">
        <v>190</v>
      </c>
      <c r="C119" s="2">
        <v>20</v>
      </c>
      <c r="D119" s="2">
        <v>7</v>
      </c>
      <c r="E119" s="5">
        <v>2.0000000000000001E-4</v>
      </c>
      <c r="F119" s="2">
        <v>120</v>
      </c>
      <c r="G119" s="2">
        <v>18</v>
      </c>
      <c r="H119" s="2">
        <v>5160</v>
      </c>
      <c r="I119" s="2">
        <v>2</v>
      </c>
      <c r="J119" s="5">
        <v>0.28570000000000001</v>
      </c>
      <c r="K119" s="6">
        <f t="shared" si="9"/>
        <v>43</v>
      </c>
      <c r="L119" s="2">
        <v>5160</v>
      </c>
      <c r="M119" s="3">
        <v>5160</v>
      </c>
      <c r="N119" s="4">
        <f t="shared" si="10"/>
        <v>1</v>
      </c>
      <c r="O119" s="3">
        <v>1746</v>
      </c>
      <c r="P119" s="4">
        <f t="shared" si="11"/>
        <v>6.8728522336769765E-2</v>
      </c>
    </row>
    <row r="120" spans="1:16">
      <c r="A120" s="2" t="s">
        <v>191</v>
      </c>
      <c r="B120" s="2"/>
      <c r="C120" s="2">
        <v>20</v>
      </c>
      <c r="D120" s="2">
        <v>6</v>
      </c>
      <c r="E120" s="5">
        <v>1E-4</v>
      </c>
      <c r="F120" s="2">
        <v>120</v>
      </c>
      <c r="G120" s="2">
        <v>20</v>
      </c>
      <c r="H120" s="2">
        <v>0</v>
      </c>
      <c r="I120" s="2">
        <v>0</v>
      </c>
      <c r="J120" s="5">
        <v>0</v>
      </c>
      <c r="K120" s="6">
        <f t="shared" si="9"/>
        <v>0</v>
      </c>
      <c r="L120" s="2">
        <v>0</v>
      </c>
      <c r="M120" s="3"/>
      <c r="N120" s="4" t="str">
        <f t="shared" si="10"/>
        <v/>
      </c>
      <c r="O120" s="3"/>
      <c r="P120" s="4" t="str">
        <f t="shared" si="11"/>
        <v/>
      </c>
    </row>
    <row r="121" spans="1:16">
      <c r="A121" s="2" t="s">
        <v>192</v>
      </c>
      <c r="B121" s="2" t="s">
        <v>193</v>
      </c>
      <c r="C121" s="2">
        <v>20</v>
      </c>
      <c r="D121" s="2">
        <v>8</v>
      </c>
      <c r="E121" s="5">
        <v>4.0000000000000002E-4</v>
      </c>
      <c r="F121" s="2">
        <v>120</v>
      </c>
      <c r="G121" s="2">
        <v>15</v>
      </c>
      <c r="H121" s="2">
        <v>0</v>
      </c>
      <c r="I121" s="2">
        <v>0</v>
      </c>
      <c r="J121" s="5">
        <v>0</v>
      </c>
      <c r="K121" s="6">
        <f t="shared" si="9"/>
        <v>0</v>
      </c>
      <c r="L121" s="2">
        <v>0</v>
      </c>
      <c r="M121" s="3">
        <v>8900</v>
      </c>
      <c r="N121" s="4">
        <f t="shared" si="10"/>
        <v>0</v>
      </c>
      <c r="O121" s="3">
        <v>3915</v>
      </c>
      <c r="P121" s="4">
        <f t="shared" si="11"/>
        <v>3.0651340996168581E-2</v>
      </c>
    </row>
    <row r="122" spans="1:16">
      <c r="A122" s="2" t="s">
        <v>194</v>
      </c>
      <c r="B122" s="2"/>
      <c r="C122" s="2">
        <v>20</v>
      </c>
      <c r="D122" s="2">
        <v>11</v>
      </c>
      <c r="E122" s="5">
        <v>0</v>
      </c>
      <c r="F122" s="2">
        <v>110</v>
      </c>
      <c r="G122" s="2">
        <v>10</v>
      </c>
      <c r="H122" s="2">
        <v>0</v>
      </c>
      <c r="I122" s="2">
        <v>0</v>
      </c>
      <c r="J122" s="5">
        <v>0</v>
      </c>
      <c r="K122" s="6">
        <f t="shared" si="9"/>
        <v>0</v>
      </c>
      <c r="L122" s="2">
        <v>0</v>
      </c>
      <c r="M122" s="3"/>
      <c r="N122" s="4" t="str">
        <f t="shared" si="10"/>
        <v/>
      </c>
      <c r="O122" s="3"/>
      <c r="P122" s="4" t="str">
        <f t="shared" si="11"/>
        <v/>
      </c>
    </row>
    <row r="123" spans="1:16">
      <c r="A123" s="2" t="s">
        <v>195</v>
      </c>
      <c r="B123" s="2"/>
      <c r="C123" s="2">
        <v>20</v>
      </c>
      <c r="D123" s="2">
        <v>6</v>
      </c>
      <c r="E123" s="5">
        <v>1.14E-2</v>
      </c>
      <c r="F123" s="2">
        <v>110</v>
      </c>
      <c r="G123" s="2">
        <v>19</v>
      </c>
      <c r="H123" s="2">
        <v>0</v>
      </c>
      <c r="I123" s="2">
        <v>0</v>
      </c>
      <c r="J123" s="5">
        <v>0</v>
      </c>
      <c r="K123" s="6">
        <f t="shared" si="9"/>
        <v>0</v>
      </c>
      <c r="L123" s="2">
        <v>0</v>
      </c>
      <c r="M123" s="3"/>
      <c r="N123" s="4" t="str">
        <f t="shared" si="10"/>
        <v/>
      </c>
      <c r="O123" s="3"/>
      <c r="P123" s="4" t="str">
        <f t="shared" si="11"/>
        <v/>
      </c>
    </row>
    <row r="124" spans="1:16">
      <c r="A124" s="2" t="s">
        <v>196</v>
      </c>
      <c r="B124" s="2" t="s">
        <v>197</v>
      </c>
      <c r="C124" s="2">
        <v>20</v>
      </c>
      <c r="D124" s="2">
        <v>5</v>
      </c>
      <c r="E124" s="5">
        <v>1.4800000000000001E-2</v>
      </c>
      <c r="F124" s="2">
        <v>100</v>
      </c>
      <c r="G124" s="2">
        <v>20</v>
      </c>
      <c r="H124" s="2">
        <v>2080</v>
      </c>
      <c r="I124" s="2">
        <v>1</v>
      </c>
      <c r="J124" s="5">
        <v>0.2</v>
      </c>
      <c r="K124" s="6">
        <f t="shared" si="9"/>
        <v>20.8</v>
      </c>
      <c r="L124" s="2">
        <v>2080</v>
      </c>
      <c r="M124" s="3">
        <v>2080</v>
      </c>
      <c r="N124" s="4">
        <f t="shared" si="10"/>
        <v>1</v>
      </c>
      <c r="O124" s="3">
        <v>668</v>
      </c>
      <c r="P124" s="4">
        <f t="shared" si="11"/>
        <v>0.1497005988023952</v>
      </c>
    </row>
    <row r="125" spans="1:16">
      <c r="A125" s="2" t="s">
        <v>198</v>
      </c>
      <c r="B125" s="2"/>
      <c r="C125" s="2">
        <v>20</v>
      </c>
      <c r="D125" s="2">
        <v>6</v>
      </c>
      <c r="E125" s="5">
        <v>1E-4</v>
      </c>
      <c r="F125" s="2">
        <v>100</v>
      </c>
      <c r="G125" s="2">
        <v>17</v>
      </c>
      <c r="H125" s="2">
        <v>0</v>
      </c>
      <c r="I125" s="2">
        <v>0</v>
      </c>
      <c r="J125" s="5">
        <v>0</v>
      </c>
      <c r="K125" s="6">
        <f t="shared" si="9"/>
        <v>0</v>
      </c>
      <c r="L125" s="2">
        <v>0</v>
      </c>
      <c r="M125" s="3"/>
      <c r="N125" s="4" t="str">
        <f t="shared" si="10"/>
        <v/>
      </c>
      <c r="O125" s="3"/>
      <c r="P125" s="4" t="str">
        <f t="shared" si="11"/>
        <v/>
      </c>
    </row>
    <row r="126" spans="1:16">
      <c r="A126" s="2" t="s">
        <v>199</v>
      </c>
      <c r="B126" s="2" t="s">
        <v>200</v>
      </c>
      <c r="C126" s="2">
        <v>20</v>
      </c>
      <c r="D126" s="2">
        <v>7</v>
      </c>
      <c r="E126" s="5">
        <v>8.9999999999999998E-4</v>
      </c>
      <c r="F126" s="2">
        <v>100</v>
      </c>
      <c r="G126" s="2">
        <v>15</v>
      </c>
      <c r="H126" s="2">
        <v>3980</v>
      </c>
      <c r="I126" s="2">
        <v>1</v>
      </c>
      <c r="J126" s="5">
        <v>0.14280000000000001</v>
      </c>
      <c r="K126" s="6">
        <f t="shared" si="9"/>
        <v>39.799999999999997</v>
      </c>
      <c r="L126" s="2">
        <v>0</v>
      </c>
      <c r="M126" s="3">
        <v>3980</v>
      </c>
      <c r="N126" s="4">
        <f t="shared" si="10"/>
        <v>1</v>
      </c>
      <c r="O126" s="3">
        <v>1456</v>
      </c>
      <c r="P126" s="4">
        <f t="shared" si="11"/>
        <v>6.8681318681318687E-2</v>
      </c>
    </row>
    <row r="127" spans="1:16">
      <c r="A127" s="2" t="s">
        <v>201</v>
      </c>
      <c r="B127" s="2"/>
      <c r="C127" s="2">
        <v>20</v>
      </c>
      <c r="D127" s="2">
        <v>8</v>
      </c>
      <c r="E127" s="5">
        <v>4.0000000000000002E-4</v>
      </c>
      <c r="F127" s="2">
        <v>100</v>
      </c>
      <c r="G127" s="2">
        <v>13</v>
      </c>
      <c r="H127" s="2">
        <v>0</v>
      </c>
      <c r="I127" s="2">
        <v>0</v>
      </c>
      <c r="J127" s="5">
        <v>0</v>
      </c>
      <c r="K127" s="6">
        <f t="shared" si="9"/>
        <v>0</v>
      </c>
      <c r="L127" s="2">
        <v>0</v>
      </c>
      <c r="M127" s="3"/>
      <c r="N127" s="4" t="str">
        <f t="shared" si="10"/>
        <v/>
      </c>
      <c r="O127" s="3"/>
      <c r="P127" s="4" t="str">
        <f t="shared" si="11"/>
        <v/>
      </c>
    </row>
    <row r="128" spans="1:16">
      <c r="A128" s="2" t="s">
        <v>202</v>
      </c>
      <c r="B128" s="2"/>
      <c r="C128" s="2">
        <v>20</v>
      </c>
      <c r="D128" s="2">
        <v>6</v>
      </c>
      <c r="E128" s="5">
        <v>1.9800000000000002E-2</v>
      </c>
      <c r="F128" s="2">
        <v>100</v>
      </c>
      <c r="G128" s="2">
        <v>17</v>
      </c>
      <c r="H128" s="2">
        <v>0</v>
      </c>
      <c r="I128" s="2">
        <v>0</v>
      </c>
      <c r="J128" s="5">
        <v>0</v>
      </c>
      <c r="K128" s="6">
        <f t="shared" si="9"/>
        <v>0</v>
      </c>
      <c r="L128" s="2">
        <v>0</v>
      </c>
      <c r="M128" s="3"/>
      <c r="N128" s="4" t="str">
        <f t="shared" si="10"/>
        <v/>
      </c>
      <c r="O128" s="3"/>
      <c r="P128" s="4" t="str">
        <f t="shared" si="11"/>
        <v/>
      </c>
    </row>
    <row r="129" spans="1:16">
      <c r="A129" s="2" t="s">
        <v>203</v>
      </c>
      <c r="B129" s="2" t="s">
        <v>204</v>
      </c>
      <c r="C129" s="2">
        <v>20</v>
      </c>
      <c r="D129" s="2">
        <v>5</v>
      </c>
      <c r="E129" s="5">
        <v>1.03E-2</v>
      </c>
      <c r="F129" s="2">
        <v>90</v>
      </c>
      <c r="G129" s="2">
        <v>18</v>
      </c>
      <c r="H129" s="2">
        <v>0</v>
      </c>
      <c r="I129" s="2">
        <v>0</v>
      </c>
      <c r="J129" s="5">
        <v>0</v>
      </c>
      <c r="K129" s="6">
        <f t="shared" si="9"/>
        <v>0</v>
      </c>
      <c r="L129" s="2">
        <v>0</v>
      </c>
      <c r="M129" s="3">
        <v>9920</v>
      </c>
      <c r="N129" s="4">
        <f t="shared" si="10"/>
        <v>0</v>
      </c>
      <c r="O129" s="3">
        <v>3704</v>
      </c>
      <c r="P129" s="4">
        <f t="shared" si="11"/>
        <v>2.429805615550756E-2</v>
      </c>
    </row>
    <row r="130" spans="1:16">
      <c r="A130" s="2" t="s">
        <v>205</v>
      </c>
      <c r="B130" s="2"/>
      <c r="C130" s="2">
        <v>20</v>
      </c>
      <c r="D130" s="2">
        <v>5</v>
      </c>
      <c r="E130" s="5">
        <v>1E-4</v>
      </c>
      <c r="F130" s="2">
        <v>90</v>
      </c>
      <c r="G130" s="2">
        <v>18</v>
      </c>
      <c r="H130" s="2">
        <v>0</v>
      </c>
      <c r="I130" s="2">
        <v>0</v>
      </c>
      <c r="J130" s="5">
        <v>0</v>
      </c>
      <c r="K130" s="6">
        <f t="shared" si="9"/>
        <v>0</v>
      </c>
      <c r="L130" s="2">
        <v>0</v>
      </c>
      <c r="M130" s="3"/>
      <c r="N130" s="4" t="str">
        <f t="shared" si="10"/>
        <v/>
      </c>
      <c r="O130" s="3"/>
      <c r="P130" s="4" t="str">
        <f t="shared" si="11"/>
        <v/>
      </c>
    </row>
    <row r="131" spans="1:16">
      <c r="A131" s="2" t="s">
        <v>206</v>
      </c>
      <c r="B131" s="2"/>
      <c r="C131" s="2">
        <v>20</v>
      </c>
      <c r="D131" s="2">
        <v>8</v>
      </c>
      <c r="E131" s="5">
        <v>1E-4</v>
      </c>
      <c r="F131" s="2">
        <v>90</v>
      </c>
      <c r="G131" s="2">
        <v>12</v>
      </c>
      <c r="H131" s="2">
        <v>0</v>
      </c>
      <c r="I131" s="2">
        <v>0</v>
      </c>
      <c r="J131" s="5">
        <v>0</v>
      </c>
      <c r="K131" s="6">
        <f t="shared" si="9"/>
        <v>0</v>
      </c>
      <c r="L131" s="2">
        <v>0</v>
      </c>
      <c r="M131" s="3"/>
      <c r="N131" s="4" t="str">
        <f t="shared" si="10"/>
        <v/>
      </c>
      <c r="O131" s="3"/>
      <c r="P131" s="4" t="str">
        <f t="shared" si="11"/>
        <v/>
      </c>
    </row>
    <row r="132" spans="1:16">
      <c r="A132" s="2" t="s">
        <v>207</v>
      </c>
      <c r="B132" s="2"/>
      <c r="C132" s="2">
        <v>20</v>
      </c>
      <c r="D132" s="2">
        <v>8</v>
      </c>
      <c r="E132" s="5">
        <v>1E-4</v>
      </c>
      <c r="F132" s="2">
        <v>90</v>
      </c>
      <c r="G132" s="2">
        <v>12</v>
      </c>
      <c r="H132" s="2">
        <v>0</v>
      </c>
      <c r="I132" s="2">
        <v>0</v>
      </c>
      <c r="J132" s="5">
        <v>0</v>
      </c>
      <c r="K132" s="6">
        <f t="shared" si="9"/>
        <v>0</v>
      </c>
      <c r="L132" s="2">
        <v>0</v>
      </c>
      <c r="M132" s="3"/>
      <c r="N132" s="4" t="str">
        <f t="shared" si="10"/>
        <v/>
      </c>
      <c r="O132" s="3"/>
      <c r="P132" s="4" t="str">
        <f t="shared" si="11"/>
        <v/>
      </c>
    </row>
    <row r="133" spans="1:16">
      <c r="A133" s="2" t="s">
        <v>208</v>
      </c>
      <c r="B133" s="2"/>
      <c r="C133" s="2">
        <v>24</v>
      </c>
      <c r="D133" s="2">
        <v>4</v>
      </c>
      <c r="E133" s="5">
        <v>1.0800000000000001E-2</v>
      </c>
      <c r="F133" s="2">
        <v>88</v>
      </c>
      <c r="G133" s="2">
        <v>22</v>
      </c>
      <c r="H133" s="2">
        <v>0</v>
      </c>
      <c r="I133" s="2">
        <v>0</v>
      </c>
      <c r="J133" s="5">
        <v>0</v>
      </c>
      <c r="K133" s="6">
        <f t="shared" si="9"/>
        <v>0</v>
      </c>
      <c r="L133" s="2">
        <v>0</v>
      </c>
      <c r="M133" s="3"/>
      <c r="N133" s="4" t="str">
        <f t="shared" si="10"/>
        <v/>
      </c>
      <c r="O133" s="3"/>
      <c r="P133" s="4" t="str">
        <f t="shared" si="11"/>
        <v/>
      </c>
    </row>
    <row r="134" spans="1:16">
      <c r="A134" s="2" t="s">
        <v>209</v>
      </c>
      <c r="B134" s="2"/>
      <c r="C134" s="2">
        <v>20</v>
      </c>
      <c r="D134" s="2">
        <v>5</v>
      </c>
      <c r="E134" s="5">
        <v>2.9999999999999997E-4</v>
      </c>
      <c r="F134" s="2">
        <v>82</v>
      </c>
      <c r="G134" s="2">
        <v>17</v>
      </c>
      <c r="H134" s="2">
        <v>0</v>
      </c>
      <c r="I134" s="2">
        <v>0</v>
      </c>
      <c r="J134" s="5">
        <v>0</v>
      </c>
      <c r="K134" s="6">
        <f t="shared" si="9"/>
        <v>0</v>
      </c>
      <c r="L134" s="2">
        <v>0</v>
      </c>
      <c r="M134" s="3"/>
      <c r="N134" s="4" t="str">
        <f t="shared" si="10"/>
        <v/>
      </c>
      <c r="O134" s="3"/>
      <c r="P134" s="4" t="str">
        <f t="shared" si="11"/>
        <v/>
      </c>
    </row>
    <row r="135" spans="1:16">
      <c r="A135" s="2" t="s">
        <v>210</v>
      </c>
      <c r="B135" s="2"/>
      <c r="C135" s="2">
        <v>20</v>
      </c>
      <c r="D135" s="2">
        <v>4</v>
      </c>
      <c r="E135" s="5">
        <v>3.2000000000000002E-3</v>
      </c>
      <c r="F135" s="2">
        <v>80</v>
      </c>
      <c r="G135" s="2">
        <v>20</v>
      </c>
      <c r="H135" s="2">
        <v>0</v>
      </c>
      <c r="I135" s="2">
        <v>0</v>
      </c>
      <c r="J135" s="5">
        <v>0</v>
      </c>
      <c r="K135" s="6">
        <f t="shared" si="9"/>
        <v>0</v>
      </c>
      <c r="L135" s="2">
        <v>0</v>
      </c>
      <c r="M135" s="3"/>
      <c r="N135" s="4" t="str">
        <f t="shared" si="10"/>
        <v/>
      </c>
      <c r="O135" s="3"/>
      <c r="P135" s="4" t="str">
        <f t="shared" si="11"/>
        <v/>
      </c>
    </row>
    <row r="136" spans="1:16">
      <c r="A136" s="2" t="s">
        <v>211</v>
      </c>
      <c r="B136" s="2" t="s">
        <v>212</v>
      </c>
      <c r="C136" s="2">
        <v>20</v>
      </c>
      <c r="D136" s="2">
        <v>8</v>
      </c>
      <c r="E136" s="5">
        <v>0</v>
      </c>
      <c r="F136" s="2">
        <v>80</v>
      </c>
      <c r="G136" s="2">
        <v>10</v>
      </c>
      <c r="H136" s="2">
        <v>0</v>
      </c>
      <c r="I136" s="2">
        <v>0</v>
      </c>
      <c r="J136" s="5">
        <v>0</v>
      </c>
      <c r="K136" s="6">
        <f t="shared" si="9"/>
        <v>0</v>
      </c>
      <c r="L136" s="2">
        <v>0</v>
      </c>
      <c r="M136" s="3">
        <v>8940</v>
      </c>
      <c r="N136" s="4">
        <f t="shared" si="10"/>
        <v>0</v>
      </c>
      <c r="O136" s="3">
        <v>3585</v>
      </c>
      <c r="P136" s="4">
        <f t="shared" si="11"/>
        <v>2.2315202231520222E-2</v>
      </c>
    </row>
    <row r="137" spans="1:16">
      <c r="A137" s="2" t="s">
        <v>213</v>
      </c>
      <c r="B137" s="2" t="s">
        <v>214</v>
      </c>
      <c r="C137" s="2">
        <v>20</v>
      </c>
      <c r="D137" s="2">
        <v>5</v>
      </c>
      <c r="E137" s="5">
        <v>5.6000000000000008E-3</v>
      </c>
      <c r="F137" s="2">
        <v>80</v>
      </c>
      <c r="G137" s="2">
        <v>16</v>
      </c>
      <c r="H137" s="2">
        <v>0</v>
      </c>
      <c r="I137" s="2">
        <v>0</v>
      </c>
      <c r="J137" s="5">
        <v>0</v>
      </c>
      <c r="K137" s="6">
        <f t="shared" si="9"/>
        <v>0</v>
      </c>
      <c r="L137" s="2">
        <v>0</v>
      </c>
      <c r="M137" s="3">
        <v>12960</v>
      </c>
      <c r="N137" s="4">
        <f t="shared" si="10"/>
        <v>0</v>
      </c>
      <c r="O137" s="3">
        <v>3252</v>
      </c>
      <c r="P137" s="4">
        <f t="shared" si="11"/>
        <v>2.4600246002460024E-2</v>
      </c>
    </row>
    <row r="138" spans="1:16">
      <c r="A138" s="2" t="s">
        <v>215</v>
      </c>
      <c r="B138" s="2"/>
      <c r="C138" s="2">
        <v>20</v>
      </c>
      <c r="D138" s="2">
        <v>4</v>
      </c>
      <c r="E138" s="5">
        <v>1.8E-3</v>
      </c>
      <c r="F138" s="2">
        <v>80</v>
      </c>
      <c r="G138" s="2">
        <v>20</v>
      </c>
      <c r="H138" s="2">
        <v>0</v>
      </c>
      <c r="I138" s="2">
        <v>0</v>
      </c>
      <c r="J138" s="5">
        <v>0</v>
      </c>
      <c r="K138" s="6">
        <f t="shared" si="9"/>
        <v>0</v>
      </c>
      <c r="L138" s="2">
        <v>0</v>
      </c>
      <c r="M138" s="3"/>
      <c r="N138" s="4" t="str">
        <f t="shared" si="10"/>
        <v/>
      </c>
      <c r="O138" s="3"/>
      <c r="P138" s="4" t="str">
        <f t="shared" si="11"/>
        <v/>
      </c>
    </row>
    <row r="139" spans="1:16">
      <c r="A139" s="2" t="s">
        <v>216</v>
      </c>
      <c r="B139" s="2"/>
      <c r="C139" s="2">
        <v>20</v>
      </c>
      <c r="D139" s="2">
        <v>4</v>
      </c>
      <c r="E139" s="5">
        <v>4.3E-3</v>
      </c>
      <c r="F139" s="2">
        <v>80</v>
      </c>
      <c r="G139" s="2">
        <v>20</v>
      </c>
      <c r="H139" s="2">
        <v>0</v>
      </c>
      <c r="I139" s="2">
        <v>0</v>
      </c>
      <c r="J139" s="5">
        <v>0</v>
      </c>
      <c r="K139" s="6">
        <f t="shared" si="9"/>
        <v>0</v>
      </c>
      <c r="L139" s="2">
        <v>0</v>
      </c>
      <c r="M139" s="3"/>
      <c r="N139" s="4" t="str">
        <f t="shared" si="10"/>
        <v/>
      </c>
      <c r="O139" s="3"/>
      <c r="P139" s="4" t="str">
        <f t="shared" si="11"/>
        <v/>
      </c>
    </row>
    <row r="140" spans="1:16">
      <c r="A140" s="2" t="s">
        <v>217</v>
      </c>
      <c r="B140" s="2"/>
      <c r="C140" s="2">
        <v>20</v>
      </c>
      <c r="D140" s="2">
        <v>4</v>
      </c>
      <c r="E140" s="5">
        <v>4.0000000000000002E-4</v>
      </c>
      <c r="F140" s="2">
        <v>80</v>
      </c>
      <c r="G140" s="2">
        <v>20</v>
      </c>
      <c r="H140" s="2">
        <v>0</v>
      </c>
      <c r="I140" s="2">
        <v>0</v>
      </c>
      <c r="J140" s="5">
        <v>0</v>
      </c>
      <c r="K140" s="6">
        <f t="shared" si="9"/>
        <v>0</v>
      </c>
      <c r="L140" s="2">
        <v>0</v>
      </c>
      <c r="M140" s="3"/>
      <c r="N140" s="4" t="str">
        <f t="shared" si="10"/>
        <v/>
      </c>
      <c r="O140" s="3"/>
      <c r="P140" s="4" t="str">
        <f t="shared" si="11"/>
        <v/>
      </c>
    </row>
    <row r="141" spans="1:16">
      <c r="A141" s="2" t="s">
        <v>218</v>
      </c>
      <c r="B141" s="2"/>
      <c r="C141" s="2">
        <v>20</v>
      </c>
      <c r="D141" s="2">
        <v>5</v>
      </c>
      <c r="E141" s="5">
        <v>1.6999999999999999E-3</v>
      </c>
      <c r="F141" s="2">
        <v>70</v>
      </c>
      <c r="G141" s="2">
        <v>14</v>
      </c>
      <c r="H141" s="2">
        <v>0</v>
      </c>
      <c r="I141" s="2">
        <v>0</v>
      </c>
      <c r="J141" s="5">
        <v>0</v>
      </c>
      <c r="K141" s="6">
        <f t="shared" ref="K141:K172" si="12">IF(F141=0,"",H141/F141)</f>
        <v>0</v>
      </c>
      <c r="L141" s="2">
        <v>0</v>
      </c>
      <c r="M141" s="3"/>
      <c r="N141" s="4" t="str">
        <f t="shared" ref="N141:N172" si="13">IF(OR(M141="",M141=0),"",H141/M141)</f>
        <v/>
      </c>
      <c r="O141" s="3"/>
      <c r="P141" s="4" t="str">
        <f t="shared" ref="P141:P172" si="14">IF(OR(O141="",O141=0),"",F141/O141)</f>
        <v/>
      </c>
    </row>
    <row r="142" spans="1:16">
      <c r="A142" s="2" t="s">
        <v>219</v>
      </c>
      <c r="B142" s="2" t="s">
        <v>220</v>
      </c>
      <c r="C142" s="2">
        <v>20</v>
      </c>
      <c r="D142" s="2">
        <v>5</v>
      </c>
      <c r="E142" s="5">
        <v>1E-4</v>
      </c>
      <c r="F142" s="2">
        <v>70</v>
      </c>
      <c r="G142" s="2">
        <v>14</v>
      </c>
      <c r="H142" s="2">
        <v>0</v>
      </c>
      <c r="I142" s="2">
        <v>0</v>
      </c>
      <c r="J142" s="5">
        <v>0</v>
      </c>
      <c r="K142" s="6">
        <f t="shared" si="12"/>
        <v>0</v>
      </c>
      <c r="L142" s="2">
        <v>0</v>
      </c>
      <c r="M142" s="3">
        <v>3480</v>
      </c>
      <c r="N142" s="4">
        <f t="shared" si="13"/>
        <v>0</v>
      </c>
      <c r="O142" s="3">
        <v>1398</v>
      </c>
      <c r="P142" s="4">
        <f t="shared" si="14"/>
        <v>5.007153075822604E-2</v>
      </c>
    </row>
    <row r="143" spans="1:16">
      <c r="A143" s="2" t="s">
        <v>221</v>
      </c>
      <c r="B143" s="2" t="s">
        <v>222</v>
      </c>
      <c r="C143" s="2">
        <v>20</v>
      </c>
      <c r="D143" s="2">
        <v>7</v>
      </c>
      <c r="E143" s="5">
        <v>8.0000000000000004E-4</v>
      </c>
      <c r="F143" s="2">
        <v>70</v>
      </c>
      <c r="G143" s="2">
        <v>10</v>
      </c>
      <c r="H143" s="2">
        <v>0</v>
      </c>
      <c r="I143" s="2">
        <v>0</v>
      </c>
      <c r="J143" s="5">
        <v>0</v>
      </c>
      <c r="K143" s="6">
        <f t="shared" si="12"/>
        <v>0</v>
      </c>
      <c r="L143" s="2">
        <v>0</v>
      </c>
      <c r="M143" s="3">
        <v>3980</v>
      </c>
      <c r="N143" s="4">
        <f t="shared" si="13"/>
        <v>0</v>
      </c>
      <c r="O143" s="3">
        <v>965</v>
      </c>
      <c r="P143" s="4">
        <f t="shared" si="14"/>
        <v>7.2538860103626937E-2</v>
      </c>
    </row>
    <row r="144" spans="1:16">
      <c r="A144" s="2" t="s">
        <v>223</v>
      </c>
      <c r="B144" s="2" t="s">
        <v>224</v>
      </c>
      <c r="C144" s="2">
        <v>20</v>
      </c>
      <c r="D144" s="2">
        <v>4</v>
      </c>
      <c r="E144" s="5">
        <v>8.0000000000000004E-4</v>
      </c>
      <c r="F144" s="2">
        <v>70</v>
      </c>
      <c r="G144" s="2">
        <v>18</v>
      </c>
      <c r="H144" s="2">
        <v>0</v>
      </c>
      <c r="I144" s="2">
        <v>0</v>
      </c>
      <c r="J144" s="5">
        <v>0</v>
      </c>
      <c r="K144" s="6">
        <f t="shared" si="12"/>
        <v>0</v>
      </c>
      <c r="L144" s="2">
        <v>0</v>
      </c>
      <c r="M144" s="3">
        <v>2400</v>
      </c>
      <c r="N144" s="4">
        <f t="shared" si="13"/>
        <v>0</v>
      </c>
      <c r="O144" s="3">
        <v>820</v>
      </c>
      <c r="P144" s="4">
        <f t="shared" si="14"/>
        <v>8.5365853658536592E-2</v>
      </c>
    </row>
    <row r="145" spans="1:16">
      <c r="A145" s="2" t="s">
        <v>225</v>
      </c>
      <c r="B145" s="2" t="s">
        <v>226</v>
      </c>
      <c r="C145" s="2">
        <v>24</v>
      </c>
      <c r="D145" s="2">
        <v>4</v>
      </c>
      <c r="E145" s="5">
        <v>1.7500000000000002E-2</v>
      </c>
      <c r="F145" s="2">
        <v>68</v>
      </c>
      <c r="G145" s="2">
        <v>17</v>
      </c>
      <c r="H145" s="2">
        <v>0</v>
      </c>
      <c r="I145" s="2">
        <v>0</v>
      </c>
      <c r="J145" s="5">
        <v>0</v>
      </c>
      <c r="K145" s="6">
        <f t="shared" si="12"/>
        <v>0</v>
      </c>
      <c r="L145" s="2">
        <v>0</v>
      </c>
      <c r="M145" s="3">
        <v>2780</v>
      </c>
      <c r="N145" s="4">
        <f t="shared" si="13"/>
        <v>0</v>
      </c>
      <c r="O145" s="3">
        <v>673</v>
      </c>
      <c r="P145" s="4">
        <f t="shared" si="14"/>
        <v>0.10104011887072809</v>
      </c>
    </row>
    <row r="146" spans="1:16">
      <c r="A146" s="2" t="s">
        <v>227</v>
      </c>
      <c r="B146" s="2"/>
      <c r="C146" s="2">
        <v>20</v>
      </c>
      <c r="D146" s="2">
        <v>4</v>
      </c>
      <c r="E146" s="5">
        <v>1E-4</v>
      </c>
      <c r="F146" s="2">
        <v>63</v>
      </c>
      <c r="G146" s="2">
        <v>16</v>
      </c>
      <c r="H146" s="2">
        <v>0</v>
      </c>
      <c r="I146" s="2">
        <v>0</v>
      </c>
      <c r="J146" s="5">
        <v>0</v>
      </c>
      <c r="K146" s="6">
        <f t="shared" si="12"/>
        <v>0</v>
      </c>
      <c r="L146" s="2">
        <v>0</v>
      </c>
      <c r="M146" s="3"/>
      <c r="N146" s="4" t="str">
        <f t="shared" si="13"/>
        <v/>
      </c>
      <c r="O146" s="3"/>
      <c r="P146" s="4" t="str">
        <f t="shared" si="14"/>
        <v/>
      </c>
    </row>
    <row r="147" spans="1:16">
      <c r="A147" s="2" t="s">
        <v>228</v>
      </c>
      <c r="B147" s="2"/>
      <c r="C147" s="2">
        <v>20</v>
      </c>
      <c r="D147" s="2">
        <v>3</v>
      </c>
      <c r="E147" s="5">
        <v>3.5000000000000001E-3</v>
      </c>
      <c r="F147" s="2">
        <v>60</v>
      </c>
      <c r="G147" s="2">
        <v>20</v>
      </c>
      <c r="H147" s="2">
        <v>0</v>
      </c>
      <c r="I147" s="2">
        <v>0</v>
      </c>
      <c r="J147" s="5">
        <v>0</v>
      </c>
      <c r="K147" s="6">
        <f t="shared" si="12"/>
        <v>0</v>
      </c>
      <c r="L147" s="2">
        <v>0</v>
      </c>
      <c r="M147" s="3"/>
      <c r="N147" s="4" t="str">
        <f t="shared" si="13"/>
        <v/>
      </c>
      <c r="O147" s="3"/>
      <c r="P147" s="4" t="str">
        <f t="shared" si="14"/>
        <v/>
      </c>
    </row>
    <row r="148" spans="1:16">
      <c r="A148" s="2" t="s">
        <v>229</v>
      </c>
      <c r="B148" s="2"/>
      <c r="C148" s="2">
        <v>20</v>
      </c>
      <c r="D148" s="2">
        <v>3</v>
      </c>
      <c r="E148" s="5">
        <v>0.2142</v>
      </c>
      <c r="F148" s="2">
        <v>60</v>
      </c>
      <c r="G148" s="2">
        <v>20</v>
      </c>
      <c r="H148" s="2">
        <v>0</v>
      </c>
      <c r="I148" s="2">
        <v>0</v>
      </c>
      <c r="J148" s="5">
        <v>0</v>
      </c>
      <c r="K148" s="6">
        <f t="shared" si="12"/>
        <v>0</v>
      </c>
      <c r="L148" s="2">
        <v>0</v>
      </c>
      <c r="M148" s="3"/>
      <c r="N148" s="4" t="str">
        <f t="shared" si="13"/>
        <v/>
      </c>
      <c r="O148" s="3"/>
      <c r="P148" s="4" t="str">
        <f t="shared" si="14"/>
        <v/>
      </c>
    </row>
    <row r="149" spans="1:16">
      <c r="A149" s="2" t="s">
        <v>230</v>
      </c>
      <c r="B149" s="2" t="s">
        <v>231</v>
      </c>
      <c r="C149" s="2">
        <v>20</v>
      </c>
      <c r="D149" s="2">
        <v>3</v>
      </c>
      <c r="E149" s="5">
        <v>4.4000000000000003E-3</v>
      </c>
      <c r="F149" s="2">
        <v>60</v>
      </c>
      <c r="G149" s="2">
        <v>20</v>
      </c>
      <c r="H149" s="2">
        <v>0</v>
      </c>
      <c r="I149" s="2">
        <v>0</v>
      </c>
      <c r="J149" s="5">
        <v>0</v>
      </c>
      <c r="K149" s="6">
        <f t="shared" si="12"/>
        <v>0</v>
      </c>
      <c r="L149" s="2">
        <v>0</v>
      </c>
      <c r="M149" s="3">
        <v>3960</v>
      </c>
      <c r="N149" s="4">
        <f t="shared" si="13"/>
        <v>0</v>
      </c>
      <c r="O149" s="3">
        <v>1370</v>
      </c>
      <c r="P149" s="4">
        <f t="shared" si="14"/>
        <v>4.3795620437956206E-2</v>
      </c>
    </row>
    <row r="150" spans="1:16">
      <c r="A150" s="2" t="s">
        <v>232</v>
      </c>
      <c r="B150" s="2"/>
      <c r="C150" s="2">
        <v>20</v>
      </c>
      <c r="D150" s="2">
        <v>5</v>
      </c>
      <c r="E150" s="5">
        <v>1E-4</v>
      </c>
      <c r="F150" s="2">
        <v>60</v>
      </c>
      <c r="G150" s="2">
        <v>12</v>
      </c>
      <c r="H150" s="2">
        <v>0</v>
      </c>
      <c r="I150" s="2">
        <v>0</v>
      </c>
      <c r="J150" s="5">
        <v>0</v>
      </c>
      <c r="K150" s="6">
        <f t="shared" si="12"/>
        <v>0</v>
      </c>
      <c r="L150" s="2">
        <v>0</v>
      </c>
      <c r="M150" s="3"/>
      <c r="N150" s="4" t="str">
        <f t="shared" si="13"/>
        <v/>
      </c>
      <c r="O150" s="3"/>
      <c r="P150" s="4" t="str">
        <f t="shared" si="14"/>
        <v/>
      </c>
    </row>
    <row r="151" spans="1:16">
      <c r="A151" s="2" t="s">
        <v>233</v>
      </c>
      <c r="B151" s="2"/>
      <c r="C151" s="2">
        <v>20</v>
      </c>
      <c r="D151" s="2">
        <v>3</v>
      </c>
      <c r="E151" s="5">
        <v>7.4000000000000003E-3</v>
      </c>
      <c r="F151" s="2">
        <v>60</v>
      </c>
      <c r="G151" s="2">
        <v>20</v>
      </c>
      <c r="H151" s="2">
        <v>0</v>
      </c>
      <c r="I151" s="2">
        <v>0</v>
      </c>
      <c r="J151" s="5">
        <v>0</v>
      </c>
      <c r="K151" s="6">
        <f t="shared" si="12"/>
        <v>0</v>
      </c>
      <c r="L151" s="2">
        <v>0</v>
      </c>
      <c r="M151" s="3"/>
      <c r="N151" s="4" t="str">
        <f t="shared" si="13"/>
        <v/>
      </c>
      <c r="O151" s="3"/>
      <c r="P151" s="4" t="str">
        <f t="shared" si="14"/>
        <v/>
      </c>
    </row>
    <row r="152" spans="1:16">
      <c r="A152" s="2" t="s">
        <v>234</v>
      </c>
      <c r="B152" s="2"/>
      <c r="C152" s="2">
        <v>20</v>
      </c>
      <c r="D152" s="2">
        <v>3</v>
      </c>
      <c r="E152" s="5">
        <v>3.7499999999999999E-2</v>
      </c>
      <c r="F152" s="2">
        <v>60</v>
      </c>
      <c r="G152" s="2">
        <v>20</v>
      </c>
      <c r="H152" s="2">
        <v>0</v>
      </c>
      <c r="I152" s="2">
        <v>0</v>
      </c>
      <c r="J152" s="5">
        <v>0</v>
      </c>
      <c r="K152" s="6">
        <f t="shared" si="12"/>
        <v>0</v>
      </c>
      <c r="L152" s="2">
        <v>0</v>
      </c>
      <c r="M152" s="3"/>
      <c r="N152" s="4" t="str">
        <f t="shared" si="13"/>
        <v/>
      </c>
      <c r="O152" s="3"/>
      <c r="P152" s="4" t="str">
        <f t="shared" si="14"/>
        <v/>
      </c>
    </row>
    <row r="153" spans="1:16">
      <c r="A153" s="2" t="s">
        <v>235</v>
      </c>
      <c r="B153" s="2"/>
      <c r="C153" s="2">
        <v>20</v>
      </c>
      <c r="D153" s="2">
        <v>5</v>
      </c>
      <c r="E153" s="5">
        <v>3.0000000000000001E-3</v>
      </c>
      <c r="F153" s="2">
        <v>60</v>
      </c>
      <c r="G153" s="2">
        <v>12</v>
      </c>
      <c r="H153" s="2">
        <v>0</v>
      </c>
      <c r="I153" s="2">
        <v>0</v>
      </c>
      <c r="J153" s="5">
        <v>0</v>
      </c>
      <c r="K153" s="6">
        <f t="shared" si="12"/>
        <v>0</v>
      </c>
      <c r="L153" s="2">
        <v>0</v>
      </c>
      <c r="M153" s="3"/>
      <c r="N153" s="4" t="str">
        <f t="shared" si="13"/>
        <v/>
      </c>
      <c r="O153" s="3"/>
      <c r="P153" s="4" t="str">
        <f t="shared" si="14"/>
        <v/>
      </c>
    </row>
    <row r="154" spans="1:16">
      <c r="A154" s="2" t="s">
        <v>236</v>
      </c>
      <c r="B154" s="2"/>
      <c r="C154" s="2">
        <v>20</v>
      </c>
      <c r="D154" s="2">
        <v>3</v>
      </c>
      <c r="E154" s="5">
        <v>0</v>
      </c>
      <c r="F154" s="2">
        <v>60</v>
      </c>
      <c r="G154" s="2">
        <v>20</v>
      </c>
      <c r="H154" s="2">
        <v>0</v>
      </c>
      <c r="I154" s="2">
        <v>0</v>
      </c>
      <c r="J154" s="5">
        <v>0</v>
      </c>
      <c r="K154" s="6">
        <f t="shared" si="12"/>
        <v>0</v>
      </c>
      <c r="L154" s="2">
        <v>0</v>
      </c>
      <c r="M154" s="3"/>
      <c r="N154" s="4" t="str">
        <f t="shared" si="13"/>
        <v/>
      </c>
      <c r="O154" s="3"/>
      <c r="P154" s="4" t="str">
        <f t="shared" si="14"/>
        <v/>
      </c>
    </row>
    <row r="155" spans="1:16">
      <c r="A155" s="2" t="s">
        <v>237</v>
      </c>
      <c r="B155" s="2"/>
      <c r="C155" s="2">
        <v>20</v>
      </c>
      <c r="D155" s="2">
        <v>5</v>
      </c>
      <c r="E155" s="5">
        <v>2.9999999999999997E-4</v>
      </c>
      <c r="F155" s="2">
        <v>60</v>
      </c>
      <c r="G155" s="2">
        <v>12</v>
      </c>
      <c r="H155" s="2">
        <v>0</v>
      </c>
      <c r="I155" s="2">
        <v>0</v>
      </c>
      <c r="J155" s="5">
        <v>0</v>
      </c>
      <c r="K155" s="6">
        <f t="shared" si="12"/>
        <v>0</v>
      </c>
      <c r="L155" s="2">
        <v>0</v>
      </c>
      <c r="M155" s="3"/>
      <c r="N155" s="4" t="str">
        <f t="shared" si="13"/>
        <v/>
      </c>
      <c r="O155" s="3"/>
      <c r="P155" s="4" t="str">
        <f t="shared" si="14"/>
        <v/>
      </c>
    </row>
    <row r="156" spans="1:16">
      <c r="A156" s="2" t="s">
        <v>238</v>
      </c>
      <c r="B156" s="2"/>
      <c r="C156" s="2">
        <v>20</v>
      </c>
      <c r="D156" s="2">
        <v>5</v>
      </c>
      <c r="E156" s="5">
        <v>0</v>
      </c>
      <c r="F156" s="2">
        <v>50</v>
      </c>
      <c r="G156" s="2">
        <v>10</v>
      </c>
      <c r="H156" s="2">
        <v>0</v>
      </c>
      <c r="I156" s="2">
        <v>0</v>
      </c>
      <c r="J156" s="5">
        <v>0</v>
      </c>
      <c r="K156" s="6">
        <f t="shared" si="12"/>
        <v>0</v>
      </c>
      <c r="L156" s="2">
        <v>0</v>
      </c>
      <c r="M156" s="3"/>
      <c r="N156" s="4" t="str">
        <f t="shared" si="13"/>
        <v/>
      </c>
      <c r="O156" s="3"/>
      <c r="P156" s="4" t="str">
        <f t="shared" si="14"/>
        <v/>
      </c>
    </row>
    <row r="157" spans="1:16">
      <c r="A157" s="2" t="s">
        <v>239</v>
      </c>
      <c r="B157" s="2"/>
      <c r="C157" s="2">
        <v>20</v>
      </c>
      <c r="D157" s="2">
        <v>3</v>
      </c>
      <c r="E157" s="5">
        <v>6.1999999999999998E-3</v>
      </c>
      <c r="F157" s="2">
        <v>50</v>
      </c>
      <c r="G157" s="2">
        <v>17</v>
      </c>
      <c r="H157" s="2">
        <v>0</v>
      </c>
      <c r="I157" s="2">
        <v>0</v>
      </c>
      <c r="J157" s="5">
        <v>0</v>
      </c>
      <c r="K157" s="6">
        <f t="shared" si="12"/>
        <v>0</v>
      </c>
      <c r="L157" s="2">
        <v>0</v>
      </c>
      <c r="M157" s="3"/>
      <c r="N157" s="4" t="str">
        <f t="shared" si="13"/>
        <v/>
      </c>
      <c r="O157" s="3"/>
      <c r="P157" s="4" t="str">
        <f t="shared" si="14"/>
        <v/>
      </c>
    </row>
    <row r="158" spans="1:16">
      <c r="A158" s="2" t="s">
        <v>240</v>
      </c>
      <c r="B158" s="2"/>
      <c r="C158" s="2">
        <v>20</v>
      </c>
      <c r="D158" s="2">
        <v>3</v>
      </c>
      <c r="E158" s="5">
        <v>2.9999999999999997E-4</v>
      </c>
      <c r="F158" s="2">
        <v>50</v>
      </c>
      <c r="G158" s="2">
        <v>17</v>
      </c>
      <c r="H158" s="2">
        <v>0</v>
      </c>
      <c r="I158" s="2">
        <v>0</v>
      </c>
      <c r="J158" s="5">
        <v>0</v>
      </c>
      <c r="K158" s="6">
        <f t="shared" si="12"/>
        <v>0</v>
      </c>
      <c r="L158" s="2">
        <v>0</v>
      </c>
      <c r="M158" s="3"/>
      <c r="N158" s="4" t="str">
        <f t="shared" si="13"/>
        <v/>
      </c>
      <c r="O158" s="3"/>
      <c r="P158" s="4" t="str">
        <f t="shared" si="14"/>
        <v/>
      </c>
    </row>
    <row r="159" spans="1:16">
      <c r="A159" s="2" t="s">
        <v>241</v>
      </c>
      <c r="B159" s="2" t="s">
        <v>242</v>
      </c>
      <c r="C159" s="2">
        <v>20</v>
      </c>
      <c r="D159" s="2">
        <v>3</v>
      </c>
      <c r="E159" s="5">
        <v>5.5000000000000014E-3</v>
      </c>
      <c r="F159" s="2">
        <v>50</v>
      </c>
      <c r="G159" s="2">
        <v>17</v>
      </c>
      <c r="H159" s="2">
        <v>2180</v>
      </c>
      <c r="I159" s="2">
        <v>1</v>
      </c>
      <c r="J159" s="5">
        <v>0.33329999999999999</v>
      </c>
      <c r="K159" s="6">
        <f t="shared" si="12"/>
        <v>43.6</v>
      </c>
      <c r="L159" s="2">
        <v>2180</v>
      </c>
      <c r="M159" s="3">
        <v>6540</v>
      </c>
      <c r="N159" s="4">
        <f t="shared" si="13"/>
        <v>0.33333333333333331</v>
      </c>
      <c r="O159" s="3">
        <v>2169</v>
      </c>
      <c r="P159" s="4">
        <f t="shared" si="14"/>
        <v>2.3052097740894423E-2</v>
      </c>
    </row>
    <row r="160" spans="1:16">
      <c r="A160" s="2" t="s">
        <v>243</v>
      </c>
      <c r="B160" s="2"/>
      <c r="C160" s="2">
        <v>20</v>
      </c>
      <c r="D160" s="2">
        <v>3</v>
      </c>
      <c r="E160" s="5">
        <v>1.5E-3</v>
      </c>
      <c r="F160" s="2">
        <v>50</v>
      </c>
      <c r="G160" s="2">
        <v>17</v>
      </c>
      <c r="H160" s="2">
        <v>0</v>
      </c>
      <c r="I160" s="2">
        <v>0</v>
      </c>
      <c r="J160" s="5">
        <v>0</v>
      </c>
      <c r="K160" s="6">
        <f t="shared" si="12"/>
        <v>0</v>
      </c>
      <c r="L160" s="2">
        <v>0</v>
      </c>
      <c r="M160" s="3"/>
      <c r="N160" s="4" t="str">
        <f t="shared" si="13"/>
        <v/>
      </c>
      <c r="O160" s="3"/>
      <c r="P160" s="4" t="str">
        <f t="shared" si="14"/>
        <v/>
      </c>
    </row>
    <row r="161" spans="1:16">
      <c r="A161" s="2" t="s">
        <v>244</v>
      </c>
      <c r="B161" s="2"/>
      <c r="C161" s="2">
        <v>20</v>
      </c>
      <c r="D161" s="2">
        <v>5</v>
      </c>
      <c r="E161" s="5">
        <v>2.5000000000000001E-3</v>
      </c>
      <c r="F161" s="2">
        <v>50</v>
      </c>
      <c r="G161" s="2">
        <v>10</v>
      </c>
      <c r="H161" s="2">
        <v>0</v>
      </c>
      <c r="I161" s="2">
        <v>0</v>
      </c>
      <c r="J161" s="5">
        <v>0</v>
      </c>
      <c r="K161" s="6">
        <f t="shared" si="12"/>
        <v>0</v>
      </c>
      <c r="L161" s="2">
        <v>0</v>
      </c>
      <c r="M161" s="3"/>
      <c r="N161" s="4" t="str">
        <f t="shared" si="13"/>
        <v/>
      </c>
      <c r="O161" s="3"/>
      <c r="P161" s="4" t="str">
        <f t="shared" si="14"/>
        <v/>
      </c>
    </row>
    <row r="162" spans="1:16">
      <c r="A162" s="2" t="s">
        <v>245</v>
      </c>
      <c r="B162" s="2"/>
      <c r="C162" s="2">
        <v>20</v>
      </c>
      <c r="D162" s="2">
        <v>4</v>
      </c>
      <c r="E162" s="5">
        <v>0</v>
      </c>
      <c r="F162" s="2">
        <v>45</v>
      </c>
      <c r="G162" s="2">
        <v>12</v>
      </c>
      <c r="H162" s="2">
        <v>0</v>
      </c>
      <c r="I162" s="2">
        <v>0</v>
      </c>
      <c r="J162" s="5">
        <v>0</v>
      </c>
      <c r="K162" s="6">
        <f t="shared" si="12"/>
        <v>0</v>
      </c>
      <c r="L162" s="2">
        <v>0</v>
      </c>
      <c r="M162" s="3"/>
      <c r="N162" s="4" t="str">
        <f t="shared" si="13"/>
        <v/>
      </c>
      <c r="O162" s="3"/>
      <c r="P162" s="4" t="str">
        <f t="shared" si="14"/>
        <v/>
      </c>
    </row>
    <row r="163" spans="1:16">
      <c r="A163" s="2" t="s">
        <v>246</v>
      </c>
      <c r="B163" s="2"/>
      <c r="C163" s="2">
        <v>20</v>
      </c>
      <c r="D163" s="2">
        <v>2</v>
      </c>
      <c r="E163" s="5">
        <v>5.0000000000000001E-4</v>
      </c>
      <c r="F163" s="2">
        <v>40</v>
      </c>
      <c r="G163" s="2">
        <v>20</v>
      </c>
      <c r="H163" s="2">
        <v>0</v>
      </c>
      <c r="I163" s="2">
        <v>0</v>
      </c>
      <c r="J163" s="5">
        <v>0</v>
      </c>
      <c r="K163" s="6">
        <f t="shared" si="12"/>
        <v>0</v>
      </c>
      <c r="L163" s="2">
        <v>0</v>
      </c>
      <c r="M163" s="3"/>
      <c r="N163" s="4" t="str">
        <f t="shared" si="13"/>
        <v/>
      </c>
      <c r="O163" s="3"/>
      <c r="P163" s="4" t="str">
        <f t="shared" si="14"/>
        <v/>
      </c>
    </row>
    <row r="164" spans="1:16">
      <c r="A164" s="2" t="s">
        <v>247</v>
      </c>
      <c r="B164" s="2"/>
      <c r="C164" s="2">
        <v>20</v>
      </c>
      <c r="D164" s="2">
        <v>2</v>
      </c>
      <c r="E164" s="5">
        <v>4.0999999999999986E-3</v>
      </c>
      <c r="F164" s="2">
        <v>40</v>
      </c>
      <c r="G164" s="2">
        <v>20</v>
      </c>
      <c r="H164" s="2">
        <v>0</v>
      </c>
      <c r="I164" s="2">
        <v>0</v>
      </c>
      <c r="J164" s="5">
        <v>0</v>
      </c>
      <c r="K164" s="6">
        <f t="shared" si="12"/>
        <v>0</v>
      </c>
      <c r="L164" s="2">
        <v>0</v>
      </c>
      <c r="M164" s="3"/>
      <c r="N164" s="4" t="str">
        <f t="shared" si="13"/>
        <v/>
      </c>
      <c r="O164" s="3"/>
      <c r="P164" s="4" t="str">
        <f t="shared" si="14"/>
        <v/>
      </c>
    </row>
    <row r="165" spans="1:16">
      <c r="A165" s="2" t="s">
        <v>248</v>
      </c>
      <c r="B165" s="2" t="s">
        <v>249</v>
      </c>
      <c r="C165" s="2">
        <v>20</v>
      </c>
      <c r="D165" s="2">
        <v>2</v>
      </c>
      <c r="E165" s="5">
        <v>2.0000000000000001E-4</v>
      </c>
      <c r="F165" s="2">
        <v>40</v>
      </c>
      <c r="G165" s="2">
        <v>20</v>
      </c>
      <c r="H165" s="2">
        <v>0</v>
      </c>
      <c r="I165" s="2">
        <v>0</v>
      </c>
      <c r="J165" s="5">
        <v>0</v>
      </c>
      <c r="K165" s="6">
        <f t="shared" si="12"/>
        <v>0</v>
      </c>
      <c r="L165" s="2">
        <v>0</v>
      </c>
      <c r="M165" s="3">
        <v>9180</v>
      </c>
      <c r="N165" s="4">
        <f t="shared" si="13"/>
        <v>0</v>
      </c>
      <c r="O165" s="3">
        <v>1823</v>
      </c>
      <c r="P165" s="4">
        <f t="shared" si="14"/>
        <v>2.1941854086670324E-2</v>
      </c>
    </row>
    <row r="166" spans="1:16">
      <c r="A166" s="2" t="s">
        <v>250</v>
      </c>
      <c r="B166" s="2" t="s">
        <v>251</v>
      </c>
      <c r="C166" s="2">
        <v>20</v>
      </c>
      <c r="D166" s="2">
        <v>2</v>
      </c>
      <c r="E166" s="5">
        <v>0</v>
      </c>
      <c r="F166" s="2">
        <v>40</v>
      </c>
      <c r="G166" s="2">
        <v>20</v>
      </c>
      <c r="H166" s="2">
        <v>4960</v>
      </c>
      <c r="I166" s="2">
        <v>1</v>
      </c>
      <c r="J166" s="5">
        <v>0.5</v>
      </c>
      <c r="K166" s="6">
        <f t="shared" si="12"/>
        <v>124</v>
      </c>
      <c r="L166" s="2">
        <v>0</v>
      </c>
      <c r="M166" s="3">
        <v>4960</v>
      </c>
      <c r="N166" s="4">
        <f t="shared" si="13"/>
        <v>1</v>
      </c>
      <c r="O166" s="3">
        <v>276</v>
      </c>
      <c r="P166" s="4">
        <f t="shared" si="14"/>
        <v>0.14492753623188406</v>
      </c>
    </row>
    <row r="167" spans="1:16">
      <c r="A167" s="2" t="s">
        <v>252</v>
      </c>
      <c r="B167" s="2" t="s">
        <v>253</v>
      </c>
      <c r="C167" s="2">
        <v>20</v>
      </c>
      <c r="D167" s="2">
        <v>3</v>
      </c>
      <c r="E167" s="5">
        <v>2.12E-2</v>
      </c>
      <c r="F167" s="2">
        <v>40</v>
      </c>
      <c r="G167" s="2">
        <v>14</v>
      </c>
      <c r="H167" s="2">
        <v>0</v>
      </c>
      <c r="I167" s="2">
        <v>0</v>
      </c>
      <c r="J167" s="5">
        <v>0</v>
      </c>
      <c r="K167" s="6">
        <f t="shared" si="12"/>
        <v>0</v>
      </c>
      <c r="L167" s="2">
        <v>0</v>
      </c>
      <c r="M167" s="3">
        <v>1680</v>
      </c>
      <c r="N167" s="4">
        <f t="shared" si="13"/>
        <v>0</v>
      </c>
      <c r="O167" s="3">
        <v>486</v>
      </c>
      <c r="P167" s="4">
        <f t="shared" si="14"/>
        <v>8.2304526748971193E-2</v>
      </c>
    </row>
    <row r="168" spans="1:16">
      <c r="A168" s="2" t="s">
        <v>254</v>
      </c>
      <c r="B168" s="2"/>
      <c r="C168" s="2">
        <v>20</v>
      </c>
      <c r="D168" s="2">
        <v>2</v>
      </c>
      <c r="E168" s="5">
        <v>9.5999999999999992E-3</v>
      </c>
      <c r="F168" s="2">
        <v>40</v>
      </c>
      <c r="G168" s="2">
        <v>20</v>
      </c>
      <c r="H168" s="2">
        <v>0</v>
      </c>
      <c r="I168" s="2">
        <v>0</v>
      </c>
      <c r="J168" s="5">
        <v>0</v>
      </c>
      <c r="K168" s="6">
        <f t="shared" si="12"/>
        <v>0</v>
      </c>
      <c r="L168" s="2">
        <v>0</v>
      </c>
      <c r="M168" s="3"/>
      <c r="N168" s="4" t="str">
        <f t="shared" si="13"/>
        <v/>
      </c>
      <c r="O168" s="3"/>
      <c r="P168" s="4" t="str">
        <f t="shared" si="14"/>
        <v/>
      </c>
    </row>
    <row r="169" spans="1:16">
      <c r="A169" s="2" t="s">
        <v>255</v>
      </c>
      <c r="B169" s="2" t="s">
        <v>256</v>
      </c>
      <c r="C169" s="2">
        <v>20</v>
      </c>
      <c r="D169" s="2">
        <v>2</v>
      </c>
      <c r="E169" s="5">
        <v>1E-4</v>
      </c>
      <c r="F169" s="2">
        <v>40</v>
      </c>
      <c r="G169" s="2">
        <v>20</v>
      </c>
      <c r="H169" s="2">
        <v>0</v>
      </c>
      <c r="I169" s="2">
        <v>0</v>
      </c>
      <c r="J169" s="5">
        <v>0</v>
      </c>
      <c r="K169" s="6">
        <f t="shared" si="12"/>
        <v>0</v>
      </c>
      <c r="L169" s="2">
        <v>0</v>
      </c>
      <c r="M169" s="3">
        <v>1980</v>
      </c>
      <c r="N169" s="4">
        <f t="shared" si="13"/>
        <v>0</v>
      </c>
      <c r="O169" s="3">
        <v>1245</v>
      </c>
      <c r="P169" s="4">
        <f t="shared" si="14"/>
        <v>3.2128514056224897E-2</v>
      </c>
    </row>
    <row r="170" spans="1:16">
      <c r="A170" s="2" t="s">
        <v>257</v>
      </c>
      <c r="B170" s="2"/>
      <c r="C170" s="2">
        <v>20</v>
      </c>
      <c r="D170" s="2">
        <v>2</v>
      </c>
      <c r="E170" s="5">
        <v>0</v>
      </c>
      <c r="F170" s="2">
        <v>40</v>
      </c>
      <c r="G170" s="2">
        <v>20</v>
      </c>
      <c r="H170" s="2">
        <v>0</v>
      </c>
      <c r="I170" s="2">
        <v>0</v>
      </c>
      <c r="J170" s="5">
        <v>0</v>
      </c>
      <c r="K170" s="6">
        <f t="shared" si="12"/>
        <v>0</v>
      </c>
      <c r="L170" s="2">
        <v>0</v>
      </c>
      <c r="M170" s="3"/>
      <c r="N170" s="4" t="str">
        <f t="shared" si="13"/>
        <v/>
      </c>
      <c r="O170" s="3"/>
      <c r="P170" s="4" t="str">
        <f t="shared" si="14"/>
        <v/>
      </c>
    </row>
    <row r="171" spans="1:16">
      <c r="A171" s="2" t="s">
        <v>258</v>
      </c>
      <c r="B171" s="2"/>
      <c r="C171" s="2">
        <v>20</v>
      </c>
      <c r="D171" s="2">
        <v>2</v>
      </c>
      <c r="E171" s="5">
        <v>1E-4</v>
      </c>
      <c r="F171" s="2">
        <v>40</v>
      </c>
      <c r="G171" s="2">
        <v>20</v>
      </c>
      <c r="H171" s="2">
        <v>0</v>
      </c>
      <c r="I171" s="2">
        <v>0</v>
      </c>
      <c r="J171" s="5">
        <v>0</v>
      </c>
      <c r="K171" s="6">
        <f t="shared" si="12"/>
        <v>0</v>
      </c>
      <c r="L171" s="2">
        <v>0</v>
      </c>
      <c r="M171" s="3"/>
      <c r="N171" s="4" t="str">
        <f t="shared" si="13"/>
        <v/>
      </c>
      <c r="O171" s="3"/>
      <c r="P171" s="4" t="str">
        <f t="shared" si="14"/>
        <v/>
      </c>
    </row>
    <row r="172" spans="1:16">
      <c r="A172" s="2" t="s">
        <v>259</v>
      </c>
      <c r="B172" s="2"/>
      <c r="C172" s="2">
        <v>20</v>
      </c>
      <c r="D172" s="2">
        <v>3</v>
      </c>
      <c r="E172" s="5">
        <v>0</v>
      </c>
      <c r="F172" s="2">
        <v>40</v>
      </c>
      <c r="G172" s="2">
        <v>14</v>
      </c>
      <c r="H172" s="2">
        <v>0</v>
      </c>
      <c r="I172" s="2">
        <v>0</v>
      </c>
      <c r="J172" s="5">
        <v>0</v>
      </c>
      <c r="K172" s="6">
        <f t="shared" si="12"/>
        <v>0</v>
      </c>
      <c r="L172" s="2">
        <v>0</v>
      </c>
      <c r="M172" s="3"/>
      <c r="N172" s="4" t="str">
        <f t="shared" si="13"/>
        <v/>
      </c>
      <c r="O172" s="3"/>
      <c r="P172" s="4" t="str">
        <f t="shared" si="14"/>
        <v/>
      </c>
    </row>
    <row r="173" spans="1:16">
      <c r="A173" s="2" t="s">
        <v>260</v>
      </c>
      <c r="B173" s="2" t="s">
        <v>261</v>
      </c>
      <c r="C173" s="2">
        <v>20</v>
      </c>
      <c r="D173" s="2">
        <v>3</v>
      </c>
      <c r="E173" s="5">
        <v>4.3E-3</v>
      </c>
      <c r="F173" s="2">
        <v>30</v>
      </c>
      <c r="G173" s="2">
        <v>10</v>
      </c>
      <c r="H173" s="2">
        <v>0</v>
      </c>
      <c r="I173" s="2">
        <v>0</v>
      </c>
      <c r="J173" s="5">
        <v>0</v>
      </c>
      <c r="K173" s="6">
        <f t="shared" ref="K173:K204" si="15">IF(F173=0,"",H173/F173)</f>
        <v>0</v>
      </c>
      <c r="L173" s="2">
        <v>0</v>
      </c>
      <c r="M173" s="3">
        <v>5980</v>
      </c>
      <c r="N173" s="4">
        <f t="shared" ref="N173:N204" si="16">IF(OR(M173="",M173=0),"",H173/M173)</f>
        <v>0</v>
      </c>
      <c r="O173" s="3">
        <v>1803</v>
      </c>
      <c r="P173" s="4">
        <f t="shared" ref="P173:P204" si="17">IF(OR(O173="",O173=0),"",F173/O173)</f>
        <v>1.6638935108153077E-2</v>
      </c>
    </row>
    <row r="174" spans="1:16">
      <c r="A174" s="2" t="s">
        <v>262</v>
      </c>
      <c r="B174" s="2"/>
      <c r="C174" s="2">
        <v>20</v>
      </c>
      <c r="D174" s="2">
        <v>2</v>
      </c>
      <c r="E174" s="5">
        <v>0</v>
      </c>
      <c r="F174" s="2">
        <v>30</v>
      </c>
      <c r="G174" s="2">
        <v>15</v>
      </c>
      <c r="H174" s="2">
        <v>0</v>
      </c>
      <c r="I174" s="2">
        <v>0</v>
      </c>
      <c r="J174" s="5">
        <v>0</v>
      </c>
      <c r="K174" s="6">
        <f t="shared" si="15"/>
        <v>0</v>
      </c>
      <c r="L174" s="2">
        <v>0</v>
      </c>
      <c r="M174" s="3"/>
      <c r="N174" s="4" t="str">
        <f t="shared" si="16"/>
        <v/>
      </c>
      <c r="O174" s="3"/>
      <c r="P174" s="4" t="str">
        <f t="shared" si="17"/>
        <v/>
      </c>
    </row>
    <row r="175" spans="1:16">
      <c r="A175" s="2" t="s">
        <v>263</v>
      </c>
      <c r="B175" s="2"/>
      <c r="C175" s="2">
        <v>20</v>
      </c>
      <c r="D175" s="2">
        <v>3</v>
      </c>
      <c r="E175" s="5">
        <v>1E-4</v>
      </c>
      <c r="F175" s="2">
        <v>30</v>
      </c>
      <c r="G175" s="2">
        <v>10</v>
      </c>
      <c r="H175" s="2">
        <v>0</v>
      </c>
      <c r="I175" s="2">
        <v>0</v>
      </c>
      <c r="J175" s="5">
        <v>0</v>
      </c>
      <c r="K175" s="6">
        <f t="shared" si="15"/>
        <v>0</v>
      </c>
      <c r="L175" s="2">
        <v>0</v>
      </c>
      <c r="M175" s="3"/>
      <c r="N175" s="4" t="str">
        <f t="shared" si="16"/>
        <v/>
      </c>
      <c r="O175" s="3"/>
      <c r="P175" s="4" t="str">
        <f t="shared" si="17"/>
        <v/>
      </c>
    </row>
    <row r="176" spans="1:16">
      <c r="A176" s="2" t="s">
        <v>264</v>
      </c>
      <c r="B176" s="2"/>
      <c r="C176" s="2">
        <v>20</v>
      </c>
      <c r="D176" s="2">
        <v>2</v>
      </c>
      <c r="E176" s="5">
        <v>5.9999999999999995E-4</v>
      </c>
      <c r="F176" s="2">
        <v>30</v>
      </c>
      <c r="G176" s="2">
        <v>15</v>
      </c>
      <c r="H176" s="2">
        <v>0</v>
      </c>
      <c r="I176" s="2">
        <v>0</v>
      </c>
      <c r="J176" s="5">
        <v>0</v>
      </c>
      <c r="K176" s="6">
        <f t="shared" si="15"/>
        <v>0</v>
      </c>
      <c r="L176" s="2">
        <v>0</v>
      </c>
      <c r="M176" s="3"/>
      <c r="N176" s="4" t="str">
        <f t="shared" si="16"/>
        <v/>
      </c>
      <c r="O176" s="3"/>
      <c r="P176" s="4" t="str">
        <f t="shared" si="17"/>
        <v/>
      </c>
    </row>
    <row r="177" spans="1:16">
      <c r="A177" s="2" t="s">
        <v>265</v>
      </c>
      <c r="B177" s="2"/>
      <c r="C177" s="2">
        <v>20</v>
      </c>
      <c r="D177" s="2">
        <v>2</v>
      </c>
      <c r="E177" s="5">
        <v>5.0000000000000001E-4</v>
      </c>
      <c r="F177" s="2">
        <v>30</v>
      </c>
      <c r="G177" s="2">
        <v>15</v>
      </c>
      <c r="H177" s="2">
        <v>0</v>
      </c>
      <c r="I177" s="2">
        <v>0</v>
      </c>
      <c r="J177" s="5">
        <v>0</v>
      </c>
      <c r="K177" s="6">
        <f t="shared" si="15"/>
        <v>0</v>
      </c>
      <c r="L177" s="2">
        <v>0</v>
      </c>
      <c r="M177" s="3"/>
      <c r="N177" s="4" t="str">
        <f t="shared" si="16"/>
        <v/>
      </c>
      <c r="O177" s="3"/>
      <c r="P177" s="4" t="str">
        <f t="shared" si="17"/>
        <v/>
      </c>
    </row>
    <row r="178" spans="1:16">
      <c r="A178" s="2" t="s">
        <v>266</v>
      </c>
      <c r="B178" s="2"/>
      <c r="C178" s="2">
        <v>20</v>
      </c>
      <c r="D178" s="2">
        <v>2</v>
      </c>
      <c r="E178" s="5">
        <v>0</v>
      </c>
      <c r="F178" s="2">
        <v>23</v>
      </c>
      <c r="G178" s="2">
        <v>12</v>
      </c>
      <c r="H178" s="2">
        <v>0</v>
      </c>
      <c r="I178" s="2">
        <v>0</v>
      </c>
      <c r="J178" s="5">
        <v>0</v>
      </c>
      <c r="K178" s="6">
        <f t="shared" si="15"/>
        <v>0</v>
      </c>
      <c r="L178" s="2">
        <v>0</v>
      </c>
      <c r="M178" s="3"/>
      <c r="N178" s="4" t="str">
        <f t="shared" si="16"/>
        <v/>
      </c>
      <c r="O178" s="3"/>
      <c r="P178" s="4" t="str">
        <f t="shared" si="17"/>
        <v/>
      </c>
    </row>
    <row r="179" spans="1:16">
      <c r="A179" s="2" t="s">
        <v>267</v>
      </c>
      <c r="B179" s="2"/>
      <c r="C179" s="2">
        <v>20</v>
      </c>
      <c r="D179" s="2">
        <v>2</v>
      </c>
      <c r="E179" s="5">
        <v>4.0000000000000002E-4</v>
      </c>
      <c r="F179" s="2">
        <v>23</v>
      </c>
      <c r="G179" s="2">
        <v>12</v>
      </c>
      <c r="H179" s="2">
        <v>0</v>
      </c>
      <c r="I179" s="2">
        <v>0</v>
      </c>
      <c r="J179" s="5">
        <v>0</v>
      </c>
      <c r="K179" s="6">
        <f t="shared" si="15"/>
        <v>0</v>
      </c>
      <c r="L179" s="2">
        <v>0</v>
      </c>
      <c r="M179" s="3"/>
      <c r="N179" s="4" t="str">
        <f t="shared" si="16"/>
        <v/>
      </c>
      <c r="O179" s="3"/>
      <c r="P179" s="4" t="str">
        <f t="shared" si="17"/>
        <v/>
      </c>
    </row>
    <row r="180" spans="1:16">
      <c r="A180" s="2" t="s">
        <v>268</v>
      </c>
      <c r="B180" s="2"/>
      <c r="C180" s="2">
        <v>20</v>
      </c>
      <c r="D180" s="2">
        <v>1</v>
      </c>
      <c r="E180" s="5">
        <v>2.0000000000000001E-4</v>
      </c>
      <c r="F180" s="2">
        <v>20</v>
      </c>
      <c r="G180" s="2">
        <v>20</v>
      </c>
      <c r="H180" s="2">
        <v>0</v>
      </c>
      <c r="I180" s="2">
        <v>0</v>
      </c>
      <c r="J180" s="5">
        <v>0</v>
      </c>
      <c r="K180" s="6">
        <f t="shared" si="15"/>
        <v>0</v>
      </c>
      <c r="L180" s="2">
        <v>0</v>
      </c>
      <c r="M180" s="3"/>
      <c r="N180" s="4" t="str">
        <f t="shared" si="16"/>
        <v/>
      </c>
      <c r="O180" s="3"/>
      <c r="P180" s="4" t="str">
        <f t="shared" si="17"/>
        <v/>
      </c>
    </row>
    <row r="181" spans="1:16">
      <c r="A181" s="2" t="s">
        <v>269</v>
      </c>
      <c r="B181" s="2" t="s">
        <v>270</v>
      </c>
      <c r="C181" s="2">
        <v>20</v>
      </c>
      <c r="D181" s="2">
        <v>1</v>
      </c>
      <c r="E181" s="5">
        <v>9.300000000000001E-3</v>
      </c>
      <c r="F181" s="2">
        <v>20</v>
      </c>
      <c r="G181" s="2">
        <v>20</v>
      </c>
      <c r="H181" s="2">
        <v>0</v>
      </c>
      <c r="I181" s="2">
        <v>0</v>
      </c>
      <c r="J181" s="5">
        <v>0</v>
      </c>
      <c r="K181" s="6">
        <f t="shared" si="15"/>
        <v>0</v>
      </c>
      <c r="L181" s="2">
        <v>0</v>
      </c>
      <c r="M181" s="3">
        <v>4560</v>
      </c>
      <c r="N181" s="4">
        <f t="shared" si="16"/>
        <v>0</v>
      </c>
      <c r="O181" s="3">
        <v>1632</v>
      </c>
      <c r="P181" s="4">
        <f t="shared" si="17"/>
        <v>1.2254901960784314E-2</v>
      </c>
    </row>
    <row r="182" spans="1:16">
      <c r="A182" s="2" t="s">
        <v>271</v>
      </c>
      <c r="B182" s="2" t="s">
        <v>272</v>
      </c>
      <c r="C182" s="2">
        <v>20</v>
      </c>
      <c r="D182" s="2">
        <v>1</v>
      </c>
      <c r="E182" s="5">
        <v>1.0800000000000001E-2</v>
      </c>
      <c r="F182" s="2">
        <v>20</v>
      </c>
      <c r="G182" s="2">
        <v>20</v>
      </c>
      <c r="H182" s="2">
        <v>0</v>
      </c>
      <c r="I182" s="2">
        <v>0</v>
      </c>
      <c r="J182" s="5">
        <v>0</v>
      </c>
      <c r="K182" s="6">
        <f t="shared" si="15"/>
        <v>0</v>
      </c>
      <c r="L182" s="2">
        <v>0</v>
      </c>
      <c r="M182" s="3">
        <v>11920</v>
      </c>
      <c r="N182" s="4">
        <f t="shared" si="16"/>
        <v>0</v>
      </c>
      <c r="O182" s="3">
        <v>5404</v>
      </c>
      <c r="P182" s="4">
        <f t="shared" si="17"/>
        <v>3.7009622501850479E-3</v>
      </c>
    </row>
    <row r="183" spans="1:16">
      <c r="A183" s="2" t="s">
        <v>273</v>
      </c>
      <c r="B183" s="2"/>
      <c r="C183" s="2">
        <v>20</v>
      </c>
      <c r="D183" s="2">
        <v>1</v>
      </c>
      <c r="E183" s="5">
        <v>5.3E-3</v>
      </c>
      <c r="F183" s="2">
        <v>20</v>
      </c>
      <c r="G183" s="2">
        <v>20</v>
      </c>
      <c r="H183" s="2">
        <v>0</v>
      </c>
      <c r="I183" s="2">
        <v>0</v>
      </c>
      <c r="J183" s="5">
        <v>0</v>
      </c>
      <c r="K183" s="6">
        <f t="shared" si="15"/>
        <v>0</v>
      </c>
      <c r="L183" s="2">
        <v>0</v>
      </c>
      <c r="M183" s="3"/>
      <c r="N183" s="4" t="str">
        <f t="shared" si="16"/>
        <v/>
      </c>
      <c r="O183" s="3"/>
      <c r="P183" s="4" t="str">
        <f t="shared" si="17"/>
        <v/>
      </c>
    </row>
    <row r="184" spans="1:16">
      <c r="A184" s="2" t="s">
        <v>274</v>
      </c>
      <c r="B184" s="2"/>
      <c r="C184" s="2">
        <v>20</v>
      </c>
      <c r="D184" s="2">
        <v>1</v>
      </c>
      <c r="E184" s="5">
        <v>7.1000000000000004E-3</v>
      </c>
      <c r="F184" s="2">
        <v>20</v>
      </c>
      <c r="G184" s="2">
        <v>20</v>
      </c>
      <c r="H184" s="2">
        <v>0</v>
      </c>
      <c r="I184" s="2">
        <v>0</v>
      </c>
      <c r="J184" s="5">
        <v>0</v>
      </c>
      <c r="K184" s="6">
        <f t="shared" si="15"/>
        <v>0</v>
      </c>
      <c r="L184" s="2">
        <v>0</v>
      </c>
      <c r="M184" s="3"/>
      <c r="N184" s="4" t="str">
        <f t="shared" si="16"/>
        <v/>
      </c>
      <c r="O184" s="3"/>
      <c r="P184" s="4" t="str">
        <f t="shared" si="17"/>
        <v/>
      </c>
    </row>
    <row r="185" spans="1:16">
      <c r="A185" s="2" t="s">
        <v>275</v>
      </c>
      <c r="B185" s="2" t="s">
        <v>276</v>
      </c>
      <c r="C185" s="2">
        <v>20</v>
      </c>
      <c r="D185" s="2">
        <v>1</v>
      </c>
      <c r="E185" s="5">
        <v>1.61E-2</v>
      </c>
      <c r="F185" s="2">
        <v>20</v>
      </c>
      <c r="G185" s="2">
        <v>20</v>
      </c>
      <c r="H185" s="2">
        <v>0</v>
      </c>
      <c r="I185" s="2">
        <v>0</v>
      </c>
      <c r="J185" s="5">
        <v>0</v>
      </c>
      <c r="K185" s="6">
        <f t="shared" si="15"/>
        <v>0</v>
      </c>
      <c r="L185" s="2">
        <v>0</v>
      </c>
      <c r="M185" s="3">
        <v>2480</v>
      </c>
      <c r="N185" s="4">
        <f t="shared" si="16"/>
        <v>0</v>
      </c>
      <c r="O185" s="3">
        <v>992</v>
      </c>
      <c r="P185" s="4">
        <f t="shared" si="17"/>
        <v>2.0161290322580645E-2</v>
      </c>
    </row>
    <row r="186" spans="1:16">
      <c r="A186" s="2" t="s">
        <v>277</v>
      </c>
      <c r="B186" s="2"/>
      <c r="C186" s="2">
        <v>20</v>
      </c>
      <c r="D186" s="2">
        <v>1</v>
      </c>
      <c r="E186" s="5">
        <v>1E-4</v>
      </c>
      <c r="F186" s="2">
        <v>20</v>
      </c>
      <c r="G186" s="2">
        <v>20</v>
      </c>
      <c r="H186" s="2">
        <v>0</v>
      </c>
      <c r="I186" s="2">
        <v>0</v>
      </c>
      <c r="J186" s="5">
        <v>0</v>
      </c>
      <c r="K186" s="6">
        <f t="shared" si="15"/>
        <v>0</v>
      </c>
      <c r="L186" s="2">
        <v>0</v>
      </c>
      <c r="M186" s="3"/>
      <c r="N186" s="4" t="str">
        <f t="shared" si="16"/>
        <v/>
      </c>
      <c r="O186" s="3"/>
      <c r="P186" s="4" t="str">
        <f t="shared" si="17"/>
        <v/>
      </c>
    </row>
    <row r="187" spans="1:16">
      <c r="A187" s="2" t="s">
        <v>278</v>
      </c>
      <c r="B187" s="2"/>
      <c r="C187" s="2">
        <v>20</v>
      </c>
      <c r="D187" s="2">
        <v>1</v>
      </c>
      <c r="E187" s="5">
        <v>3.0999999999999999E-3</v>
      </c>
      <c r="F187" s="2">
        <v>20</v>
      </c>
      <c r="G187" s="2">
        <v>20</v>
      </c>
      <c r="H187" s="2">
        <v>0</v>
      </c>
      <c r="I187" s="2">
        <v>0</v>
      </c>
      <c r="J187" s="5">
        <v>0</v>
      </c>
      <c r="K187" s="6">
        <f t="shared" si="15"/>
        <v>0</v>
      </c>
      <c r="L187" s="2">
        <v>0</v>
      </c>
      <c r="M187" s="3"/>
      <c r="N187" s="4" t="str">
        <f t="shared" si="16"/>
        <v/>
      </c>
      <c r="O187" s="3"/>
      <c r="P187" s="4" t="str">
        <f t="shared" si="17"/>
        <v/>
      </c>
    </row>
    <row r="188" spans="1:16">
      <c r="A188" s="2" t="s">
        <v>279</v>
      </c>
      <c r="B188" s="2"/>
      <c r="C188" s="2">
        <v>20</v>
      </c>
      <c r="D188" s="2">
        <v>1</v>
      </c>
      <c r="E188" s="5">
        <v>1E-4</v>
      </c>
      <c r="F188" s="2">
        <v>20</v>
      </c>
      <c r="G188" s="2">
        <v>20</v>
      </c>
      <c r="H188" s="2">
        <v>0</v>
      </c>
      <c r="I188" s="2">
        <v>0</v>
      </c>
      <c r="J188" s="5">
        <v>0</v>
      </c>
      <c r="K188" s="6">
        <f t="shared" si="15"/>
        <v>0</v>
      </c>
      <c r="L188" s="2">
        <v>0</v>
      </c>
      <c r="M188" s="3"/>
      <c r="N188" s="4" t="str">
        <f t="shared" si="16"/>
        <v/>
      </c>
      <c r="O188" s="3"/>
      <c r="P188" s="4" t="str">
        <f t="shared" si="17"/>
        <v/>
      </c>
    </row>
    <row r="189" spans="1:16">
      <c r="A189" s="2" t="s">
        <v>280</v>
      </c>
      <c r="B189" s="2"/>
      <c r="C189" s="2">
        <v>20</v>
      </c>
      <c r="D189" s="2">
        <v>1</v>
      </c>
      <c r="E189" s="5">
        <v>0.01</v>
      </c>
      <c r="F189" s="2">
        <v>20</v>
      </c>
      <c r="G189" s="2">
        <v>20</v>
      </c>
      <c r="H189" s="2">
        <v>0</v>
      </c>
      <c r="I189" s="2">
        <v>0</v>
      </c>
      <c r="J189" s="5">
        <v>0</v>
      </c>
      <c r="K189" s="6">
        <f t="shared" si="15"/>
        <v>0</v>
      </c>
      <c r="L189" s="2">
        <v>0</v>
      </c>
      <c r="M189" s="3"/>
      <c r="N189" s="4" t="str">
        <f t="shared" si="16"/>
        <v/>
      </c>
      <c r="O189" s="3"/>
      <c r="P189" s="4" t="str">
        <f t="shared" si="17"/>
        <v/>
      </c>
    </row>
    <row r="190" spans="1:16">
      <c r="A190" s="2" t="s">
        <v>281</v>
      </c>
      <c r="B190" s="2"/>
      <c r="C190" s="2">
        <v>20</v>
      </c>
      <c r="D190" s="2">
        <v>1</v>
      </c>
      <c r="E190" s="5">
        <v>0</v>
      </c>
      <c r="F190" s="2">
        <v>20</v>
      </c>
      <c r="G190" s="2">
        <v>20</v>
      </c>
      <c r="H190" s="2">
        <v>0</v>
      </c>
      <c r="I190" s="2">
        <v>0</v>
      </c>
      <c r="J190" s="5">
        <v>0</v>
      </c>
      <c r="K190" s="6">
        <f t="shared" si="15"/>
        <v>0</v>
      </c>
      <c r="L190" s="2">
        <v>0</v>
      </c>
      <c r="M190" s="3"/>
      <c r="N190" s="4" t="str">
        <f t="shared" si="16"/>
        <v/>
      </c>
      <c r="O190" s="3"/>
      <c r="P190" s="4" t="str">
        <f t="shared" si="17"/>
        <v/>
      </c>
    </row>
    <row r="191" spans="1:16">
      <c r="A191" s="2" t="s">
        <v>282</v>
      </c>
      <c r="B191" s="2"/>
      <c r="C191" s="2">
        <v>20</v>
      </c>
      <c r="D191" s="2">
        <v>1</v>
      </c>
      <c r="E191" s="5">
        <v>1.8E-3</v>
      </c>
      <c r="F191" s="2">
        <v>16</v>
      </c>
      <c r="G191" s="2">
        <v>16</v>
      </c>
      <c r="H191" s="2">
        <v>0</v>
      </c>
      <c r="I191" s="2">
        <v>0</v>
      </c>
      <c r="J191" s="5">
        <v>0</v>
      </c>
      <c r="K191" s="6">
        <f t="shared" si="15"/>
        <v>0</v>
      </c>
      <c r="L191" s="2">
        <v>0</v>
      </c>
      <c r="M191" s="3"/>
      <c r="N191" s="4" t="str">
        <f t="shared" si="16"/>
        <v/>
      </c>
      <c r="O191" s="3"/>
      <c r="P191" s="4" t="str">
        <f t="shared" si="17"/>
        <v/>
      </c>
    </row>
    <row r="192" spans="1:16">
      <c r="A192" s="2" t="s">
        <v>283</v>
      </c>
      <c r="B192" s="2"/>
      <c r="C192" s="2">
        <v>20</v>
      </c>
      <c r="D192" s="2">
        <v>1</v>
      </c>
      <c r="E192" s="5">
        <v>1E-4</v>
      </c>
      <c r="F192" s="2">
        <v>10</v>
      </c>
      <c r="G192" s="2">
        <v>10</v>
      </c>
      <c r="H192" s="2">
        <v>0</v>
      </c>
      <c r="I192" s="2">
        <v>0</v>
      </c>
      <c r="J192" s="5">
        <v>0</v>
      </c>
      <c r="K192" s="6">
        <f t="shared" si="15"/>
        <v>0</v>
      </c>
      <c r="L192" s="2">
        <v>0</v>
      </c>
      <c r="M192" s="3"/>
      <c r="N192" s="4" t="str">
        <f t="shared" si="16"/>
        <v/>
      </c>
      <c r="O192" s="3"/>
      <c r="P192" s="4" t="str">
        <f t="shared" si="17"/>
        <v/>
      </c>
    </row>
    <row r="193" spans="1:16">
      <c r="A193" s="2" t="s">
        <v>284</v>
      </c>
      <c r="B193" s="2"/>
      <c r="C193" s="2">
        <v>20</v>
      </c>
      <c r="D193" s="2">
        <v>1</v>
      </c>
      <c r="E193" s="5">
        <v>0</v>
      </c>
      <c r="F193" s="2">
        <v>10</v>
      </c>
      <c r="G193" s="2">
        <v>10</v>
      </c>
      <c r="H193" s="2">
        <v>0</v>
      </c>
      <c r="I193" s="2">
        <v>0</v>
      </c>
      <c r="J193" s="5">
        <v>0</v>
      </c>
      <c r="K193" s="6">
        <f t="shared" si="15"/>
        <v>0</v>
      </c>
      <c r="L193" s="2">
        <v>0</v>
      </c>
      <c r="M193" s="3"/>
      <c r="N193" s="4" t="str">
        <f t="shared" si="16"/>
        <v/>
      </c>
      <c r="O193" s="3"/>
      <c r="P193" s="4" t="str">
        <f t="shared" si="17"/>
        <v/>
      </c>
    </row>
    <row r="194" spans="1:16">
      <c r="A194" s="2" t="s">
        <v>285</v>
      </c>
      <c r="B194" s="2"/>
      <c r="C194" s="2">
        <v>20</v>
      </c>
      <c r="D194" s="2">
        <v>1</v>
      </c>
      <c r="E194" s="5">
        <v>0</v>
      </c>
      <c r="F194" s="2">
        <v>10</v>
      </c>
      <c r="G194" s="2">
        <v>10</v>
      </c>
      <c r="H194" s="2">
        <v>0</v>
      </c>
      <c r="I194" s="2">
        <v>0</v>
      </c>
      <c r="J194" s="5">
        <v>0</v>
      </c>
      <c r="K194" s="6">
        <f t="shared" si="15"/>
        <v>0</v>
      </c>
      <c r="L194" s="2">
        <v>0</v>
      </c>
      <c r="M194" s="3"/>
      <c r="N194" s="4" t="str">
        <f t="shared" si="16"/>
        <v/>
      </c>
      <c r="O194" s="3"/>
      <c r="P194" s="4" t="str">
        <f t="shared" si="17"/>
        <v/>
      </c>
    </row>
    <row r="195" spans="1:16">
      <c r="A195" s="2" t="s">
        <v>286</v>
      </c>
      <c r="B195" s="2"/>
      <c r="C195" s="2">
        <v>20</v>
      </c>
      <c r="D195" s="2">
        <v>1</v>
      </c>
      <c r="E195" s="5">
        <v>1.6999999999999999E-3</v>
      </c>
      <c r="F195" s="2">
        <v>10</v>
      </c>
      <c r="G195" s="2">
        <v>10</v>
      </c>
      <c r="H195" s="2">
        <v>0</v>
      </c>
      <c r="I195" s="2">
        <v>0</v>
      </c>
      <c r="J195" s="5">
        <v>0</v>
      </c>
      <c r="K195" s="6">
        <f t="shared" si="15"/>
        <v>0</v>
      </c>
      <c r="L195" s="2">
        <v>0</v>
      </c>
      <c r="M195" s="3"/>
      <c r="N195" s="4" t="str">
        <f t="shared" si="16"/>
        <v/>
      </c>
      <c r="O195" s="3"/>
      <c r="P195" s="4" t="str">
        <f t="shared" si="17"/>
        <v/>
      </c>
    </row>
    <row r="196" spans="1:16">
      <c r="A196" s="2" t="s">
        <v>287</v>
      </c>
      <c r="B196" s="2" t="s">
        <v>288</v>
      </c>
      <c r="C196" s="2">
        <v>20</v>
      </c>
      <c r="D196" s="2">
        <v>1</v>
      </c>
      <c r="E196" s="5">
        <v>7.000000000000001E-4</v>
      </c>
      <c r="F196" s="2">
        <v>10</v>
      </c>
      <c r="G196" s="2">
        <v>10</v>
      </c>
      <c r="H196" s="2">
        <v>0</v>
      </c>
      <c r="I196" s="2">
        <v>0</v>
      </c>
      <c r="J196" s="5">
        <v>0</v>
      </c>
      <c r="K196" s="6">
        <f t="shared" si="15"/>
        <v>0</v>
      </c>
      <c r="L196" s="2">
        <v>0</v>
      </c>
      <c r="M196" s="3">
        <v>11940</v>
      </c>
      <c r="N196" s="4">
        <f t="shared" si="16"/>
        <v>0</v>
      </c>
      <c r="O196" s="3">
        <v>4155</v>
      </c>
      <c r="P196" s="4">
        <f t="shared" si="17"/>
        <v>2.4067388688327317E-3</v>
      </c>
    </row>
    <row r="197" spans="1:16">
      <c r="A197" s="2" t="s">
        <v>289</v>
      </c>
      <c r="B197" s="2"/>
      <c r="C197" s="2">
        <v>20</v>
      </c>
      <c r="D197" s="2">
        <v>1</v>
      </c>
      <c r="E197" s="5">
        <v>0</v>
      </c>
      <c r="F197" s="2">
        <v>10</v>
      </c>
      <c r="G197" s="2">
        <v>10</v>
      </c>
      <c r="H197" s="2">
        <v>0</v>
      </c>
      <c r="I197" s="2">
        <v>0</v>
      </c>
      <c r="J197" s="5">
        <v>0</v>
      </c>
      <c r="K197" s="6">
        <f t="shared" si="15"/>
        <v>0</v>
      </c>
      <c r="L197" s="2">
        <v>0</v>
      </c>
      <c r="M197" s="3"/>
      <c r="N197" s="4" t="str">
        <f t="shared" si="16"/>
        <v/>
      </c>
      <c r="O197" s="3"/>
      <c r="P197" s="4" t="str">
        <f t="shared" si="17"/>
        <v/>
      </c>
    </row>
    <row r="198" spans="1:16">
      <c r="A198" s="2" t="s">
        <v>290</v>
      </c>
      <c r="B198" s="2"/>
      <c r="C198" s="2">
        <v>20</v>
      </c>
      <c r="D198" s="2">
        <v>1</v>
      </c>
      <c r="E198" s="5">
        <v>0</v>
      </c>
      <c r="F198" s="2">
        <v>10</v>
      </c>
      <c r="G198" s="2">
        <v>10</v>
      </c>
      <c r="H198" s="2">
        <v>0</v>
      </c>
      <c r="I198" s="2">
        <v>0</v>
      </c>
      <c r="J198" s="5">
        <v>0</v>
      </c>
      <c r="K198" s="6">
        <f t="shared" si="15"/>
        <v>0</v>
      </c>
      <c r="L198" s="2">
        <v>0</v>
      </c>
      <c r="M198" s="3"/>
      <c r="N198" s="4" t="str">
        <f t="shared" si="16"/>
        <v/>
      </c>
      <c r="O198" s="3"/>
      <c r="P198" s="4" t="str">
        <f t="shared" si="17"/>
        <v/>
      </c>
    </row>
    <row r="199" spans="1:16">
      <c r="A199" s="2" t="s">
        <v>291</v>
      </c>
      <c r="B199" s="2"/>
      <c r="C199" s="2">
        <v>20</v>
      </c>
      <c r="D199" s="2">
        <v>1</v>
      </c>
      <c r="E199" s="5">
        <v>0</v>
      </c>
      <c r="F199" s="2">
        <v>10</v>
      </c>
      <c r="G199" s="2">
        <v>10</v>
      </c>
      <c r="H199" s="2">
        <v>0</v>
      </c>
      <c r="I199" s="2">
        <v>0</v>
      </c>
      <c r="J199" s="5">
        <v>0</v>
      </c>
      <c r="K199" s="6">
        <f t="shared" si="15"/>
        <v>0</v>
      </c>
      <c r="L199" s="2">
        <v>0</v>
      </c>
      <c r="M199" s="3"/>
      <c r="N199" s="4" t="str">
        <f t="shared" si="16"/>
        <v/>
      </c>
      <c r="O199" s="3"/>
      <c r="P199" s="4" t="str">
        <f t="shared" si="17"/>
        <v/>
      </c>
    </row>
    <row r="200" spans="1:16">
      <c r="A200" s="2" t="s">
        <v>292</v>
      </c>
      <c r="B200" s="2"/>
      <c r="C200" s="2">
        <v>20</v>
      </c>
      <c r="D200" s="2">
        <v>1</v>
      </c>
      <c r="E200" s="5">
        <v>0</v>
      </c>
      <c r="F200" s="2">
        <v>10</v>
      </c>
      <c r="G200" s="2">
        <v>10</v>
      </c>
      <c r="H200" s="2">
        <v>0</v>
      </c>
      <c r="I200" s="2">
        <v>0</v>
      </c>
      <c r="J200" s="5">
        <v>0</v>
      </c>
      <c r="K200" s="6">
        <f t="shared" si="15"/>
        <v>0</v>
      </c>
      <c r="L200" s="2">
        <v>0</v>
      </c>
      <c r="M200" s="3"/>
      <c r="N200" s="4" t="str">
        <f t="shared" si="16"/>
        <v/>
      </c>
      <c r="O200" s="3"/>
      <c r="P200" s="4" t="str">
        <f t="shared" si="17"/>
        <v/>
      </c>
    </row>
    <row r="201" spans="1:16">
      <c r="A201" s="2" t="s">
        <v>293</v>
      </c>
      <c r="B201" s="2"/>
      <c r="C201" s="2">
        <v>20</v>
      </c>
      <c r="D201" s="2">
        <v>1</v>
      </c>
      <c r="E201" s="5">
        <v>0</v>
      </c>
      <c r="F201" s="2">
        <v>10</v>
      </c>
      <c r="G201" s="2">
        <v>10</v>
      </c>
      <c r="H201" s="2">
        <v>0</v>
      </c>
      <c r="I201" s="2">
        <v>0</v>
      </c>
      <c r="J201" s="5">
        <v>0</v>
      </c>
      <c r="K201" s="6">
        <f t="shared" si="15"/>
        <v>0</v>
      </c>
      <c r="L201" s="2">
        <v>0</v>
      </c>
      <c r="M201" s="3"/>
      <c r="N201" s="4" t="str">
        <f t="shared" si="16"/>
        <v/>
      </c>
      <c r="O201" s="3"/>
      <c r="P201" s="4" t="str">
        <f t="shared" si="17"/>
        <v/>
      </c>
    </row>
    <row r="202" spans="1:16">
      <c r="A202" s="2" t="s">
        <v>294</v>
      </c>
      <c r="B202" s="2"/>
      <c r="C202" s="2">
        <v>20</v>
      </c>
      <c r="D202" s="2">
        <v>1</v>
      </c>
      <c r="E202" s="5">
        <v>5.0000000000000001E-4</v>
      </c>
      <c r="F202" s="2">
        <v>10</v>
      </c>
      <c r="G202" s="2">
        <v>10</v>
      </c>
      <c r="H202" s="2">
        <v>0</v>
      </c>
      <c r="I202" s="2">
        <v>0</v>
      </c>
      <c r="J202" s="5">
        <v>0</v>
      </c>
      <c r="K202" s="6">
        <f t="shared" si="15"/>
        <v>0</v>
      </c>
      <c r="L202" s="2">
        <v>0</v>
      </c>
      <c r="M202" s="3"/>
      <c r="N202" s="4" t="str">
        <f t="shared" si="16"/>
        <v/>
      </c>
      <c r="O202" s="3"/>
      <c r="P202" s="4" t="str">
        <f t="shared" si="17"/>
        <v/>
      </c>
    </row>
    <row r="203" spans="1:16">
      <c r="A203" s="2" t="s">
        <v>295</v>
      </c>
      <c r="B203" s="2"/>
      <c r="C203" s="2">
        <v>20</v>
      </c>
      <c r="D203" s="2">
        <v>1</v>
      </c>
      <c r="E203" s="5">
        <v>0</v>
      </c>
      <c r="F203" s="2">
        <v>10</v>
      </c>
      <c r="G203" s="2">
        <v>10</v>
      </c>
      <c r="H203" s="2">
        <v>0</v>
      </c>
      <c r="I203" s="2">
        <v>0</v>
      </c>
      <c r="J203" s="5">
        <v>0</v>
      </c>
      <c r="K203" s="6">
        <f t="shared" si="15"/>
        <v>0</v>
      </c>
      <c r="L203" s="2">
        <v>0</v>
      </c>
      <c r="M203" s="3"/>
      <c r="N203" s="4" t="str">
        <f t="shared" si="16"/>
        <v/>
      </c>
      <c r="O203" s="3"/>
      <c r="P203" s="4" t="str">
        <f t="shared" si="17"/>
        <v/>
      </c>
    </row>
    <row r="204" spans="1:16">
      <c r="A204" s="1" t="s">
        <v>296</v>
      </c>
      <c r="D204" s="1">
        <f>SUM(D13:D203)</f>
        <v>3716</v>
      </c>
      <c r="F204" s="1">
        <f>SUM(F13:F203)</f>
        <v>69810</v>
      </c>
      <c r="H204" s="1">
        <f>SUM(H13:H203)</f>
        <v>534794</v>
      </c>
      <c r="I204" s="1">
        <f>SUM(I13:I203)</f>
        <v>154</v>
      </c>
      <c r="K204" s="7">
        <f t="shared" si="15"/>
        <v>7.6607076350093113</v>
      </c>
      <c r="L204" s="1">
        <f>SUM(L13:L203)</f>
        <v>453574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5"/>
  <sheetViews>
    <sheetView workbookViewId="0"/>
  </sheetViews>
  <sheetFormatPr baseColWidth="10" defaultColWidth="8.83203125" defaultRowHeight="14"/>
  <cols>
    <col min="1" max="1" width="16" customWidth="1"/>
    <col min="2" max="2" width="40" customWidth="1"/>
    <col min="6" max="6" width="13" customWidth="1"/>
    <col min="8" max="8" width="13" customWidth="1"/>
    <col min="12" max="13" width="13" customWidth="1"/>
    <col min="15" max="15" width="13" customWidth="1"/>
  </cols>
  <sheetData>
    <row r="1" spans="1:16">
      <c r="A1" s="8" t="s">
        <v>0</v>
      </c>
    </row>
    <row r="2" spans="1:16">
      <c r="A2" s="9" t="s">
        <v>1</v>
      </c>
      <c r="B2" s="9" t="s">
        <v>297</v>
      </c>
    </row>
    <row r="3" spans="1:16">
      <c r="A3" s="8" t="s">
        <v>3</v>
      </c>
      <c r="B3" s="10">
        <v>60000</v>
      </c>
    </row>
    <row r="4" spans="1:16">
      <c r="A4" s="8" t="s">
        <v>4</v>
      </c>
      <c r="B4" s="11">
        <v>0.88489999999999991</v>
      </c>
    </row>
    <row r="5" spans="1:16">
      <c r="A5" s="8" t="s">
        <v>5</v>
      </c>
      <c r="B5" s="10">
        <v>53095</v>
      </c>
    </row>
    <row r="6" spans="1:16">
      <c r="A6" s="8" t="s">
        <v>6</v>
      </c>
      <c r="B6" s="10">
        <v>3781</v>
      </c>
    </row>
    <row r="7" spans="1:16">
      <c r="A7" s="8" t="s">
        <v>7</v>
      </c>
      <c r="B7" s="10">
        <v>15</v>
      </c>
    </row>
    <row r="8" spans="1:16">
      <c r="A8" s="8" t="s">
        <v>8</v>
      </c>
      <c r="B8" s="10">
        <v>218218</v>
      </c>
    </row>
    <row r="9" spans="1:16">
      <c r="A9" s="8" t="s">
        <v>9</v>
      </c>
      <c r="B9" s="11">
        <v>4.1098999999999997</v>
      </c>
    </row>
    <row r="10" spans="1:16">
      <c r="A10" s="8" t="s">
        <v>10</v>
      </c>
      <c r="B10" s="11">
        <v>1.6899999999999998E-2</v>
      </c>
    </row>
    <row r="12" spans="1:16">
      <c r="A12" s="8" t="s">
        <v>11</v>
      </c>
      <c r="B12" s="8" t="s">
        <v>12</v>
      </c>
      <c r="C12" s="8" t="s">
        <v>13</v>
      </c>
      <c r="D12" s="8" t="s">
        <v>6</v>
      </c>
      <c r="E12" s="8" t="s">
        <v>14</v>
      </c>
      <c r="F12" s="8" t="s">
        <v>15</v>
      </c>
      <c r="G12" s="8" t="s">
        <v>7</v>
      </c>
      <c r="H12" s="8" t="s">
        <v>8</v>
      </c>
      <c r="I12" s="8" t="s">
        <v>16</v>
      </c>
      <c r="J12" s="8" t="s">
        <v>10</v>
      </c>
      <c r="K12" s="8" t="s">
        <v>9</v>
      </c>
      <c r="L12" s="8" t="s">
        <v>17</v>
      </c>
      <c r="M12" s="8" t="s">
        <v>18</v>
      </c>
      <c r="N12" s="8" t="s">
        <v>19</v>
      </c>
      <c r="O12" s="8" t="s">
        <v>20</v>
      </c>
      <c r="P12" s="8" t="s">
        <v>21</v>
      </c>
    </row>
    <row r="13" spans="1:16">
      <c r="A13" s="9" t="s">
        <v>30</v>
      </c>
      <c r="B13" s="9" t="s">
        <v>298</v>
      </c>
      <c r="C13" s="9">
        <v>22</v>
      </c>
      <c r="D13" s="9">
        <v>308</v>
      </c>
      <c r="E13" s="12">
        <v>1.2999999999999999E-3</v>
      </c>
      <c r="F13" s="9">
        <v>4426</v>
      </c>
      <c r="G13" s="9">
        <v>15</v>
      </c>
      <c r="H13" s="9">
        <v>41720</v>
      </c>
      <c r="I13" s="9">
        <v>8</v>
      </c>
      <c r="J13" s="12">
        <v>2.5899999999999999E-2</v>
      </c>
      <c r="K13" s="13">
        <f t="shared" ref="K13:K44" si="0">IF(F13=0,"",H13/F13)</f>
        <v>9.4261183913239943</v>
      </c>
      <c r="L13" s="9">
        <v>38740</v>
      </c>
      <c r="M13" s="10">
        <v>53640</v>
      </c>
      <c r="N13" s="11">
        <f t="shared" ref="N13:N44" si="1">IF(OR(M13="",M13=0),"",H13/M13)</f>
        <v>0.77777777777777779</v>
      </c>
      <c r="O13" s="10">
        <v>15732</v>
      </c>
      <c r="P13" s="11">
        <f t="shared" ref="P13:P44" si="2">IF(OR(O13="",O13=0),"",F13/O13)</f>
        <v>0.28133740147470127</v>
      </c>
    </row>
    <row r="14" spans="1:16">
      <c r="A14" s="9" t="s">
        <v>299</v>
      </c>
      <c r="B14" s="9" t="s">
        <v>300</v>
      </c>
      <c r="C14" s="9">
        <v>20</v>
      </c>
      <c r="D14" s="9">
        <v>192</v>
      </c>
      <c r="E14" s="12">
        <v>5.9999999999999995E-4</v>
      </c>
      <c r="F14" s="9">
        <v>3495</v>
      </c>
      <c r="G14" s="9">
        <v>19</v>
      </c>
      <c r="H14" s="9">
        <v>2980</v>
      </c>
      <c r="I14" s="9">
        <v>1</v>
      </c>
      <c r="J14" s="12">
        <v>5.1999999999999998E-3</v>
      </c>
      <c r="K14" s="13">
        <f t="shared" si="0"/>
        <v>0.85264663805436336</v>
      </c>
      <c r="L14" s="9">
        <v>2980</v>
      </c>
      <c r="M14" s="10">
        <v>33740</v>
      </c>
      <c r="N14" s="11">
        <f t="shared" si="1"/>
        <v>8.8322465915826917E-2</v>
      </c>
      <c r="O14" s="10">
        <v>28679</v>
      </c>
      <c r="P14" s="11">
        <f t="shared" si="2"/>
        <v>0.12186617385543429</v>
      </c>
    </row>
    <row r="15" spans="1:16">
      <c r="A15" s="9" t="s">
        <v>22</v>
      </c>
      <c r="B15" s="9" t="s">
        <v>23</v>
      </c>
      <c r="C15" s="9">
        <v>22</v>
      </c>
      <c r="D15" s="9">
        <v>190</v>
      </c>
      <c r="E15" s="12">
        <v>1.6999999999999999E-3</v>
      </c>
      <c r="F15" s="9">
        <v>3461</v>
      </c>
      <c r="G15" s="9">
        <v>19</v>
      </c>
      <c r="H15" s="9">
        <v>22660</v>
      </c>
      <c r="I15" s="9">
        <v>6</v>
      </c>
      <c r="J15" s="12">
        <v>3.15E-2</v>
      </c>
      <c r="K15" s="13">
        <f t="shared" si="0"/>
        <v>6.5472406818838484</v>
      </c>
      <c r="L15" s="9">
        <v>22660</v>
      </c>
      <c r="M15" s="10">
        <v>89440</v>
      </c>
      <c r="N15" s="11">
        <f t="shared" si="1"/>
        <v>0.25335420393559926</v>
      </c>
      <c r="O15" s="10">
        <v>39624</v>
      </c>
      <c r="P15" s="11">
        <f t="shared" si="2"/>
        <v>8.7346052897234003E-2</v>
      </c>
    </row>
    <row r="16" spans="1:16">
      <c r="A16" s="9" t="s">
        <v>44</v>
      </c>
      <c r="B16" s="9" t="s">
        <v>45</v>
      </c>
      <c r="C16" s="9">
        <v>20</v>
      </c>
      <c r="D16" s="9">
        <v>275</v>
      </c>
      <c r="E16" s="12">
        <v>5.0000000000000001E-4</v>
      </c>
      <c r="F16" s="9">
        <v>3355</v>
      </c>
      <c r="G16" s="9">
        <v>13</v>
      </c>
      <c r="H16" s="9">
        <v>21120</v>
      </c>
      <c r="I16" s="9">
        <v>8</v>
      </c>
      <c r="J16" s="12">
        <v>2.9000000000000001E-2</v>
      </c>
      <c r="K16" s="13">
        <f t="shared" si="0"/>
        <v>6.2950819672131146</v>
      </c>
      <c r="L16" s="9">
        <v>21120</v>
      </c>
      <c r="M16" s="10">
        <v>18480</v>
      </c>
      <c r="N16" s="11">
        <f t="shared" si="1"/>
        <v>1.1428571428571428</v>
      </c>
      <c r="O16" s="10">
        <v>4676</v>
      </c>
      <c r="P16" s="11">
        <f t="shared" si="2"/>
        <v>0.71749358426005128</v>
      </c>
    </row>
    <row r="17" spans="1:16">
      <c r="A17" s="9" t="s">
        <v>24</v>
      </c>
      <c r="B17" s="9" t="s">
        <v>25</v>
      </c>
      <c r="C17" s="9">
        <v>24</v>
      </c>
      <c r="D17" s="9">
        <v>116</v>
      </c>
      <c r="E17" s="12">
        <v>1.11E-2</v>
      </c>
      <c r="F17" s="9">
        <v>2758</v>
      </c>
      <c r="G17" s="9">
        <v>24</v>
      </c>
      <c r="H17" s="9">
        <v>21680</v>
      </c>
      <c r="I17" s="9">
        <v>6</v>
      </c>
      <c r="J17" s="12">
        <v>5.1700000000000003E-2</v>
      </c>
      <c r="K17" s="13">
        <f t="shared" si="0"/>
        <v>7.8607686729514139</v>
      </c>
      <c r="L17" s="9">
        <v>18200</v>
      </c>
      <c r="M17" s="10">
        <v>21880</v>
      </c>
      <c r="N17" s="11">
        <f t="shared" si="1"/>
        <v>0.99085923217550276</v>
      </c>
      <c r="O17" s="10">
        <v>6718</v>
      </c>
      <c r="P17" s="11">
        <f t="shared" si="2"/>
        <v>0.41053885084846681</v>
      </c>
    </row>
    <row r="18" spans="1:16">
      <c r="A18" s="9" t="s">
        <v>84</v>
      </c>
      <c r="B18" s="9" t="s">
        <v>85</v>
      </c>
      <c r="C18" s="9">
        <v>20</v>
      </c>
      <c r="D18" s="9">
        <v>131</v>
      </c>
      <c r="E18" s="12">
        <v>0.1145</v>
      </c>
      <c r="F18" s="9">
        <v>1640</v>
      </c>
      <c r="G18" s="9">
        <v>13</v>
      </c>
      <c r="H18" s="9">
        <v>15840</v>
      </c>
      <c r="I18" s="9">
        <v>7</v>
      </c>
      <c r="J18" s="12">
        <v>5.3400000000000003E-2</v>
      </c>
      <c r="K18" s="13">
        <f t="shared" si="0"/>
        <v>9.6585365853658534</v>
      </c>
      <c r="L18" s="9">
        <v>14060</v>
      </c>
      <c r="M18" s="10">
        <v>14240</v>
      </c>
      <c r="N18" s="11">
        <f t="shared" si="1"/>
        <v>1.1123595505617978</v>
      </c>
      <c r="O18" s="10">
        <v>5112</v>
      </c>
      <c r="P18" s="11">
        <f t="shared" si="2"/>
        <v>0.32081377151799689</v>
      </c>
    </row>
    <row r="19" spans="1:16">
      <c r="A19" s="9" t="s">
        <v>34</v>
      </c>
      <c r="B19" s="9" t="s">
        <v>35</v>
      </c>
      <c r="C19" s="9">
        <v>24</v>
      </c>
      <c r="D19" s="9">
        <v>88</v>
      </c>
      <c r="E19" s="12">
        <v>8.9999999999999998E-4</v>
      </c>
      <c r="F19" s="9">
        <v>1292</v>
      </c>
      <c r="G19" s="9">
        <v>15</v>
      </c>
      <c r="H19" s="9">
        <v>2980</v>
      </c>
      <c r="I19" s="9">
        <v>1</v>
      </c>
      <c r="J19" s="12">
        <v>1.1299999999999999E-2</v>
      </c>
      <c r="K19" s="13">
        <f t="shared" si="0"/>
        <v>2.3065015479876161</v>
      </c>
      <c r="L19" s="9">
        <v>0</v>
      </c>
      <c r="M19" s="10">
        <v>5960</v>
      </c>
      <c r="N19" s="11">
        <f t="shared" si="1"/>
        <v>0.5</v>
      </c>
      <c r="O19" s="10">
        <v>932</v>
      </c>
      <c r="P19" s="11">
        <f t="shared" si="2"/>
        <v>1.3862660944206009</v>
      </c>
    </row>
    <row r="20" spans="1:16">
      <c r="A20" s="9" t="s">
        <v>42</v>
      </c>
      <c r="B20" s="9" t="s">
        <v>43</v>
      </c>
      <c r="C20" s="9">
        <v>20</v>
      </c>
      <c r="D20" s="9">
        <v>91</v>
      </c>
      <c r="E20" s="12">
        <v>2.0000000000000001E-4</v>
      </c>
      <c r="F20" s="9">
        <v>1288</v>
      </c>
      <c r="G20" s="9">
        <v>15</v>
      </c>
      <c r="H20" s="9">
        <v>7120</v>
      </c>
      <c r="I20" s="9">
        <v>2</v>
      </c>
      <c r="J20" s="12">
        <v>2.1899999999999999E-2</v>
      </c>
      <c r="K20" s="13">
        <f t="shared" si="0"/>
        <v>5.5279503105590067</v>
      </c>
      <c r="L20" s="9">
        <v>0</v>
      </c>
      <c r="M20" s="10">
        <v>7120</v>
      </c>
      <c r="N20" s="11">
        <f t="shared" si="1"/>
        <v>1</v>
      </c>
      <c r="O20" s="10">
        <v>3640</v>
      </c>
      <c r="P20" s="11">
        <f t="shared" si="2"/>
        <v>0.35384615384615387</v>
      </c>
    </row>
    <row r="21" spans="1:16">
      <c r="A21" s="9" t="s">
        <v>26</v>
      </c>
      <c r="B21" s="9" t="s">
        <v>27</v>
      </c>
      <c r="C21" s="9">
        <v>24</v>
      </c>
      <c r="D21" s="9">
        <v>45</v>
      </c>
      <c r="E21" s="12">
        <v>8.8000000000000005E-3</v>
      </c>
      <c r="F21" s="9">
        <v>1152</v>
      </c>
      <c r="G21" s="9">
        <v>26</v>
      </c>
      <c r="H21" s="9">
        <v>15840</v>
      </c>
      <c r="I21" s="9">
        <v>3</v>
      </c>
      <c r="J21" s="12">
        <v>6.6600000000000006E-2</v>
      </c>
      <c r="K21" s="13">
        <f t="shared" si="0"/>
        <v>13.75</v>
      </c>
      <c r="L21" s="9">
        <v>15840</v>
      </c>
      <c r="M21" s="10">
        <v>17820</v>
      </c>
      <c r="N21" s="11">
        <f t="shared" si="1"/>
        <v>0.88888888888888884</v>
      </c>
      <c r="O21" s="10">
        <v>7479</v>
      </c>
      <c r="P21" s="11">
        <f t="shared" si="2"/>
        <v>0.15403128760529483</v>
      </c>
    </row>
    <row r="22" spans="1:16">
      <c r="A22" s="9" t="s">
        <v>143</v>
      </c>
      <c r="B22" s="9" t="s">
        <v>144</v>
      </c>
      <c r="C22" s="9">
        <v>24</v>
      </c>
      <c r="D22" s="9">
        <v>88</v>
      </c>
      <c r="E22" s="12">
        <v>5.0000000000000001E-4</v>
      </c>
      <c r="F22" s="9">
        <v>1140</v>
      </c>
      <c r="G22" s="9">
        <v>13</v>
      </c>
      <c r="H22" s="9">
        <v>0</v>
      </c>
      <c r="I22" s="9">
        <v>0</v>
      </c>
      <c r="J22" s="12">
        <v>0</v>
      </c>
      <c r="K22" s="13">
        <f t="shared" si="0"/>
        <v>0</v>
      </c>
      <c r="L22" s="9">
        <v>0</v>
      </c>
      <c r="M22" s="10">
        <v>2198</v>
      </c>
      <c r="N22" s="11">
        <f t="shared" si="1"/>
        <v>0</v>
      </c>
      <c r="O22" s="10">
        <v>590</v>
      </c>
      <c r="P22" s="11">
        <f t="shared" si="2"/>
        <v>1.9322033898305084</v>
      </c>
    </row>
    <row r="23" spans="1:16">
      <c r="A23" s="9" t="s">
        <v>152</v>
      </c>
      <c r="B23" s="9" t="s">
        <v>153</v>
      </c>
      <c r="C23" s="9">
        <v>20</v>
      </c>
      <c r="D23" s="9">
        <v>88</v>
      </c>
      <c r="E23" s="12">
        <v>5.9999999999999995E-4</v>
      </c>
      <c r="F23" s="9">
        <v>1113</v>
      </c>
      <c r="G23" s="9">
        <v>13</v>
      </c>
      <c r="H23" s="9">
        <v>9160</v>
      </c>
      <c r="I23" s="9">
        <v>2</v>
      </c>
      <c r="J23" s="12">
        <v>2.2700000000000001E-2</v>
      </c>
      <c r="K23" s="13">
        <f t="shared" si="0"/>
        <v>8.2300089847259663</v>
      </c>
      <c r="L23" s="9">
        <v>4580</v>
      </c>
      <c r="M23" s="10">
        <v>36640</v>
      </c>
      <c r="N23" s="11">
        <f t="shared" si="1"/>
        <v>0.25</v>
      </c>
      <c r="O23" s="10">
        <v>4136</v>
      </c>
      <c r="P23" s="11">
        <f t="shared" si="2"/>
        <v>0.26910058027079303</v>
      </c>
    </row>
    <row r="24" spans="1:16">
      <c r="A24" s="9" t="s">
        <v>32</v>
      </c>
      <c r="B24" s="9" t="s">
        <v>33</v>
      </c>
      <c r="C24" s="9">
        <v>24</v>
      </c>
      <c r="D24" s="9">
        <v>64</v>
      </c>
      <c r="E24" s="12">
        <v>2.9999999999999997E-4</v>
      </c>
      <c r="F24" s="9">
        <v>929</v>
      </c>
      <c r="G24" s="9">
        <v>15</v>
      </c>
      <c r="H24" s="9">
        <v>0</v>
      </c>
      <c r="I24" s="9">
        <v>0</v>
      </c>
      <c r="J24" s="12">
        <v>0</v>
      </c>
      <c r="K24" s="13">
        <f t="shared" si="0"/>
        <v>0</v>
      </c>
      <c r="L24" s="9">
        <v>0</v>
      </c>
      <c r="M24" s="10">
        <v>18440</v>
      </c>
      <c r="N24" s="11">
        <f t="shared" si="1"/>
        <v>0</v>
      </c>
      <c r="O24" s="10">
        <v>7874</v>
      </c>
      <c r="P24" s="11">
        <f t="shared" si="2"/>
        <v>0.11798323596647194</v>
      </c>
    </row>
    <row r="25" spans="1:16">
      <c r="A25" s="9" t="s">
        <v>115</v>
      </c>
      <c r="B25" s="9" t="s">
        <v>116</v>
      </c>
      <c r="C25" s="9">
        <v>20</v>
      </c>
      <c r="D25" s="9">
        <v>81</v>
      </c>
      <c r="E25" s="12">
        <v>1.6999999999999999E-3</v>
      </c>
      <c r="F25" s="9">
        <v>906</v>
      </c>
      <c r="G25" s="9">
        <v>12</v>
      </c>
      <c r="H25" s="9">
        <v>2520</v>
      </c>
      <c r="I25" s="9">
        <v>1</v>
      </c>
      <c r="J25" s="12">
        <v>1.23E-2</v>
      </c>
      <c r="K25" s="13">
        <f t="shared" si="0"/>
        <v>2.7814569536423841</v>
      </c>
      <c r="L25" s="9">
        <v>2520</v>
      </c>
      <c r="M25" s="10">
        <v>2520</v>
      </c>
      <c r="N25" s="11">
        <f t="shared" si="1"/>
        <v>1</v>
      </c>
      <c r="O25" s="10">
        <v>1042</v>
      </c>
      <c r="P25" s="11">
        <f t="shared" si="2"/>
        <v>0.86948176583493286</v>
      </c>
    </row>
    <row r="26" spans="1:16">
      <c r="A26" s="9" t="s">
        <v>250</v>
      </c>
      <c r="B26" s="9" t="s">
        <v>251</v>
      </c>
      <c r="C26" s="9">
        <v>20</v>
      </c>
      <c r="D26" s="9">
        <v>78</v>
      </c>
      <c r="E26" s="12">
        <v>8.0000000000000004E-4</v>
      </c>
      <c r="F26" s="9">
        <v>890</v>
      </c>
      <c r="G26" s="9">
        <v>12</v>
      </c>
      <c r="H26" s="9">
        <v>4960</v>
      </c>
      <c r="I26" s="9">
        <v>1</v>
      </c>
      <c r="J26" s="12">
        <v>1.2800000000000001E-2</v>
      </c>
      <c r="K26" s="13">
        <f t="shared" si="0"/>
        <v>5.5730337078651688</v>
      </c>
      <c r="L26" s="9">
        <v>4960</v>
      </c>
      <c r="M26" s="10">
        <v>25320</v>
      </c>
      <c r="N26" s="11">
        <f t="shared" si="1"/>
        <v>0.19589257503949448</v>
      </c>
      <c r="O26" s="10">
        <v>1822</v>
      </c>
      <c r="P26" s="11">
        <f t="shared" si="2"/>
        <v>0.48847420417124038</v>
      </c>
    </row>
    <row r="27" spans="1:16">
      <c r="A27" s="9" t="s">
        <v>40</v>
      </c>
      <c r="B27" s="9"/>
      <c r="C27" s="9">
        <v>24</v>
      </c>
      <c r="D27" s="9">
        <v>64</v>
      </c>
      <c r="E27" s="12">
        <v>8.0000000000000004E-4</v>
      </c>
      <c r="F27" s="9">
        <v>857</v>
      </c>
      <c r="G27" s="9">
        <v>14</v>
      </c>
      <c r="H27" s="9">
        <v>0</v>
      </c>
      <c r="I27" s="9">
        <v>0</v>
      </c>
      <c r="J27" s="12">
        <v>0</v>
      </c>
      <c r="K27" s="13">
        <f t="shared" si="0"/>
        <v>0</v>
      </c>
      <c r="L27" s="9">
        <v>0</v>
      </c>
      <c r="M27" s="10"/>
      <c r="N27" s="11" t="str">
        <f t="shared" si="1"/>
        <v/>
      </c>
      <c r="O27" s="10"/>
      <c r="P27" s="11" t="str">
        <f t="shared" si="2"/>
        <v/>
      </c>
    </row>
    <row r="28" spans="1:16">
      <c r="A28" s="9" t="s">
        <v>72</v>
      </c>
      <c r="B28" s="9" t="s">
        <v>73</v>
      </c>
      <c r="C28" s="9">
        <v>24</v>
      </c>
      <c r="D28" s="9">
        <v>63</v>
      </c>
      <c r="E28" s="12">
        <v>1.1000000000000001E-3</v>
      </c>
      <c r="F28" s="9">
        <v>822</v>
      </c>
      <c r="G28" s="9">
        <v>14</v>
      </c>
      <c r="H28" s="9">
        <v>3980</v>
      </c>
      <c r="I28" s="9">
        <v>1</v>
      </c>
      <c r="J28" s="12">
        <v>1.5800000000000002E-2</v>
      </c>
      <c r="K28" s="13">
        <f t="shared" si="0"/>
        <v>4.8418491484184916</v>
      </c>
      <c r="L28" s="9">
        <v>3980</v>
      </c>
      <c r="M28" s="10">
        <v>3980</v>
      </c>
      <c r="N28" s="11">
        <f t="shared" si="1"/>
        <v>1</v>
      </c>
      <c r="O28" s="10">
        <v>1223</v>
      </c>
      <c r="P28" s="11">
        <f t="shared" si="2"/>
        <v>0.67211774325429274</v>
      </c>
    </row>
    <row r="29" spans="1:16">
      <c r="A29" s="9" t="s">
        <v>171</v>
      </c>
      <c r="B29" s="9" t="s">
        <v>172</v>
      </c>
      <c r="C29" s="9">
        <v>20</v>
      </c>
      <c r="D29" s="9">
        <v>77</v>
      </c>
      <c r="E29" s="12">
        <v>1E-3</v>
      </c>
      <c r="F29" s="9">
        <v>821</v>
      </c>
      <c r="G29" s="9">
        <v>11</v>
      </c>
      <c r="H29" s="9">
        <v>0</v>
      </c>
      <c r="I29" s="9">
        <v>0</v>
      </c>
      <c r="J29" s="12">
        <v>0</v>
      </c>
      <c r="K29" s="13">
        <f t="shared" si="0"/>
        <v>0</v>
      </c>
      <c r="L29" s="9">
        <v>0</v>
      </c>
      <c r="M29" s="10">
        <v>1980</v>
      </c>
      <c r="N29" s="11">
        <f t="shared" si="1"/>
        <v>0</v>
      </c>
      <c r="O29" s="10">
        <v>523</v>
      </c>
      <c r="P29" s="11">
        <f t="shared" si="2"/>
        <v>1.5697896749521989</v>
      </c>
    </row>
    <row r="30" spans="1:16">
      <c r="A30" s="9" t="s">
        <v>182</v>
      </c>
      <c r="B30" s="9" t="s">
        <v>183</v>
      </c>
      <c r="C30" s="9">
        <v>20</v>
      </c>
      <c r="D30" s="9">
        <v>77</v>
      </c>
      <c r="E30" s="12">
        <v>3.8E-3</v>
      </c>
      <c r="F30" s="9">
        <v>810</v>
      </c>
      <c r="G30" s="9">
        <v>11</v>
      </c>
      <c r="H30" s="9">
        <v>0</v>
      </c>
      <c r="I30" s="9">
        <v>0</v>
      </c>
      <c r="J30" s="12">
        <v>0</v>
      </c>
      <c r="K30" s="13">
        <f t="shared" si="0"/>
        <v>0</v>
      </c>
      <c r="L30" s="9">
        <v>0</v>
      </c>
      <c r="M30" s="10">
        <v>1980</v>
      </c>
      <c r="N30" s="11">
        <f t="shared" si="1"/>
        <v>0</v>
      </c>
      <c r="O30" s="10">
        <v>891</v>
      </c>
      <c r="P30" s="11">
        <f t="shared" si="2"/>
        <v>0.90909090909090906</v>
      </c>
    </row>
    <row r="31" spans="1:16">
      <c r="A31" s="9" t="s">
        <v>60</v>
      </c>
      <c r="B31" s="9" t="s">
        <v>61</v>
      </c>
      <c r="C31" s="9">
        <v>22</v>
      </c>
      <c r="D31" s="9">
        <v>37</v>
      </c>
      <c r="E31" s="12">
        <v>5.5000000000000014E-3</v>
      </c>
      <c r="F31" s="9">
        <v>806</v>
      </c>
      <c r="G31" s="9">
        <v>22</v>
      </c>
      <c r="H31" s="9">
        <v>10680</v>
      </c>
      <c r="I31" s="9">
        <v>5</v>
      </c>
      <c r="J31" s="12">
        <v>0.1351</v>
      </c>
      <c r="K31" s="13">
        <f t="shared" si="0"/>
        <v>13.250620347394541</v>
      </c>
      <c r="L31" s="9">
        <v>10680</v>
      </c>
      <c r="M31" s="10">
        <v>10680</v>
      </c>
      <c r="N31" s="11">
        <f t="shared" si="1"/>
        <v>1</v>
      </c>
      <c r="O31" s="10">
        <v>6582</v>
      </c>
      <c r="P31" s="11">
        <f t="shared" si="2"/>
        <v>0.1224551807961106</v>
      </c>
    </row>
    <row r="32" spans="1:16">
      <c r="A32" s="9" t="s">
        <v>94</v>
      </c>
      <c r="B32" s="9"/>
      <c r="C32" s="9">
        <v>22</v>
      </c>
      <c r="D32" s="9">
        <v>54</v>
      </c>
      <c r="E32" s="12">
        <v>1.1999999999999999E-3</v>
      </c>
      <c r="F32" s="9">
        <v>793</v>
      </c>
      <c r="G32" s="9">
        <v>15</v>
      </c>
      <c r="H32" s="9">
        <v>0</v>
      </c>
      <c r="I32" s="9">
        <v>0</v>
      </c>
      <c r="J32" s="12">
        <v>0</v>
      </c>
      <c r="K32" s="13">
        <f t="shared" si="0"/>
        <v>0</v>
      </c>
      <c r="L32" s="9">
        <v>0</v>
      </c>
      <c r="M32" s="10"/>
      <c r="N32" s="11" t="str">
        <f t="shared" si="1"/>
        <v/>
      </c>
      <c r="O32" s="10"/>
      <c r="P32" s="11" t="str">
        <f t="shared" si="2"/>
        <v/>
      </c>
    </row>
    <row r="33" spans="1:16">
      <c r="A33" s="9" t="s">
        <v>86</v>
      </c>
      <c r="B33" s="9" t="s">
        <v>87</v>
      </c>
      <c r="C33" s="9">
        <v>20</v>
      </c>
      <c r="D33" s="9">
        <v>68</v>
      </c>
      <c r="E33" s="12">
        <v>1.1999999999999999E-3</v>
      </c>
      <c r="F33" s="9">
        <v>780</v>
      </c>
      <c r="G33" s="9">
        <v>12</v>
      </c>
      <c r="H33" s="9">
        <v>0</v>
      </c>
      <c r="I33" s="9">
        <v>0</v>
      </c>
      <c r="J33" s="12">
        <v>0</v>
      </c>
      <c r="K33" s="13">
        <f t="shared" si="0"/>
        <v>0</v>
      </c>
      <c r="L33" s="9">
        <v>0</v>
      </c>
      <c r="M33" s="10">
        <v>4280</v>
      </c>
      <c r="N33" s="11">
        <f t="shared" si="1"/>
        <v>0</v>
      </c>
      <c r="O33" s="10">
        <v>1038</v>
      </c>
      <c r="P33" s="11">
        <f t="shared" si="2"/>
        <v>0.75144508670520227</v>
      </c>
    </row>
    <row r="34" spans="1:16">
      <c r="A34" s="9" t="s">
        <v>174</v>
      </c>
      <c r="B34" s="9"/>
      <c r="C34" s="9">
        <v>22</v>
      </c>
      <c r="D34" s="9">
        <v>48</v>
      </c>
      <c r="E34" s="12">
        <v>1.9E-3</v>
      </c>
      <c r="F34" s="9">
        <v>697</v>
      </c>
      <c r="G34" s="9">
        <v>15</v>
      </c>
      <c r="H34" s="9">
        <v>0</v>
      </c>
      <c r="I34" s="9">
        <v>0</v>
      </c>
      <c r="J34" s="12">
        <v>0</v>
      </c>
      <c r="K34" s="13">
        <f t="shared" si="0"/>
        <v>0</v>
      </c>
      <c r="L34" s="9">
        <v>0</v>
      </c>
      <c r="M34" s="10"/>
      <c r="N34" s="11" t="str">
        <f t="shared" si="1"/>
        <v/>
      </c>
      <c r="O34" s="10"/>
      <c r="P34" s="11" t="str">
        <f t="shared" si="2"/>
        <v/>
      </c>
    </row>
    <row r="35" spans="1:16">
      <c r="A35" s="9" t="s">
        <v>119</v>
      </c>
      <c r="B35" s="9" t="s">
        <v>120</v>
      </c>
      <c r="C35" s="9">
        <v>22</v>
      </c>
      <c r="D35" s="9">
        <v>57</v>
      </c>
      <c r="E35" s="12">
        <v>5.5000000000000014E-3</v>
      </c>
      <c r="F35" s="9">
        <v>688</v>
      </c>
      <c r="G35" s="9">
        <v>13</v>
      </c>
      <c r="H35" s="9">
        <v>2980</v>
      </c>
      <c r="I35" s="9">
        <v>1</v>
      </c>
      <c r="J35" s="12">
        <v>1.7500000000000002E-2</v>
      </c>
      <c r="K35" s="13">
        <f t="shared" si="0"/>
        <v>4.3313953488372094</v>
      </c>
      <c r="L35" s="9">
        <v>2980</v>
      </c>
      <c r="M35" s="10">
        <v>2980</v>
      </c>
      <c r="N35" s="11">
        <f t="shared" si="1"/>
        <v>1</v>
      </c>
      <c r="O35" s="10">
        <v>795</v>
      </c>
      <c r="P35" s="11">
        <f t="shared" si="2"/>
        <v>0.86540880503144657</v>
      </c>
    </row>
    <row r="36" spans="1:16">
      <c r="A36" s="9" t="s">
        <v>151</v>
      </c>
      <c r="B36" s="9" t="s">
        <v>301</v>
      </c>
      <c r="C36" s="9">
        <v>20</v>
      </c>
      <c r="D36" s="9">
        <v>52</v>
      </c>
      <c r="E36" s="12">
        <v>8.0000000000000004E-4</v>
      </c>
      <c r="F36" s="9">
        <v>680</v>
      </c>
      <c r="G36" s="9">
        <v>14</v>
      </c>
      <c r="H36" s="9">
        <v>1980</v>
      </c>
      <c r="I36" s="9">
        <v>1</v>
      </c>
      <c r="J36" s="12">
        <v>1.9199999999999998E-2</v>
      </c>
      <c r="K36" s="13">
        <f t="shared" si="0"/>
        <v>2.9117647058823528</v>
      </c>
      <c r="L36" s="9">
        <v>1980</v>
      </c>
      <c r="M36" s="10">
        <v>3960</v>
      </c>
      <c r="N36" s="11">
        <f t="shared" si="1"/>
        <v>0.5</v>
      </c>
      <c r="O36" s="10">
        <v>3366</v>
      </c>
      <c r="P36" s="11">
        <f t="shared" si="2"/>
        <v>0.20202020202020202</v>
      </c>
    </row>
    <row r="37" spans="1:16">
      <c r="A37" s="9" t="s">
        <v>178</v>
      </c>
      <c r="B37" s="9" t="s">
        <v>179</v>
      </c>
      <c r="C37" s="9">
        <v>20</v>
      </c>
      <c r="D37" s="9">
        <v>37</v>
      </c>
      <c r="E37" s="12">
        <v>1.2999999999999999E-3</v>
      </c>
      <c r="F37" s="9">
        <v>592</v>
      </c>
      <c r="G37" s="9">
        <v>16</v>
      </c>
      <c r="H37" s="9">
        <v>3280</v>
      </c>
      <c r="I37" s="9">
        <v>1</v>
      </c>
      <c r="J37" s="12">
        <v>2.7E-2</v>
      </c>
      <c r="K37" s="13">
        <f t="shared" si="0"/>
        <v>5.5405405405405403</v>
      </c>
      <c r="L37" s="9">
        <v>3280</v>
      </c>
      <c r="M37" s="10">
        <v>6560</v>
      </c>
      <c r="N37" s="11">
        <f t="shared" si="1"/>
        <v>0.5</v>
      </c>
      <c r="O37" s="10">
        <v>1600</v>
      </c>
      <c r="P37" s="11">
        <f t="shared" si="2"/>
        <v>0.37</v>
      </c>
    </row>
    <row r="38" spans="1:16">
      <c r="A38" s="9" t="s">
        <v>81</v>
      </c>
      <c r="B38" s="9" t="s">
        <v>82</v>
      </c>
      <c r="C38" s="9">
        <v>22</v>
      </c>
      <c r="D38" s="9">
        <v>29</v>
      </c>
      <c r="E38" s="12">
        <v>5.8799999999999998E-2</v>
      </c>
      <c r="F38" s="9">
        <v>582</v>
      </c>
      <c r="G38" s="9">
        <v>21</v>
      </c>
      <c r="H38" s="9">
        <v>4840</v>
      </c>
      <c r="I38" s="9">
        <v>2</v>
      </c>
      <c r="J38" s="12">
        <v>6.8900000000000003E-2</v>
      </c>
      <c r="K38" s="13">
        <f t="shared" si="0"/>
        <v>8.3161512027491415</v>
      </c>
      <c r="L38" s="9">
        <v>1680</v>
      </c>
      <c r="M38" s="10">
        <v>1680</v>
      </c>
      <c r="N38" s="11">
        <f t="shared" si="1"/>
        <v>2.8809523809523809</v>
      </c>
      <c r="O38" s="10">
        <v>486</v>
      </c>
      <c r="P38" s="11">
        <f t="shared" si="2"/>
        <v>1.1975308641975309</v>
      </c>
    </row>
    <row r="39" spans="1:16">
      <c r="A39" s="9" t="s">
        <v>302</v>
      </c>
      <c r="B39" s="9" t="s">
        <v>303</v>
      </c>
      <c r="C39" s="9">
        <v>20</v>
      </c>
      <c r="D39" s="9">
        <v>49</v>
      </c>
      <c r="E39" s="12">
        <v>4.6999999999999993E-3</v>
      </c>
      <c r="F39" s="9">
        <v>580</v>
      </c>
      <c r="G39" s="9">
        <v>12</v>
      </c>
      <c r="H39" s="9">
        <v>2480</v>
      </c>
      <c r="I39" s="9">
        <v>1</v>
      </c>
      <c r="J39" s="12">
        <v>2.0400000000000001E-2</v>
      </c>
      <c r="K39" s="13">
        <f t="shared" si="0"/>
        <v>4.2758620689655169</v>
      </c>
      <c r="L39" s="9">
        <v>0</v>
      </c>
      <c r="M39" s="10">
        <v>7440</v>
      </c>
      <c r="N39" s="11">
        <f t="shared" si="1"/>
        <v>0.33333333333333331</v>
      </c>
      <c r="O39" s="10">
        <v>6324</v>
      </c>
      <c r="P39" s="11">
        <f t="shared" si="2"/>
        <v>9.1714104996837451E-2</v>
      </c>
    </row>
    <row r="40" spans="1:16">
      <c r="A40" s="9" t="s">
        <v>236</v>
      </c>
      <c r="B40" s="9"/>
      <c r="C40" s="9">
        <v>20</v>
      </c>
      <c r="D40" s="9">
        <v>42</v>
      </c>
      <c r="E40" s="12">
        <v>4.0000000000000002E-4</v>
      </c>
      <c r="F40" s="9">
        <v>569</v>
      </c>
      <c r="G40" s="9">
        <v>14</v>
      </c>
      <c r="H40" s="9">
        <v>0</v>
      </c>
      <c r="I40" s="9">
        <v>0</v>
      </c>
      <c r="J40" s="12">
        <v>0</v>
      </c>
      <c r="K40" s="13">
        <f t="shared" si="0"/>
        <v>0</v>
      </c>
      <c r="L40" s="9">
        <v>0</v>
      </c>
      <c r="M40" s="10"/>
      <c r="N40" s="11" t="str">
        <f t="shared" si="1"/>
        <v/>
      </c>
      <c r="O40" s="10"/>
      <c r="P40" s="11" t="str">
        <f t="shared" si="2"/>
        <v/>
      </c>
    </row>
    <row r="41" spans="1:16">
      <c r="A41" s="9" t="s">
        <v>304</v>
      </c>
      <c r="B41" s="9"/>
      <c r="C41" s="9">
        <v>20</v>
      </c>
      <c r="D41" s="9">
        <v>51</v>
      </c>
      <c r="E41" s="12">
        <v>1.23E-2</v>
      </c>
      <c r="F41" s="9">
        <v>550</v>
      </c>
      <c r="G41" s="9">
        <v>11</v>
      </c>
      <c r="H41" s="9">
        <v>0</v>
      </c>
      <c r="I41" s="9">
        <v>0</v>
      </c>
      <c r="J41" s="12">
        <v>0</v>
      </c>
      <c r="K41" s="13">
        <f t="shared" si="0"/>
        <v>0</v>
      </c>
      <c r="L41" s="9">
        <v>0</v>
      </c>
      <c r="M41" s="10"/>
      <c r="N41" s="11" t="str">
        <f t="shared" si="1"/>
        <v/>
      </c>
      <c r="O41" s="10"/>
      <c r="P41" s="11" t="str">
        <f t="shared" si="2"/>
        <v/>
      </c>
    </row>
    <row r="42" spans="1:16">
      <c r="A42" s="9" t="s">
        <v>163</v>
      </c>
      <c r="B42" s="9" t="s">
        <v>164</v>
      </c>
      <c r="C42" s="9">
        <v>24</v>
      </c>
      <c r="D42" s="9">
        <v>38</v>
      </c>
      <c r="E42" s="12">
        <v>3.7000000000000012E-2</v>
      </c>
      <c r="F42" s="9">
        <v>540</v>
      </c>
      <c r="G42" s="9">
        <v>15</v>
      </c>
      <c r="H42" s="9">
        <v>1480</v>
      </c>
      <c r="I42" s="9">
        <v>1</v>
      </c>
      <c r="J42" s="12">
        <v>2.63E-2</v>
      </c>
      <c r="K42" s="13">
        <f t="shared" si="0"/>
        <v>2.7407407407407409</v>
      </c>
      <c r="L42" s="9">
        <v>1480</v>
      </c>
      <c r="M42" s="10">
        <v>4440</v>
      </c>
      <c r="N42" s="11">
        <f t="shared" si="1"/>
        <v>0.33333333333333331</v>
      </c>
      <c r="O42" s="10">
        <v>1902</v>
      </c>
      <c r="P42" s="11">
        <f t="shared" si="2"/>
        <v>0.28391167192429023</v>
      </c>
    </row>
    <row r="43" spans="1:16">
      <c r="A43" s="9" t="s">
        <v>187</v>
      </c>
      <c r="B43" s="9"/>
      <c r="C43" s="9">
        <v>20</v>
      </c>
      <c r="D43" s="9">
        <v>48</v>
      </c>
      <c r="E43" s="12">
        <v>7.000000000000001E-4</v>
      </c>
      <c r="F43" s="9">
        <v>540</v>
      </c>
      <c r="G43" s="9">
        <v>12</v>
      </c>
      <c r="H43" s="9">
        <v>0</v>
      </c>
      <c r="I43" s="9">
        <v>0</v>
      </c>
      <c r="J43" s="12">
        <v>0</v>
      </c>
      <c r="K43" s="13">
        <f t="shared" si="0"/>
        <v>0</v>
      </c>
      <c r="L43" s="9">
        <v>0</v>
      </c>
      <c r="M43" s="10"/>
      <c r="N43" s="11" t="str">
        <f t="shared" si="1"/>
        <v/>
      </c>
      <c r="O43" s="10"/>
      <c r="P43" s="11" t="str">
        <f t="shared" si="2"/>
        <v/>
      </c>
    </row>
    <row r="44" spans="1:16">
      <c r="A44" s="9" t="s">
        <v>51</v>
      </c>
      <c r="B44" s="9"/>
      <c r="C44" s="9">
        <v>22</v>
      </c>
      <c r="D44" s="9">
        <v>25</v>
      </c>
      <c r="E44" s="12">
        <v>8.0000000000000002E-3</v>
      </c>
      <c r="F44" s="9">
        <v>532</v>
      </c>
      <c r="G44" s="9">
        <v>22</v>
      </c>
      <c r="H44" s="9">
        <v>0</v>
      </c>
      <c r="I44" s="9">
        <v>0</v>
      </c>
      <c r="J44" s="12">
        <v>0</v>
      </c>
      <c r="K44" s="13">
        <f t="shared" si="0"/>
        <v>0</v>
      </c>
      <c r="L44" s="9">
        <v>0</v>
      </c>
      <c r="M44" s="10"/>
      <c r="N44" s="11" t="str">
        <f t="shared" si="1"/>
        <v/>
      </c>
      <c r="O44" s="10"/>
      <c r="P44" s="11" t="str">
        <f t="shared" si="2"/>
        <v/>
      </c>
    </row>
    <row r="45" spans="1:16">
      <c r="A45" s="9" t="s">
        <v>47</v>
      </c>
      <c r="B45" s="9" t="s">
        <v>48</v>
      </c>
      <c r="C45" s="9">
        <v>22</v>
      </c>
      <c r="D45" s="9">
        <v>24</v>
      </c>
      <c r="E45" s="12">
        <v>5.1999999999999998E-3</v>
      </c>
      <c r="F45" s="9">
        <v>522</v>
      </c>
      <c r="G45" s="9">
        <v>22</v>
      </c>
      <c r="H45" s="9">
        <v>2380</v>
      </c>
      <c r="I45" s="9">
        <v>1</v>
      </c>
      <c r="J45" s="12">
        <v>4.1599999999999998E-2</v>
      </c>
      <c r="K45" s="13">
        <f t="shared" ref="K45:K76" si="3">IF(F45=0,"",H45/F45)</f>
        <v>4.5593869731800769</v>
      </c>
      <c r="L45" s="9">
        <v>0</v>
      </c>
      <c r="M45" s="10">
        <v>4760</v>
      </c>
      <c r="N45" s="11">
        <f t="shared" ref="N45:N76" si="4">IF(OR(M45="",M45=0),"",H45/M45)</f>
        <v>0.5</v>
      </c>
      <c r="O45" s="10">
        <v>1766</v>
      </c>
      <c r="P45" s="11">
        <f t="shared" ref="P45:P76" si="5">IF(OR(O45="",O45=0),"",F45/O45)</f>
        <v>0.29558323895809741</v>
      </c>
    </row>
    <row r="46" spans="1:16">
      <c r="A46" s="9" t="s">
        <v>58</v>
      </c>
      <c r="B46" s="9" t="s">
        <v>59</v>
      </c>
      <c r="C46" s="9">
        <v>27</v>
      </c>
      <c r="D46" s="9">
        <v>34</v>
      </c>
      <c r="E46" s="12">
        <v>8.5000000000000006E-3</v>
      </c>
      <c r="F46" s="9">
        <v>498</v>
      </c>
      <c r="G46" s="9">
        <v>15</v>
      </c>
      <c r="H46" s="9">
        <v>2180</v>
      </c>
      <c r="I46" s="9">
        <v>1</v>
      </c>
      <c r="J46" s="12">
        <v>2.9399999999999999E-2</v>
      </c>
      <c r="K46" s="13">
        <f t="shared" si="3"/>
        <v>4.3775100401606428</v>
      </c>
      <c r="L46" s="9">
        <v>2180</v>
      </c>
      <c r="M46" s="10">
        <v>6540</v>
      </c>
      <c r="N46" s="11">
        <f t="shared" si="4"/>
        <v>0.33333333333333331</v>
      </c>
      <c r="O46" s="10">
        <v>2103</v>
      </c>
      <c r="P46" s="11">
        <f t="shared" si="5"/>
        <v>0.23680456490727533</v>
      </c>
    </row>
    <row r="47" spans="1:16">
      <c r="A47" s="9" t="s">
        <v>138</v>
      </c>
      <c r="B47" s="9" t="s">
        <v>139</v>
      </c>
      <c r="C47" s="9">
        <v>20</v>
      </c>
      <c r="D47" s="9">
        <v>35</v>
      </c>
      <c r="E47" s="12">
        <v>2.9999999999999997E-4</v>
      </c>
      <c r="F47" s="9">
        <v>470</v>
      </c>
      <c r="G47" s="9">
        <v>14</v>
      </c>
      <c r="H47" s="9">
        <v>0</v>
      </c>
      <c r="I47" s="9">
        <v>0</v>
      </c>
      <c r="J47" s="12">
        <v>0</v>
      </c>
      <c r="K47" s="13">
        <f t="shared" si="3"/>
        <v>0</v>
      </c>
      <c r="L47" s="9">
        <v>0</v>
      </c>
      <c r="M47" s="10">
        <v>3160</v>
      </c>
      <c r="N47" s="11">
        <f t="shared" si="4"/>
        <v>0</v>
      </c>
      <c r="O47" s="10">
        <v>664</v>
      </c>
      <c r="P47" s="11">
        <f t="shared" si="5"/>
        <v>0.70783132530120485</v>
      </c>
    </row>
    <row r="48" spans="1:16">
      <c r="A48" s="9" t="s">
        <v>305</v>
      </c>
      <c r="B48" s="9"/>
      <c r="C48" s="9">
        <v>20</v>
      </c>
      <c r="D48" s="9">
        <v>44</v>
      </c>
      <c r="E48" s="12">
        <v>2.0000000000000001E-4</v>
      </c>
      <c r="F48" s="9">
        <v>450</v>
      </c>
      <c r="G48" s="9">
        <v>11</v>
      </c>
      <c r="H48" s="9">
        <v>0</v>
      </c>
      <c r="I48" s="9">
        <v>0</v>
      </c>
      <c r="J48" s="12">
        <v>0</v>
      </c>
      <c r="K48" s="13">
        <f t="shared" si="3"/>
        <v>0</v>
      </c>
      <c r="L48" s="9">
        <v>0</v>
      </c>
      <c r="M48" s="10"/>
      <c r="N48" s="11" t="str">
        <f t="shared" si="4"/>
        <v/>
      </c>
      <c r="O48" s="10"/>
      <c r="P48" s="11" t="str">
        <f t="shared" si="5"/>
        <v/>
      </c>
    </row>
    <row r="49" spans="1:16">
      <c r="A49" s="9" t="s">
        <v>306</v>
      </c>
      <c r="B49" s="9" t="s">
        <v>307</v>
      </c>
      <c r="C49" s="9">
        <v>20</v>
      </c>
      <c r="D49" s="9">
        <v>40</v>
      </c>
      <c r="E49" s="12">
        <v>8.9999999999999998E-4</v>
      </c>
      <c r="F49" s="9">
        <v>440</v>
      </c>
      <c r="G49" s="9">
        <v>11</v>
      </c>
      <c r="H49" s="9">
        <v>0</v>
      </c>
      <c r="I49" s="9">
        <v>0</v>
      </c>
      <c r="J49" s="12">
        <v>0</v>
      </c>
      <c r="K49" s="13">
        <f t="shared" si="3"/>
        <v>0</v>
      </c>
      <c r="L49" s="9">
        <v>0</v>
      </c>
      <c r="M49" s="10">
        <v>4380</v>
      </c>
      <c r="N49" s="11">
        <f t="shared" si="4"/>
        <v>0</v>
      </c>
      <c r="O49" s="10">
        <v>3723</v>
      </c>
      <c r="P49" s="11">
        <f t="shared" si="5"/>
        <v>0.11818426000537201</v>
      </c>
    </row>
    <row r="50" spans="1:16">
      <c r="A50" s="9" t="s">
        <v>241</v>
      </c>
      <c r="B50" s="9" t="s">
        <v>242</v>
      </c>
      <c r="C50" s="9">
        <v>20</v>
      </c>
      <c r="D50" s="9">
        <v>42</v>
      </c>
      <c r="E50" s="12">
        <v>1.09E-2</v>
      </c>
      <c r="F50" s="9">
        <v>440</v>
      </c>
      <c r="G50" s="9">
        <v>11</v>
      </c>
      <c r="H50" s="9">
        <v>0</v>
      </c>
      <c r="I50" s="9">
        <v>0</v>
      </c>
      <c r="J50" s="12">
        <v>0</v>
      </c>
      <c r="K50" s="13">
        <f t="shared" si="3"/>
        <v>0</v>
      </c>
      <c r="L50" s="9">
        <v>0</v>
      </c>
      <c r="M50" s="10">
        <v>2180</v>
      </c>
      <c r="N50" s="11">
        <f t="shared" si="4"/>
        <v>0</v>
      </c>
      <c r="O50" s="10">
        <v>723</v>
      </c>
      <c r="P50" s="11">
        <f t="shared" si="5"/>
        <v>0.60857538035961267</v>
      </c>
    </row>
    <row r="51" spans="1:16">
      <c r="A51" s="9" t="s">
        <v>181</v>
      </c>
      <c r="B51" s="9"/>
      <c r="C51" s="9">
        <v>20</v>
      </c>
      <c r="D51" s="9">
        <v>42</v>
      </c>
      <c r="E51" s="12">
        <v>2.3E-3</v>
      </c>
      <c r="F51" s="9">
        <v>430</v>
      </c>
      <c r="G51" s="9">
        <v>11</v>
      </c>
      <c r="H51" s="9">
        <v>0</v>
      </c>
      <c r="I51" s="9">
        <v>0</v>
      </c>
      <c r="J51" s="12">
        <v>0</v>
      </c>
      <c r="K51" s="13">
        <f t="shared" si="3"/>
        <v>0</v>
      </c>
      <c r="L51" s="9">
        <v>0</v>
      </c>
      <c r="M51" s="10"/>
      <c r="N51" s="11" t="str">
        <f t="shared" si="4"/>
        <v/>
      </c>
      <c r="O51" s="10"/>
      <c r="P51" s="11" t="str">
        <f t="shared" si="5"/>
        <v/>
      </c>
    </row>
    <row r="52" spans="1:16">
      <c r="A52" s="9" t="s">
        <v>105</v>
      </c>
      <c r="B52" s="9" t="s">
        <v>106</v>
      </c>
      <c r="C52" s="9">
        <v>20</v>
      </c>
      <c r="D52" s="9">
        <v>25</v>
      </c>
      <c r="E52" s="12">
        <v>1E-3</v>
      </c>
      <c r="F52" s="9">
        <v>412</v>
      </c>
      <c r="G52" s="9">
        <v>17</v>
      </c>
      <c r="H52" s="9">
        <v>0</v>
      </c>
      <c r="I52" s="9">
        <v>0</v>
      </c>
      <c r="J52" s="12">
        <v>0</v>
      </c>
      <c r="K52" s="13">
        <f t="shared" si="3"/>
        <v>0</v>
      </c>
      <c r="L52" s="9">
        <v>0</v>
      </c>
      <c r="M52" s="10">
        <v>5940</v>
      </c>
      <c r="N52" s="11">
        <f t="shared" si="4"/>
        <v>0</v>
      </c>
      <c r="O52" s="10">
        <v>2517</v>
      </c>
      <c r="P52" s="11">
        <f t="shared" si="5"/>
        <v>0.16368692888359157</v>
      </c>
    </row>
    <row r="53" spans="1:16">
      <c r="A53" s="9" t="s">
        <v>64</v>
      </c>
      <c r="B53" s="9" t="s">
        <v>65</v>
      </c>
      <c r="C53" s="9">
        <v>22</v>
      </c>
      <c r="D53" s="9">
        <v>24</v>
      </c>
      <c r="E53" s="12">
        <v>7.000000000000001E-4</v>
      </c>
      <c r="F53" s="9">
        <v>396</v>
      </c>
      <c r="G53" s="9">
        <v>17</v>
      </c>
      <c r="H53" s="9">
        <v>0</v>
      </c>
      <c r="I53" s="9">
        <v>0</v>
      </c>
      <c r="J53" s="12">
        <v>0</v>
      </c>
      <c r="K53" s="13">
        <f t="shared" si="3"/>
        <v>0</v>
      </c>
      <c r="L53" s="9">
        <v>0</v>
      </c>
      <c r="M53" s="10">
        <v>1280</v>
      </c>
      <c r="N53" s="11">
        <f t="shared" si="4"/>
        <v>0</v>
      </c>
      <c r="O53" s="10">
        <v>642</v>
      </c>
      <c r="P53" s="11">
        <f t="shared" si="5"/>
        <v>0.61682242990654201</v>
      </c>
    </row>
    <row r="54" spans="1:16">
      <c r="A54" s="9" t="s">
        <v>228</v>
      </c>
      <c r="B54" s="9" t="s">
        <v>308</v>
      </c>
      <c r="C54" s="9">
        <v>20</v>
      </c>
      <c r="D54" s="9">
        <v>22</v>
      </c>
      <c r="E54" s="12">
        <v>1.4E-3</v>
      </c>
      <c r="F54" s="9">
        <v>390</v>
      </c>
      <c r="G54" s="9">
        <v>18</v>
      </c>
      <c r="H54" s="9">
        <v>0</v>
      </c>
      <c r="I54" s="9">
        <v>0</v>
      </c>
      <c r="J54" s="12">
        <v>0</v>
      </c>
      <c r="K54" s="13">
        <f t="shared" si="3"/>
        <v>0</v>
      </c>
      <c r="L54" s="9">
        <v>0</v>
      </c>
      <c r="M54" s="10">
        <v>4960</v>
      </c>
      <c r="N54" s="11">
        <f t="shared" si="4"/>
        <v>0</v>
      </c>
      <c r="O54" s="10">
        <v>4216</v>
      </c>
      <c r="P54" s="11">
        <f t="shared" si="5"/>
        <v>9.2504743833017072E-2</v>
      </c>
    </row>
    <row r="55" spans="1:16">
      <c r="A55" s="9" t="s">
        <v>309</v>
      </c>
      <c r="B55" s="9"/>
      <c r="C55" s="9">
        <v>20</v>
      </c>
      <c r="D55" s="9">
        <v>31</v>
      </c>
      <c r="E55" s="12">
        <v>2.24E-2</v>
      </c>
      <c r="F55" s="9">
        <v>370</v>
      </c>
      <c r="G55" s="9">
        <v>12</v>
      </c>
      <c r="H55" s="9">
        <v>0</v>
      </c>
      <c r="I55" s="9">
        <v>0</v>
      </c>
      <c r="J55" s="12">
        <v>0</v>
      </c>
      <c r="K55" s="13">
        <f t="shared" si="3"/>
        <v>0</v>
      </c>
      <c r="L55" s="9">
        <v>0</v>
      </c>
      <c r="M55" s="10"/>
      <c r="N55" s="11" t="str">
        <f t="shared" si="4"/>
        <v/>
      </c>
      <c r="O55" s="10"/>
      <c r="P55" s="11" t="str">
        <f t="shared" si="5"/>
        <v/>
      </c>
    </row>
    <row r="56" spans="1:16">
      <c r="A56" s="9" t="s">
        <v>175</v>
      </c>
      <c r="B56" s="9"/>
      <c r="C56" s="9">
        <v>22</v>
      </c>
      <c r="D56" s="9">
        <v>29</v>
      </c>
      <c r="E56" s="12">
        <v>1.1000000000000001E-3</v>
      </c>
      <c r="F56" s="9">
        <v>356</v>
      </c>
      <c r="G56" s="9">
        <v>13</v>
      </c>
      <c r="H56" s="9">
        <v>0</v>
      </c>
      <c r="I56" s="9">
        <v>0</v>
      </c>
      <c r="J56" s="12">
        <v>0</v>
      </c>
      <c r="K56" s="13">
        <f t="shared" si="3"/>
        <v>0</v>
      </c>
      <c r="L56" s="9">
        <v>0</v>
      </c>
      <c r="M56" s="10"/>
      <c r="N56" s="11" t="str">
        <f t="shared" si="4"/>
        <v/>
      </c>
      <c r="O56" s="10"/>
      <c r="P56" s="11" t="str">
        <f t="shared" si="5"/>
        <v/>
      </c>
    </row>
    <row r="57" spans="1:16">
      <c r="A57" s="9" t="s">
        <v>310</v>
      </c>
      <c r="B57" s="9"/>
      <c r="C57" s="9">
        <v>20</v>
      </c>
      <c r="D57" s="9">
        <v>29</v>
      </c>
      <c r="E57" s="12">
        <v>1.4E-3</v>
      </c>
      <c r="F57" s="9">
        <v>340</v>
      </c>
      <c r="G57" s="9">
        <v>12</v>
      </c>
      <c r="H57" s="9">
        <v>0</v>
      </c>
      <c r="I57" s="9">
        <v>0</v>
      </c>
      <c r="J57" s="12">
        <v>0</v>
      </c>
      <c r="K57" s="13">
        <f t="shared" si="3"/>
        <v>0</v>
      </c>
      <c r="L57" s="9">
        <v>0</v>
      </c>
      <c r="M57" s="10"/>
      <c r="N57" s="11" t="str">
        <f t="shared" si="4"/>
        <v/>
      </c>
      <c r="O57" s="10"/>
      <c r="P57" s="11" t="str">
        <f t="shared" si="5"/>
        <v/>
      </c>
    </row>
    <row r="58" spans="1:16">
      <c r="A58" s="9" t="s">
        <v>311</v>
      </c>
      <c r="B58" s="9"/>
      <c r="C58" s="9">
        <v>20</v>
      </c>
      <c r="D58" s="9">
        <v>32</v>
      </c>
      <c r="E58" s="12">
        <v>2.9999999999999997E-4</v>
      </c>
      <c r="F58" s="9">
        <v>330</v>
      </c>
      <c r="G58" s="9">
        <v>11</v>
      </c>
      <c r="H58" s="9">
        <v>0</v>
      </c>
      <c r="I58" s="9">
        <v>0</v>
      </c>
      <c r="J58" s="12">
        <v>0</v>
      </c>
      <c r="K58" s="13">
        <f t="shared" si="3"/>
        <v>0</v>
      </c>
      <c r="L58" s="9">
        <v>0</v>
      </c>
      <c r="M58" s="10"/>
      <c r="N58" s="11" t="str">
        <f t="shared" si="4"/>
        <v/>
      </c>
      <c r="O58" s="10"/>
      <c r="P58" s="11" t="str">
        <f t="shared" si="5"/>
        <v/>
      </c>
    </row>
    <row r="59" spans="1:16">
      <c r="A59" s="9" t="s">
        <v>312</v>
      </c>
      <c r="B59" s="9"/>
      <c r="C59" s="9">
        <v>20</v>
      </c>
      <c r="D59" s="9">
        <v>32</v>
      </c>
      <c r="E59" s="12">
        <v>8.9999999999999998E-4</v>
      </c>
      <c r="F59" s="9">
        <v>330</v>
      </c>
      <c r="G59" s="9">
        <v>11</v>
      </c>
      <c r="H59" s="9">
        <v>0</v>
      </c>
      <c r="I59" s="9">
        <v>0</v>
      </c>
      <c r="J59" s="12">
        <v>0</v>
      </c>
      <c r="K59" s="13">
        <f t="shared" si="3"/>
        <v>0</v>
      </c>
      <c r="L59" s="9">
        <v>0</v>
      </c>
      <c r="M59" s="10"/>
      <c r="N59" s="11" t="str">
        <f t="shared" si="4"/>
        <v/>
      </c>
      <c r="O59" s="10"/>
      <c r="P59" s="11" t="str">
        <f t="shared" si="5"/>
        <v/>
      </c>
    </row>
    <row r="60" spans="1:16">
      <c r="A60" s="9" t="s">
        <v>313</v>
      </c>
      <c r="B60" s="9"/>
      <c r="C60" s="9">
        <v>20</v>
      </c>
      <c r="D60" s="9">
        <v>33</v>
      </c>
      <c r="E60" s="12">
        <v>4.0000000000000002E-4</v>
      </c>
      <c r="F60" s="9">
        <v>330</v>
      </c>
      <c r="G60" s="9">
        <v>10</v>
      </c>
      <c r="H60" s="9">
        <v>0</v>
      </c>
      <c r="I60" s="9">
        <v>0</v>
      </c>
      <c r="J60" s="12">
        <v>0</v>
      </c>
      <c r="K60" s="13">
        <f t="shared" si="3"/>
        <v>0</v>
      </c>
      <c r="L60" s="9">
        <v>0</v>
      </c>
      <c r="M60" s="10"/>
      <c r="N60" s="11" t="str">
        <f t="shared" si="4"/>
        <v/>
      </c>
      <c r="O60" s="10"/>
      <c r="P60" s="11" t="str">
        <f t="shared" si="5"/>
        <v/>
      </c>
    </row>
    <row r="61" spans="1:16">
      <c r="A61" s="9" t="s">
        <v>314</v>
      </c>
      <c r="B61" s="9" t="s">
        <v>315</v>
      </c>
      <c r="C61" s="9">
        <v>20</v>
      </c>
      <c r="D61" s="9">
        <v>23</v>
      </c>
      <c r="E61" s="12">
        <v>3.7000000000000002E-3</v>
      </c>
      <c r="F61" s="9">
        <v>323</v>
      </c>
      <c r="G61" s="9">
        <v>15</v>
      </c>
      <c r="H61" s="9">
        <v>0</v>
      </c>
      <c r="I61" s="9">
        <v>0</v>
      </c>
      <c r="J61" s="12">
        <v>0</v>
      </c>
      <c r="K61" s="13">
        <f t="shared" si="3"/>
        <v>0</v>
      </c>
      <c r="L61" s="9">
        <v>0</v>
      </c>
      <c r="M61" s="10">
        <v>11880</v>
      </c>
      <c r="N61" s="11">
        <f t="shared" si="4"/>
        <v>0</v>
      </c>
      <c r="O61" s="10">
        <v>10098</v>
      </c>
      <c r="P61" s="11">
        <f t="shared" si="5"/>
        <v>3.1986531986531987E-2</v>
      </c>
    </row>
    <row r="62" spans="1:16">
      <c r="A62" s="9" t="s">
        <v>316</v>
      </c>
      <c r="B62" s="9"/>
      <c r="C62" s="9">
        <v>20</v>
      </c>
      <c r="D62" s="9">
        <v>28</v>
      </c>
      <c r="E62" s="12">
        <v>0</v>
      </c>
      <c r="F62" s="9">
        <v>280</v>
      </c>
      <c r="G62" s="9">
        <v>10</v>
      </c>
      <c r="H62" s="9">
        <v>0</v>
      </c>
      <c r="I62" s="9">
        <v>0</v>
      </c>
      <c r="J62" s="12">
        <v>0</v>
      </c>
      <c r="K62" s="13">
        <f t="shared" si="3"/>
        <v>0</v>
      </c>
      <c r="L62" s="9">
        <v>0</v>
      </c>
      <c r="M62" s="10"/>
      <c r="N62" s="11" t="str">
        <f t="shared" si="4"/>
        <v/>
      </c>
      <c r="O62" s="10"/>
      <c r="P62" s="11" t="str">
        <f t="shared" si="5"/>
        <v/>
      </c>
    </row>
    <row r="63" spans="1:16">
      <c r="A63" s="9" t="s">
        <v>96</v>
      </c>
      <c r="B63" s="9" t="s">
        <v>97</v>
      </c>
      <c r="C63" s="9">
        <v>27</v>
      </c>
      <c r="D63" s="9">
        <v>14</v>
      </c>
      <c r="E63" s="12">
        <v>9.0000000000000011E-3</v>
      </c>
      <c r="F63" s="9">
        <v>280</v>
      </c>
      <c r="G63" s="9">
        <v>20</v>
      </c>
      <c r="H63" s="9">
        <v>0</v>
      </c>
      <c r="I63" s="9">
        <v>0</v>
      </c>
      <c r="J63" s="12">
        <v>0</v>
      </c>
      <c r="K63" s="13">
        <f t="shared" si="3"/>
        <v>0</v>
      </c>
      <c r="L63" s="9">
        <v>0</v>
      </c>
      <c r="M63" s="10">
        <v>14940</v>
      </c>
      <c r="N63" s="11">
        <f t="shared" si="4"/>
        <v>0</v>
      </c>
      <c r="O63" s="10">
        <v>4935</v>
      </c>
      <c r="P63" s="11">
        <f t="shared" si="5"/>
        <v>5.6737588652482268E-2</v>
      </c>
    </row>
    <row r="64" spans="1:16">
      <c r="A64" s="9" t="s">
        <v>165</v>
      </c>
      <c r="B64" s="9" t="s">
        <v>317</v>
      </c>
      <c r="C64" s="9">
        <v>20</v>
      </c>
      <c r="D64" s="9">
        <v>16</v>
      </c>
      <c r="E64" s="12">
        <v>2.0000000000000001E-4</v>
      </c>
      <c r="F64" s="9">
        <v>243</v>
      </c>
      <c r="G64" s="9">
        <v>16</v>
      </c>
      <c r="H64" s="9">
        <v>0</v>
      </c>
      <c r="I64" s="9">
        <v>0</v>
      </c>
      <c r="J64" s="12">
        <v>0</v>
      </c>
      <c r="K64" s="13">
        <f t="shared" si="3"/>
        <v>0</v>
      </c>
      <c r="L64" s="9">
        <v>0</v>
      </c>
      <c r="M64" s="10">
        <v>4980</v>
      </c>
      <c r="N64" s="11">
        <f t="shared" si="4"/>
        <v>0</v>
      </c>
      <c r="O64" s="10">
        <v>4233</v>
      </c>
      <c r="P64" s="11">
        <f t="shared" si="5"/>
        <v>5.7406094968107724E-2</v>
      </c>
    </row>
    <row r="65" spans="1:16">
      <c r="A65" s="9" t="s">
        <v>318</v>
      </c>
      <c r="B65" s="9"/>
      <c r="C65" s="9">
        <v>20</v>
      </c>
      <c r="D65" s="9">
        <v>22</v>
      </c>
      <c r="E65" s="12">
        <v>5.9999999999999995E-4</v>
      </c>
      <c r="F65" s="9">
        <v>230</v>
      </c>
      <c r="G65" s="9">
        <v>11</v>
      </c>
      <c r="H65" s="9">
        <v>0</v>
      </c>
      <c r="I65" s="9">
        <v>0</v>
      </c>
      <c r="J65" s="12">
        <v>0</v>
      </c>
      <c r="K65" s="13">
        <f t="shared" si="3"/>
        <v>0</v>
      </c>
      <c r="L65" s="9">
        <v>0</v>
      </c>
      <c r="M65" s="10"/>
      <c r="N65" s="11" t="str">
        <f t="shared" si="4"/>
        <v/>
      </c>
      <c r="O65" s="10"/>
      <c r="P65" s="11" t="str">
        <f t="shared" si="5"/>
        <v/>
      </c>
    </row>
    <row r="66" spans="1:16">
      <c r="A66" s="9" t="s">
        <v>189</v>
      </c>
      <c r="B66" s="9"/>
      <c r="C66" s="9">
        <v>22</v>
      </c>
      <c r="D66" s="9">
        <v>19</v>
      </c>
      <c r="E66" s="12">
        <v>4.0000000000000002E-4</v>
      </c>
      <c r="F66" s="9">
        <v>226</v>
      </c>
      <c r="G66" s="9">
        <v>12</v>
      </c>
      <c r="H66" s="9">
        <v>0</v>
      </c>
      <c r="I66" s="9">
        <v>0</v>
      </c>
      <c r="J66" s="12">
        <v>0</v>
      </c>
      <c r="K66" s="13">
        <f t="shared" si="3"/>
        <v>0</v>
      </c>
      <c r="L66" s="9">
        <v>0</v>
      </c>
      <c r="M66" s="10"/>
      <c r="N66" s="11" t="str">
        <f t="shared" si="4"/>
        <v/>
      </c>
      <c r="O66" s="10"/>
      <c r="P66" s="11" t="str">
        <f t="shared" si="5"/>
        <v/>
      </c>
    </row>
    <row r="67" spans="1:16">
      <c r="A67" s="9" t="s">
        <v>146</v>
      </c>
      <c r="B67" s="9" t="s">
        <v>319</v>
      </c>
      <c r="C67" s="9">
        <v>20</v>
      </c>
      <c r="D67" s="9">
        <v>20</v>
      </c>
      <c r="E67" s="12">
        <v>7.000000000000001E-4</v>
      </c>
      <c r="F67" s="9">
        <v>215</v>
      </c>
      <c r="G67" s="9">
        <v>11</v>
      </c>
      <c r="H67" s="9">
        <v>0</v>
      </c>
      <c r="I67" s="9">
        <v>0</v>
      </c>
      <c r="J67" s="12">
        <v>0</v>
      </c>
      <c r="K67" s="13">
        <f t="shared" si="3"/>
        <v>0</v>
      </c>
      <c r="L67" s="9">
        <v>0</v>
      </c>
      <c r="M67" s="10">
        <v>23940</v>
      </c>
      <c r="N67" s="11">
        <f t="shared" si="4"/>
        <v>0</v>
      </c>
      <c r="O67" s="10">
        <v>20349</v>
      </c>
      <c r="P67" s="11">
        <f t="shared" si="5"/>
        <v>1.0565629760676201E-2</v>
      </c>
    </row>
    <row r="68" spans="1:16">
      <c r="A68" s="9" t="s">
        <v>133</v>
      </c>
      <c r="B68" s="9" t="s">
        <v>134</v>
      </c>
      <c r="C68" s="9">
        <v>20</v>
      </c>
      <c r="D68" s="9">
        <v>14</v>
      </c>
      <c r="E68" s="12">
        <v>5.0000000000000001E-4</v>
      </c>
      <c r="F68" s="9">
        <v>200</v>
      </c>
      <c r="G68" s="9">
        <v>15</v>
      </c>
      <c r="H68" s="9">
        <v>0</v>
      </c>
      <c r="I68" s="9">
        <v>0</v>
      </c>
      <c r="J68" s="12">
        <v>0</v>
      </c>
      <c r="K68" s="13">
        <f t="shared" si="3"/>
        <v>0</v>
      </c>
      <c r="L68" s="9">
        <v>0</v>
      </c>
      <c r="M68" s="10">
        <v>2980</v>
      </c>
      <c r="N68" s="11">
        <f t="shared" si="4"/>
        <v>0</v>
      </c>
      <c r="O68" s="10">
        <v>797</v>
      </c>
      <c r="P68" s="11">
        <f t="shared" si="5"/>
        <v>0.25094102885821834</v>
      </c>
    </row>
    <row r="69" spans="1:16">
      <c r="A69" s="9" t="s">
        <v>320</v>
      </c>
      <c r="B69" s="9"/>
      <c r="C69" s="9">
        <v>20</v>
      </c>
      <c r="D69" s="9">
        <v>19</v>
      </c>
      <c r="E69" s="12">
        <v>4.0000000000000002E-4</v>
      </c>
      <c r="F69" s="9">
        <v>200</v>
      </c>
      <c r="G69" s="9">
        <v>11</v>
      </c>
      <c r="H69" s="9">
        <v>0</v>
      </c>
      <c r="I69" s="9">
        <v>0</v>
      </c>
      <c r="J69" s="12">
        <v>0</v>
      </c>
      <c r="K69" s="13">
        <f t="shared" si="3"/>
        <v>0</v>
      </c>
      <c r="L69" s="9">
        <v>0</v>
      </c>
      <c r="M69" s="10"/>
      <c r="N69" s="11" t="str">
        <f t="shared" si="4"/>
        <v/>
      </c>
      <c r="O69" s="10"/>
      <c r="P69" s="11" t="str">
        <f t="shared" si="5"/>
        <v/>
      </c>
    </row>
    <row r="70" spans="1:16">
      <c r="A70" s="9" t="s">
        <v>278</v>
      </c>
      <c r="B70" s="9"/>
      <c r="C70" s="9">
        <v>20</v>
      </c>
      <c r="D70" s="9">
        <v>18</v>
      </c>
      <c r="E70" s="12">
        <v>6.9999999999999993E-3</v>
      </c>
      <c r="F70" s="9">
        <v>190</v>
      </c>
      <c r="G70" s="9">
        <v>11</v>
      </c>
      <c r="H70" s="9">
        <v>0</v>
      </c>
      <c r="I70" s="9">
        <v>0</v>
      </c>
      <c r="J70" s="12">
        <v>0</v>
      </c>
      <c r="K70" s="13">
        <f t="shared" si="3"/>
        <v>0</v>
      </c>
      <c r="L70" s="9">
        <v>0</v>
      </c>
      <c r="M70" s="10"/>
      <c r="N70" s="11" t="str">
        <f t="shared" si="4"/>
        <v/>
      </c>
      <c r="O70" s="10"/>
      <c r="P70" s="11" t="str">
        <f t="shared" si="5"/>
        <v/>
      </c>
    </row>
    <row r="71" spans="1:16">
      <c r="A71" s="9" t="s">
        <v>321</v>
      </c>
      <c r="B71" s="9"/>
      <c r="C71" s="9">
        <v>20</v>
      </c>
      <c r="D71" s="9">
        <v>17</v>
      </c>
      <c r="E71" s="12">
        <v>8.1000000000000013E-3</v>
      </c>
      <c r="F71" s="9">
        <v>190</v>
      </c>
      <c r="G71" s="9">
        <v>12</v>
      </c>
      <c r="H71" s="9">
        <v>0</v>
      </c>
      <c r="I71" s="9">
        <v>0</v>
      </c>
      <c r="J71" s="12">
        <v>0</v>
      </c>
      <c r="K71" s="13">
        <f t="shared" si="3"/>
        <v>0</v>
      </c>
      <c r="L71" s="9">
        <v>0</v>
      </c>
      <c r="M71" s="10"/>
      <c r="N71" s="11" t="str">
        <f t="shared" si="4"/>
        <v/>
      </c>
      <c r="O71" s="10"/>
      <c r="P71" s="11" t="str">
        <f t="shared" si="5"/>
        <v/>
      </c>
    </row>
    <row r="72" spans="1:16">
      <c r="A72" s="9" t="s">
        <v>322</v>
      </c>
      <c r="B72" s="9"/>
      <c r="C72" s="9">
        <v>20</v>
      </c>
      <c r="D72" s="9">
        <v>17</v>
      </c>
      <c r="E72" s="12">
        <v>2.9999999999999997E-4</v>
      </c>
      <c r="F72" s="9">
        <v>190</v>
      </c>
      <c r="G72" s="9">
        <v>12</v>
      </c>
      <c r="H72" s="9">
        <v>0</v>
      </c>
      <c r="I72" s="9">
        <v>0</v>
      </c>
      <c r="J72" s="12">
        <v>0</v>
      </c>
      <c r="K72" s="13">
        <f t="shared" si="3"/>
        <v>0</v>
      </c>
      <c r="L72" s="9">
        <v>0</v>
      </c>
      <c r="M72" s="10"/>
      <c r="N72" s="11" t="str">
        <f t="shared" si="4"/>
        <v/>
      </c>
      <c r="O72" s="10"/>
      <c r="P72" s="11" t="str">
        <f t="shared" si="5"/>
        <v/>
      </c>
    </row>
    <row r="73" spans="1:16">
      <c r="A73" s="9" t="s">
        <v>283</v>
      </c>
      <c r="B73" s="9"/>
      <c r="C73" s="9">
        <v>20</v>
      </c>
      <c r="D73" s="9">
        <v>18</v>
      </c>
      <c r="E73" s="12">
        <v>2.3999999999999998E-3</v>
      </c>
      <c r="F73" s="9">
        <v>180</v>
      </c>
      <c r="G73" s="9">
        <v>10</v>
      </c>
      <c r="H73" s="9">
        <v>0</v>
      </c>
      <c r="I73" s="9">
        <v>0</v>
      </c>
      <c r="J73" s="12">
        <v>0</v>
      </c>
      <c r="K73" s="13">
        <f t="shared" si="3"/>
        <v>0</v>
      </c>
      <c r="L73" s="9">
        <v>0</v>
      </c>
      <c r="M73" s="10"/>
      <c r="N73" s="11" t="str">
        <f t="shared" si="4"/>
        <v/>
      </c>
      <c r="O73" s="10"/>
      <c r="P73" s="11" t="str">
        <f t="shared" si="5"/>
        <v/>
      </c>
    </row>
    <row r="74" spans="1:16">
      <c r="A74" s="9" t="s">
        <v>323</v>
      </c>
      <c r="B74" s="9"/>
      <c r="C74" s="9">
        <v>20</v>
      </c>
      <c r="D74" s="9">
        <v>16</v>
      </c>
      <c r="E74" s="12">
        <v>2.0000000000000001E-4</v>
      </c>
      <c r="F74" s="9">
        <v>180</v>
      </c>
      <c r="G74" s="9">
        <v>12</v>
      </c>
      <c r="H74" s="9">
        <v>0</v>
      </c>
      <c r="I74" s="9">
        <v>0</v>
      </c>
      <c r="J74" s="12">
        <v>0</v>
      </c>
      <c r="K74" s="13">
        <f t="shared" si="3"/>
        <v>0</v>
      </c>
      <c r="L74" s="9">
        <v>0</v>
      </c>
      <c r="M74" s="10"/>
      <c r="N74" s="11" t="str">
        <f t="shared" si="4"/>
        <v/>
      </c>
      <c r="O74" s="10"/>
      <c r="P74" s="11" t="str">
        <f t="shared" si="5"/>
        <v/>
      </c>
    </row>
    <row r="75" spans="1:16">
      <c r="A75" s="9" t="s">
        <v>265</v>
      </c>
      <c r="B75" s="9"/>
      <c r="C75" s="9">
        <v>20</v>
      </c>
      <c r="D75" s="9">
        <v>18</v>
      </c>
      <c r="E75" s="12">
        <v>3.0000000000000001E-3</v>
      </c>
      <c r="F75" s="9">
        <v>180</v>
      </c>
      <c r="G75" s="9">
        <v>10</v>
      </c>
      <c r="H75" s="9">
        <v>0</v>
      </c>
      <c r="I75" s="9">
        <v>0</v>
      </c>
      <c r="J75" s="12">
        <v>0</v>
      </c>
      <c r="K75" s="13">
        <f t="shared" si="3"/>
        <v>0</v>
      </c>
      <c r="L75" s="9">
        <v>0</v>
      </c>
      <c r="M75" s="10"/>
      <c r="N75" s="11" t="str">
        <f t="shared" si="4"/>
        <v/>
      </c>
      <c r="O75" s="10"/>
      <c r="P75" s="11" t="str">
        <f t="shared" si="5"/>
        <v/>
      </c>
    </row>
    <row r="76" spans="1:16">
      <c r="A76" s="9" t="s">
        <v>184</v>
      </c>
      <c r="B76" s="9" t="s">
        <v>185</v>
      </c>
      <c r="C76" s="9">
        <v>20</v>
      </c>
      <c r="D76" s="9">
        <v>14</v>
      </c>
      <c r="E76" s="12">
        <v>4.0000000000000002E-4</v>
      </c>
      <c r="F76" s="9">
        <v>170</v>
      </c>
      <c r="G76" s="9">
        <v>13</v>
      </c>
      <c r="H76" s="9">
        <v>4218</v>
      </c>
      <c r="I76" s="9">
        <v>1</v>
      </c>
      <c r="J76" s="12">
        <v>7.1399999999999991E-2</v>
      </c>
      <c r="K76" s="13">
        <f t="shared" si="3"/>
        <v>24.811764705882354</v>
      </c>
      <c r="L76" s="9">
        <v>0</v>
      </c>
      <c r="M76" s="10">
        <v>12654</v>
      </c>
      <c r="N76" s="11">
        <f t="shared" si="4"/>
        <v>0.33333333333333331</v>
      </c>
      <c r="O76" s="10">
        <v>376</v>
      </c>
      <c r="P76" s="11">
        <f t="shared" si="5"/>
        <v>0.4521276595744681</v>
      </c>
    </row>
    <row r="77" spans="1:16">
      <c r="A77" s="9" t="s">
        <v>107</v>
      </c>
      <c r="B77" s="9" t="s">
        <v>108</v>
      </c>
      <c r="C77" s="9">
        <v>20</v>
      </c>
      <c r="D77" s="9">
        <v>10</v>
      </c>
      <c r="E77" s="12">
        <v>1E-4</v>
      </c>
      <c r="F77" s="9">
        <v>152</v>
      </c>
      <c r="G77" s="9">
        <v>16</v>
      </c>
      <c r="H77" s="9">
        <v>0</v>
      </c>
      <c r="I77" s="9">
        <v>0</v>
      </c>
      <c r="J77" s="12">
        <v>0</v>
      </c>
      <c r="K77" s="13">
        <f t="shared" ref="K77:K108" si="6">IF(F77=0,"",H77/F77)</f>
        <v>0</v>
      </c>
      <c r="L77" s="9">
        <v>0</v>
      </c>
      <c r="M77" s="10">
        <v>4218</v>
      </c>
      <c r="N77" s="11">
        <f t="shared" ref="N77:N108" si="7">IF(OR(M77="",M77=0),"",H77/M77)</f>
        <v>0</v>
      </c>
      <c r="O77" s="10">
        <v>125</v>
      </c>
      <c r="P77" s="11">
        <f t="shared" ref="P77:P108" si="8">IF(OR(O77="",O77=0),"",F77/O77)</f>
        <v>1.216</v>
      </c>
    </row>
    <row r="78" spans="1:16">
      <c r="A78" s="9" t="s">
        <v>324</v>
      </c>
      <c r="B78" s="9" t="s">
        <v>325</v>
      </c>
      <c r="C78" s="9">
        <v>20</v>
      </c>
      <c r="D78" s="9">
        <v>12</v>
      </c>
      <c r="E78" s="12">
        <v>2.2000000000000001E-3</v>
      </c>
      <c r="F78" s="9">
        <v>130</v>
      </c>
      <c r="G78" s="9">
        <v>11</v>
      </c>
      <c r="H78" s="9">
        <v>0</v>
      </c>
      <c r="I78" s="9">
        <v>0</v>
      </c>
      <c r="J78" s="12">
        <v>0</v>
      </c>
      <c r="K78" s="13">
        <f t="shared" si="6"/>
        <v>0</v>
      </c>
      <c r="L78" s="9">
        <v>0</v>
      </c>
      <c r="M78" s="10">
        <v>12540</v>
      </c>
      <c r="N78" s="11">
        <f t="shared" si="7"/>
        <v>0</v>
      </c>
      <c r="O78" s="10">
        <v>10659</v>
      </c>
      <c r="P78" s="11">
        <f t="shared" si="8"/>
        <v>1.2196266066235107E-2</v>
      </c>
    </row>
    <row r="79" spans="1:16">
      <c r="A79" s="9" t="s">
        <v>326</v>
      </c>
      <c r="B79" s="9"/>
      <c r="C79" s="9">
        <v>20</v>
      </c>
      <c r="D79" s="9">
        <v>13</v>
      </c>
      <c r="E79" s="12">
        <v>0</v>
      </c>
      <c r="F79" s="9">
        <v>130</v>
      </c>
      <c r="G79" s="9">
        <v>10</v>
      </c>
      <c r="H79" s="9">
        <v>0</v>
      </c>
      <c r="I79" s="9">
        <v>0</v>
      </c>
      <c r="J79" s="12">
        <v>0</v>
      </c>
      <c r="K79" s="13">
        <f t="shared" si="6"/>
        <v>0</v>
      </c>
      <c r="L79" s="9">
        <v>0</v>
      </c>
      <c r="M79" s="10"/>
      <c r="N79" s="11" t="str">
        <f t="shared" si="7"/>
        <v/>
      </c>
      <c r="O79" s="10"/>
      <c r="P79" s="11" t="str">
        <f t="shared" si="8"/>
        <v/>
      </c>
    </row>
    <row r="80" spans="1:16">
      <c r="A80" s="9" t="s">
        <v>83</v>
      </c>
      <c r="B80" s="9"/>
      <c r="C80" s="9">
        <v>20</v>
      </c>
      <c r="D80" s="9">
        <v>9</v>
      </c>
      <c r="E80" s="12">
        <v>2.0000000000000001E-4</v>
      </c>
      <c r="F80" s="9">
        <v>120</v>
      </c>
      <c r="G80" s="9">
        <v>14</v>
      </c>
      <c r="H80" s="9">
        <v>0</v>
      </c>
      <c r="I80" s="9">
        <v>0</v>
      </c>
      <c r="J80" s="12">
        <v>0</v>
      </c>
      <c r="K80" s="13">
        <f t="shared" si="6"/>
        <v>0</v>
      </c>
      <c r="L80" s="9">
        <v>0</v>
      </c>
      <c r="M80" s="10"/>
      <c r="N80" s="11" t="str">
        <f t="shared" si="7"/>
        <v/>
      </c>
      <c r="O80" s="10"/>
      <c r="P80" s="11" t="str">
        <f t="shared" si="8"/>
        <v/>
      </c>
    </row>
    <row r="81" spans="1:16">
      <c r="A81" s="9" t="s">
        <v>246</v>
      </c>
      <c r="B81" s="9" t="s">
        <v>327</v>
      </c>
      <c r="C81" s="9">
        <v>20</v>
      </c>
      <c r="D81" s="9">
        <v>11</v>
      </c>
      <c r="E81" s="12">
        <v>2.0999999999999999E-3</v>
      </c>
      <c r="F81" s="9">
        <v>110</v>
      </c>
      <c r="G81" s="9">
        <v>10</v>
      </c>
      <c r="H81" s="9">
        <v>0</v>
      </c>
      <c r="I81" s="9">
        <v>0</v>
      </c>
      <c r="J81" s="12">
        <v>0</v>
      </c>
      <c r="K81" s="13">
        <f t="shared" si="6"/>
        <v>0</v>
      </c>
      <c r="L81" s="9">
        <v>0</v>
      </c>
      <c r="M81" s="10">
        <v>5360</v>
      </c>
      <c r="N81" s="11">
        <f t="shared" si="7"/>
        <v>0</v>
      </c>
      <c r="O81" s="10">
        <v>4556</v>
      </c>
      <c r="P81" s="11">
        <f t="shared" si="8"/>
        <v>2.4143985952589993E-2</v>
      </c>
    </row>
    <row r="82" spans="1:16">
      <c r="A82" s="9" t="s">
        <v>248</v>
      </c>
      <c r="B82" s="9" t="s">
        <v>249</v>
      </c>
      <c r="C82" s="9">
        <v>20</v>
      </c>
      <c r="D82" s="9">
        <v>11</v>
      </c>
      <c r="E82" s="12">
        <v>2E-3</v>
      </c>
      <c r="F82" s="9">
        <v>110</v>
      </c>
      <c r="G82" s="9">
        <v>10</v>
      </c>
      <c r="H82" s="9">
        <v>0</v>
      </c>
      <c r="I82" s="9">
        <v>0</v>
      </c>
      <c r="J82" s="12">
        <v>0</v>
      </c>
      <c r="K82" s="13">
        <f t="shared" si="6"/>
        <v>0</v>
      </c>
      <c r="L82" s="9">
        <v>0</v>
      </c>
      <c r="M82" s="10">
        <v>18360</v>
      </c>
      <c r="N82" s="11">
        <f t="shared" si="7"/>
        <v>0</v>
      </c>
      <c r="O82" s="10">
        <v>3646</v>
      </c>
      <c r="P82" s="11">
        <f t="shared" si="8"/>
        <v>3.0170049369171694E-2</v>
      </c>
    </row>
    <row r="83" spans="1:16">
      <c r="A83" s="9" t="s">
        <v>70</v>
      </c>
      <c r="B83" s="9" t="s">
        <v>71</v>
      </c>
      <c r="C83" s="9">
        <v>20</v>
      </c>
      <c r="D83" s="9">
        <v>5</v>
      </c>
      <c r="E83" s="12">
        <v>2.3E-3</v>
      </c>
      <c r="F83" s="9">
        <v>100</v>
      </c>
      <c r="G83" s="9">
        <v>20</v>
      </c>
      <c r="H83" s="9">
        <v>0</v>
      </c>
      <c r="I83" s="9">
        <v>0</v>
      </c>
      <c r="J83" s="12">
        <v>0</v>
      </c>
      <c r="K83" s="13">
        <f t="shared" si="6"/>
        <v>0</v>
      </c>
      <c r="L83" s="9">
        <v>0</v>
      </c>
      <c r="M83" s="10">
        <v>1280</v>
      </c>
      <c r="N83" s="11">
        <f t="shared" si="7"/>
        <v>0</v>
      </c>
      <c r="O83" s="10">
        <v>650</v>
      </c>
      <c r="P83" s="11">
        <f t="shared" si="8"/>
        <v>0.15384615384615385</v>
      </c>
    </row>
    <row r="84" spans="1:16">
      <c r="A84" s="9" t="s">
        <v>194</v>
      </c>
      <c r="B84" s="9"/>
      <c r="C84" s="9">
        <v>20</v>
      </c>
      <c r="D84" s="9">
        <v>5</v>
      </c>
      <c r="E84" s="12">
        <v>2.0999999999999999E-3</v>
      </c>
      <c r="F84" s="9">
        <v>96</v>
      </c>
      <c r="G84" s="9">
        <v>20</v>
      </c>
      <c r="H84" s="9">
        <v>0</v>
      </c>
      <c r="I84" s="9">
        <v>0</v>
      </c>
      <c r="J84" s="12">
        <v>0</v>
      </c>
      <c r="K84" s="13">
        <f t="shared" si="6"/>
        <v>0</v>
      </c>
      <c r="L84" s="9">
        <v>0</v>
      </c>
      <c r="M84" s="10"/>
      <c r="N84" s="11" t="str">
        <f t="shared" si="7"/>
        <v/>
      </c>
      <c r="O84" s="10"/>
      <c r="P84" s="11" t="str">
        <f t="shared" si="8"/>
        <v/>
      </c>
    </row>
    <row r="85" spans="1:16">
      <c r="A85" s="9" t="s">
        <v>173</v>
      </c>
      <c r="B85" s="9"/>
      <c r="C85" s="9">
        <v>24</v>
      </c>
      <c r="D85" s="9">
        <v>8</v>
      </c>
      <c r="E85" s="12">
        <v>1.1999999999999999E-3</v>
      </c>
      <c r="F85" s="9">
        <v>94</v>
      </c>
      <c r="G85" s="9">
        <v>12</v>
      </c>
      <c r="H85" s="9">
        <v>0</v>
      </c>
      <c r="I85" s="9">
        <v>0</v>
      </c>
      <c r="J85" s="12">
        <v>0</v>
      </c>
      <c r="K85" s="13">
        <f t="shared" si="6"/>
        <v>0</v>
      </c>
      <c r="L85" s="9">
        <v>0</v>
      </c>
      <c r="M85" s="10"/>
      <c r="N85" s="11" t="str">
        <f t="shared" si="7"/>
        <v/>
      </c>
      <c r="O85" s="10"/>
      <c r="P85" s="11" t="str">
        <f t="shared" si="8"/>
        <v/>
      </c>
    </row>
    <row r="86" spans="1:16">
      <c r="A86" s="9" t="s">
        <v>149</v>
      </c>
      <c r="B86" s="9"/>
      <c r="C86" s="9">
        <v>20</v>
      </c>
      <c r="D86" s="9">
        <v>4</v>
      </c>
      <c r="E86" s="12">
        <v>1.1000000000000001E-3</v>
      </c>
      <c r="F86" s="9">
        <v>80</v>
      </c>
      <c r="G86" s="9">
        <v>20</v>
      </c>
      <c r="H86" s="9">
        <v>0</v>
      </c>
      <c r="I86" s="9">
        <v>0</v>
      </c>
      <c r="J86" s="12">
        <v>0</v>
      </c>
      <c r="K86" s="13">
        <f t="shared" si="6"/>
        <v>0</v>
      </c>
      <c r="L86" s="9">
        <v>0</v>
      </c>
      <c r="M86" s="10"/>
      <c r="N86" s="11" t="str">
        <f t="shared" si="7"/>
        <v/>
      </c>
      <c r="O86" s="10"/>
      <c r="P86" s="11" t="str">
        <f t="shared" si="8"/>
        <v/>
      </c>
    </row>
    <row r="87" spans="1:16">
      <c r="A87" s="9" t="s">
        <v>123</v>
      </c>
      <c r="B87" s="9"/>
      <c r="C87" s="9">
        <v>20</v>
      </c>
      <c r="D87" s="9">
        <v>4</v>
      </c>
      <c r="E87" s="12">
        <v>2.9999999999999997E-4</v>
      </c>
      <c r="F87" s="9">
        <v>73</v>
      </c>
      <c r="G87" s="9">
        <v>19</v>
      </c>
      <c r="H87" s="9">
        <v>0</v>
      </c>
      <c r="I87" s="9">
        <v>0</v>
      </c>
      <c r="J87" s="12">
        <v>0</v>
      </c>
      <c r="K87" s="13">
        <f t="shared" si="6"/>
        <v>0</v>
      </c>
      <c r="L87" s="9">
        <v>0</v>
      </c>
      <c r="M87" s="10"/>
      <c r="N87" s="11" t="str">
        <f t="shared" si="7"/>
        <v/>
      </c>
      <c r="O87" s="10"/>
      <c r="P87" s="11" t="str">
        <f t="shared" si="8"/>
        <v/>
      </c>
    </row>
    <row r="88" spans="1:16">
      <c r="A88" s="9" t="s">
        <v>98</v>
      </c>
      <c r="B88" s="9" t="s">
        <v>328</v>
      </c>
      <c r="C88" s="9">
        <v>20</v>
      </c>
      <c r="D88" s="9">
        <v>6</v>
      </c>
      <c r="E88" s="12">
        <v>4.0000000000000002E-4</v>
      </c>
      <c r="F88" s="9">
        <v>72</v>
      </c>
      <c r="G88" s="9">
        <v>12</v>
      </c>
      <c r="H88" s="9">
        <v>0</v>
      </c>
      <c r="I88" s="9">
        <v>0</v>
      </c>
      <c r="J88" s="12">
        <v>0</v>
      </c>
      <c r="K88" s="13">
        <f t="shared" si="6"/>
        <v>0</v>
      </c>
      <c r="L88" s="9">
        <v>0</v>
      </c>
      <c r="M88" s="10">
        <v>2780</v>
      </c>
      <c r="N88" s="11">
        <f t="shared" si="7"/>
        <v>0</v>
      </c>
      <c r="O88" s="10">
        <v>1251</v>
      </c>
      <c r="P88" s="11">
        <f t="shared" si="8"/>
        <v>5.7553956834532377E-2</v>
      </c>
    </row>
    <row r="89" spans="1:16">
      <c r="A89" s="9" t="s">
        <v>255</v>
      </c>
      <c r="B89" s="9"/>
      <c r="C89" s="9">
        <v>20</v>
      </c>
      <c r="D89" s="9">
        <v>4</v>
      </c>
      <c r="E89" s="12">
        <v>8.0000000000000004E-4</v>
      </c>
      <c r="F89" s="9">
        <v>70</v>
      </c>
      <c r="G89" s="9">
        <v>18</v>
      </c>
      <c r="H89" s="9">
        <v>0</v>
      </c>
      <c r="I89" s="9">
        <v>0</v>
      </c>
      <c r="J89" s="12">
        <v>0</v>
      </c>
      <c r="K89" s="13">
        <f t="shared" si="6"/>
        <v>0</v>
      </c>
      <c r="L89" s="9">
        <v>0</v>
      </c>
      <c r="M89" s="10"/>
      <c r="N89" s="11" t="str">
        <f t="shared" si="7"/>
        <v/>
      </c>
      <c r="O89" s="10"/>
      <c r="P89" s="11" t="str">
        <f t="shared" si="8"/>
        <v/>
      </c>
    </row>
    <row r="90" spans="1:16">
      <c r="A90" s="9" t="s">
        <v>137</v>
      </c>
      <c r="B90" s="9"/>
      <c r="C90" s="9">
        <v>20</v>
      </c>
      <c r="D90" s="9">
        <v>4</v>
      </c>
      <c r="E90" s="12">
        <v>4.0000000000000002E-4</v>
      </c>
      <c r="F90" s="9">
        <v>70</v>
      </c>
      <c r="G90" s="9">
        <v>18</v>
      </c>
      <c r="H90" s="9">
        <v>0</v>
      </c>
      <c r="I90" s="9">
        <v>0</v>
      </c>
      <c r="J90" s="12">
        <v>0</v>
      </c>
      <c r="K90" s="13">
        <f t="shared" si="6"/>
        <v>0</v>
      </c>
      <c r="L90" s="9">
        <v>0</v>
      </c>
      <c r="M90" s="10"/>
      <c r="N90" s="11" t="str">
        <f t="shared" si="7"/>
        <v/>
      </c>
      <c r="O90" s="10"/>
      <c r="P90" s="11" t="str">
        <f t="shared" si="8"/>
        <v/>
      </c>
    </row>
    <row r="91" spans="1:16">
      <c r="A91" s="9" t="s">
        <v>180</v>
      </c>
      <c r="B91" s="9"/>
      <c r="C91" s="9">
        <v>20</v>
      </c>
      <c r="D91" s="9">
        <v>4</v>
      </c>
      <c r="E91" s="12">
        <v>2.0000000000000001E-4</v>
      </c>
      <c r="F91" s="9">
        <v>69</v>
      </c>
      <c r="G91" s="9">
        <v>18</v>
      </c>
      <c r="H91" s="9">
        <v>0</v>
      </c>
      <c r="I91" s="9">
        <v>0</v>
      </c>
      <c r="J91" s="12">
        <v>0</v>
      </c>
      <c r="K91" s="13">
        <f t="shared" si="6"/>
        <v>0</v>
      </c>
      <c r="L91" s="9">
        <v>0</v>
      </c>
      <c r="M91" s="10"/>
      <c r="N91" s="11" t="str">
        <f t="shared" si="7"/>
        <v/>
      </c>
      <c r="O91" s="10"/>
      <c r="P91" s="11" t="str">
        <f t="shared" si="8"/>
        <v/>
      </c>
    </row>
    <row r="92" spans="1:16">
      <c r="A92" s="9" t="s">
        <v>104</v>
      </c>
      <c r="B92" s="9" t="s">
        <v>329</v>
      </c>
      <c r="C92" s="9">
        <v>20</v>
      </c>
      <c r="D92" s="9">
        <v>4</v>
      </c>
      <c r="E92" s="12">
        <v>2.0000000000000001E-4</v>
      </c>
      <c r="F92" s="9">
        <v>64</v>
      </c>
      <c r="G92" s="9">
        <v>16</v>
      </c>
      <c r="H92" s="9">
        <v>9160</v>
      </c>
      <c r="I92" s="9">
        <v>2</v>
      </c>
      <c r="J92" s="12">
        <v>0.5</v>
      </c>
      <c r="K92" s="13">
        <f t="shared" si="6"/>
        <v>143.125</v>
      </c>
      <c r="L92" s="9">
        <v>0</v>
      </c>
      <c r="M92" s="10">
        <v>9160</v>
      </c>
      <c r="N92" s="11">
        <f t="shared" si="7"/>
        <v>1</v>
      </c>
      <c r="O92" s="10">
        <v>7786</v>
      </c>
      <c r="P92" s="11">
        <f t="shared" si="8"/>
        <v>8.2198818391985614E-3</v>
      </c>
    </row>
    <row r="93" spans="1:16">
      <c r="A93" s="9" t="s">
        <v>282</v>
      </c>
      <c r="B93" s="9"/>
      <c r="C93" s="9">
        <v>20</v>
      </c>
      <c r="D93" s="9">
        <v>4</v>
      </c>
      <c r="E93" s="12">
        <v>1.6000000000000001E-3</v>
      </c>
      <c r="F93" s="9">
        <v>60</v>
      </c>
      <c r="G93" s="9">
        <v>15</v>
      </c>
      <c r="H93" s="9">
        <v>0</v>
      </c>
      <c r="I93" s="9">
        <v>0</v>
      </c>
      <c r="J93" s="12">
        <v>0</v>
      </c>
      <c r="K93" s="13">
        <f t="shared" si="6"/>
        <v>0</v>
      </c>
      <c r="L93" s="9">
        <v>0</v>
      </c>
      <c r="M93" s="10"/>
      <c r="N93" s="11" t="str">
        <f t="shared" si="7"/>
        <v/>
      </c>
      <c r="O93" s="10"/>
      <c r="P93" s="11" t="str">
        <f t="shared" si="8"/>
        <v/>
      </c>
    </row>
    <row r="94" spans="1:16">
      <c r="A94" s="9" t="s">
        <v>156</v>
      </c>
      <c r="B94" s="9"/>
      <c r="C94" s="9">
        <v>20</v>
      </c>
      <c r="D94" s="9">
        <v>3</v>
      </c>
      <c r="E94" s="12">
        <v>2E-3</v>
      </c>
      <c r="F94" s="9">
        <v>60</v>
      </c>
      <c r="G94" s="9">
        <v>20</v>
      </c>
      <c r="H94" s="9">
        <v>0</v>
      </c>
      <c r="I94" s="9">
        <v>0</v>
      </c>
      <c r="J94" s="12">
        <v>0</v>
      </c>
      <c r="K94" s="13">
        <f t="shared" si="6"/>
        <v>0</v>
      </c>
      <c r="L94" s="9">
        <v>0</v>
      </c>
      <c r="M94" s="10"/>
      <c r="N94" s="11" t="str">
        <f t="shared" si="7"/>
        <v/>
      </c>
      <c r="O94" s="10"/>
      <c r="P94" s="11" t="str">
        <f t="shared" si="8"/>
        <v/>
      </c>
    </row>
    <row r="95" spans="1:16">
      <c r="A95" s="9" t="s">
        <v>76</v>
      </c>
      <c r="B95" s="9" t="s">
        <v>77</v>
      </c>
      <c r="C95" s="9">
        <v>20</v>
      </c>
      <c r="D95" s="9">
        <v>6</v>
      </c>
      <c r="E95" s="12">
        <v>4.0000000000000002E-4</v>
      </c>
      <c r="F95" s="9">
        <v>60</v>
      </c>
      <c r="G95" s="9">
        <v>10</v>
      </c>
      <c r="H95" s="9">
        <v>0</v>
      </c>
      <c r="I95" s="9">
        <v>0</v>
      </c>
      <c r="J95" s="12">
        <v>0</v>
      </c>
      <c r="K95" s="13">
        <f t="shared" si="6"/>
        <v>0</v>
      </c>
      <c r="L95" s="9">
        <v>0</v>
      </c>
      <c r="M95" s="10">
        <v>4960</v>
      </c>
      <c r="N95" s="11">
        <f t="shared" si="7"/>
        <v>0</v>
      </c>
      <c r="O95" s="10">
        <v>1504</v>
      </c>
      <c r="P95" s="11">
        <f t="shared" si="8"/>
        <v>3.9893617021276598E-2</v>
      </c>
    </row>
    <row r="96" spans="1:16">
      <c r="A96" s="9" t="s">
        <v>196</v>
      </c>
      <c r="B96" s="9"/>
      <c r="C96" s="9">
        <v>20</v>
      </c>
      <c r="D96" s="9">
        <v>3</v>
      </c>
      <c r="E96" s="12">
        <v>1.32E-2</v>
      </c>
      <c r="F96" s="9">
        <v>60</v>
      </c>
      <c r="G96" s="9">
        <v>20</v>
      </c>
      <c r="H96" s="9">
        <v>0</v>
      </c>
      <c r="I96" s="9">
        <v>0</v>
      </c>
      <c r="J96" s="12">
        <v>0</v>
      </c>
      <c r="K96" s="13">
        <f t="shared" si="6"/>
        <v>0</v>
      </c>
      <c r="L96" s="9">
        <v>0</v>
      </c>
      <c r="M96" s="10"/>
      <c r="N96" s="11" t="str">
        <f t="shared" si="7"/>
        <v/>
      </c>
      <c r="O96" s="10"/>
      <c r="P96" s="11" t="str">
        <f t="shared" si="8"/>
        <v/>
      </c>
    </row>
    <row r="97" spans="1:16">
      <c r="A97" s="9" t="s">
        <v>113</v>
      </c>
      <c r="B97" s="9" t="s">
        <v>330</v>
      </c>
      <c r="C97" s="9">
        <v>20</v>
      </c>
      <c r="D97" s="9">
        <v>3</v>
      </c>
      <c r="E97" s="12">
        <v>4.0000000000000002E-4</v>
      </c>
      <c r="F97" s="9">
        <v>60</v>
      </c>
      <c r="G97" s="9">
        <v>20</v>
      </c>
      <c r="H97" s="9">
        <v>0</v>
      </c>
      <c r="I97" s="9">
        <v>0</v>
      </c>
      <c r="J97" s="12">
        <v>0</v>
      </c>
      <c r="K97" s="13">
        <f t="shared" si="6"/>
        <v>0</v>
      </c>
      <c r="L97" s="9">
        <v>0</v>
      </c>
      <c r="M97" s="10">
        <v>3480</v>
      </c>
      <c r="N97" s="11">
        <f t="shared" si="7"/>
        <v>0</v>
      </c>
      <c r="O97" s="10">
        <v>-6803</v>
      </c>
      <c r="P97" s="11">
        <f t="shared" si="8"/>
        <v>-8.8196383948258121E-3</v>
      </c>
    </row>
    <row r="98" spans="1:16">
      <c r="A98" s="9" t="s">
        <v>91</v>
      </c>
      <c r="B98" s="9"/>
      <c r="C98" s="9">
        <v>20</v>
      </c>
      <c r="D98" s="9">
        <v>3</v>
      </c>
      <c r="E98" s="12">
        <v>1.7100000000000001E-2</v>
      </c>
      <c r="F98" s="9">
        <v>60</v>
      </c>
      <c r="G98" s="9">
        <v>20</v>
      </c>
      <c r="H98" s="9">
        <v>0</v>
      </c>
      <c r="I98" s="9">
        <v>0</v>
      </c>
      <c r="J98" s="12">
        <v>0</v>
      </c>
      <c r="K98" s="13">
        <f t="shared" si="6"/>
        <v>0</v>
      </c>
      <c r="L98" s="9">
        <v>0</v>
      </c>
      <c r="M98" s="10"/>
      <c r="N98" s="11" t="str">
        <f t="shared" si="7"/>
        <v/>
      </c>
      <c r="O98" s="10"/>
      <c r="P98" s="11" t="str">
        <f t="shared" si="8"/>
        <v/>
      </c>
    </row>
    <row r="99" spans="1:16">
      <c r="A99" s="9" t="s">
        <v>101</v>
      </c>
      <c r="B99" s="9"/>
      <c r="C99" s="9">
        <v>20</v>
      </c>
      <c r="D99" s="9">
        <v>5</v>
      </c>
      <c r="E99" s="12">
        <v>1E-4</v>
      </c>
      <c r="F99" s="9">
        <v>60</v>
      </c>
      <c r="G99" s="9">
        <v>12</v>
      </c>
      <c r="H99" s="9">
        <v>0</v>
      </c>
      <c r="I99" s="9">
        <v>0</v>
      </c>
      <c r="J99" s="12">
        <v>0</v>
      </c>
      <c r="K99" s="13">
        <f t="shared" si="6"/>
        <v>0</v>
      </c>
      <c r="L99" s="9">
        <v>0</v>
      </c>
      <c r="M99" s="10"/>
      <c r="N99" s="11" t="str">
        <f t="shared" si="7"/>
        <v/>
      </c>
      <c r="O99" s="10"/>
      <c r="P99" s="11" t="str">
        <f t="shared" si="8"/>
        <v/>
      </c>
    </row>
    <row r="100" spans="1:16">
      <c r="A100" s="9" t="s">
        <v>202</v>
      </c>
      <c r="B100" s="9"/>
      <c r="C100" s="9">
        <v>20</v>
      </c>
      <c r="D100" s="9">
        <v>3</v>
      </c>
      <c r="E100" s="12">
        <v>2.29E-2</v>
      </c>
      <c r="F100" s="9">
        <v>60</v>
      </c>
      <c r="G100" s="9">
        <v>20</v>
      </c>
      <c r="H100" s="9">
        <v>0</v>
      </c>
      <c r="I100" s="9">
        <v>0</v>
      </c>
      <c r="J100" s="12">
        <v>0</v>
      </c>
      <c r="K100" s="13">
        <f t="shared" si="6"/>
        <v>0</v>
      </c>
      <c r="L100" s="9">
        <v>0</v>
      </c>
      <c r="M100" s="10"/>
      <c r="N100" s="11" t="str">
        <f t="shared" si="7"/>
        <v/>
      </c>
      <c r="O100" s="10"/>
      <c r="P100" s="11" t="str">
        <f t="shared" si="8"/>
        <v/>
      </c>
    </row>
    <row r="101" spans="1:16">
      <c r="A101" s="9" t="s">
        <v>177</v>
      </c>
      <c r="B101" s="9" t="s">
        <v>331</v>
      </c>
      <c r="C101" s="9">
        <v>20</v>
      </c>
      <c r="D101" s="9">
        <v>4</v>
      </c>
      <c r="E101" s="12">
        <v>1E-4</v>
      </c>
      <c r="F101" s="9">
        <v>52</v>
      </c>
      <c r="G101" s="9">
        <v>13</v>
      </c>
      <c r="H101" s="9">
        <v>0</v>
      </c>
      <c r="I101" s="9">
        <v>0</v>
      </c>
      <c r="J101" s="12">
        <v>0</v>
      </c>
      <c r="K101" s="13">
        <f t="shared" si="6"/>
        <v>0</v>
      </c>
      <c r="L101" s="9">
        <v>0</v>
      </c>
      <c r="M101" s="10">
        <v>2980</v>
      </c>
      <c r="N101" s="11">
        <f t="shared" si="7"/>
        <v>0</v>
      </c>
      <c r="O101" s="10">
        <v>797</v>
      </c>
      <c r="P101" s="11">
        <f t="shared" si="8"/>
        <v>6.5244667503136761E-2</v>
      </c>
    </row>
    <row r="102" spans="1:16">
      <c r="A102" s="9" t="s">
        <v>205</v>
      </c>
      <c r="B102" s="9"/>
      <c r="C102" s="9">
        <v>20</v>
      </c>
      <c r="D102" s="9">
        <v>5</v>
      </c>
      <c r="E102" s="12">
        <v>2.9999999999999997E-4</v>
      </c>
      <c r="F102" s="9">
        <v>50</v>
      </c>
      <c r="G102" s="9">
        <v>10</v>
      </c>
      <c r="H102" s="9">
        <v>0</v>
      </c>
      <c r="I102" s="9">
        <v>0</v>
      </c>
      <c r="J102" s="12">
        <v>0</v>
      </c>
      <c r="K102" s="13">
        <f t="shared" si="6"/>
        <v>0</v>
      </c>
      <c r="L102" s="9">
        <v>0</v>
      </c>
      <c r="M102" s="10"/>
      <c r="N102" s="11" t="str">
        <f t="shared" si="7"/>
        <v/>
      </c>
      <c r="O102" s="10"/>
      <c r="P102" s="11" t="str">
        <f t="shared" si="8"/>
        <v/>
      </c>
    </row>
    <row r="103" spans="1:16">
      <c r="A103" s="9" t="s">
        <v>78</v>
      </c>
      <c r="B103" s="9" t="s">
        <v>79</v>
      </c>
      <c r="C103" s="9">
        <v>20</v>
      </c>
      <c r="D103" s="9">
        <v>4</v>
      </c>
      <c r="E103" s="12">
        <v>5.0000000000000001E-4</v>
      </c>
      <c r="F103" s="9">
        <v>50</v>
      </c>
      <c r="G103" s="9">
        <v>13</v>
      </c>
      <c r="H103" s="9">
        <v>0</v>
      </c>
      <c r="I103" s="9">
        <v>0</v>
      </c>
      <c r="J103" s="12">
        <v>0</v>
      </c>
      <c r="K103" s="13">
        <f t="shared" si="6"/>
        <v>0</v>
      </c>
      <c r="L103" s="9">
        <v>0</v>
      </c>
      <c r="M103" s="10">
        <v>74280</v>
      </c>
      <c r="N103" s="11">
        <f t="shared" si="7"/>
        <v>0</v>
      </c>
      <c r="O103" s="10">
        <v>31938</v>
      </c>
      <c r="P103" s="11">
        <f t="shared" si="8"/>
        <v>1.5655332206149415E-3</v>
      </c>
    </row>
    <row r="104" spans="1:16">
      <c r="A104" s="9" t="s">
        <v>129</v>
      </c>
      <c r="B104" s="9"/>
      <c r="C104" s="9">
        <v>20</v>
      </c>
      <c r="D104" s="9">
        <v>3</v>
      </c>
      <c r="E104" s="12">
        <v>2.9999999999999997E-4</v>
      </c>
      <c r="F104" s="9">
        <v>50</v>
      </c>
      <c r="G104" s="9">
        <v>17</v>
      </c>
      <c r="H104" s="9">
        <v>0</v>
      </c>
      <c r="I104" s="9">
        <v>0</v>
      </c>
      <c r="J104" s="12">
        <v>0</v>
      </c>
      <c r="K104" s="13">
        <f t="shared" si="6"/>
        <v>0</v>
      </c>
      <c r="L104" s="9">
        <v>0</v>
      </c>
      <c r="M104" s="10"/>
      <c r="N104" s="11" t="str">
        <f t="shared" si="7"/>
        <v/>
      </c>
      <c r="O104" s="10"/>
      <c r="P104" s="11" t="str">
        <f t="shared" si="8"/>
        <v/>
      </c>
    </row>
    <row r="105" spans="1:16">
      <c r="A105" s="9" t="s">
        <v>170</v>
      </c>
      <c r="B105" s="9"/>
      <c r="C105" s="9">
        <v>20</v>
      </c>
      <c r="D105" s="9">
        <v>5</v>
      </c>
      <c r="E105" s="12">
        <v>4.0000000000000002E-4</v>
      </c>
      <c r="F105" s="9">
        <v>50</v>
      </c>
      <c r="G105" s="9">
        <v>10</v>
      </c>
      <c r="H105" s="9">
        <v>0</v>
      </c>
      <c r="I105" s="9">
        <v>0</v>
      </c>
      <c r="J105" s="12">
        <v>0</v>
      </c>
      <c r="K105" s="13">
        <f t="shared" si="6"/>
        <v>0</v>
      </c>
      <c r="L105" s="9">
        <v>0</v>
      </c>
      <c r="M105" s="10"/>
      <c r="N105" s="11" t="str">
        <f t="shared" si="7"/>
        <v/>
      </c>
      <c r="O105" s="10"/>
      <c r="P105" s="11" t="str">
        <f t="shared" si="8"/>
        <v/>
      </c>
    </row>
    <row r="106" spans="1:16">
      <c r="A106" s="9" t="s">
        <v>219</v>
      </c>
      <c r="B106" s="9" t="s">
        <v>220</v>
      </c>
      <c r="C106" s="9">
        <v>20</v>
      </c>
      <c r="D106" s="9">
        <v>4</v>
      </c>
      <c r="E106" s="12">
        <v>1.8E-3</v>
      </c>
      <c r="F106" s="9">
        <v>50</v>
      </c>
      <c r="G106" s="9">
        <v>13</v>
      </c>
      <c r="H106" s="9">
        <v>0</v>
      </c>
      <c r="I106" s="9">
        <v>0</v>
      </c>
      <c r="J106" s="12">
        <v>0</v>
      </c>
      <c r="K106" s="13">
        <f t="shared" si="6"/>
        <v>0</v>
      </c>
      <c r="L106" s="9">
        <v>0</v>
      </c>
      <c r="M106" s="10">
        <v>3480</v>
      </c>
      <c r="N106" s="11">
        <f t="shared" si="7"/>
        <v>0</v>
      </c>
      <c r="O106" s="10">
        <v>1398</v>
      </c>
      <c r="P106" s="11">
        <f t="shared" si="8"/>
        <v>3.5765379113018601E-2</v>
      </c>
    </row>
    <row r="107" spans="1:16">
      <c r="A107" s="9" t="s">
        <v>240</v>
      </c>
      <c r="B107" s="9"/>
      <c r="C107" s="9">
        <v>20</v>
      </c>
      <c r="D107" s="9">
        <v>4</v>
      </c>
      <c r="E107" s="12">
        <v>3.0999999999999999E-3</v>
      </c>
      <c r="F107" s="9">
        <v>43</v>
      </c>
      <c r="G107" s="9">
        <v>11</v>
      </c>
      <c r="H107" s="9">
        <v>0</v>
      </c>
      <c r="I107" s="9">
        <v>0</v>
      </c>
      <c r="J107" s="12">
        <v>0</v>
      </c>
      <c r="K107" s="13">
        <f t="shared" si="6"/>
        <v>0</v>
      </c>
      <c r="L107" s="9">
        <v>0</v>
      </c>
      <c r="M107" s="10"/>
      <c r="N107" s="11" t="str">
        <f t="shared" si="7"/>
        <v/>
      </c>
      <c r="O107" s="10"/>
      <c r="P107" s="11" t="str">
        <f t="shared" si="8"/>
        <v/>
      </c>
    </row>
    <row r="108" spans="1:16">
      <c r="A108" s="9" t="s">
        <v>132</v>
      </c>
      <c r="B108" s="9"/>
      <c r="C108" s="9">
        <v>20</v>
      </c>
      <c r="D108" s="9">
        <v>2</v>
      </c>
      <c r="E108" s="12">
        <v>1E-4</v>
      </c>
      <c r="F108" s="9">
        <v>40</v>
      </c>
      <c r="G108" s="9">
        <v>20</v>
      </c>
      <c r="H108" s="9">
        <v>0</v>
      </c>
      <c r="I108" s="9">
        <v>0</v>
      </c>
      <c r="J108" s="12">
        <v>0</v>
      </c>
      <c r="K108" s="13">
        <f t="shared" si="6"/>
        <v>0</v>
      </c>
      <c r="L108" s="9">
        <v>0</v>
      </c>
      <c r="M108" s="10"/>
      <c r="N108" s="11" t="str">
        <f t="shared" si="7"/>
        <v/>
      </c>
      <c r="O108" s="10"/>
      <c r="P108" s="11" t="str">
        <f t="shared" si="8"/>
        <v/>
      </c>
    </row>
    <row r="109" spans="1:16">
      <c r="A109" s="9" t="s">
        <v>111</v>
      </c>
      <c r="B109" s="9"/>
      <c r="C109" s="9">
        <v>20</v>
      </c>
      <c r="D109" s="9">
        <v>2</v>
      </c>
      <c r="E109" s="12">
        <v>6.4500000000000002E-2</v>
      </c>
      <c r="F109" s="9">
        <v>40</v>
      </c>
      <c r="G109" s="9">
        <v>20</v>
      </c>
      <c r="H109" s="9">
        <v>0</v>
      </c>
      <c r="I109" s="9">
        <v>0</v>
      </c>
      <c r="J109" s="12">
        <v>0</v>
      </c>
      <c r="K109" s="13">
        <f t="shared" ref="K109:K135" si="9">IF(F109=0,"",H109/F109)</f>
        <v>0</v>
      </c>
      <c r="L109" s="9">
        <v>0</v>
      </c>
      <c r="M109" s="10"/>
      <c r="N109" s="11" t="str">
        <f t="shared" ref="N109:N140" si="10">IF(OR(M109="",M109=0),"",H109/M109)</f>
        <v/>
      </c>
      <c r="O109" s="10"/>
      <c r="P109" s="11" t="str">
        <f t="shared" ref="P109:P140" si="11">IF(OR(O109="",O109=0),"",F109/O109)</f>
        <v/>
      </c>
    </row>
    <row r="110" spans="1:16">
      <c r="A110" s="9" t="s">
        <v>285</v>
      </c>
      <c r="B110" s="9" t="s">
        <v>332</v>
      </c>
      <c r="C110" s="9">
        <v>20</v>
      </c>
      <c r="D110" s="9">
        <v>2</v>
      </c>
      <c r="E110" s="12">
        <v>0.14280000000000001</v>
      </c>
      <c r="F110" s="9">
        <v>40</v>
      </c>
      <c r="G110" s="9">
        <v>20</v>
      </c>
      <c r="H110" s="9">
        <v>0</v>
      </c>
      <c r="I110" s="9">
        <v>0</v>
      </c>
      <c r="J110" s="12">
        <v>0</v>
      </c>
      <c r="K110" s="13">
        <f t="shared" si="9"/>
        <v>0</v>
      </c>
      <c r="L110" s="9">
        <v>0</v>
      </c>
      <c r="M110" s="10">
        <v>2560</v>
      </c>
      <c r="N110" s="11">
        <f t="shared" si="10"/>
        <v>0</v>
      </c>
      <c r="O110" s="10">
        <v>616</v>
      </c>
      <c r="P110" s="11">
        <f t="shared" si="11"/>
        <v>6.4935064935064929E-2</v>
      </c>
    </row>
    <row r="111" spans="1:16">
      <c r="A111" s="9" t="s">
        <v>263</v>
      </c>
      <c r="B111" s="9" t="s">
        <v>333</v>
      </c>
      <c r="C111" s="9">
        <v>20</v>
      </c>
      <c r="D111" s="9">
        <v>4</v>
      </c>
      <c r="E111" s="12">
        <v>8.9999999999999998E-4</v>
      </c>
      <c r="F111" s="9">
        <v>40</v>
      </c>
      <c r="G111" s="9">
        <v>10</v>
      </c>
      <c r="H111" s="9">
        <v>0</v>
      </c>
      <c r="I111" s="9">
        <v>0</v>
      </c>
      <c r="J111" s="12">
        <v>0</v>
      </c>
      <c r="K111" s="13">
        <f t="shared" si="9"/>
        <v>0</v>
      </c>
      <c r="L111" s="9">
        <v>0</v>
      </c>
      <c r="M111" s="10">
        <v>4580</v>
      </c>
      <c r="N111" s="11">
        <f t="shared" si="10"/>
        <v>0</v>
      </c>
      <c r="O111" s="10">
        <v>2133</v>
      </c>
      <c r="P111" s="11">
        <f t="shared" si="11"/>
        <v>1.875293014533521E-2</v>
      </c>
    </row>
    <row r="112" spans="1:16">
      <c r="A112" s="9" t="s">
        <v>207</v>
      </c>
      <c r="B112" s="9"/>
      <c r="C112" s="9">
        <v>20</v>
      </c>
      <c r="D112" s="9">
        <v>3</v>
      </c>
      <c r="E112" s="12">
        <v>4.0000000000000002E-4</v>
      </c>
      <c r="F112" s="9">
        <v>40</v>
      </c>
      <c r="G112" s="9">
        <v>14</v>
      </c>
      <c r="H112" s="9">
        <v>0</v>
      </c>
      <c r="I112" s="9">
        <v>0</v>
      </c>
      <c r="J112" s="12">
        <v>0</v>
      </c>
      <c r="K112" s="13">
        <f t="shared" si="9"/>
        <v>0</v>
      </c>
      <c r="L112" s="9">
        <v>0</v>
      </c>
      <c r="M112" s="10"/>
      <c r="N112" s="11" t="str">
        <f t="shared" si="10"/>
        <v/>
      </c>
      <c r="O112" s="10"/>
      <c r="P112" s="11" t="str">
        <f t="shared" si="11"/>
        <v/>
      </c>
    </row>
    <row r="113" spans="1:16">
      <c r="A113" s="9" t="s">
        <v>148</v>
      </c>
      <c r="B113" s="9"/>
      <c r="C113" s="9">
        <v>20</v>
      </c>
      <c r="D113" s="9">
        <v>2</v>
      </c>
      <c r="E113" s="12">
        <v>5.9999999999999995E-4</v>
      </c>
      <c r="F113" s="9">
        <v>30</v>
      </c>
      <c r="G113" s="9">
        <v>15</v>
      </c>
      <c r="H113" s="9">
        <v>0</v>
      </c>
      <c r="I113" s="9">
        <v>0</v>
      </c>
      <c r="J113" s="12">
        <v>0</v>
      </c>
      <c r="K113" s="13">
        <f t="shared" si="9"/>
        <v>0</v>
      </c>
      <c r="L113" s="9">
        <v>0</v>
      </c>
      <c r="M113" s="10"/>
      <c r="N113" s="11" t="str">
        <f t="shared" si="10"/>
        <v/>
      </c>
      <c r="O113" s="10"/>
      <c r="P113" s="11" t="str">
        <f t="shared" si="11"/>
        <v/>
      </c>
    </row>
    <row r="114" spans="1:16">
      <c r="A114" s="9" t="s">
        <v>210</v>
      </c>
      <c r="B114" s="9"/>
      <c r="C114" s="9">
        <v>20</v>
      </c>
      <c r="D114" s="9">
        <v>3</v>
      </c>
      <c r="E114" s="12">
        <v>5.9999999999999995E-4</v>
      </c>
      <c r="F114" s="9">
        <v>30</v>
      </c>
      <c r="G114" s="9">
        <v>10</v>
      </c>
      <c r="H114" s="9">
        <v>0</v>
      </c>
      <c r="I114" s="9">
        <v>0</v>
      </c>
      <c r="J114" s="12">
        <v>0</v>
      </c>
      <c r="K114" s="13">
        <f t="shared" si="9"/>
        <v>0</v>
      </c>
      <c r="L114" s="9">
        <v>0</v>
      </c>
      <c r="M114" s="10"/>
      <c r="N114" s="11" t="str">
        <f t="shared" si="10"/>
        <v/>
      </c>
      <c r="O114" s="10"/>
      <c r="P114" s="11" t="str">
        <f t="shared" si="11"/>
        <v/>
      </c>
    </row>
    <row r="115" spans="1:16">
      <c r="A115" s="9" t="s">
        <v>80</v>
      </c>
      <c r="B115" s="9" t="s">
        <v>334</v>
      </c>
      <c r="C115" s="9">
        <v>20</v>
      </c>
      <c r="D115" s="9">
        <v>2</v>
      </c>
      <c r="E115" s="12">
        <v>4.0000000000000002E-4</v>
      </c>
      <c r="F115" s="9">
        <v>30</v>
      </c>
      <c r="G115" s="9">
        <v>15</v>
      </c>
      <c r="H115" s="9">
        <v>0</v>
      </c>
      <c r="I115" s="9">
        <v>0</v>
      </c>
      <c r="J115" s="12">
        <v>0</v>
      </c>
      <c r="K115" s="13">
        <f t="shared" si="9"/>
        <v>0</v>
      </c>
      <c r="L115" s="9">
        <v>0</v>
      </c>
      <c r="M115" s="10">
        <v>10480</v>
      </c>
      <c r="N115" s="11">
        <f t="shared" si="10"/>
        <v>0</v>
      </c>
      <c r="O115" s="10">
        <v>8908</v>
      </c>
      <c r="P115" s="11">
        <f t="shared" si="11"/>
        <v>3.3677593174674448E-3</v>
      </c>
    </row>
    <row r="116" spans="1:16">
      <c r="A116" s="9" t="s">
        <v>238</v>
      </c>
      <c r="B116" s="9"/>
      <c r="C116" s="9">
        <v>20</v>
      </c>
      <c r="D116" s="9">
        <v>2</v>
      </c>
      <c r="E116" s="12">
        <v>8.9999999999999998E-4</v>
      </c>
      <c r="F116" s="9">
        <v>30</v>
      </c>
      <c r="G116" s="9">
        <v>15</v>
      </c>
      <c r="H116" s="9">
        <v>0</v>
      </c>
      <c r="I116" s="9">
        <v>0</v>
      </c>
      <c r="J116" s="12">
        <v>0</v>
      </c>
      <c r="K116" s="13">
        <f t="shared" si="9"/>
        <v>0</v>
      </c>
      <c r="L116" s="9">
        <v>0</v>
      </c>
      <c r="M116" s="10"/>
      <c r="N116" s="11" t="str">
        <f t="shared" si="10"/>
        <v/>
      </c>
      <c r="O116" s="10"/>
      <c r="P116" s="11" t="str">
        <f t="shared" si="11"/>
        <v/>
      </c>
    </row>
    <row r="117" spans="1:16">
      <c r="A117" s="9" t="s">
        <v>206</v>
      </c>
      <c r="B117" s="9"/>
      <c r="C117" s="9">
        <v>20</v>
      </c>
      <c r="D117" s="9">
        <v>2</v>
      </c>
      <c r="E117" s="12">
        <v>8.0000000000000004E-4</v>
      </c>
      <c r="F117" s="9">
        <v>30</v>
      </c>
      <c r="G117" s="9">
        <v>15</v>
      </c>
      <c r="H117" s="9">
        <v>0</v>
      </c>
      <c r="I117" s="9">
        <v>0</v>
      </c>
      <c r="J117" s="12">
        <v>0</v>
      </c>
      <c r="K117" s="13">
        <f t="shared" si="9"/>
        <v>0</v>
      </c>
      <c r="L117" s="9">
        <v>0</v>
      </c>
      <c r="M117" s="10"/>
      <c r="N117" s="11" t="str">
        <f t="shared" si="10"/>
        <v/>
      </c>
      <c r="O117" s="10"/>
      <c r="P117" s="11" t="str">
        <f t="shared" si="11"/>
        <v/>
      </c>
    </row>
    <row r="118" spans="1:16">
      <c r="A118" s="9" t="s">
        <v>217</v>
      </c>
      <c r="B118" s="9"/>
      <c r="C118" s="9">
        <v>20</v>
      </c>
      <c r="D118" s="9">
        <v>2</v>
      </c>
      <c r="E118" s="12">
        <v>8.9999999999999998E-4</v>
      </c>
      <c r="F118" s="9">
        <v>30</v>
      </c>
      <c r="G118" s="9">
        <v>15</v>
      </c>
      <c r="H118" s="9">
        <v>0</v>
      </c>
      <c r="I118" s="9">
        <v>0</v>
      </c>
      <c r="J118" s="12">
        <v>0</v>
      </c>
      <c r="K118" s="13">
        <f t="shared" si="9"/>
        <v>0</v>
      </c>
      <c r="L118" s="9">
        <v>0</v>
      </c>
      <c r="M118" s="10"/>
      <c r="N118" s="11" t="str">
        <f t="shared" si="10"/>
        <v/>
      </c>
      <c r="O118" s="10"/>
      <c r="P118" s="11" t="str">
        <f t="shared" si="11"/>
        <v/>
      </c>
    </row>
    <row r="119" spans="1:16">
      <c r="A119" s="9" t="s">
        <v>203</v>
      </c>
      <c r="B119" s="9"/>
      <c r="C119" s="9">
        <v>20</v>
      </c>
      <c r="D119" s="9">
        <v>1</v>
      </c>
      <c r="E119" s="12">
        <v>2.7E-2</v>
      </c>
      <c r="F119" s="9">
        <v>20</v>
      </c>
      <c r="G119" s="9">
        <v>20</v>
      </c>
      <c r="H119" s="9">
        <v>0</v>
      </c>
      <c r="I119" s="9">
        <v>0</v>
      </c>
      <c r="J119" s="12">
        <v>0</v>
      </c>
      <c r="K119" s="13">
        <f t="shared" si="9"/>
        <v>0</v>
      </c>
      <c r="L119" s="9">
        <v>0</v>
      </c>
      <c r="M119" s="10"/>
      <c r="N119" s="11" t="str">
        <f t="shared" si="10"/>
        <v/>
      </c>
      <c r="O119" s="10"/>
      <c r="P119" s="11" t="str">
        <f t="shared" si="11"/>
        <v/>
      </c>
    </row>
    <row r="120" spans="1:16">
      <c r="A120" s="9" t="s">
        <v>247</v>
      </c>
      <c r="B120" s="9" t="s">
        <v>335</v>
      </c>
      <c r="C120" s="9">
        <v>20</v>
      </c>
      <c r="D120" s="9">
        <v>1</v>
      </c>
      <c r="E120" s="12">
        <v>1.6299999999999999E-2</v>
      </c>
      <c r="F120" s="9">
        <v>20</v>
      </c>
      <c r="G120" s="9">
        <v>20</v>
      </c>
      <c r="H120" s="9">
        <v>0</v>
      </c>
      <c r="I120" s="9">
        <v>0</v>
      </c>
      <c r="J120" s="12">
        <v>0</v>
      </c>
      <c r="K120" s="13">
        <f t="shared" si="9"/>
        <v>0</v>
      </c>
      <c r="L120" s="9">
        <v>0</v>
      </c>
      <c r="M120" s="10">
        <v>2580</v>
      </c>
      <c r="N120" s="11">
        <f t="shared" si="10"/>
        <v>0</v>
      </c>
      <c r="O120" s="10">
        <v>609</v>
      </c>
      <c r="P120" s="11">
        <f t="shared" si="11"/>
        <v>3.2840722495894911E-2</v>
      </c>
    </row>
    <row r="121" spans="1:16">
      <c r="A121" s="9" t="s">
        <v>268</v>
      </c>
      <c r="B121" s="9"/>
      <c r="C121" s="9">
        <v>20</v>
      </c>
      <c r="D121" s="9">
        <v>1</v>
      </c>
      <c r="E121" s="12">
        <v>1.1999999999999999E-3</v>
      </c>
      <c r="F121" s="9">
        <v>20</v>
      </c>
      <c r="G121" s="9">
        <v>20</v>
      </c>
      <c r="H121" s="9">
        <v>0</v>
      </c>
      <c r="I121" s="9">
        <v>0</v>
      </c>
      <c r="J121" s="12">
        <v>0</v>
      </c>
      <c r="K121" s="13">
        <f t="shared" si="9"/>
        <v>0</v>
      </c>
      <c r="L121" s="9">
        <v>0</v>
      </c>
      <c r="M121" s="10"/>
      <c r="N121" s="11" t="str">
        <f t="shared" si="10"/>
        <v/>
      </c>
      <c r="O121" s="10"/>
      <c r="P121" s="11" t="str">
        <f t="shared" si="11"/>
        <v/>
      </c>
    </row>
    <row r="122" spans="1:16">
      <c r="A122" s="9" t="s">
        <v>213</v>
      </c>
      <c r="B122" s="9" t="s">
        <v>214</v>
      </c>
      <c r="C122" s="9">
        <v>20</v>
      </c>
      <c r="D122" s="9">
        <v>1</v>
      </c>
      <c r="E122" s="12">
        <v>1.4200000000000001E-2</v>
      </c>
      <c r="F122" s="9">
        <v>20</v>
      </c>
      <c r="G122" s="9">
        <v>20</v>
      </c>
      <c r="H122" s="9">
        <v>0</v>
      </c>
      <c r="I122" s="9">
        <v>0</v>
      </c>
      <c r="J122" s="12">
        <v>0</v>
      </c>
      <c r="K122" s="13">
        <f t="shared" si="9"/>
        <v>0</v>
      </c>
      <c r="L122" s="9">
        <v>0</v>
      </c>
      <c r="M122" s="10">
        <v>12960</v>
      </c>
      <c r="N122" s="11">
        <f t="shared" si="10"/>
        <v>0</v>
      </c>
      <c r="O122" s="10">
        <v>3252</v>
      </c>
      <c r="P122" s="11">
        <f t="shared" si="11"/>
        <v>6.1500615006150061E-3</v>
      </c>
    </row>
    <row r="123" spans="1:16">
      <c r="A123" s="9" t="s">
        <v>124</v>
      </c>
      <c r="B123" s="9"/>
      <c r="C123" s="9">
        <v>20</v>
      </c>
      <c r="D123" s="9">
        <v>2</v>
      </c>
      <c r="E123" s="12">
        <v>4.0000000000000002E-4</v>
      </c>
      <c r="F123" s="9">
        <v>20</v>
      </c>
      <c r="G123" s="9">
        <v>10</v>
      </c>
      <c r="H123" s="9">
        <v>0</v>
      </c>
      <c r="I123" s="9">
        <v>0</v>
      </c>
      <c r="J123" s="12">
        <v>0</v>
      </c>
      <c r="K123" s="13">
        <f t="shared" si="9"/>
        <v>0</v>
      </c>
      <c r="L123" s="9">
        <v>0</v>
      </c>
      <c r="M123" s="10"/>
      <c r="N123" s="11" t="str">
        <f t="shared" si="10"/>
        <v/>
      </c>
      <c r="O123" s="10"/>
      <c r="P123" s="11" t="str">
        <f t="shared" si="11"/>
        <v/>
      </c>
    </row>
    <row r="124" spans="1:16">
      <c r="A124" s="9" t="s">
        <v>195</v>
      </c>
      <c r="B124" s="9"/>
      <c r="C124" s="9">
        <v>20</v>
      </c>
      <c r="D124" s="9">
        <v>1</v>
      </c>
      <c r="E124" s="12">
        <v>1.44E-2</v>
      </c>
      <c r="F124" s="9">
        <v>20</v>
      </c>
      <c r="G124" s="9">
        <v>20</v>
      </c>
      <c r="H124" s="9">
        <v>0</v>
      </c>
      <c r="I124" s="9">
        <v>0</v>
      </c>
      <c r="J124" s="12">
        <v>0</v>
      </c>
      <c r="K124" s="13">
        <f t="shared" si="9"/>
        <v>0</v>
      </c>
      <c r="L124" s="9">
        <v>0</v>
      </c>
      <c r="M124" s="10"/>
      <c r="N124" s="11" t="str">
        <f t="shared" si="10"/>
        <v/>
      </c>
      <c r="O124" s="10"/>
      <c r="P124" s="11" t="str">
        <f t="shared" si="11"/>
        <v/>
      </c>
    </row>
    <row r="125" spans="1:16">
      <c r="A125" s="9" t="s">
        <v>198</v>
      </c>
      <c r="B125" s="9"/>
      <c r="C125" s="9">
        <v>20</v>
      </c>
      <c r="D125" s="9">
        <v>2</v>
      </c>
      <c r="E125" s="12">
        <v>4.0000000000000002E-4</v>
      </c>
      <c r="F125" s="9">
        <v>20</v>
      </c>
      <c r="G125" s="9">
        <v>10</v>
      </c>
      <c r="H125" s="9">
        <v>0</v>
      </c>
      <c r="I125" s="9">
        <v>0</v>
      </c>
      <c r="J125" s="12">
        <v>0</v>
      </c>
      <c r="K125" s="13">
        <f t="shared" si="9"/>
        <v>0</v>
      </c>
      <c r="L125" s="9">
        <v>0</v>
      </c>
      <c r="M125" s="10"/>
      <c r="N125" s="11" t="str">
        <f t="shared" si="10"/>
        <v/>
      </c>
      <c r="O125" s="10"/>
      <c r="P125" s="11" t="str">
        <f t="shared" si="11"/>
        <v/>
      </c>
    </row>
    <row r="126" spans="1:16">
      <c r="A126" s="9" t="s">
        <v>277</v>
      </c>
      <c r="B126" s="9"/>
      <c r="C126" s="9">
        <v>20</v>
      </c>
      <c r="D126" s="9">
        <v>2</v>
      </c>
      <c r="E126" s="12">
        <v>1.4E-3</v>
      </c>
      <c r="F126" s="9">
        <v>20</v>
      </c>
      <c r="G126" s="9">
        <v>10</v>
      </c>
      <c r="H126" s="9">
        <v>0</v>
      </c>
      <c r="I126" s="9">
        <v>0</v>
      </c>
      <c r="J126" s="12">
        <v>0</v>
      </c>
      <c r="K126" s="13">
        <f t="shared" si="9"/>
        <v>0</v>
      </c>
      <c r="L126" s="9">
        <v>0</v>
      </c>
      <c r="M126" s="10"/>
      <c r="N126" s="11" t="str">
        <f t="shared" si="10"/>
        <v/>
      </c>
      <c r="O126" s="10"/>
      <c r="P126" s="11" t="str">
        <f t="shared" si="11"/>
        <v/>
      </c>
    </row>
    <row r="127" spans="1:16">
      <c r="A127" s="9" t="s">
        <v>186</v>
      </c>
      <c r="B127" s="9"/>
      <c r="C127" s="9">
        <v>20</v>
      </c>
      <c r="D127" s="9">
        <v>1</v>
      </c>
      <c r="E127" s="12">
        <v>5.9999999999999995E-4</v>
      </c>
      <c r="F127" s="9">
        <v>20</v>
      </c>
      <c r="G127" s="9">
        <v>20</v>
      </c>
      <c r="H127" s="9">
        <v>0</v>
      </c>
      <c r="I127" s="9">
        <v>0</v>
      </c>
      <c r="J127" s="12">
        <v>0</v>
      </c>
      <c r="K127" s="13">
        <f t="shared" si="9"/>
        <v>0</v>
      </c>
      <c r="L127" s="9">
        <v>0</v>
      </c>
      <c r="M127" s="10"/>
      <c r="N127" s="11" t="str">
        <f t="shared" si="10"/>
        <v/>
      </c>
      <c r="O127" s="10"/>
      <c r="P127" s="11" t="str">
        <f t="shared" si="11"/>
        <v/>
      </c>
    </row>
    <row r="128" spans="1:16">
      <c r="A128" s="9" t="s">
        <v>258</v>
      </c>
      <c r="B128" s="9"/>
      <c r="C128" s="9">
        <v>20</v>
      </c>
      <c r="D128" s="9">
        <v>1</v>
      </c>
      <c r="E128" s="12">
        <v>1E-3</v>
      </c>
      <c r="F128" s="9">
        <v>20</v>
      </c>
      <c r="G128" s="9">
        <v>20</v>
      </c>
      <c r="H128" s="9">
        <v>0</v>
      </c>
      <c r="I128" s="9">
        <v>0</v>
      </c>
      <c r="J128" s="12">
        <v>0</v>
      </c>
      <c r="K128" s="13">
        <f t="shared" si="9"/>
        <v>0</v>
      </c>
      <c r="L128" s="9">
        <v>0</v>
      </c>
      <c r="M128" s="10"/>
      <c r="N128" s="11" t="str">
        <f t="shared" si="10"/>
        <v/>
      </c>
      <c r="O128" s="10"/>
      <c r="P128" s="11" t="str">
        <f t="shared" si="11"/>
        <v/>
      </c>
    </row>
    <row r="129" spans="1:16">
      <c r="A129" s="9" t="s">
        <v>245</v>
      </c>
      <c r="B129" s="9"/>
      <c r="C129" s="9">
        <v>20</v>
      </c>
      <c r="D129" s="9">
        <v>1</v>
      </c>
      <c r="E129" s="12">
        <v>1.1000000000000001E-3</v>
      </c>
      <c r="F129" s="9">
        <v>20</v>
      </c>
      <c r="G129" s="9">
        <v>20</v>
      </c>
      <c r="H129" s="9">
        <v>0</v>
      </c>
      <c r="I129" s="9">
        <v>0</v>
      </c>
      <c r="J129" s="12">
        <v>0</v>
      </c>
      <c r="K129" s="13">
        <f t="shared" si="9"/>
        <v>0</v>
      </c>
      <c r="L129" s="9">
        <v>0</v>
      </c>
      <c r="M129" s="10"/>
      <c r="N129" s="11" t="str">
        <f t="shared" si="10"/>
        <v/>
      </c>
      <c r="O129" s="10"/>
      <c r="P129" s="11" t="str">
        <f t="shared" si="11"/>
        <v/>
      </c>
    </row>
    <row r="130" spans="1:16">
      <c r="A130" s="9" t="s">
        <v>237</v>
      </c>
      <c r="B130" s="9"/>
      <c r="C130" s="9">
        <v>20</v>
      </c>
      <c r="D130" s="9">
        <v>2</v>
      </c>
      <c r="E130" s="12">
        <v>2.9999999999999997E-4</v>
      </c>
      <c r="F130" s="9">
        <v>20</v>
      </c>
      <c r="G130" s="9">
        <v>10</v>
      </c>
      <c r="H130" s="9">
        <v>0</v>
      </c>
      <c r="I130" s="9">
        <v>0</v>
      </c>
      <c r="J130" s="12">
        <v>0</v>
      </c>
      <c r="K130" s="13">
        <f t="shared" si="9"/>
        <v>0</v>
      </c>
      <c r="L130" s="9">
        <v>0</v>
      </c>
      <c r="M130" s="10"/>
      <c r="N130" s="11" t="str">
        <f t="shared" si="10"/>
        <v/>
      </c>
      <c r="O130" s="10"/>
      <c r="P130" s="11" t="str">
        <f t="shared" si="11"/>
        <v/>
      </c>
    </row>
    <row r="131" spans="1:16">
      <c r="A131" s="9" t="s">
        <v>167</v>
      </c>
      <c r="B131" s="9" t="s">
        <v>336</v>
      </c>
      <c r="C131" s="9">
        <v>20</v>
      </c>
      <c r="D131" s="9">
        <v>1</v>
      </c>
      <c r="E131" s="12">
        <v>2.9999999999999997E-4</v>
      </c>
      <c r="F131" s="9">
        <v>13</v>
      </c>
      <c r="G131" s="9">
        <v>13</v>
      </c>
      <c r="H131" s="9">
        <v>0</v>
      </c>
      <c r="I131" s="9">
        <v>0</v>
      </c>
      <c r="J131" s="12">
        <v>0</v>
      </c>
      <c r="K131" s="13">
        <f t="shared" si="9"/>
        <v>0</v>
      </c>
      <c r="L131" s="9">
        <v>0</v>
      </c>
      <c r="M131" s="10">
        <v>3960</v>
      </c>
      <c r="N131" s="11">
        <f t="shared" si="10"/>
        <v>0</v>
      </c>
      <c r="O131" s="10">
        <v>3366</v>
      </c>
      <c r="P131" s="11">
        <f t="shared" si="11"/>
        <v>3.8621509209744503E-3</v>
      </c>
    </row>
    <row r="132" spans="1:16">
      <c r="A132" s="9" t="s">
        <v>142</v>
      </c>
      <c r="B132" s="9" t="s">
        <v>337</v>
      </c>
      <c r="C132" s="9">
        <v>20</v>
      </c>
      <c r="D132" s="9">
        <v>1</v>
      </c>
      <c r="E132" s="12">
        <v>1E-4</v>
      </c>
      <c r="F132" s="9">
        <v>12</v>
      </c>
      <c r="G132" s="9">
        <v>12</v>
      </c>
      <c r="H132" s="9">
        <v>0</v>
      </c>
      <c r="I132" s="9">
        <v>0</v>
      </c>
      <c r="J132" s="12">
        <v>0</v>
      </c>
      <c r="K132" s="13">
        <f t="shared" si="9"/>
        <v>0</v>
      </c>
      <c r="L132" s="9">
        <v>0</v>
      </c>
      <c r="M132" s="10">
        <v>9160</v>
      </c>
      <c r="N132" s="11">
        <f t="shared" si="10"/>
        <v>0</v>
      </c>
      <c r="O132" s="10">
        <v>7786</v>
      </c>
      <c r="P132" s="11">
        <f t="shared" si="11"/>
        <v>1.5412278448497304E-3</v>
      </c>
    </row>
    <row r="133" spans="1:16">
      <c r="A133" s="9" t="s">
        <v>266</v>
      </c>
      <c r="B133" s="9" t="s">
        <v>338</v>
      </c>
      <c r="C133" s="9">
        <v>20</v>
      </c>
      <c r="D133" s="9">
        <v>1</v>
      </c>
      <c r="E133" s="12">
        <v>1E-4</v>
      </c>
      <c r="F133" s="9">
        <v>10</v>
      </c>
      <c r="G133" s="9">
        <v>10</v>
      </c>
      <c r="H133" s="9">
        <v>0</v>
      </c>
      <c r="I133" s="9">
        <v>0</v>
      </c>
      <c r="J133" s="12">
        <v>0</v>
      </c>
      <c r="K133" s="13">
        <f t="shared" si="9"/>
        <v>0</v>
      </c>
      <c r="L133" s="9">
        <v>0</v>
      </c>
      <c r="M133" s="10">
        <v>3980</v>
      </c>
      <c r="N133" s="11">
        <f t="shared" si="10"/>
        <v>0</v>
      </c>
      <c r="O133" s="10">
        <v>1060</v>
      </c>
      <c r="P133" s="11">
        <f t="shared" si="11"/>
        <v>9.433962264150943E-3</v>
      </c>
    </row>
    <row r="134" spans="1:16">
      <c r="A134" s="9" t="s">
        <v>289</v>
      </c>
      <c r="B134" s="9"/>
      <c r="C134" s="9">
        <v>20</v>
      </c>
      <c r="D134" s="9">
        <v>1</v>
      </c>
      <c r="E134" s="12">
        <v>2.0000000000000001E-4</v>
      </c>
      <c r="F134" s="9">
        <v>10</v>
      </c>
      <c r="G134" s="9">
        <v>10</v>
      </c>
      <c r="H134" s="9">
        <v>0</v>
      </c>
      <c r="I134" s="9">
        <v>0</v>
      </c>
      <c r="J134" s="12">
        <v>0</v>
      </c>
      <c r="K134" s="13">
        <f t="shared" si="9"/>
        <v>0</v>
      </c>
      <c r="L134" s="9">
        <v>0</v>
      </c>
      <c r="M134" s="10"/>
      <c r="N134" s="11" t="str">
        <f t="shared" si="10"/>
        <v/>
      </c>
      <c r="O134" s="10"/>
      <c r="P134" s="11" t="str">
        <f t="shared" si="11"/>
        <v/>
      </c>
    </row>
    <row r="135" spans="1:16">
      <c r="A135" s="8" t="s">
        <v>296</v>
      </c>
      <c r="D135" s="8">
        <f>SUM(D13:D134)</f>
        <v>3781</v>
      </c>
      <c r="F135" s="8">
        <f>SUM(F13:F134)</f>
        <v>53095</v>
      </c>
      <c r="H135" s="8">
        <f>SUM(H13:H134)</f>
        <v>218218</v>
      </c>
      <c r="I135" s="8">
        <f>SUM(I13:I134)</f>
        <v>64</v>
      </c>
      <c r="K135" s="14">
        <f t="shared" si="9"/>
        <v>4.10995385629532</v>
      </c>
      <c r="L135" s="8">
        <f>SUM(L13:L134)</f>
        <v>173900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7月</vt:lpstr>
      <vt:lpstr>8月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英樹 海老名</cp:lastModifiedBy>
  <dcterms:created xsi:type="dcterms:W3CDTF">2026-08-03T11:07:57Z</dcterms:created>
  <dcterms:modified xsi:type="dcterms:W3CDTF">2026-09-08T09:50:43Z</dcterms:modified>
</cp:coreProperties>
</file>